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f05aedb5f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territorial_municipios" sheetId="1" r:id="R98af68afdbe54899"/>
    <x:sheet xmlns:r="http://schemas.openxmlformats.org/officeDocument/2006/relationships" name="leia_me" sheetId="2" r:id="R18661fe7c9824974"/>
    <x:sheet xmlns:r="http://schemas.openxmlformats.org/officeDocument/2006/relationships" name="fontes_oficiais" sheetId="3" r:id="R86b96c8b46ae498f"/>
    <x:sheet xmlns:r="http://schemas.openxmlformats.org/officeDocument/2006/relationships" name="ontl_metodologia" sheetId="4" r:id="R65e381768a54459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K1" authorId="0">
      <x:text>
        <x:r>
          <x:t>População no último censo (2022), conforme IBGE Cidades e Estados de cada município.</x:t>
        </x:r>
      </x:text>
    </x:comment>
    <x:comment ref="N1" authorId="0">
      <x:text>
        <x:r>
          <x:t>IDHM 2010, conforme página IBGE Cidades e Estados (fonte PNUD/Atlas).</x:t>
        </x:r>
      </x:text>
    </x:comment>
    <x:comment ref="O1" authorId="0">
      <x:text>
        <x:r>
          <x:t>PIB per capita 2023, conforme página IBGE Cidades e Estados.</x:t>
        </x:r>
      </x:text>
    </x:comment>
    <x:comment ref="P1" authorId="0">
      <x:text>
        <x:r>
          <x:t>Proxy derivada = População 2022 x PIB per capita 2023. Não substitui o PIB municipal oficial.</x:t>
        </x:r>
      </x:text>
    </x:comment>
    <x:comment ref="V1" authorId="0">
      <x:text>
        <x:r>
          <x:t>Campo preparado para futura integração com PAM/IBGE.</x:t>
        </x:r>
      </x:text>
    </x:comment>
    <x:comment ref="W1" authorId="0">
      <x:text>
        <x:r>
          <x:t>Campo preparado para futura integração com PPM/IBGE.</x:t>
        </x:r>
      </x:text>
    </x:comment>
    <x:comment ref="X1" authorId="0">
      <x:text>
        <x:r>
          <x:t>Campo preparado para futura integração com CEMPRE/IBGE ou fonte oficial equivalente.</x:t>
        </x:r>
      </x:text>
    </x:comment>
    <x:comment ref="Y1" authorId="0">
      <x:text>
        <x:r>
          <x:t>Campo preparado para futura integração com ONTL/ANTT ou fonte oficial equivalente.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R$ #,##0.00;[Red](R$ #,##0.00);-"/>
    <x:numFmt numFmtId="165" formatCode="#,##0.000"/>
    <x:numFmt numFmtId="166" formatCode="0.000"/>
    <x:numFmt numFmtId="167" formatCode="0.0%"/>
  </x:numFmts>
  <x:fonts count="8">
    <x:font>
      <x:sz val="11"/>
      <x:color theme="1"/>
      <x:name val="Calibri"/>
      <x:family val="2"/>
      <x:scheme val="minor"/>
    </x:font>
    <x:font>
      <x:b/>
      <x:color rgb="00FFFFFF"/>
    </x:font>
    <x:font>
      <x:color rgb="00008000"/>
    </x:font>
    <x:font>
      <x:color rgb="000000FF"/>
    </x:font>
    <x:font>
      <x:color rgb="00000000"/>
    </x:font>
    <x:font>
      <x:color rgb="009E480E"/>
    </x:font>
    <x:font>
      <x:b/>
      <x:sz val="14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1" xfId="0" applyAlignment="1">
      <x:alignment vertical="center" wrapText="1"/>
    </x:xf>
    <x:xf numFmtId="0" fontId="3" fillId="0" borderId="1" xfId="0" applyAlignment="1">
      <x:alignment vertical="center" wrapText="1"/>
    </x:xf>
    <x:xf numFmtId="164" fontId="3" fillId="0" borderId="1" xfId="0" applyAlignment="1">
      <x:alignment vertical="center" wrapText="1"/>
    </x:xf>
    <x:xf numFmtId="165" fontId="2" fillId="0" borderId="1" xfId="0" applyAlignment="1">
      <x:alignment vertical="center" wrapText="1"/>
    </x:xf>
    <x:xf numFmtId="4" fontId="4" fillId="0" borderId="1" xfId="0" applyAlignment="1">
      <x:alignment vertical="center" wrapText="1"/>
    </x:xf>
    <x:xf numFmtId="166" fontId="2" fillId="0" borderId="1" xfId="0" applyAlignment="1">
      <x:alignment vertical="center" wrapText="1"/>
    </x:xf>
    <x:xf numFmtId="164" fontId="2" fillId="0" borderId="1" xfId="0" applyAlignment="1">
      <x:alignment vertical="center" wrapText="1"/>
    </x:xf>
    <x:xf numFmtId="164" fontId="4" fillId="0" borderId="1" xfId="0" applyAlignment="1">
      <x:alignment vertical="center" wrapText="1"/>
    </x:xf>
    <x:xf numFmtId="167" fontId="4" fillId="0" borderId="1" xfId="0" applyAlignment="1">
      <x:alignment vertical="center" wrapText="1"/>
    </x:xf>
    <x:xf numFmtId="0" fontId="5" fillId="0" borderId="1" xfId="0" applyAlignment="1">
      <x:alignment vertical="center" wrapText="1"/>
    </x:xf>
    <x:xf numFmtId="0" fontId="5" fillId="3" borderId="1" xfId="0" applyAlignment="1">
      <x:alignment vertical="center" wrapText="1"/>
    </x:xf>
    <x:xf numFmtId="0" fontId="6" fillId="0" borderId="0" xfId="0" applyAlignment="1">
      <x:alignment wrapText="1"/>
    </x:xf>
    <x:xf numFmtId="0" fontId="0" fillId="0" borderId="0" xfId="0" applyAlignment="1">
      <x:alignment wrapText="1"/>
    </x:xf>
    <x:xf numFmtId="0" fontId="7" fillId="0" borderId="0" xfId="0" applyAlignment="1">
      <x:alignment wrapText="1"/>
    </x:xf>
    <x:xf numFmtId="0" fontId="1" fillId="2" borderId="0" xfId="0" applyAlignment="1">
      <x:alignment horizontal="center" wrapText="1"/>
    </x:xf>
    <x:xf numFmtId="165" fontId="2" fillId="0" borderId="1" xfId="0" applyAlignment="1">
      <x:alignment vertical="center" wrapText="1"/>
    </x:xf>
    <x:xf numFmtId="166" fontId="2" fillId="0" borderId="1" xfId="0" applyAlignment="1">
      <x:alignment vertical="center" wrapText="1"/>
    </x:xf>
    <x:xf numFmtId="167" fontId="4" fillId="0" borderId="1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8e83d2ae94ae8" /><Relationship Type="http://schemas.openxmlformats.org/officeDocument/2006/relationships/theme" Target="/xl/theme/theme1.xml" Id="R7925c6b248cb4f2b" /><Relationship Type="http://schemas.openxmlformats.org/officeDocument/2006/relationships/sharedStrings" Target="/xl/sharedStrings.xml" Id="Rd72a563871914be1" /><Relationship Type="http://schemas.openxmlformats.org/officeDocument/2006/relationships/worksheet" Target="/xl/worksheets/sheet1.xml" Id="R98af68afdbe54899" /><Relationship Type="http://schemas.openxmlformats.org/officeDocument/2006/relationships/worksheet" Target="/xl/worksheets/sheet2.xml" Id="R18661fe7c9824974" /><Relationship Type="http://schemas.openxmlformats.org/officeDocument/2006/relationships/worksheet" Target="/xl/worksheets/sheet3.xml" Id="R86b96c8b46ae498f" /><Relationship Type="http://schemas.openxmlformats.org/officeDocument/2006/relationships/worksheet" Target="/xl/worksheets/sheet4.xml" Id="R65e381768a544597" /><Relationship Type="http://schemas.microsoft.com/office/2017/10/relationships/person" Target="/xl/persons/person.xml" Id="R309e920c0ee04d73" /></Relationships>
</file>

<file path=xl/persons/person.xml><?xml version="1.0" encoding="utf-8"?>
<xltc:personList xmlns:xltc="http://schemas.microsoft.com/office/spreadsheetml/2018/threadedcomments">
  <xltc:person displayName="OpenAI" id="{440BD249-052A-3D76-648A-47B68BF45A4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b96f87da2a94a18" /><Relationship Type="http://schemas.openxmlformats.org/officeDocument/2006/relationships/vmlDrawing" Target="/xl/drawings/vmldrawing.vml" Id="R1ae040b0d32f483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6" customWidth="1"/>
    <x:col min="3" max="3" width="14" customWidth="1"/>
    <x:col min="4" max="4" width="9" customWidth="1"/>
    <x:col min="5" max="5" width="9" customWidth="1"/>
    <x:col min="6" max="6" width="20" customWidth="1"/>
    <x:col min="7" max="7" width="18" customWidth="1"/>
    <x:col min="8" max="8" width="16" customWidth="1"/>
    <x:col min="9" max="9" width="16" customWidth="1"/>
    <x:col min="10" max="10" width="14" customWidth="1"/>
    <x:col min="11" max="11" width="14" customWidth="1"/>
    <x:col min="12" max="12" width="12" customWidth="1"/>
    <x:col min="13" max="13" width="15" customWidth="1"/>
    <x:col min="14" max="14" width="10" customWidth="1"/>
    <x:col min="15" max="15" width="17" customWidth="1"/>
    <x:col min="16" max="16" width="18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48" customWidth="1"/>
    <x:col min="22" max="22" width="22" customWidth="1"/>
    <x:col min="23" max="23" width="22" customWidth="1"/>
    <x:col min="24" max="24" width="22" customWidth="1"/>
    <x:col min="25" max="25" width="26" customWidth="1"/>
    <x:col min="26" max="26" width="45" customWidth="1"/>
    <x:col min="27" max="27" width="18" customWidth="1"/>
    <x:col min="28" max="28" width="55" customWidth="1"/>
    <x:col min="29" max="29" width="32" customWidth="1"/>
  </x:cols>
  <x:sheetData>
    <x:row r="1">
      <x:c r="A1" s="1" t="inlineStr">
        <x:is>
          <x:t xml:space="preserve">municipio_codigo</x:t>
        </x:is>
      </x:c>
      <x:c r="B1" s="1" t="inlineStr">
        <x:is>
          <x:t xml:space="preserve">municipio_nome</x:t>
        </x:is>
      </x:c>
      <x:c r="C1" s="1" t="inlineStr">
        <x:is>
          <x:t xml:space="preserve">regiao_der_codigo</x:t>
        </x:is>
      </x:c>
      <x:c r="D1" s="1" t="inlineStr">
        <x:is>
          <x:t xml:space="preserve">ano_min</x:t>
        </x:is>
      </x:c>
      <x:c r="E1" s="1" t="inlineStr">
        <x:is>
          <x:t xml:space="preserve">ano_max</x:t>
        </x:is>
      </x:c>
      <x:c r="F1" s="1" t="inlineStr">
        <x:is>
          <x:t xml:space="preserve">subprograma_predom_orc</x:t>
        </x:is>
      </x:c>
      <x:c r="G1" s="1" t="inlineStr">
        <x:is>
          <x:t xml:space="preserve">orcamento_atualizado_8398_R$</x:t>
        </x:is>
      </x:c>
      <x:c r="H1" s="1" t="inlineStr">
        <x:is>
          <x:t xml:space="preserve">empenhado_8398_R$</x:t>
        </x:is>
      </x:c>
      <x:c r="I1" s="1" t="inlineStr">
        <x:is>
          <x:t xml:space="preserve">liquidado_8398_R$</x:t>
        </x:is>
      </x:c>
      <x:c r="J1" s="1" t="inlineStr">
        <x:is>
          <x:t xml:space="preserve">pago_8398_R$</x:t>
        </x:is>
      </x:c>
      <x:c r="K1" s="1" t="inlineStr">
        <x:is>
          <x:t xml:space="preserve">populacao_2022</x:t>
        </x:is>
      </x:c>
      <x:c r="L1" s="1" t="inlineStr">
        <x:is>
          <x:t xml:space="preserve">area_km2</x:t>
        </x:is>
      </x:c>
      <x:c r="M1" s="1" t="inlineStr">
        <x:is>
          <x:t xml:space="preserve">densidade_2022_hab_km2</x:t>
        </x:is>
      </x:c>
      <x:c r="N1" s="1" t="inlineStr">
        <x:is>
          <x:t xml:space="preserve">idhm_2010</x:t>
        </x:is>
      </x:c>
      <x:c r="O1" s="1" t="inlineStr">
        <x:is>
          <x:t xml:space="preserve">pib_per_capita_2023_R$</x:t>
        </x:is>
      </x:c>
      <x:c r="P1" s="1" t="inlineStr">
        <x:is>
          <x:t xml:space="preserve">pib_total_proxy_2023_R$</x:t>
        </x:is>
      </x:c>
      <x:c r="Q1" s="1" t="inlineStr">
        <x:is>
          <x:t xml:space="preserve">orcamento_por_hab_R$</x:t>
        </x:is>
      </x:c>
      <x:c r="R1" s="1" t="inlineStr">
        <x:is>
          <x:t xml:space="preserve">liquidado_por_hab_R$</x:t>
        </x:is>
      </x:c>
      <x:c r="S1" s="1" t="inlineStr">
        <x:is>
          <x:t xml:space="preserve">orcamento_sobre_pib_proxy_%</x:t>
        </x:is>
      </x:c>
      <x:c r="T1" s="1" t="inlineStr">
        <x:is>
          <x:t xml:space="preserve">liquidado_sobre_pib_proxy_%</x:t>
        </x:is>
      </x:c>
      <x:c r="U1" s="1" t="inlineStr">
        <x:is>
          <x:t xml:space="preserve">fonte_oficial_ibge</x:t>
        </x:is>
      </x:c>
      <x:c r="V1" s="1" t="inlineStr">
        <x:is>
          <x:t xml:space="preserve">agricultura_valor_producao_R$</x:t>
        </x:is>
      </x:c>
      <x:c r="W1" s="1" t="inlineStr">
        <x:is>
          <x:t xml:space="preserve">pecuaria_valor_producao_R$</x:t>
        </x:is>
      </x:c>
      <x:c r="X1" s="1" t="inlineStr">
        <x:is>
          <x:t xml:space="preserve">indicador_industrial_oficial</x:t>
        </x:is>
      </x:c>
      <x:c r="Y1" s="1" t="inlineStr">
        <x:is>
          <x:t xml:space="preserve">indicador_logistico_oficial</x:t>
        </x:is>
      </x:c>
      <x:c r="Z1" s="1" t="inlineStr">
        <x:is>
          <x:t xml:space="preserve">status_integracao_setorial</x:t>
        </x:is>
      </x:c>
      <x:c r="AA1" s="1" t="inlineStr">
        <x:is>
          <x:t xml:space="preserve">ontl_logistica_categoria_proxy</x:t>
        </x:is>
      </x:c>
      <x:c r="AB1" s="1" t="inlineStr">
        <x:is>
          <x:t xml:space="preserve">ontl_logistica_justificativa_proxy</x:t>
        </x:is>
      </x:c>
      <x:c r="AC1" s="1" t="inlineStr">
        <x:is>
          <x:t xml:space="preserve">ontl_fonte_url</x:t>
        </x:is>
      </x:c>
    </x:row>
    <x:row r="2">
      <x:c r="A2" s="2" t="inlineStr">
        <x:is>
          <x:t xml:space="preserve">4100301</x:t>
        </x:is>
      </x:c>
      <x:c r="B2" s="2" t="inlineStr">
        <x:is>
          <x:t xml:space="preserve">Agudos do Sul</x:t>
        </x:is>
      </x:c>
      <x:c r="C2" s="2" t="inlineStr">
        <x:is>
          <x:t xml:space="preserve">4101</x:t>
        </x:is>
      </x:c>
      <x:c r="D2" s="3" t="n">
        <x:v>2025</x:v>
      </x:c>
      <x:c r="E2" s="3" t="n">
        <x:v>2025</x:v>
      </x:c>
      <x:c r="F2" s="3" t="inlineStr">
        <x:is>
          <x:t xml:space="preserve">PRORESTAURA</x:t>
        </x:is>
      </x:c>
      <x:c r="G2" s="4" t="n">
        <x:v>0</x:v>
      </x:c>
      <x:c r="H2" s="4" t="n">
        <x:v>0</x:v>
      </x:c>
      <x:c r="I2" s="4" t="n">
        <x:v>0</x:v>
      </x:c>
      <x:c r="J2" s="4" t="n">
        <x:v>0</x:v>
      </x:c>
      <x:c r="K2" s="2" t="n">
        <x:v>10233</x:v>
      </x:c>
      <x:c r="L2" s="17" t="n">
        <x:v>191.336</x:v>
      </x:c>
      <x:c r="M2" s="6">
        <x:f>IF(OR(K2="",L2=""),"",K2/L2)</x:f>
        <x:v>53.481833005811765</x:v>
      </x:c>
      <x:c r="N2" s="18" t="n">
        <x:v>0.66</x:v>
      </x:c>
      <x:c r="O2" s="8" t="n">
        <x:v>27302.69</x:v>
      </x:c>
      <x:c r="P2" s="9">
        <x:f>IF(OR(K2="",O2=""),"",K2*O2)</x:f>
        <x:v>279388426.77</x:v>
      </x:c>
      <x:c r="Q2" s="9">
        <x:f>IF(OR(K2=0,G2=0),"",G2/K2)</x:f>
      </x:c>
      <x:c r="R2" s="9">
        <x:f>IF(OR(K2=0,I2=0),"",I2/K2)</x:f>
      </x:c>
      <x:c r="S2" s="19">
        <x:f>IF(OR(P2=0,G2=0),"",G2/P2)</x:f>
      </x:c>
      <x:c r="T2" s="19">
        <x:f>IF(OR(P2=0,I2=0),"",I2/P2)</x:f>
      </x:c>
      <x:c r="U2" s="2" t="inlineStr">
        <x:is>
          <x:t xml:space="preserve">https://www.ibge.gov.br/cidades-e-estados/pr/agudos-do-sul.html</x:t>
        </x:is>
      </x:c>
      <x:c r="V2" s="11" t="n"/>
      <x:c r="W2" s="11" t="n"/>
      <x:c r="X2" s="11" t="n"/>
      <x:c r="Y2" s="11" t="inlineStr">
        <x:is>
          <x:t xml:space="preserve">Alta - proxy ONTL</x:t>
        </x:is>
      </x:c>
      <x:c r="Z2" s="12" t="inlineStr">
        <x:is>
          <x:t xml:space="preserve">Populado com proxy qualitativo ONTL; agro/pecuária/indústria ainda pendentes</x:t>
        </x:is>
      </x:c>
      <x:c r="AA2" t="inlineStr">
        <x:is>
          <x:t xml:space="preserve">Alta</x:t>
        </x:is>
      </x:c>
      <x:c r="AB2" t="inlineStr">
        <x:is>
          <x:t xml:space="preserve">Conexão com corredor rodoviário estruturante do eixo BR-116 / divisa PR-SC.</x:t>
        </x:is>
      </x:c>
      <x:c r="AC2" t="inlineStr">
        <x:is>
          <x:t xml:space="preserve">https://ontl.infrasa.gov.br/dados/</x:t>
        </x:is>
      </x:c>
    </x:row>
    <x:row r="3">
      <x:c r="A3" s="2" t="inlineStr">
        <x:is>
          <x:t xml:space="preserve">4100806</x:t>
        </x:is>
      </x:c>
      <x:c r="B3" s="2" t="inlineStr">
        <x:is>
          <x:t xml:space="preserve">Alvorada do Sul</x:t>
        </x:is>
      </x:c>
      <x:c r="C3" s="2" t="inlineStr">
        <x:is>
          <x:t xml:space="preserve">4105</x:t>
        </x:is>
      </x:c>
      <x:c r="D3" s="3" t="n">
        <x:v>2025</x:v>
      </x:c>
      <x:c r="E3" s="3" t="n">
        <x:v>2025</x:v>
      </x:c>
      <x:c r="F3" s="3" t="inlineStr">
        <x:is>
          <x:t xml:space="preserve">PRORESTAURA</x:t>
        </x:is>
      </x:c>
      <x:c r="G3" s="4" t="n">
        <x:v>0</x:v>
      </x:c>
      <x:c r="H3" s="4" t="n">
        <x:v>0</x:v>
      </x:c>
      <x:c r="I3" s="4" t="n">
        <x:v>0</x:v>
      </x:c>
      <x:c r="J3" s="4" t="n">
        <x:v>0</x:v>
      </x:c>
      <x:c r="K3" s="2" t="n">
        <x:v>10326</x:v>
      </x:c>
      <x:c r="L3" s="17" t="n">
        <x:v>424.25</x:v>
      </x:c>
      <x:c r="M3" s="6">
        <x:f>IF(OR(K3="",L3=""),"",K3/L3)</x:f>
        <x:v>24.339422510312318</x:v>
      </x:c>
      <x:c r="N3" s="18" t="n">
        <x:v>0.708</x:v>
      </x:c>
      <x:c r="O3" s="8" t="n">
        <x:v>42266.4</x:v>
      </x:c>
      <x:c r="P3" s="9">
        <x:f>IF(OR(K3="",O3=""),"",K3*O3)</x:f>
        <x:v>436442846.40000004</x:v>
      </x:c>
      <x:c r="Q3" s="9">
        <x:f>IF(OR(K3=0,G3=0),"",G3/K3)</x:f>
      </x:c>
      <x:c r="R3" s="9">
        <x:f>IF(OR(K3=0,I3=0),"",I3/K3)</x:f>
      </x:c>
      <x:c r="S3" s="19">
        <x:f>IF(OR(P3=0,G3=0),"",G3/P3)</x:f>
      </x:c>
      <x:c r="T3" s="19">
        <x:f>IF(OR(P3=0,I3=0),"",I3/P3)</x:f>
      </x:c>
      <x:c r="U3" s="2" t="inlineStr">
        <x:is>
          <x:t xml:space="preserve">https://www.ibge.gov.br/cidades-e-estados/pr/alvorada-do-sul.html</x:t>
        </x:is>
      </x:c>
      <x:c r="V3" s="11" t="n"/>
      <x:c r="W3" s="11" t="n"/>
      <x:c r="X3" s="11" t="n"/>
      <x:c r="Y3" s="11" t="inlineStr">
        <x:is>
          <x:t xml:space="preserve">Média - proxy ONTL</x:t>
        </x:is>
      </x:c>
      <x:c r="Z3" s="12" t="inlineStr">
        <x:is>
          <x:t xml:space="preserve">Populado com proxy qualitativo ONTL; agro/pecuária/indústria ainda pendentes</x:t>
        </x:is>
      </x:c>
      <x:c r="AA3" t="inlineStr">
        <x:is>
          <x:t xml:space="preserve">Média</x:t>
        </x:is>
      </x:c>
      <x:c r="AB3" t="inlineStr">
        <x:is>
          <x:t xml:space="preserve">Eixo regional da PR-090 com função de conexão ao norte do estado e entorno de Londrina.</x:t>
        </x:is>
      </x:c>
      <x:c r="AC3" t="inlineStr">
        <x:is>
          <x:t xml:space="preserve">https://ontl.infrasa.gov.br/dados/</x:t>
        </x:is>
      </x:c>
    </x:row>
    <x:row r="4">
      <x:c r="A4" s="2" t="inlineStr">
        <x:is>
          <x:t xml:space="preserve">4105201</x:t>
        </x:is>
      </x:c>
      <x:c r="B4" s="2" t="inlineStr">
        <x:is>
          <x:t xml:space="preserve">Cerro Azul</x:t>
        </x:is>
      </x:c>
      <x:c r="C4" s="2" t="inlineStr">
        <x:is>
          <x:t xml:space="preserve">4101</x:t>
        </x:is>
      </x:c>
      <x:c r="D4" s="3" t="n">
        <x:v>2025</x:v>
      </x:c>
      <x:c r="E4" s="3" t="n">
        <x:v>2025</x:v>
      </x:c>
      <x:c r="F4" s="3" t="inlineStr">
        <x:is>
          <x:t xml:space="preserve">PRORESTAURA</x:t>
        </x:is>
      </x:c>
      <x:c r="G4" s="4" t="n">
        <x:v>0</x:v>
      </x:c>
      <x:c r="H4" s="4" t="n">
        <x:v>0</x:v>
      </x:c>
      <x:c r="I4" s="4" t="n">
        <x:v>0</x:v>
      </x:c>
      <x:c r="J4" s="4" t="n">
        <x:v>0</x:v>
      </x:c>
      <x:c r="K4" s="2" t="n">
        <x:v>16134</x:v>
      </x:c>
      <x:c r="L4" s="17" t="n">
        <x:v>1341.189</x:v>
      </x:c>
      <x:c r="M4" s="6">
        <x:f>IF(OR(K4="",L4=""),"",K4/L4)</x:f>
        <x:v>12.02962446008728</x:v>
      </x:c>
      <x:c r="N4" s="18" t="n">
        <x:v>0.573</x:v>
      </x:c>
      <x:c r="O4" s="8" t="n">
        <x:v>23181.48</x:v>
      </x:c>
      <x:c r="P4" s="9">
        <x:f>IF(OR(K4="",O4=""),"",K4*O4)</x:f>
        <x:v>374009998.32</x:v>
      </x:c>
      <x:c r="Q4" s="9">
        <x:f>IF(OR(K4=0,G4=0),"",G4/K4)</x:f>
      </x:c>
      <x:c r="R4" s="9">
        <x:f>IF(OR(K4=0,I4=0),"",I4/K4)</x:f>
      </x:c>
      <x:c r="S4" s="19">
        <x:f>IF(OR(P4=0,G4=0),"",G4/P4)</x:f>
      </x:c>
      <x:c r="T4" s="19">
        <x:f>IF(OR(P4=0,I4=0),"",I4/P4)</x:f>
      </x:c>
      <x:c r="U4" s="2" t="inlineStr">
        <x:is>
          <x:t xml:space="preserve">https://www.ibge.gov.br/cidades-e-estados/pr/cerro-azul.html</x:t>
        </x:is>
      </x:c>
      <x:c r="V4" s="11" t="n"/>
      <x:c r="W4" s="11" t="n"/>
      <x:c r="X4" s="11" t="n"/>
      <x:c r="Y4" s="11" t="inlineStr">
        <x:is>
          <x:t xml:space="preserve">Média-baixa - proxy ONTL</x:t>
        </x:is>
      </x:c>
      <x:c r="Z4" s="12" t="inlineStr">
        <x:is>
          <x:t xml:space="preserve">Populado com proxy qualitativo ONTL; agro/pecuária/indústria ainda pendentes</x:t>
        </x:is>
      </x:c>
      <x:c r="AA4" t="inlineStr">
        <x:is>
          <x:t xml:space="preserve">Média-baixa</x:t>
        </x:is>
      </x:c>
      <x:c r="AB4" t="inlineStr">
        <x:is>
          <x:t xml:space="preserve">Eixo regional da PR-092; relevância funcional regional, sem indicação direta de grande corredor federal no proxy atual.</x:t>
        </x:is>
      </x:c>
      <x:c r="AC4" t="inlineStr">
        <x:is>
          <x:t xml:space="preserve">https://ontl.infrasa.gov.br/dados/</x:t>
        </x:is>
      </x:c>
    </x:row>
    <x:row r="5">
      <x:c r="A5" s="2" t="inlineStr">
        <x:is>
          <x:t xml:space="preserve">4106605</x:t>
        </x:is>
      </x:c>
      <x:c r="B5" s="2" t="inlineStr">
        <x:is>
          <x:t xml:space="preserve">Cruzeiro do Oeste</x:t>
        </x:is>
      </x:c>
      <x:c r="C5" s="2" t="inlineStr">
        <x:is>
          <x:t xml:space="preserve">4104</x:t>
        </x:is>
      </x:c>
      <x:c r="D5" s="3" t="n">
        <x:v>2025</x:v>
      </x:c>
      <x:c r="E5" s="3" t="n">
        <x:v>2025</x:v>
      </x:c>
      <x:c r="F5" s="3" t="inlineStr">
        <x:is>
          <x:t xml:space="preserve">PRORESTAURA</x:t>
        </x:is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2" t="n">
        <x:v>23831</x:v>
      </x:c>
      <x:c r="L5" s="17" t="n">
        <x:v>776.101</x:v>
      </x:c>
      <x:c r="M5" s="6">
        <x:f>IF(OR(K5="",L5=""),"",K5/L5)</x:f>
        <x:v>30.706055010881315</x:v>
      </x:c>
      <x:c r="N5" s="18" t="n">
        <x:v>0.717</x:v>
      </x:c>
      <x:c r="O5" s="8" t="n">
        <x:v>45708.09</x:v>
      </x:c>
      <x:c r="P5" s="9">
        <x:f>IF(OR(K5="",O5=""),"",K5*O5)</x:f>
        <x:v>1089269492.79</x:v>
      </x:c>
      <x:c r="Q5" s="9">
        <x:f>IF(OR(K5=0,G5=0),"",G5/K5)</x:f>
      </x:c>
      <x:c r="R5" s="9">
        <x:f>IF(OR(K5=0,I5=0),"",I5/K5)</x:f>
      </x:c>
      <x:c r="S5" s="19">
        <x:f>IF(OR(P5=0,G5=0),"",G5/P5)</x:f>
      </x:c>
      <x:c r="T5" s="19">
        <x:f>IF(OR(P5=0,I5=0),"",I5/P5)</x:f>
      </x:c>
      <x:c r="U5" s="2" t="inlineStr">
        <x:is>
          <x:t xml:space="preserve">https://www.ibge.gov.br/cidades-e-estados/pr/cruzeiro-do-oeste.html</x:t>
        </x:is>
      </x:c>
      <x:c r="V5" s="11" t="n"/>
      <x:c r="W5" s="11" t="n"/>
      <x:c r="X5" s="11" t="n"/>
      <x:c r="Y5" s="11" t="inlineStr">
        <x:is>
          <x:t xml:space="preserve">Média - proxy ONTL</x:t>
        </x:is>
      </x:c>
      <x:c r="Z5" s="12" t="inlineStr">
        <x:is>
          <x:t xml:space="preserve">Populado com proxy qualitativo ONTL; agro/pecuária/indústria ainda pendentes</x:t>
        </x:is>
      </x:c>
      <x:c r="AA5" t="inlineStr">
        <x:is>
          <x:t xml:space="preserve">Média</x:t>
        </x:is>
      </x:c>
      <x:c r="AB5" t="inlineStr">
        <x:is>
          <x:t xml:space="preserve">Eixo regional/agroindustrial do noroeste, conectado à rede estruturante do oeste do Paraná.</x:t>
        </x:is>
      </x:c>
      <x:c r="AC5" t="inlineStr">
        <x:is>
          <x:t xml:space="preserve">https://ontl.infrasa.gov.br/dados/</x:t>
        </x:is>
      </x:c>
    </x:row>
    <x:row r="6">
      <x:c r="A6" s="2" t="inlineStr">
        <x:is>
          <x:t xml:space="preserve">4107009</x:t>
        </x:is>
      </x:c>
      <x:c r="B6" s="2" t="inlineStr">
        <x:is>
          <x:t xml:space="preserve">Curiúva</x:t>
        </x:is>
      </x:c>
      <x:c r="C6" s="2" t="inlineStr">
        <x:is>
          <x:t xml:space="preserve">4106</x:t>
        </x:is>
      </x:c>
      <x:c r="D6" s="3" t="n">
        <x:v>2025</x:v>
      </x:c>
      <x:c r="E6" s="3" t="n">
        <x:v>2025</x:v>
      </x:c>
      <x:c r="F6" s="3" t="inlineStr">
        <x:is>
          <x:t xml:space="preserve">PRORESTAURA</x:t>
        </x:is>
      </x:c>
      <x:c r="G6" s="4" t="n">
        <x:v>0</x:v>
      </x:c>
      <x:c r="H6" s="4" t="n">
        <x:v>0</x:v>
      </x:c>
      <x:c r="I6" s="4" t="n">
        <x:v>0</x:v>
      </x:c>
      <x:c r="J6" s="4" t="n">
        <x:v>0</x:v>
      </x:c>
      <x:c r="K6" s="2" t="n">
        <x:v>13647</x:v>
      </x:c>
      <x:c r="L6" s="17" t="n">
        <x:v>576.263</x:v>
      </x:c>
      <x:c r="M6" s="6">
        <x:f>IF(OR(K6="",L6=""),"",K6/L6)</x:f>
        <x:v>23.681895245747167</x:v>
      </x:c>
      <x:c r="N6" s="18" t="n">
        <x:v>0.656</x:v>
      </x:c>
      <x:c r="O6" s="8" t="n">
        <x:v>24397.6</x:v>
      </x:c>
      <x:c r="P6" s="9">
        <x:f>IF(OR(K6="",O6=""),"",K6*O6)</x:f>
        <x:v>332954047.2</x:v>
      </x:c>
      <x:c r="Q6" s="9">
        <x:f>IF(OR(K6=0,G6=0),"",G6/K6)</x:f>
      </x:c>
      <x:c r="R6" s="9">
        <x:f>IF(OR(K6=0,I6=0),"",I6/K6)</x:f>
      </x:c>
      <x:c r="S6" s="19">
        <x:f>IF(OR(P6=0,G6=0),"",G6/P6)</x:f>
      </x:c>
      <x:c r="T6" s="19">
        <x:f>IF(OR(P6=0,I6=0),"",I6/P6)</x:f>
      </x:c>
      <x:c r="U6" s="2" t="inlineStr">
        <x:is>
          <x:t xml:space="preserve">https://www.ibge.gov.br/cidades-e-estados/pr/curiuva.html</x:t>
        </x:is>
      </x:c>
      <x:c r="V6" s="11" t="n"/>
      <x:c r="W6" s="11" t="n"/>
      <x:c r="X6" s="11" t="n"/>
      <x:c r="Y6" s="11" t="inlineStr">
        <x:is>
          <x:t xml:space="preserve">Média-baixa - proxy ONTL</x:t>
        </x:is>
      </x:c>
      <x:c r="Z6" s="12" t="inlineStr">
        <x:is>
          <x:t xml:space="preserve">Populado com proxy qualitativo ONTL; agro/pecuária/indústria ainda pendentes</x:t>
        </x:is>
      </x:c>
      <x:c r="AA6" t="inlineStr">
        <x:is>
          <x:t xml:space="preserve">Média-baixa</x:t>
        </x:is>
      </x:c>
      <x:c r="AB6" t="inlineStr">
        <x:is>
          <x:t xml:space="preserve">Conexão regional da PR-160; função de capilaridade e ligação ao eixo do norte pioneiro/Campos Gerais.</x:t>
        </x:is>
      </x:c>
      <x:c r="AC6" t="inlineStr">
        <x:is>
          <x:t xml:space="preserve">https://ontl.infrasa.gov.br/dados/</x:t>
        </x:is>
      </x:c>
    </x:row>
    <x:row r="7">
      <x:c r="A7" s="2" t="inlineStr">
        <x:is>
          <x:t xml:space="preserve">4107207</x:t>
        </x:is>
      </x:c>
      <x:c r="B7" s="2" t="inlineStr">
        <x:is>
          <x:t xml:space="preserve">Dois Vizinhos</x:t>
        </x:is>
      </x:c>
      <x:c r="C7" s="2" t="inlineStr">
        <x:is>
          <x:t xml:space="preserve">4103</x:t>
        </x:is>
      </x:c>
      <x:c r="D7" s="3" t="n">
        <x:v>2025</x:v>
      </x:c>
      <x:c r="E7" s="3" t="n">
        <x:v>2025</x:v>
      </x:c>
      <x:c r="F7" s="3" t="inlineStr">
        <x:is>
          <x:t xml:space="preserve">PRORESTAURA</x:t>
        </x:is>
      </x:c>
      <x:c r="G7" s="4" t="n">
        <x:v>0</x:v>
      </x:c>
      <x:c r="H7" s="4" t="n">
        <x:v>0</x:v>
      </x:c>
      <x:c r="I7" s="4" t="n">
        <x:v>0</x:v>
      </x:c>
      <x:c r="J7" s="4" t="n">
        <x:v>0</x:v>
      </x:c>
      <x:c r="K7" s="2" t="n">
        <x:v>44869</x:v>
      </x:c>
      <x:c r="L7" s="17" t="n">
        <x:v>418.648</x:v>
      </x:c>
      <x:c r="M7" s="6">
        <x:f>IF(OR(K7="",L7=""),"",K7/L7)</x:f>
        <x:v>107.17595688979763</x:v>
      </x:c>
      <x:c r="N7" s="18" t="n">
        <x:v>0.767</x:v>
      </x:c>
      <x:c r="O7" s="8" t="n">
        <x:v>58150.9</x:v>
      </x:c>
      <x:c r="P7" s="9">
        <x:f>IF(OR(K7="",O7=""),"",K7*O7)</x:f>
        <x:v>2609172732.1</x:v>
      </x:c>
      <x:c r="Q7" s="9">
        <x:f>IF(OR(K7=0,G7=0),"",G7/K7)</x:f>
      </x:c>
      <x:c r="R7" s="9">
        <x:f>IF(OR(K7=0,I7=0),"",I7/K7)</x:f>
      </x:c>
      <x:c r="S7" s="19">
        <x:f>IF(OR(P7=0,G7=0),"",G7/P7)</x:f>
      </x:c>
      <x:c r="T7" s="19">
        <x:f>IF(OR(P7=0,I7=0),"",I7/P7)</x:f>
      </x:c>
      <x:c r="U7" s="2" t="inlineStr">
        <x:is>
          <x:t xml:space="preserve">https://www.ibge.gov.br/cidades-e-estados/pr/dois-vizinhos.html</x:t>
        </x:is>
      </x:c>
      <x:c r="V7" s="11" t="n"/>
      <x:c r="W7" s="11" t="n"/>
      <x:c r="X7" s="11" t="n"/>
      <x:c r="Y7" s="11" t="inlineStr">
        <x:is>
          <x:t xml:space="preserve">Média - proxy ONTL</x:t>
        </x:is>
      </x:c>
      <x:c r="Z7" s="12" t="inlineStr">
        <x:is>
          <x:t xml:space="preserve">Populado com proxy qualitativo ONTL; agro/pecuária/indústria ainda pendentes</x:t>
        </x:is>
      </x:c>
      <x:c r="AA7" t="inlineStr">
        <x:is>
          <x:t xml:space="preserve">Média</x:t>
        </x:is>
      </x:c>
      <x:c r="AB7" t="inlineStr">
        <x:is>
          <x:t xml:space="preserve">Eixo agroindustrial do sudoeste conectado aos corredores estruturantes do oeste/sudoeste.</x:t>
        </x:is>
      </x:c>
      <x:c r="AC7" t="inlineStr">
        <x:is>
          <x:t xml:space="preserve">https://ontl.infrasa.gov.br/dados/</x:t>
        </x:is>
      </x:c>
    </x:row>
    <x:row r="8">
      <x:c r="A8" s="2" t="inlineStr">
        <x:is>
          <x:t xml:space="preserve">4108320</x:t>
        </x:is>
      </x:c>
      <x:c r="B8" s="2" t="inlineStr">
        <x:is>
          <x:t xml:space="preserve">Francisco Alves</x:t>
        </x:is>
      </x:c>
      <x:c r="C8" s="2" t="inlineStr">
        <x:is>
          <x:t xml:space="preserve">4104</x:t>
        </x:is>
      </x:c>
      <x:c r="D8" s="3" t="n">
        <x:v>2025</x:v>
      </x:c>
      <x:c r="E8" s="3" t="n">
        <x:v>2025</x:v>
      </x:c>
      <x:c r="F8" s="3" t="inlineStr">
        <x:is>
          <x:t xml:space="preserve">PRORESTAURA</x:t>
        </x:is>
      </x:c>
      <x:c r="G8" s="4" t="n">
        <x:v>0</x:v>
      </x:c>
      <x:c r="H8" s="4" t="n">
        <x:v>0</x:v>
      </x:c>
      <x:c r="I8" s="4" t="n">
        <x:v>0</x:v>
      </x:c>
      <x:c r="J8" s="4" t="n">
        <x:v>0</x:v>
      </x:c>
      <x:c r="K8" s="2" t="n">
        <x:v>8116</x:v>
      </x:c>
      <x:c r="L8" s="17" t="n">
        <x:v>321.898</x:v>
      </x:c>
      <x:c r="M8" s="6">
        <x:f>IF(OR(K8="",L8=""),"",K8/L8)</x:f>
        <x:v>25.212955656760837</x:v>
      </x:c>
      <x:c r="N8" s="18" t="n">
        <x:v>0.669</x:v>
      </x:c>
      <x:c r="O8" s="8" t="n">
        <x:v>31307.33</x:v>
      </x:c>
      <x:c r="P8" s="9">
        <x:f>IF(OR(K8="",O8=""),"",K8*O8)</x:f>
        <x:v>254090290.28</x:v>
      </x:c>
      <x:c r="Q8" s="9">
        <x:f>IF(OR(K8=0,G8=0),"",G8/K8)</x:f>
      </x:c>
      <x:c r="R8" s="9">
        <x:f>IF(OR(K8=0,I8=0),"",I8/K8)</x:f>
      </x:c>
      <x:c r="S8" s="19">
        <x:f>IF(OR(P8=0,G8=0),"",G8/P8)</x:f>
      </x:c>
      <x:c r="T8" s="19">
        <x:f>IF(OR(P8=0,I8=0),"",I8/P8)</x:f>
      </x:c>
      <x:c r="U8" s="2" t="inlineStr">
        <x:is>
          <x:t xml:space="preserve">https://www.ibge.gov.br/cidades-e-estados/pr/francisco-alves.html</x:t>
        </x:is>
      </x:c>
      <x:c r="V8" s="11" t="n"/>
      <x:c r="W8" s="11" t="n"/>
      <x:c r="X8" s="11" t="n"/>
      <x:c r="Y8" s="11" t="inlineStr">
        <x:is>
          <x:t xml:space="preserve">Média - proxy ONTL</x:t>
        </x:is>
      </x:c>
      <x:c r="Z8" s="12" t="inlineStr">
        <x:is>
          <x:t xml:space="preserve">Populado com proxy qualitativo ONTL; agro/pecuária/indústria ainda pendentes</x:t>
        </x:is>
      </x:c>
      <x:c r="AA8" t="inlineStr">
        <x:is>
          <x:t xml:space="preserve">Média</x:t>
        </x:is>
      </x:c>
      <x:c r="AB8" t="inlineStr">
        <x:is>
          <x:t xml:space="preserve">Município do noroeste em eixo regional com função de escoamento agropecuário.</x:t>
        </x:is>
      </x:c>
      <x:c r="AC8" t="inlineStr">
        <x:is>
          <x:t xml:space="preserve">https://ontl.infrasa.gov.br/dados/</x:t>
        </x:is>
      </x:c>
    </x:row>
    <x:row r="9">
      <x:c r="A9" s="2" t="inlineStr">
        <x:is>
          <x:t xml:space="preserve">4108403</x:t>
        </x:is>
      </x:c>
      <x:c r="B9" s="2" t="inlineStr">
        <x:is>
          <x:t xml:space="preserve">Francisco Beltrão</x:t>
        </x:is>
      </x:c>
      <x:c r="C9" s="2" t="inlineStr">
        <x:is>
          <x:t xml:space="preserve">4103</x:t>
        </x:is>
      </x:c>
      <x:c r="D9" s="3" t="n">
        <x:v>2025</x:v>
      </x:c>
      <x:c r="E9" s="3" t="n">
        <x:v>2025</x:v>
      </x:c>
      <x:c r="F9" s="3" t="inlineStr">
        <x:is>
          <x:t xml:space="preserve">PRORESTAURA</x:t>
        </x:is>
      </x:c>
      <x:c r="G9" s="4" t="n">
        <x:v>14000000</x:v>
      </x:c>
      <x:c r="H9" s="4" t="n">
        <x:v>14000000</x:v>
      </x:c>
      <x:c r="I9" s="4" t="n">
        <x:v>991512.25</x:v>
      </x:c>
      <x:c r="J9" s="4" t="n">
        <x:v>991512.25</x:v>
      </x:c>
      <x:c r="K9" s="2" t="n">
        <x:v>96666</x:v>
      </x:c>
      <x:c r="L9" s="17" t="n">
        <x:v>731.379</x:v>
      </x:c>
      <x:c r="M9" s="6">
        <x:f>IF(OR(K9="",L9=""),"",K9/L9)</x:f>
        <x:v>132.1695044566497</x:v>
      </x:c>
      <x:c r="N9" s="18" t="n">
        <x:v>0.774</x:v>
      </x:c>
      <x:c r="O9" s="8" t="n">
        <x:v>46814.84</x:v>
      </x:c>
      <x:c r="P9" s="9">
        <x:f>IF(OR(K9="",O9=""),"",K9*O9)</x:f>
        <x:v>4525403323.44</x:v>
      </x:c>
      <x:c r="Q9" s="9">
        <x:f>IF(OR(K9=0,G9=0),"",G9/K9)</x:f>
        <x:v>144.8285850247243</x:v>
      </x:c>
      <x:c r="R9" s="9">
        <x:f>IF(OR(K9=0,I9=0),"",I9/K9)</x:f>
        <x:v>10.25709401444148</x:v>
      </x:c>
      <x:c r="S9" s="19">
        <x:f>IF(OR(P9=0,G9=0),"",G9/P9)</x:f>
        <x:v>0.0030936469082180847</x:v>
      </x:c>
      <x:c r="T9" s="19">
        <x:f>IF(OR(P9=0,I9=0),"",I9/P9)</x:f>
        <x:v>0.00021909920047663263</x:v>
      </x:c>
      <x:c r="U9" s="2" t="inlineStr">
        <x:is>
          <x:t xml:space="preserve">https://www.ibge.gov.br/cidades-e-estados/pr/francisco-beltrao.html</x:t>
        </x:is>
      </x:c>
      <x:c r="V9" s="11" t="n"/>
      <x:c r="W9" s="11" t="n"/>
      <x:c r="X9" s="11" t="n"/>
      <x:c r="Y9" s="11" t="inlineStr">
        <x:is>
          <x:t xml:space="preserve">Média - proxy ONTL</x:t>
        </x:is>
      </x:c>
      <x:c r="Z9" s="12" t="inlineStr">
        <x:is>
          <x:t xml:space="preserve">Populado com proxy qualitativo ONTL; agro/pecuária/indústria ainda pendentes</x:t>
        </x:is>
      </x:c>
      <x:c r="AA9" t="inlineStr">
        <x:is>
          <x:t xml:space="preserve">Média</x:t>
        </x:is>
      </x:c>
      <x:c r="AB9" t="inlineStr">
        <x:is>
          <x:t xml:space="preserve">Polo regional do sudoeste em eixo agroindustrial conectado aos corredores estruturantes.</x:t>
        </x:is>
      </x:c>
      <x:c r="AC9" t="inlineStr">
        <x:is>
          <x:t xml:space="preserve">https://ontl.infrasa.gov.br/dados/</x:t>
        </x:is>
      </x:c>
    </x:row>
    <x:row r="10">
      <x:c r="A10" s="2" t="inlineStr">
        <x:is>
          <x:t xml:space="preserve">4114500</x:t>
        </x:is>
      </x:c>
      <x:c r="B10" s="2" t="inlineStr">
        <x:is>
          <x:t xml:space="preserve">Manoel Ribas</x:t>
        </x:is>
      </x:c>
      <x:c r="C10" s="2" t="inlineStr">
        <x:is>
          <x:t xml:space="preserve">4105</x:t>
        </x:is>
      </x:c>
      <x:c r="D10" s="3" t="n">
        <x:v>2025</x:v>
      </x:c>
      <x:c r="E10" s="3" t="n">
        <x:v>2025</x:v>
      </x:c>
      <x:c r="F10" s="3" t="inlineStr">
        <x:is>
          <x:t xml:space="preserve">PRORESTAURA</x:t>
        </x:is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2" t="n">
        <x:v>14240</x:v>
      </x:c>
      <x:c r="L10" s="17" t="n">
        <x:v>571.135</x:v>
      </x:c>
      <x:c r="M10" s="6">
        <x:f>IF(OR(K10="",L10=""),"",K10/L10)</x:f>
        <x:v>24.932809230742293</x:v>
      </x:c>
      <x:c r="N10" s="18" t="n">
        <x:v>0.716</x:v>
      </x:c>
      <x:c r="O10" s="8" t="n">
        <x:v>46081.2</x:v>
      </x:c>
      <x:c r="P10" s="9">
        <x:f>IF(OR(K10="",O10=""),"",K10*O10)</x:f>
        <x:v>656196288</x:v>
      </x:c>
      <x:c r="Q10" s="9">
        <x:f>IF(OR(K10=0,G10=0),"",G10/K10)</x:f>
      </x:c>
      <x:c r="R10" s="9">
        <x:f>IF(OR(K10=0,I10=0),"",I10/K10)</x:f>
      </x:c>
      <x:c r="S10" s="19">
        <x:f>IF(OR(P10=0,G10=0),"",G10/P10)</x:f>
      </x:c>
      <x:c r="T10" s="19">
        <x:f>IF(OR(P10=0,I10=0),"",I10/P10)</x:f>
      </x:c>
      <x:c r="U10" s="2" t="inlineStr">
        <x:is>
          <x:t xml:space="preserve">https://www.ibge.gov.br/cidades-e-estados/pr/manoel-ribas.html</x:t>
        </x:is>
      </x:c>
      <x:c r="V10" s="11" t="n"/>
      <x:c r="W10" s="11" t="n"/>
      <x:c r="X10" s="11" t="n"/>
      <x:c r="Y10" s="11" t="inlineStr">
        <x:is>
          <x:t xml:space="preserve">Média-baixa - proxy ONTL</x:t>
        </x:is>
      </x:c>
      <x:c r="Z10" s="12" t="inlineStr">
        <x:is>
          <x:t xml:space="preserve">Populado com proxy qualitativo ONTL; agro/pecuária/indústria ainda pendentes</x:t>
        </x:is>
      </x:c>
      <x:c r="AA10" t="inlineStr">
        <x:is>
          <x:t xml:space="preserve">Média-baixa</x:t>
        </x:is>
      </x:c>
      <x:c r="AB10" t="inlineStr">
        <x:is>
          <x:t xml:space="preserve">Conexão regional pela PRC-487; função de ligação territorial interna no centro do estado.</x:t>
        </x:is>
      </x:c>
      <x:c r="AC10" t="inlineStr">
        <x:is>
          <x:t xml:space="preserve">https://ontl.infrasa.gov.br/dados/</x:t>
        </x:is>
      </x:c>
    </x:row>
    <x:row r="11">
      <x:c r="A11" s="2" t="inlineStr">
        <x:is>
          <x:t xml:space="preserve">4115408</x:t>
        </x:is>
      </x:c>
      <x:c r="B11" s="2" t="inlineStr">
        <x:is>
          <x:t xml:space="preserve">Marmeleiro</x:t>
        </x:is>
      </x:c>
      <x:c r="C11" s="2" t="inlineStr">
        <x:is>
          <x:t xml:space="preserve">4103</x:t>
        </x:is>
      </x:c>
      <x:c r="D11" s="3" t="n">
        <x:v>2025</x:v>
      </x:c>
      <x:c r="E11" s="3" t="n">
        <x:v>2025</x:v>
      </x:c>
      <x:c r="F11" s="3" t="inlineStr">
        <x:is>
          <x:t xml:space="preserve">PRORESTAURA</x:t>
        </x:is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2" t="n">
        <x:v>15901</x:v>
      </x:c>
      <x:c r="L11" s="17" t="n">
        <x:v>388.538</x:v>
      </x:c>
      <x:c r="M11" s="6">
        <x:f>IF(OR(K11="",L11=""),"",K11/L11)</x:f>
        <x:v>40.925211948380856</x:v>
      </x:c>
      <x:c r="N11" s="18" t="n">
        <x:v>0.722</x:v>
      </x:c>
      <x:c r="O11" s="8" t="n">
        <x:v>46437.51</x:v>
      </x:c>
      <x:c r="P11" s="9">
        <x:f>IF(OR(K11="",O11=""),"",K11*O11)</x:f>
        <x:v>738402846.51</x:v>
      </x:c>
      <x:c r="Q11" s="9">
        <x:f>IF(OR(K11=0,G11=0),"",G11/K11)</x:f>
      </x:c>
      <x:c r="R11" s="9">
        <x:f>IF(OR(K11=0,I11=0),"",I11/K11)</x:f>
      </x:c>
      <x:c r="S11" s="19">
        <x:f>IF(OR(P11=0,G11=0),"",G11/P11)</x:f>
      </x:c>
      <x:c r="T11" s="19">
        <x:f>IF(OR(P11=0,I11=0),"",I11/P11)</x:f>
      </x:c>
      <x:c r="U11" s="2" t="inlineStr">
        <x:is>
          <x:t xml:space="preserve">https://www.ibge.gov.br/cidades-e-estados/pr/marmeleiro.html</x:t>
        </x:is>
      </x:c>
      <x:c r="V11" s="11" t="n"/>
      <x:c r="W11" s="11" t="n"/>
      <x:c r="X11" s="11" t="n"/>
      <x:c r="Y11" s="11" t="inlineStr">
        <x:is>
          <x:t xml:space="preserve">Média - proxy ONTL</x:t>
        </x:is>
      </x:c>
      <x:c r="Z11" s="12" t="inlineStr">
        <x:is>
          <x:t xml:space="preserve">Populado com proxy qualitativo ONTL; agro/pecuária/indústria ainda pendentes</x:t>
        </x:is>
      </x:c>
      <x:c r="AA11" t="inlineStr">
        <x:is>
          <x:t xml:space="preserve">Média</x:t>
        </x:is>
      </x:c>
      <x:c r="AB11" t="inlineStr">
        <x:is>
          <x:t xml:space="preserve">Município do sudoeste conectado ao eixo regional estruturante PRC-280/entorno.</x:t>
        </x:is>
      </x:c>
      <x:c r="AC11" t="inlineStr">
        <x:is>
          <x:t xml:space="preserve">https://ontl.infrasa.gov.br/dados/</x:t>
        </x:is>
      </x:c>
    </x:row>
    <x:row r="12">
      <x:c r="A12" s="2" t="inlineStr">
        <x:is>
          <x:t xml:space="preserve">4117206</x:t>
        </x:is>
      </x:c>
      <x:c r="B12" s="2" t="inlineStr">
        <x:is>
          <x:t xml:space="preserve">Nova Olímpia</x:t>
        </x:is>
      </x:c>
      <x:c r="C12" s="2" t="inlineStr">
        <x:is>
          <x:t xml:space="preserve">4104</x:t>
        </x:is>
      </x:c>
      <x:c r="D12" s="3" t="n">
        <x:v>2025</x:v>
      </x:c>
      <x:c r="E12" s="3" t="n">
        <x:v>2025</x:v>
      </x:c>
      <x:c r="F12" s="3" t="inlineStr">
        <x:is>
          <x:t xml:space="preserve">PRORESTAURA</x:t>
        </x:is>
      </x:c>
      <x:c r="G12" s="4" t="n">
        <x:v>0</x:v>
      </x:c>
      <x:c r="H12" s="4" t="n">
        <x:v>0</x:v>
      </x:c>
      <x:c r="I12" s="4" t="n">
        <x:v>0</x:v>
      </x:c>
      <x:c r="J12" s="4" t="n">
        <x:v>0</x:v>
      </x:c>
      <x:c r="K12" s="2" t="n">
        <x:v>5833</x:v>
      </x:c>
      <x:c r="L12" s="17" t="n">
        <x:v>136.347</x:v>
      </x:c>
      <x:c r="M12" s="6">
        <x:f>IF(OR(K12="",L12=""),"",K12/L12)</x:f>
        <x:v>42.78055256074574</x:v>
      </x:c>
      <x:c r="N12" s="18" t="n">
        <x:v>0.71</x:v>
      </x:c>
      <x:c r="O12" s="8" t="n">
        <x:v>22756.95</x:v>
      </x:c>
      <x:c r="P12" s="9">
        <x:f>IF(OR(K12="",O12=""),"",K12*O12)</x:f>
        <x:v>132741289.35000001</x:v>
      </x:c>
      <x:c r="Q12" s="9">
        <x:f>IF(OR(K12=0,G12=0),"",G12/K12)</x:f>
      </x:c>
      <x:c r="R12" s="9">
        <x:f>IF(OR(K12=0,I12=0),"",I12/K12)</x:f>
      </x:c>
      <x:c r="S12" s="19">
        <x:f>IF(OR(P12=0,G12=0),"",G12/P12)</x:f>
      </x:c>
      <x:c r="T12" s="19">
        <x:f>IF(OR(P12=0,I12=0),"",I12/P12)</x:f>
      </x:c>
      <x:c r="U12" s="2" t="inlineStr">
        <x:is>
          <x:t xml:space="preserve">https://www.ibge.gov.br/cidades-e-estados/pr/nova-olimpia.html</x:t>
        </x:is>
      </x:c>
      <x:c r="V12" s="11" t="n"/>
      <x:c r="W12" s="11" t="n"/>
      <x:c r="X12" s="11" t="n"/>
      <x:c r="Y12" s="11" t="inlineStr">
        <x:is>
          <x:t xml:space="preserve">Média - proxy ONTL</x:t>
        </x:is>
      </x:c>
      <x:c r="Z12" s="12" t="inlineStr">
        <x:is>
          <x:t xml:space="preserve">Populado com proxy qualitativo ONTL; agro/pecuária/indústria ainda pendentes</x:t>
        </x:is>
      </x:c>
      <x:c r="AA12" t="inlineStr">
        <x:is>
          <x:t xml:space="preserve">Média</x:t>
        </x:is>
      </x:c>
      <x:c r="AB12" t="inlineStr">
        <x:is>
          <x:t xml:space="preserve">Eixo regional do noroeste conectado à rede de circulação agropecuária.</x:t>
        </x:is>
      </x:c>
      <x:c r="AC12" t="inlineStr">
        <x:is>
          <x:t xml:space="preserve">https://ontl.infrasa.gov.br/dados/</x:t>
        </x:is>
      </x:c>
    </x:row>
    <x:row r="13">
      <x:c r="A13" s="2" t="inlineStr">
        <x:is>
          <x:t xml:space="preserve">4119301</x:t>
        </x:is>
      </x:c>
      <x:c r="B13" s="2" t="inlineStr">
        <x:is>
          <x:t xml:space="preserve">Pinhão</x:t>
        </x:is>
      </x:c>
      <x:c r="C13" s="2" t="inlineStr">
        <x:is>
          <x:t xml:space="preserve">4102</x:t>
        </x:is>
      </x:c>
      <x:c r="D13" s="3" t="n">
        <x:v>2025</x:v>
      </x:c>
      <x:c r="E13" s="3" t="n">
        <x:v>2025</x:v>
      </x:c>
      <x:c r="F13" s="3" t="inlineStr">
        <x:is>
          <x:t xml:space="preserve">PRORESTAURA</x:t>
        </x:is>
      </x:c>
      <x:c r="G13" s="4" t="n">
        <x:v>0</x:v>
      </x:c>
      <x:c r="H13" s="4" t="n">
        <x:v>0</x:v>
      </x:c>
      <x:c r="I13" s="4" t="n">
        <x:v>0</x:v>
      </x:c>
      <x:c r="J13" s="4" t="n">
        <x:v>0</x:v>
      </x:c>
      <x:c r="K13" s="2" t="n">
        <x:v>29886</x:v>
      </x:c>
      <x:c r="L13" s="17" t="n">
        <x:v>2002.652</x:v>
      </x:c>
      <x:c r="M13" s="6">
        <x:f>IF(OR(K13="",L13=""),"",K13/L13)</x:f>
        <x:v>14.923211821125188</x:v>
      </x:c>
      <x:c r="N13" s="18" t="n">
        <x:v>0.654</x:v>
      </x:c>
      <x:c r="O13" s="8" t="n">
        <x:v>61938.97</x:v>
      </x:c>
      <x:c r="P13" s="9">
        <x:f>IF(OR(K13="",O13=""),"",K13*O13)</x:f>
        <x:v>1851108057.42</x:v>
      </x:c>
      <x:c r="Q13" s="9">
        <x:f>IF(OR(K13=0,G13=0),"",G13/K13)</x:f>
      </x:c>
      <x:c r="R13" s="9">
        <x:f>IF(OR(K13=0,I13=0),"",I13/K13)</x:f>
      </x:c>
      <x:c r="S13" s="19">
        <x:f>IF(OR(P13=0,G13=0),"",G13/P13)</x:f>
      </x:c>
      <x:c r="T13" s="19">
        <x:f>IF(OR(P13=0,I13=0),"",I13/P13)</x:f>
      </x:c>
      <x:c r="U13" s="2" t="inlineStr">
        <x:is>
          <x:t xml:space="preserve">https://www.ibge.gov.br/cidades-e-estados/pr/pinhao.html</x:t>
        </x:is>
      </x:c>
      <x:c r="V13" s="11" t="n"/>
      <x:c r="W13" s="11" t="n"/>
      <x:c r="X13" s="11" t="n"/>
      <x:c r="Y13" s="11" t="inlineStr">
        <x:is>
          <x:t xml:space="preserve">Média-baixa - proxy ONTL</x:t>
        </x:is>
      </x:c>
      <x:c r="Z13" s="12" t="inlineStr">
        <x:is>
          <x:t xml:space="preserve">Populado com proxy qualitativo ONTL; agro/pecuária/indústria ainda pendentes</x:t>
        </x:is>
      </x:c>
      <x:c r="AA13" t="inlineStr">
        <x:is>
          <x:t xml:space="preserve">Média-baixa</x:t>
        </x:is>
      </x:c>
      <x:c r="AB13" t="inlineStr">
        <x:is>
          <x:t xml:space="preserve">Ligação regional interna; relevância funcional territorial, mas sem grande corredor federal explícito no proxy atual.</x:t>
        </x:is>
      </x:c>
      <x:c r="AC13" t="inlineStr">
        <x:is>
          <x:t xml:space="preserve">https://ontl.infrasa.gov.br/dados/</x:t>
        </x:is>
      </x:c>
    </x:row>
    <x:row r="14">
      <x:c r="A14" s="2" t="inlineStr">
        <x:is>
          <x:t xml:space="preserve">4119103</x:t>
        </x:is>
      </x:c>
      <x:c r="B14" s="2" t="inlineStr">
        <x:is>
          <x:t xml:space="preserve">Piên</x:t>
        </x:is>
      </x:c>
      <x:c r="C14" s="2" t="inlineStr">
        <x:is>
          <x:t xml:space="preserve">4101</x:t>
        </x:is>
      </x:c>
      <x:c r="D14" s="3" t="n">
        <x:v>2025</x:v>
      </x:c>
      <x:c r="E14" s="3" t="n">
        <x:v>2025</x:v>
      </x:c>
      <x:c r="F14" s="3" t="inlineStr">
        <x:is>
          <x:t xml:space="preserve">PRORESTAURA</x:t>
        </x:is>
      </x:c>
      <x:c r="G14" s="4" t="n">
        <x:v>0</x:v>
      </x:c>
      <x:c r="H14" s="4" t="n">
        <x:v>0</x:v>
      </x:c>
      <x:c r="I14" s="4" t="n">
        <x:v>0</x:v>
      </x:c>
      <x:c r="J14" s="4" t="n">
        <x:v>0</x:v>
      </x:c>
      <x:c r="K14" s="2" t="n">
        <x:v>13655</x:v>
      </x:c>
      <x:c r="L14" s="17" t="n">
        <x:v>256.501</x:v>
      </x:c>
      <x:c r="M14" s="6">
        <x:f>IF(OR(K14="",L14=""),"",K14/L14)</x:f>
        <x:v>53.235659899961405</x:v>
      </x:c>
      <x:c r="N14" s="18" t="n">
        <x:v>0.694</x:v>
      </x:c>
      <x:c r="O14" s="8" t="n">
        <x:v>62484.45</x:v>
      </x:c>
      <x:c r="P14" s="9">
        <x:f>IF(OR(K14="",O14=""),"",K14*O14)</x:f>
        <x:v>853225164.75</x:v>
      </x:c>
      <x:c r="Q14" s="9">
        <x:f>IF(OR(K14=0,G14=0),"",G14/K14)</x:f>
      </x:c>
      <x:c r="R14" s="9">
        <x:f>IF(OR(K14=0,I14=0),"",I14/K14)</x:f>
      </x:c>
      <x:c r="S14" s="19">
        <x:f>IF(OR(P14=0,G14=0),"",G14/P14)</x:f>
      </x:c>
      <x:c r="T14" s="19">
        <x:f>IF(OR(P14=0,I14=0),"",I14/P14)</x:f>
      </x:c>
      <x:c r="U14" s="2" t="inlineStr">
        <x:is>
          <x:t xml:space="preserve">https://www.ibge.gov.br/cidades-e-estados/pr/pien.html</x:t>
        </x:is>
      </x:c>
      <x:c r="V14" s="11" t="n"/>
      <x:c r="W14" s="11" t="n"/>
      <x:c r="X14" s="11" t="n"/>
      <x:c r="Y14" s="11" t="inlineStr">
        <x:is>
          <x:t xml:space="preserve">Alta - proxy ONTL</x:t>
        </x:is>
      </x:c>
      <x:c r="Z14" s="12" t="inlineStr">
        <x:is>
          <x:t xml:space="preserve">Populado com proxy qualitativo ONTL; agro/pecuária/indústria ainda pendentes</x:t>
        </x:is>
      </x:c>
      <x:c r="AA14" t="inlineStr">
        <x:is>
          <x:t xml:space="preserve">Alta</x:t>
        </x:is>
      </x:c>
      <x:c r="AB14" t="inlineStr">
        <x:is>
          <x:t xml:space="preserve">Conexão com corredor estruturante do eixo BR-116 / sul metropolitano.</x:t>
        </x:is>
      </x:c>
      <x:c r="AC14" t="inlineStr">
        <x:is>
          <x:t xml:space="preserve">https://ontl.infrasa.gov.br/dados/</x:t>
        </x:is>
      </x:c>
    </x:row>
    <x:row r="15">
      <x:c r="A15" s="2" t="inlineStr">
        <x:is>
          <x:t xml:space="preserve">4121703</x:t>
        </x:is>
      </x:c>
      <x:c r="B15" s="2" t="inlineStr">
        <x:is>
          <x:t xml:space="preserve">Reserva</x:t>
        </x:is>
      </x:c>
      <x:c r="C15" s="2" t="inlineStr">
        <x:is>
          <x:t xml:space="preserve">4106</x:t>
        </x:is>
      </x:c>
      <x:c r="D15" s="3" t="n">
        <x:v>2025</x:v>
      </x:c>
      <x:c r="E15" s="3" t="n">
        <x:v>2025</x:v>
      </x:c>
      <x:c r="F15" s="3" t="inlineStr">
        <x:is>
          <x:t xml:space="preserve">PRORESTAURA</x:t>
        </x:is>
      </x:c>
      <x:c r="G15" s="4" t="n">
        <x:v>0</x:v>
      </x:c>
      <x:c r="H15" s="4" t="n">
        <x:v>0</x:v>
      </x:c>
      <x:c r="I15" s="4" t="n">
        <x:v>0</x:v>
      </x:c>
      <x:c r="J15" s="4" t="n">
        <x:v>0</x:v>
      </x:c>
      <x:c r="K15" s="2" t="n">
        <x:v>24573</x:v>
      </x:c>
      <x:c r="L15" s="17" t="n">
        <x:v>1635.535</x:v>
      </x:c>
      <x:c r="M15" s="6">
        <x:f>IF(OR(K15="",L15=""),"",K15/L15)</x:f>
        <x:v>15.024441543592769</x:v>
      </x:c>
      <x:c r="N15" s="18" t="n">
        <x:v>0.618</x:v>
      </x:c>
      <x:c r="O15" s="8" t="n">
        <x:v>31106.12</x:v>
      </x:c>
      <x:c r="P15" s="9">
        <x:f>IF(OR(K15="",O15=""),"",K15*O15)</x:f>
        <x:v>764370686.76</x:v>
      </x:c>
      <x:c r="Q15" s="9">
        <x:f>IF(OR(K15=0,G15=0),"",G15/K15)</x:f>
      </x:c>
      <x:c r="R15" s="9">
        <x:f>IF(OR(K15=0,I15=0),"",I15/K15)</x:f>
      </x:c>
      <x:c r="S15" s="19">
        <x:f>IF(OR(P15=0,G15=0),"",G15/P15)</x:f>
      </x:c>
      <x:c r="T15" s="19">
        <x:f>IF(OR(P15=0,I15=0),"",I15/P15)</x:f>
      </x:c>
      <x:c r="U15" s="2" t="inlineStr">
        <x:is>
          <x:t xml:space="preserve">https://www.ibge.gov.br/cidades-e-estados/pr/reserva.html</x:t>
        </x:is>
      </x:c>
      <x:c r="V15" s="11" t="n"/>
      <x:c r="W15" s="11" t="n"/>
      <x:c r="X15" s="11" t="n"/>
      <x:c r="Y15" s="11" t="inlineStr">
        <x:is>
          <x:t xml:space="preserve">Alta - proxy ONTL</x:t>
        </x:is>
      </x:c>
      <x:c r="Z15" s="12" t="inlineStr">
        <x:is>
          <x:t xml:space="preserve">Populado com proxy qualitativo ONTL; agro/pecuária/indústria ainda pendentes</x:t>
        </x:is>
      </x:c>
      <x:c r="AA15" t="inlineStr">
        <x:is>
          <x:t xml:space="preserve">Alta</x:t>
        </x:is>
      </x:c>
      <x:c r="AB15" t="inlineStr">
        <x:is>
          <x:t xml:space="preserve">Conexão ao corredor BR-376, eixo relevante de circulação no centro-leste do estado.</x:t>
        </x:is>
      </x:c>
      <x:c r="AC15" t="inlineStr">
        <x:is>
          <x:t xml:space="preserve">https://ontl.infrasa.gov.br/dados/</x:t>
        </x:is>
      </x:c>
    </x:row>
    <x:row r="16">
      <x:c r="A16" s="2" t="inlineStr">
        <x:is>
          <x:t xml:space="preserve">4122404</x:t>
        </x:is>
      </x:c>
      <x:c r="B16" s="2" t="inlineStr">
        <x:is>
          <x:t xml:space="preserve">Rolândia</x:t>
        </x:is>
      </x:c>
      <x:c r="C16" s="2" t="inlineStr">
        <x:is>
          <x:t xml:space="preserve">4105</x:t>
        </x:is>
      </x:c>
      <x:c r="D16" s="3" t="n">
        <x:v>2025</x:v>
      </x:c>
      <x:c r="E16" s="3" t="n">
        <x:v>2025</x:v>
      </x:c>
      <x:c r="F16" s="3" t="inlineStr">
        <x:is>
          <x:t xml:space="preserve">PRORESTAURA</x:t>
        </x:is>
      </x:c>
      <x:c r="G16" s="4" t="n">
        <x:v>0</x:v>
      </x:c>
      <x:c r="H16" s="4" t="n">
        <x:v>0</x:v>
      </x:c>
      <x:c r="I16" s="4" t="n">
        <x:v>0</x:v>
      </x:c>
      <x:c r="J16" s="4" t="n">
        <x:v>0</x:v>
      </x:c>
      <x:c r="K16" s="2" t="n">
        <x:v>71670</x:v>
      </x:c>
      <x:c r="L16" s="17" t="n">
        <x:v>456.228</x:v>
      </x:c>
      <x:c r="M16" s="6">
        <x:f>IF(OR(K16="",L16=""),"",K16/L16)</x:f>
        <x:v>157.09250637838974</x:v>
      </x:c>
      <x:c r="N16" s="18" t="n">
        <x:v>0.739</x:v>
      </x:c>
      <x:c r="O16" s="8" t="n">
        <x:v>64220.79</x:v>
      </x:c>
      <x:c r="P16" s="9">
        <x:f>IF(OR(K16="",O16=""),"",K16*O16)</x:f>
        <x:v>4602704019.3</x:v>
      </x:c>
      <x:c r="Q16" s="9">
        <x:f>IF(OR(K16=0,G16=0),"",G16/K16)</x:f>
      </x:c>
      <x:c r="R16" s="9">
        <x:f>IF(OR(K16=0,I16=0),"",I16/K16)</x:f>
      </x:c>
      <x:c r="S16" s="19">
        <x:f>IF(OR(P16=0,G16=0),"",G16/P16)</x:f>
      </x:c>
      <x:c r="T16" s="19">
        <x:f>IF(OR(P16=0,I16=0),"",I16/P16)</x:f>
      </x:c>
      <x:c r="U16" s="2" t="inlineStr">
        <x:is>
          <x:t xml:space="preserve">https://www.ibge.gov.br/cidades-e-estados/pr/rolandia.html</x:t>
        </x:is>
      </x:c>
      <x:c r="V16" s="11" t="n"/>
      <x:c r="W16" s="11" t="n"/>
      <x:c r="X16" s="11" t="n"/>
      <x:c r="Y16" s="11" t="inlineStr">
        <x:is>
          <x:t xml:space="preserve">Alta - proxy ONTL</x:t>
        </x:is>
      </x:c>
      <x:c r="Z16" s="12" t="inlineStr">
        <x:is>
          <x:t xml:space="preserve">Populado com proxy qualitativo ONTL; agro/pecuária/indústria ainda pendentes</x:t>
        </x:is>
      </x:c>
      <x:c r="AA16" t="inlineStr">
        <x:is>
          <x:t xml:space="preserve">Alta</x:t>
        </x:is>
      </x:c>
      <x:c r="AB16" t="inlineStr">
        <x:is>
          <x:t xml:space="preserve">Conexão ao eixo BR-369 / norte do Paraná, corredor estruturante de circulação e logística.</x:t>
        </x:is>
      </x:c>
      <x:c r="AC16" t="inlineStr">
        <x:is>
          <x:t xml:space="preserve">https://ontl.infrasa.gov.br/dados/</x:t>
        </x:is>
      </x:c>
    </x:row>
    <x:row r="17">
      <x:c r="A17" s="2" t="inlineStr">
        <x:is>
          <x:t xml:space="preserve">4124103</x:t>
        </x:is>
      </x:c>
      <x:c r="B17" s="2" t="inlineStr">
        <x:is>
          <x:t xml:space="preserve">Santo Antônio da Platina</x:t>
        </x:is>
      </x:c>
      <x:c r="C17" s="2" t="inlineStr">
        <x:is>
          <x:t xml:space="preserve">4105</x:t>
        </x:is>
      </x:c>
      <x:c r="D17" s="3" t="n">
        <x:v>2025</x:v>
      </x:c>
      <x:c r="E17" s="3" t="n">
        <x:v>2025</x:v>
      </x:c>
      <x:c r="F17" s="3" t="inlineStr">
        <x:is>
          <x:t xml:space="preserve">PRORESTAURA</x:t>
        </x:is>
      </x:c>
      <x:c r="G17" s="4" t="n">
        <x:v>0</x:v>
      </x:c>
      <x:c r="H17" s="4" t="n">
        <x:v>0</x:v>
      </x:c>
      <x:c r="I17" s="4" t="n">
        <x:v>0</x:v>
      </x:c>
      <x:c r="J17" s="4" t="n">
        <x:v>0</x:v>
      </x:c>
      <x:c r="K17" s="2" t="n">
        <x:v>44369</x:v>
      </x:c>
      <x:c r="L17" s="17" t="n">
        <x:v>720.385</x:v>
      </x:c>
      <x:c r="M17" s="6">
        <x:f>IF(OR(K17="",L17=""),"",K17/L17)</x:f>
        <x:v>61.590677207326635</x:v>
      </x:c>
      <x:c r="N17" s="18" t="n">
        <x:v>0.718</x:v>
      </x:c>
      <x:c r="O17" s="8" t="n">
        <x:v>41422.7</x:v>
      </x:c>
      <x:c r="P17" s="9">
        <x:f>IF(OR(K17="",O17=""),"",K17*O17)</x:f>
        <x:v>1837883776.3</x:v>
      </x:c>
      <x:c r="Q17" s="9">
        <x:f>IF(OR(K17=0,G17=0),"",G17/K17)</x:f>
      </x:c>
      <x:c r="R17" s="9">
        <x:f>IF(OR(K17=0,I17=0),"",I17/K17)</x:f>
      </x:c>
      <x:c r="S17" s="19">
        <x:f>IF(OR(P17=0,G17=0),"",G17/P17)</x:f>
      </x:c>
      <x:c r="T17" s="19">
        <x:f>IF(OR(P17=0,I17=0),"",I17/P17)</x:f>
      </x:c>
      <x:c r="U17" s="2" t="inlineStr">
        <x:is>
          <x:t xml:space="preserve">https://www.ibge.gov.br/cidades-e-estados/pr/santo-antonio-da-platina.html</x:t>
        </x:is>
      </x:c>
      <x:c r="V17" s="11" t="n"/>
      <x:c r="W17" s="11" t="n"/>
      <x:c r="X17" s="11" t="n"/>
      <x:c r="Y17" s="11" t="inlineStr">
        <x:is>
          <x:t xml:space="preserve">Alta - proxy ONTL</x:t>
        </x:is>
      </x:c>
      <x:c r="Z17" s="12" t="inlineStr">
        <x:is>
          <x:t xml:space="preserve">Populado com proxy qualitativo ONTL; agro/pecuária/indústria ainda pendentes</x:t>
        </x:is>
      </x:c>
      <x:c r="AA17" t="inlineStr">
        <x:is>
          <x:t xml:space="preserve">Alta</x:t>
        </x:is>
      </x:c>
      <x:c r="AB17" t="inlineStr">
        <x:is>
          <x:t xml:space="preserve">Conexão ao corredor BR-153, eixo federal estruturante do norte pioneiro.</x:t>
        </x:is>
      </x:c>
      <x:c r="AC17" t="inlineStr">
        <x:is>
          <x:t xml:space="preserve">https://ontl.infrasa.gov.br/dados/</x:t>
        </x:is>
      </x:c>
    </x:row>
    <x:row r="18">
      <x:c r="A18" s="2" t="inlineStr">
        <x:is>
          <x:t xml:space="preserve">4127858</x:t>
        </x:is>
      </x:c>
      <x:c r="B18" s="2" t="inlineStr">
        <x:is>
          <x:t xml:space="preserve">Três Barras do Paraná</x:t>
        </x:is>
      </x:c>
      <x:c r="C18" s="2" t="inlineStr">
        <x:is>
          <x:t xml:space="preserve">4103</x:t>
        </x:is>
      </x:c>
      <x:c r="D18" s="3" t="n">
        <x:v>2025</x:v>
      </x:c>
      <x:c r="E18" s="3" t="n">
        <x:v>2025</x:v>
      </x:c>
      <x:c r="F18" s="3" t="inlineStr">
        <x:is>
          <x:t xml:space="preserve">PRORESTAURA</x:t>
        </x:is>
      </x:c>
      <x:c r="G18" s="4" t="n">
        <x:v>0</x:v>
      </x:c>
      <x:c r="H18" s="4" t="n">
        <x:v>0</x:v>
      </x:c>
      <x:c r="I18" s="4" t="n">
        <x:v>0</x:v>
      </x:c>
      <x:c r="J18" s="4" t="n">
        <x:v>0</x:v>
      </x:c>
      <x:c r="K18" s="2" t="n">
        <x:v>11135</x:v>
      </x:c>
      <x:c r="L18" s="17" t="n">
        <x:v>506.963</x:v>
      </x:c>
      <x:c r="M18" s="6">
        <x:f>IF(OR(K18="",L18=""),"",K18/L18)</x:f>
        <x:v>21.96412755960494</x:v>
      </x:c>
      <x:c r="N18" s="18" t="n">
        <x:v>0.681</x:v>
      </x:c>
      <x:c r="O18" s="8" t="n">
        <x:v>40731.89</x:v>
      </x:c>
      <x:c r="P18" s="9">
        <x:f>IF(OR(K18="",O18=""),"",K18*O18)</x:f>
        <x:v>453549595.15</x:v>
      </x:c>
      <x:c r="Q18" s="9">
        <x:f>IF(OR(K18=0,G18=0),"",G18/K18)</x:f>
      </x:c>
      <x:c r="R18" s="9">
        <x:f>IF(OR(K18=0,I18=0),"",I18/K18)</x:f>
      </x:c>
      <x:c r="S18" s="19">
        <x:f>IF(OR(P18=0,G18=0),"",G18/P18)</x:f>
      </x:c>
      <x:c r="T18" s="19">
        <x:f>IF(OR(P18=0,I18=0),"",I18/P18)</x:f>
      </x:c>
      <x:c r="U18" s="2" t="inlineStr">
        <x:is>
          <x:t xml:space="preserve">https://www.ibge.gov.br/cidades-e-estados/pr/tres-barras-do-parana.html</x:t>
        </x:is>
      </x:c>
      <x:c r="V18" s="11" t="n"/>
      <x:c r="W18" s="11" t="n"/>
      <x:c r="X18" s="11" t="n"/>
      <x:c r="Y18" s="11" t="inlineStr">
        <x:is>
          <x:t xml:space="preserve">Média-baixa - proxy ONTL</x:t>
        </x:is>
      </x:c>
      <x:c r="Z18" s="12" t="inlineStr">
        <x:is>
          <x:t xml:space="preserve">Populado com proxy qualitativo ONTL; agro/pecuária/indústria ainda pendentes</x:t>
        </x:is>
      </x:c>
      <x:c r="AA18" t="inlineStr">
        <x:is>
          <x:t xml:space="preserve">Média-baixa</x:t>
        </x:is>
      </x:c>
      <x:c r="AB18" t="inlineStr">
        <x:is>
          <x:t xml:space="preserve">Ligação regional no oeste/centro-oeste com relevância de capilaridade territorial.</x:t>
        </x:is>
      </x:c>
      <x:c r="AC18" t="inlineStr">
        <x:is>
          <x:t xml:space="preserve">https://ontl.infrasa.gov.br/dados/</x:t>
        </x:is>
      </x:c>
    </x:row>
    <x:row r="19">
      <x:c r="A19" s="2" t="inlineStr">
        <x:is>
          <x:t xml:space="preserve">4128104</x:t>
        </x:is>
      </x:c>
      <x:c r="B19" s="2" t="inlineStr">
        <x:is>
          <x:t xml:space="preserve">Umuarama</x:t>
        </x:is>
      </x:c>
      <x:c r="C19" s="2" t="inlineStr">
        <x:is>
          <x:t xml:space="preserve">4104</x:t>
        </x:is>
      </x:c>
      <x:c r="D19" s="3" t="n">
        <x:v>2025</x:v>
      </x:c>
      <x:c r="E19" s="3" t="n">
        <x:v>2025</x:v>
      </x:c>
      <x:c r="F19" s="3" t="inlineStr">
        <x:is>
          <x:t xml:space="preserve">PRORESTAURA</x:t>
        </x:is>
      </x:c>
      <x:c r="G19" s="4" t="n">
        <x:v>0</x:v>
      </x:c>
      <x:c r="H19" s="4" t="n">
        <x:v>0</x:v>
      </x:c>
      <x:c r="I19" s="4" t="n">
        <x:v>0</x:v>
      </x:c>
      <x:c r="J19" s="4" t="n">
        <x:v>0</x:v>
      </x:c>
      <x:c r="K19" s="2" t="n">
        <x:v>117095</x:v>
      </x:c>
      <x:c r="L19" s="17" t="n">
        <x:v>1233.997</x:v>
      </x:c>
      <x:c r="M19" s="6">
        <x:f>IF(OR(K19="",L19=""),"",K19/L19)</x:f>
        <x:v>94.89083036668646</x:v>
      </x:c>
      <x:c r="N19" s="18" t="n">
        <x:v>0.761</x:v>
      </x:c>
      <x:c r="O19" s="8" t="n">
        <x:v>43528.72</x:v>
      </x:c>
      <x:c r="P19" s="9">
        <x:f>IF(OR(K19="",O19=""),"",K19*O19)</x:f>
        <x:v>5096995468.400001</x:v>
      </x:c>
      <x:c r="Q19" s="9">
        <x:f>IF(OR(K19=0,G19=0),"",G19/K19)</x:f>
      </x:c>
      <x:c r="R19" s="9">
        <x:f>IF(OR(K19=0,I19=0),"",I19/K19)</x:f>
      </x:c>
      <x:c r="S19" s="19">
        <x:f>IF(OR(P19=0,G19=0),"",G19/P19)</x:f>
      </x:c>
      <x:c r="T19" s="19">
        <x:f>IF(OR(P19=0,I19=0),"",I19/P19)</x:f>
      </x:c>
      <x:c r="U19" s="2" t="inlineStr">
        <x:is>
          <x:t xml:space="preserve">https://www.ibge.gov.br/cidades-e-estados/pr/umuarama.html</x:t>
        </x:is>
      </x:c>
      <x:c r="V19" s="11" t="n"/>
      <x:c r="W19" s="11" t="n"/>
      <x:c r="X19" s="11" t="n"/>
      <x:c r="Y19" s="11" t="inlineStr">
        <x:is>
          <x:t xml:space="preserve">Média - proxy ONTL</x:t>
        </x:is>
      </x:c>
      <x:c r="Z19" s="12" t="inlineStr">
        <x:is>
          <x:t xml:space="preserve">Populado com proxy qualitativo ONTL; agro/pecuária/indústria ainda pendentes</x:t>
        </x:is>
      </x:c>
      <x:c r="AA19" t="inlineStr">
        <x:is>
          <x:t xml:space="preserve">Média</x:t>
        </x:is>
      </x:c>
      <x:c r="AB19" t="inlineStr">
        <x:is>
          <x:t xml:space="preserve">Polo regional do noroeste em eixo de circulação agroindustrial e ligação ao noroeste/oeste.</x:t>
        </x:is>
      </x:c>
      <x:c r="AC19" t="inlineStr">
        <x:is>
          <x:t xml:space="preserve">https://ontl.infrasa.gov.br/dados/</x:t>
        </x:is>
      </x:c>
    </x:row>
    <x:row r="20">
      <x:c r="A20" s="2" t="inlineStr">
        <x:is>
          <x:t xml:space="preserve">4128203</x:t>
        </x:is>
      </x:c>
      <x:c r="B20" s="2" t="inlineStr">
        <x:is>
          <x:t xml:space="preserve">União da Vitória</x:t>
        </x:is>
      </x:c>
      <x:c r="C20" s="2" t="inlineStr">
        <x:is>
          <x:t xml:space="preserve">4101</x:t>
        </x:is>
      </x:c>
      <x:c r="D20" s="3" t="n">
        <x:v>2025</x:v>
      </x:c>
      <x:c r="E20" s="3" t="n">
        <x:v>2025</x:v>
      </x:c>
      <x:c r="F20" s="3" t="inlineStr">
        <x:is>
          <x:t xml:space="preserve">PRORESTAURA</x:t>
        </x:is>
      </x:c>
      <x:c r="G20" s="4" t="n">
        <x:v>0</x:v>
      </x:c>
      <x:c r="H20" s="4" t="n">
        <x:v>0</x:v>
      </x:c>
      <x:c r="I20" s="4" t="n">
        <x:v>0</x:v>
      </x:c>
      <x:c r="J20" s="4" t="n">
        <x:v>0</x:v>
      </x:c>
      <x:c r="K20" s="2" t="n">
        <x:v>55033</x:v>
      </x:c>
      <x:c r="L20" s="17" t="n">
        <x:v>727.443</x:v>
      </x:c>
      <x:c r="M20" s="6">
        <x:f>IF(OR(K20="",L20=""),"",K20/L20)</x:f>
        <x:v>75.65266282031719</x:v>
      </x:c>
      <x:c r="N20" s="18" t="n">
        <x:v>0.74</x:v>
      </x:c>
      <x:c r="O20" s="8" t="n">
        <x:v>40400.71</x:v>
      </x:c>
      <x:c r="P20" s="9">
        <x:f>IF(OR(K20="",O20=""),"",K20*O20)</x:f>
        <x:v>2223372273.43</x:v>
      </x:c>
      <x:c r="Q20" s="9">
        <x:f>IF(OR(K20=0,G20=0),"",G20/K20)</x:f>
      </x:c>
      <x:c r="R20" s="9">
        <x:f>IF(OR(K20=0,I20=0),"",I20/K20)</x:f>
      </x:c>
      <x:c r="S20" s="19">
        <x:f>IF(OR(P20=0,G20=0),"",G20/P20)</x:f>
      </x:c>
      <x:c r="T20" s="19">
        <x:f>IF(OR(P20=0,I20=0),"",I20/P20)</x:f>
      </x:c>
      <x:c r="U20" s="2" t="inlineStr">
        <x:is>
          <x:t xml:space="preserve">https://www.ibge.gov.br/cidades-e-estados/pr/uniao-da-vitoria.html</x:t>
        </x:is>
      </x:c>
      <x:c r="V20" s="11" t="n"/>
      <x:c r="W20" s="11" t="n"/>
      <x:c r="X20" s="11" t="n"/>
      <x:c r="Y20" s="11" t="inlineStr">
        <x:is>
          <x:t xml:space="preserve">Alta - proxy ONTL</x:t>
        </x:is>
      </x:c>
      <x:c r="Z20" s="12" t="inlineStr">
        <x:is>
          <x:t xml:space="preserve">Populado com proxy qualitativo ONTL; agro/pecuária/indústria ainda pendentes</x:t>
        </x:is>
      </x:c>
      <x:c r="AA20" t="inlineStr">
        <x:is>
          <x:t xml:space="preserve">Alta</x:t>
        </x:is>
      </x:c>
      <x:c r="AB20" t="inlineStr">
        <x:is>
          <x:t xml:space="preserve">Conexão ao eixo BR-153 / sul do estado e ligação interestadual estruturante.</x:t>
        </x:is>
      </x:c>
      <x:c r="AC20" t="inlineStr">
        <x:is>
          <x:t xml:space="preserve">https://ontl.infrasa.gov.br/dados/</x:t>
        </x:is>
      </x:c>
    </x:row>
    <x:row r="21">
      <x:c r="A21" s="2" t="inlineStr">
        <x:is>
          <x:t xml:space="preserve">4128534</x:t>
        </x:is>
      </x:c>
      <x:c r="B21" s="2" t="inlineStr">
        <x:is>
          <x:t xml:space="preserve">Ventania</x:t>
        </x:is>
      </x:c>
      <x:c r="C21" s="2" t="inlineStr">
        <x:is>
          <x:t xml:space="preserve">4106</x:t>
        </x:is>
      </x:c>
      <x:c r="D21" s="3" t="n">
        <x:v>2025</x:v>
      </x:c>
      <x:c r="E21" s="3" t="n">
        <x:v>2025</x:v>
      </x:c>
      <x:c r="F21" s="3" t="inlineStr">
        <x:is>
          <x:t xml:space="preserve">PRORESTAURA</x:t>
        </x:is>
      </x:c>
      <x:c r="G21" s="4" t="n">
        <x:v>0</x:v>
      </x:c>
      <x:c r="H21" s="4" t="n">
        <x:v>0</x:v>
      </x:c>
      <x:c r="I21" s="4" t="n">
        <x:v>0</x:v>
      </x:c>
      <x:c r="J21" s="4" t="n">
        <x:v>0</x:v>
      </x:c>
      <x:c r="K21" s="2" t="n">
        <x:v>9681</x:v>
      </x:c>
      <x:c r="L21" s="17" t="n">
        <x:v>819.3339999999999</x:v>
      </x:c>
      <x:c r="M21" s="6">
        <x:f>IF(OR(K21="",L21=""),"",K21/L21)</x:f>
        <x:v>11.815694210175582</x:v>
      </x:c>
      <x:c r="N21" s="18" t="n">
        <x:v>0.65</x:v>
      </x:c>
      <x:c r="O21" s="8" t="n">
        <x:v>39126.52</x:v>
      </x:c>
      <x:c r="P21" s="9">
        <x:f>IF(OR(K21="",O21=""),"",K21*O21)</x:f>
        <x:v>378783840.11999995</x:v>
      </x:c>
      <x:c r="Q21" s="9">
        <x:f>IF(OR(K21=0,G21=0),"",G21/K21)</x:f>
      </x:c>
      <x:c r="R21" s="9">
        <x:f>IF(OR(K21=0,I21=0),"",I21/K21)</x:f>
      </x:c>
      <x:c r="S21" s="19">
        <x:f>IF(OR(P21=0,G21=0),"",G21/P21)</x:f>
      </x:c>
      <x:c r="T21" s="19">
        <x:f>IF(OR(P21=0,I21=0),"",I21/P21)</x:f>
      </x:c>
      <x:c r="U21" s="2" t="inlineStr">
        <x:is>
          <x:t xml:space="preserve">https://www.ibge.gov.br/cidades-e-estados/pr/ventania.html</x:t>
        </x:is>
      </x:c>
      <x:c r="V21" s="11" t="n"/>
      <x:c r="W21" s="11" t="n"/>
      <x:c r="X21" s="11" t="n"/>
      <x:c r="Y21" s="11" t="inlineStr">
        <x:is>
          <x:t xml:space="preserve">Média - proxy ONTL</x:t>
        </x:is>
      </x:c>
      <x:c r="Z21" s="12" t="inlineStr">
        <x:is>
          <x:t xml:space="preserve">Populado com proxy qualitativo ONTL; agro/pecuária/indústria ainda pendentes</x:t>
        </x:is>
      </x:c>
      <x:c r="AA21" t="inlineStr">
        <x:is>
          <x:t xml:space="preserve">Média</x:t>
        </x:is>
      </x:c>
      <x:c r="AB21" t="inlineStr">
        <x:is>
          <x:t xml:space="preserve">Conexão regional no eixo PR-090 com papel de ligação entre Campos Gerais e norte.</x:t>
        </x:is>
      </x:c>
      <x:c r="AC21" t="inlineStr">
        <x:is>
          <x:t xml:space="preserve">https://ontl.infrasa.gov.br/dados/</x:t>
        </x:is>
      </x:c>
    </x:row>
    <x:row r="22">
      <x:c r="A22" s="2" t="inlineStr">
        <x:is>
          <x:t xml:space="preserve">4128559</x:t>
        </x:is>
      </x:c>
      <x:c r="B22" s="2" t="inlineStr">
        <x:is>
          <x:t xml:space="preserve">Vera Cruz do Oeste</x:t>
        </x:is>
      </x:c>
      <x:c r="C22" s="2" t="inlineStr">
        <x:is>
          <x:t xml:space="preserve">4103</x:t>
        </x:is>
      </x:c>
      <x:c r="D22" s="3" t="n">
        <x:v>2025</x:v>
      </x:c>
      <x:c r="E22" s="3" t="n">
        <x:v>2025</x:v>
      </x:c>
      <x:c r="F22" s="3" t="inlineStr">
        <x:is>
          <x:t xml:space="preserve">PRORESTAURA</x:t>
        </x:is>
      </x:c>
      <x:c r="G22" s="4" t="n">
        <x:v>0</x:v>
      </x:c>
      <x:c r="H22" s="4" t="n">
        <x:v>0</x:v>
      </x:c>
      <x:c r="I22" s="4" t="n">
        <x:v>0</x:v>
      </x:c>
      <x:c r="J22" s="4" t="n">
        <x:v>0</x:v>
      </x:c>
      <x:c r="K22" s="2" t="n">
        <x:v>8215</x:v>
      </x:c>
      <x:c r="L22" s="17" t="n">
        <x:v>330.602</x:v>
      </x:c>
      <x:c r="M22" s="6">
        <x:f>IF(OR(K22="",L22=""),"",K22/L22)</x:f>
        <x:v>24.84860950629458</x:v>
      </x:c>
      <x:c r="N22" s="18" t="n">
        <x:v>0.699</x:v>
      </x:c>
      <x:c r="O22" s="8" t="n">
        <x:v>40852.94</x:v>
      </x:c>
      <x:c r="P22" s="9">
        <x:f>IF(OR(K22="",O22=""),"",K22*O22)</x:f>
        <x:v>335606902.1</x:v>
      </x:c>
      <x:c r="Q22" s="9">
        <x:f>IF(OR(K22=0,G22=0),"",G22/K22)</x:f>
      </x:c>
      <x:c r="R22" s="9">
        <x:f>IF(OR(K22=0,I22=0),"",I22/K22)</x:f>
      </x:c>
      <x:c r="S22" s="19">
        <x:f>IF(OR(P22=0,G22=0),"",G22/P22)</x:f>
      </x:c>
      <x:c r="T22" s="19">
        <x:f>IF(OR(P22=0,I22=0),"",I22/P22)</x:f>
      </x:c>
      <x:c r="U22" s="2" t="inlineStr">
        <x:is>
          <x:t xml:space="preserve">https://www.ibge.gov.br/cidades-e-estados/pr/vera-cruz-do-oeste.html</x:t>
        </x:is>
      </x:c>
      <x:c r="V22" s="11" t="n"/>
      <x:c r="W22" s="11" t="n"/>
      <x:c r="X22" s="11" t="n"/>
      <x:c r="Y22" s="11" t="inlineStr">
        <x:is>
          <x:t xml:space="preserve">Média - proxy ONTL</x:t>
        </x:is>
      </x:c>
      <x:c r="Z22" s="12" t="inlineStr">
        <x:is>
          <x:t xml:space="preserve">Populado com proxy qualitativo ONTL; agro/pecuária/indústria ainda pendentes</x:t>
        </x:is>
      </x:c>
      <x:c r="AA22" t="inlineStr">
        <x:is>
          <x:t xml:space="preserve">Média</x:t>
        </x:is>
      </x:c>
      <x:c r="AB22" t="inlineStr">
        <x:is>
          <x:t xml:space="preserve">Eixo agroindustrial do oeste ligado à circulação regional e fronteira oeste.</x:t>
        </x:is>
      </x:c>
      <x:c r="AC22" t="inlineStr">
        <x:is>
          <x:t xml:space="preserve">https://ontl.infrasa.gov.br/dados/</x:t>
        </x:is>
      </x:c>
    </x:row>
  </x:sheetData>
  <x:pageMargins left="0.7" right="0.7" top="0.75" bottom="0.75" header="0.3" footer="0.3"/>
  <x:legacyDrawing xmlns:r="http://schemas.openxmlformats.org/officeDocument/2006/relationships" r:id="R1ae040b0d32f483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13" t="inlineStr">
        <x:is>
          <x:t xml:space="preserve">Base territorial do piloto - versão 1</x:t>
        </x:is>
      </x:c>
    </x:row>
    <x:row r="2">
      <x:c r="A2" s="14" t="inlineStr">
        <x:is>
          <x:t xml:space="preserve"/>
        </x:is>
      </x:c>
    </x:row>
    <x:row r="3">
      <x:c r="A3" s="15" t="inlineStr">
        <x:is>
          <x:t xml:space="preserve">O que esta base já faz</x:t>
        </x:is>
      </x:c>
    </x:row>
    <x:row r="4">
      <x:c r="A4" s="14" t="inlineStr">
        <x:is>
          <x:t xml:space="preserve">1. Consolida, por município do piloto, os valores financeiros da aba 8398_tratada (orçamento atualizado, empenhado, liquidado e pago).</x:t>
        </x:is>
      </x:c>
    </x:row>
    <x:row r="5">
      <x:c r="A5" s="14" t="inlineStr">
        <x:is>
          <x:t xml:space="preserve">2. Acrescenta indicadores oficiais do IBGE Cidades e Estados: população 2022, área territorial, densidade demográfica, IDHM 2010 e PIB per capita 2023.</x:t>
        </x:is>
      </x:c>
    </x:row>
    <x:row r="6">
      <x:c r="A6" s="14" t="inlineStr">
        <x:is>
          <x:t xml:space="preserve">3. Calcula indicadores derivados úteis para análise territorial: orçamento por habitante, liquidado por habitante e proxies sobre PIB.</x:t>
        </x:is>
      </x:c>
    </x:row>
    <x:row r="7">
      <x:c r="A7" s="14" t="inlineStr">
        <x:is>
          <x:t xml:space="preserve"/>
        </x:is>
      </x:c>
    </x:row>
    <x:row r="8">
      <x:c r="A8" s="15" t="inlineStr">
        <x:is>
          <x:t xml:space="preserve">Limitações importantes</x:t>
        </x:is>
      </x:c>
    </x:row>
    <x:row r="9">
      <x:c r="A9" s="14" t="inlineStr">
        <x:is>
          <x:t xml:space="preserve">1. A maior parte do liquidado do workbook permanece registrada em código geral/sem município (9999999 / regional 4100). Por isso, a leitura municipal do gasto ainda é parcial.</x:t>
        </x:is>
      </x:c>
    </x:row>
    <x:row r="10">
      <x:c r="A10" s="14" t="inlineStr">
        <x:is>
          <x:t xml:space="preserve">2. Esta versão ainda não integra valores oficiais de agricultura, pecuária, indústria e logística. As colunas foram deixadas preparadas para a próxima carga.</x:t>
        </x:is>
      </x:c>
    </x:row>
    <x:row r="11">
      <x:c r="A11" s="14" t="inlineStr">
        <x:is>
          <x:t xml:space="preserve">3. O campo 'PIB total proxy' é derivado de população 2022 x PIB per capita 2023; não substitui o PIB municipal oficial do IBGE.</x:t>
        </x:is>
      </x:c>
    </x:row>
    <x:row r="12">
      <x:c r="A12" s="14" t="inlineStr">
        <x:is>
          <x:t xml:space="preserve"/>
        </x:is>
      </x:c>
    </x:row>
    <x:row r="13">
      <x:c r="A13" s="15" t="inlineStr">
        <x:is>
          <x:t xml:space="preserve">Próxima integração oficial sugerida</x:t>
        </x:is>
      </x:c>
    </x:row>
    <x:row r="14">
      <x:c r="A14" s="14" t="inlineStr">
        <x:is>
          <x:t xml:space="preserve">- PAM/IBGE: valor da produção agrícola municipal</x:t>
        </x:is>
      </x:c>
    </x:row>
    <x:row r="15">
      <x:c r="A15" s="14" t="inlineStr">
        <x:is>
          <x:t xml:space="preserve">- PPM/IBGE: valor da produção pecuária municipal</x:t>
        </x:is>
      </x:c>
    </x:row>
    <x:row r="16">
      <x:c r="A16" s="14" t="inlineStr">
        <x:is>
          <x:t xml:space="preserve">- CEMPRE/IBGE: proxy industrial (unidades locais/pessoal ocupado)</x:t>
        </x:is>
      </x:c>
    </x:row>
    <x:row r="17">
      <x:c r="A17" s="14" t="inlineStr">
        <x:is>
          <x:t xml:space="preserve">- ONTL/Infra S.A. ou ANTT: proxy logística/tráfego/corredor</x:t>
        </x:is>
      </x:c>
    </x:row>
    <x:row r="18">
      <x:c r="A18" s="14" t="inlineStr">
        <x:is>
          <x:t xml:space="preserve"/>
        </x:is>
      </x:c>
    </x:row>
    <x:row r="19">
      <x:c r="A19" s="15" t="inlineStr">
        <x:is>
          <x:t xml:space="preserve">Observação metodológica</x:t>
        </x:is>
      </x:c>
    </x:row>
    <x:row r="20">
      <x:c r="A20" s="14" t="inlineStr">
        <x:is>
          <x:t xml:space="preserve">Esta base foi construída para permitir o cruzamento entre criticidade técnica/territorial do piloto e indicadores oficiais municipais. Ela ainda não sustenta, sozinha, inferências causais sobre impacto social.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8" customWidth="1"/>
    <x:col min="3" max="3" width="60" customWidth="1"/>
    <x:col min="4" max="4" width="60" customWidth="1"/>
  </x:cols>
  <x:sheetData>
    <x:row r="1">
      <x:c r="A1" s="16" t="inlineStr">
        <x:is>
          <x:t xml:space="preserve">tema</x:t>
        </x:is>
      </x:c>
      <x:c r="B1" s="16" t="inlineStr">
        <x:is>
          <x:t xml:space="preserve">fonte_oficial</x:t>
        </x:is>
      </x:c>
      <x:c r="C1" s="16" t="inlineStr">
        <x:is>
          <x:t xml:space="preserve">url</x:t>
        </x:is>
      </x:c>
      <x:c r="D1" s="16" t="inlineStr">
        <x:is>
          <x:t xml:space="preserve">observacao</x:t>
        </x:is>
      </x:c>
    </x:row>
    <x:row r="2">
      <x:c r="A2" t="inlineStr">
        <x:is>
          <x:t xml:space="preserve">Indicadores municipais principais</x:t>
        </x:is>
      </x:c>
      <x:c r="B2" t="inlineStr">
        <x:is>
          <x:t xml:space="preserve">IBGE Cidades e Estados</x:t>
        </x:is>
      </x:c>
      <x:c r="C2" t="inlineStr">
        <x:is>
          <x:t xml:space="preserve">https://www.ibge.gov.br/cidades-e-estados/</x:t>
        </x:is>
      </x:c>
      <x:c r="D2" t="inlineStr">
        <x:is>
          <x:t xml:space="preserve">População 2022, área territorial, densidade demográfica, IDHM 2010 e PIB per capita 2023 por município.</x:t>
        </x:is>
      </x:c>
    </x:row>
    <x:row r="3">
      <x:c r="A3" t="inlineStr">
        <x:is>
          <x:t xml:space="preserve">População municipal</x:t>
        </x:is>
      </x:c>
      <x:c r="B3" t="inlineStr">
        <x:is>
          <x:t xml:space="preserve">Censo Demográfico 2022 / IBGE</x:t>
        </x:is>
      </x:c>
      <x:c r="C3" t="inlineStr">
        <x:is>
          <x:t xml:space="preserve">https://www.ibge.gov.br/estatisticas/sociais/populacao/22827-censodemografico-2022.html</x:t>
        </x:is>
      </x:c>
      <x:c r="D3" t="inlineStr">
        <x:is>
          <x:t xml:space="preserve">Base primária citada nas páginas municipais do IBGE.</x:t>
        </x:is>
      </x:c>
    </x:row>
    <x:row r="4">
      <x:c r="A4" t="inlineStr">
        <x:is>
          <x:t xml:space="preserve">Atividade agrícola</x:t>
        </x:is>
      </x:c>
      <x:c r="B4" t="inlineStr">
        <x:is>
          <x:t xml:space="preserve">PAM / IBGE</x:t>
        </x:is>
      </x:c>
      <x:c r="C4" t="inlineStr">
        <x:is>
          <x:t xml:space="preserve">https://sidra.ibge.gov.br/pesquisa/pam/tabelas</x:t>
        </x:is>
      </x:c>
      <x:c r="D4" t="inlineStr">
        <x:is>
          <x:t xml:space="preserve">Fonte oficial sugerida para próxima integração municipal.</x:t>
        </x:is>
      </x:c>
    </x:row>
    <x:row r="5">
      <x:c r="A5" t="inlineStr">
        <x:is>
          <x:t xml:space="preserve">Atividade pecuária</x:t>
        </x:is>
      </x:c>
      <x:c r="B5" t="inlineStr">
        <x:is>
          <x:t xml:space="preserve">PPM / IBGE</x:t>
        </x:is>
      </x:c>
      <x:c r="C5" t="inlineStr">
        <x:is>
          <x:t xml:space="preserve">https://sidra.ibge.gov.br/pesquisa/ppm/tabelas</x:t>
        </x:is>
      </x:c>
      <x:c r="D5" t="inlineStr">
        <x:is>
          <x:t xml:space="preserve">Fonte oficial sugerida para próxima integração municipal.</x:t>
        </x:is>
      </x:c>
    </x:row>
    <x:row r="6">
      <x:c r="A6" t="inlineStr">
        <x:is>
          <x:t xml:space="preserve">Indústria</x:t>
        </x:is>
      </x:c>
      <x:c r="B6" t="inlineStr">
        <x:is>
          <x:t xml:space="preserve">CEMPRE / IBGE</x:t>
        </x:is>
      </x:c>
      <x:c r="C6" t="inlineStr">
        <x:is>
          <x:t xml:space="preserve">https://www.ibge.gov.br/estatisticas/economicas/servicos/9016-estatisticas-do-cadastro-central-de-empresas.html</x:t>
        </x:is>
      </x:c>
      <x:c r="D6" t="inlineStr">
        <x:is>
          <x:t xml:space="preserve">Fonte oficial sugerida para proxy industrial municipal.</x:t>
        </x:is>
      </x:c>
    </x:row>
    <x:row r="7">
      <x:c r="A7" t="inlineStr">
        <x:is>
          <x:t xml:space="preserve">Logística</x:t>
        </x:is>
      </x:c>
      <x:c r="B7" t="inlineStr">
        <x:is>
          <x:t xml:space="preserve">ONTL / Infra S.A.</x:t>
        </x:is>
      </x:c>
      <x:c r="C7" t="inlineStr">
        <x:is>
          <x:t xml:space="preserve">https://ontl.infrasa.gov.br/dados/</x:t>
        </x:is>
      </x:c>
      <x:c r="D7" t="inlineStr">
        <x:is>
          <x:t xml:space="preserve">Fonte sugerida para próxima integração logística/corredores.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0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conteudo</x:t>
        </x:is>
      </x:c>
    </x:row>
    <x:row r="2" ht="36" customHeight="1">
      <x:c r="A2" t="inlineStr">
        <x:is>
          <x:t xml:space="preserve">objetivo</x:t>
        </x:is>
      </x:c>
      <x:c r="B2" s="20" t="inlineStr">
        <x:is>
          <x:t xml:space="preserve">Adicionar uma camada oficial de logística/relevância funcional da malha ao piloto, com base no ONTL.</x:t>
        </x:is>
      </x:c>
    </x:row>
    <x:row r="3" ht="36" customHeight="1">
      <x:c r="A3" t="inlineStr">
        <x:is>
          <x:t xml:space="preserve">limitacao</x:t>
        </x:is>
      </x:c>
      <x:c r="B3" s="20" t="inlineStr">
        <x:is>
          <x:t xml:space="preserve">Nesta sessão, as páginas públicas do ONTL acessíveis via navegador retornam painéis em iframe/GeoPortal sem tabela municipal diretamente exportável; por isso foi criado um proxy qualitativo municipal.</x:t>
        </x:is>
      </x:c>
    </x:row>
    <x:row r="4" ht="36" customHeight="1">
      <x:c r="A4" t="inlineStr">
        <x:is>
          <x:t xml:space="preserve">metodo</x:t>
        </x:is>
      </x:c>
      <x:c r="B4" s="20" t="inlineStr">
        <x:is>
          <x:t xml:space="preserve">O proxy foi construído a partir das páginas públicas do ONTL sobre Dados, Painéis Analíticos rodoviários, Consulta à Base de Dados e Rede Georreferenciada do PNL 2025, combinadas com a malha/trechos do piloto.</x:t>
        </x:is>
      </x:c>
    </x:row>
    <x:row r="5" ht="36" customHeight="1">
      <x:c r="A5" t="inlineStr">
        <x:is>
          <x:t xml:space="preserve">escala</x:t>
        </x:is>
      </x:c>
      <x:c r="B5" s="20" t="inlineStr">
        <x:is>
          <x:t xml:space="preserve">Alta = município em corredor rodoviário federal/estruturante; Média = eixo regional/agroindustrial conectado; Média-baixa = ligação regional/capilaridade territorial.</x:t>
        </x:is>
      </x:c>
    </x:row>
    <x:row r="6" ht="36" customHeight="1">
      <x:c r="A6" t="inlineStr">
        <x:is>
          <x:t xml:space="preserve">uso_sugerido</x:t>
        </x:is>
      </x:c>
      <x:c r="B6" s="20" t="inlineStr">
        <x:is>
          <x:t xml:space="preserve">Usar o proxy como camada inicial de relevância logística/funcional; não interpretar como medida direta de tráfego municipal.</x:t>
        </x:is>
      </x:c>
    </x:row>
    <x:row r="7" ht="36" customHeight="1">
      <x:c r="A7" t="inlineStr">
        <x:is>
          <x:t xml:space="preserve">fonte_1</x:t>
        </x:is>
      </x:c>
      <x:c r="B7" s="20" t="inlineStr">
        <x:is>
          <x:t xml:space="preserve">https://ontl.infrasa.gov.br/dados/</x:t>
        </x:is>
      </x:c>
    </x:row>
    <x:row r="8" ht="36" customHeight="1">
      <x:c r="A8" t="inlineStr">
        <x:is>
          <x:t xml:space="preserve">fonte_2</x:t>
        </x:is>
      </x:c>
      <x:c r="B8" s="20" t="inlineStr">
        <x:is>
          <x:t xml:space="preserve">https://ontl.infrasa.gov.br/dados/consulta-a-base-de-dados/</x:t>
        </x:is>
      </x:c>
    </x:row>
    <x:row r="9" ht="36" customHeight="1">
      <x:c r="A9" t="inlineStr">
        <x:is>
          <x:t xml:space="preserve">fonte_3</x:t>
        </x:is>
      </x:c>
      <x:c r="B9" s="20" t="inlineStr">
        <x:is>
          <x:t xml:space="preserve">https://ontl.infrasa.gov.br/planejamento-integrado-de-transportes/plano-nacional-de-logistica/plano-nacional-de-logistica-2025/rede-georeferenciada-pnl-2025/</x:t>
        </x:is>
      </x:c>
    </x:row>
    <x:row r="10" ht="36" customHeight="1">
      <x:c r="A10" t="inlineStr">
        <x:is>
          <x:t xml:space="preserve">fonte_4</x:t>
        </x:is>
      </x:c>
      <x:c r="B10" s="20" t="inlineStr">
        <x:is>
          <x:t xml:space="preserve">https://ontl.infrasa.gov.br/paineis-analiticos/painel-indicadores-de-transporte-e-logistica/movimentacao-e-trafego-rodoviario/</x:t>
        </x:is>
      </x:c>
    </x:row>
    <x:row r="11" ht="36" customHeight="1">
      <x:c r="A11" t="inlineStr">
        <x:is>
          <x:t xml:space="preserve">observacao</x:t>
        </x:is>
      </x:c>
      <x:c r="B11" s="20" t="inlineStr">
        <x:is>
          <x:t xml:space="preserve">Próxima etapa recomendada: substituir o proxy por indicador quantitativo quando a extração tabular do ONTL/PNCT estiver disponível.</x:t>
        </x:is>
      </x:c>
    </x:row>
  </x:sheetData>
  <x:pageMargins left="0.7" right="0.7" top="0.75" bottom="0.75" header="0.3" footer="0.3"/>
</x:worksheet>
</file>