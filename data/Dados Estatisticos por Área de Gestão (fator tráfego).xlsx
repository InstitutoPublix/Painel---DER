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g-dop-cgm\PLANEJAMENTO ESTRATÉGICO\DADOS POR ÁREA DE GESTÃO\"/>
    </mc:Choice>
  </mc:AlternateContent>
  <xr:revisionPtr revIDLastSave="0" documentId="13_ncr:1_{66C0E93A-1B15-4CAB-9BC0-9C824221BBC2}" xr6:coauthVersionLast="47" xr6:coauthVersionMax="47" xr10:uidLastSave="{00000000-0000-0000-0000-000000000000}"/>
  <bookViews>
    <workbookView xWindow="-120" yWindow="-120" windowWidth="29040" windowHeight="15720" activeTab="1" xr2:uid="{6B6164A7-8509-45FE-8765-429F77E51ED7}"/>
  </bookViews>
  <sheets>
    <sheet name="Dados Gerais Resumo Por Área" sheetId="4" r:id="rId1"/>
    <sheet name="Dados Gerais Resumo PorSR" sheetId="11" r:id="rId2"/>
    <sheet name="Dados Gerais por Municipio" sheetId="3" r:id="rId3"/>
    <sheet name="Fator Tráfego (DER-PR)" sheetId="5" r:id="rId4"/>
    <sheet name="IDHM (IBGE2022)" sheetId="6" r:id="rId5"/>
    <sheet name=" IPDM Indice Geral (IPARDES-PR)" sheetId="7" r:id="rId6"/>
    <sheet name="IPDM_renda  (IPARDES-PR)" sheetId="8" r:id="rId7"/>
    <sheet name="IPDM_educação  (IPARDES-PR)" sheetId="9" r:id="rId8"/>
    <sheet name="IPDM_saúde   (IPARDES-PR)" sheetId="10" r:id="rId9"/>
  </sheets>
  <externalReferences>
    <externalReference r:id="rId10"/>
  </externalReferences>
  <definedNames>
    <definedName name="_xlnm._FilterDatabase" localSheetId="2" hidden="1">'Dados Gerais por Municipio'!$A$2:$J$491</definedName>
    <definedName name="_xlnm._FilterDatabase" localSheetId="0" hidden="1">'Dados Gerais Resumo Por Área'!$A$2:$H$43</definedName>
    <definedName name="_xlnm._FilterDatabase" localSheetId="1" hidden="1">'Dados Gerais Resumo PorSR'!$A$2:$E$8</definedName>
    <definedName name="_xlnm._FilterDatabase" localSheetId="7" hidden="1">'IPDM_educação  (IPARDES-PR)'!#REF!</definedName>
    <definedName name="_xlnm._FilterDatabase" localSheetId="6" hidden="1">'IPDM_renda  (IPARDES-PR)'!#REF!</definedName>
    <definedName name="_xlnm._FilterDatabase" localSheetId="8" hidden="1">'IPDM_saúde   (IPARDES-PR)'!#REF!</definedName>
    <definedName name="_xlnm.Print_Area" localSheetId="7">'IPDM_educação  (IPARDES-PR)'!$A$1:$J$402</definedName>
    <definedName name="_xlnm.Print_Area" localSheetId="6">'IPDM_renda  (IPARDES-PR)'!$A$1:$J$402</definedName>
    <definedName name="_xlnm.Print_Area" localSheetId="8">'IPDM_saúde   (IPARDES-PR)'!$A$1:$J$402</definedName>
    <definedName name="Excel_BuiltIn_Print_Titles_2">'IPDM_renda  (IPARDES-PR)'!$A$3:$GX$3</definedName>
    <definedName name="indice02_07">#REF!</definedName>
    <definedName name="_xlnm.Print_Titles" localSheetId="7">'IPDM_educação  (IPARDES-PR)'!$1:$3</definedName>
    <definedName name="_xlnm.Print_Titles" localSheetId="6">'IPDM_renda  (IPARDES-PR)'!$1:$3</definedName>
    <definedName name="_xlnm.Print_Titles" localSheetId="8">'IPDM_saúde   (IPARDES-PR)'!$1:$3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1" l="1"/>
  <c r="E7" i="11"/>
  <c r="E5" i="11"/>
  <c r="E4" i="11"/>
  <c r="E3" i="11"/>
  <c r="D7" i="11"/>
  <c r="C19" i="11" s="1"/>
  <c r="D6" i="11"/>
  <c r="C18" i="11" s="1"/>
  <c r="D5" i="11"/>
  <c r="C17" i="11" s="1"/>
  <c r="D4" i="11"/>
  <c r="D3" i="11"/>
  <c r="C8" i="11"/>
  <c r="C27" i="11"/>
  <c r="C26" i="11"/>
  <c r="C25" i="11"/>
  <c r="C24" i="11"/>
  <c r="C23" i="11"/>
  <c r="C16" i="11"/>
  <c r="C15" i="11"/>
  <c r="AN6" i="5"/>
  <c r="E3" i="4"/>
  <c r="D43" i="4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3" i="3"/>
  <c r="C60" i="4"/>
  <c r="C59" i="4"/>
  <c r="C58" i="4"/>
  <c r="C57" i="4"/>
  <c r="C56" i="4"/>
  <c r="C52" i="4"/>
  <c r="C51" i="4"/>
  <c r="C50" i="4"/>
  <c r="C49" i="4"/>
  <c r="C48" i="4"/>
  <c r="D8" i="11" l="1"/>
  <c r="C28" i="11"/>
  <c r="D24" i="11" s="1"/>
  <c r="C20" i="11"/>
  <c r="D19" i="11" s="1"/>
  <c r="C53" i="4"/>
  <c r="D52" i="4" s="1"/>
  <c r="C61" i="4"/>
  <c r="D59" i="4" s="1"/>
  <c r="D23" i="11" l="1"/>
  <c r="D26" i="11"/>
  <c r="D27" i="11"/>
  <c r="D16" i="11"/>
  <c r="D25" i="11"/>
  <c r="D18" i="11"/>
  <c r="D17" i="11"/>
  <c r="D15" i="11"/>
  <c r="D48" i="4"/>
  <c r="D49" i="4"/>
  <c r="D51" i="4"/>
  <c r="D50" i="4"/>
  <c r="D58" i="4"/>
  <c r="D57" i="4"/>
  <c r="D56" i="4"/>
  <c r="D60" i="4"/>
  <c r="F491" i="3" l="1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AB6" i="5"/>
  <c r="AJ6" i="5"/>
  <c r="AR6" i="5"/>
  <c r="AB7" i="5"/>
  <c r="AJ7" i="5"/>
  <c r="AN7" i="5"/>
  <c r="AR7" i="5"/>
  <c r="AB8" i="5"/>
  <c r="AJ8" i="5"/>
  <c r="AN8" i="5"/>
  <c r="AR8" i="5"/>
  <c r="AB9" i="5"/>
  <c r="AJ9" i="5"/>
  <c r="AN9" i="5"/>
  <c r="AR9" i="5"/>
  <c r="AB10" i="5"/>
  <c r="AJ10" i="5"/>
  <c r="AN10" i="5"/>
  <c r="AR10" i="5"/>
  <c r="AB11" i="5"/>
  <c r="AJ11" i="5"/>
  <c r="AN11" i="5"/>
  <c r="AR11" i="5"/>
  <c r="AB12" i="5"/>
  <c r="AJ12" i="5"/>
  <c r="AN12" i="5"/>
  <c r="AR12" i="5"/>
  <c r="AB13" i="5"/>
  <c r="AJ13" i="5"/>
  <c r="AN13" i="5"/>
  <c r="AR13" i="5"/>
  <c r="AB14" i="5"/>
  <c r="AJ14" i="5"/>
  <c r="AN14" i="5"/>
  <c r="AR14" i="5"/>
  <c r="AB15" i="5"/>
  <c r="AJ15" i="5"/>
  <c r="AN15" i="5"/>
  <c r="AR15" i="5"/>
  <c r="AB16" i="5"/>
  <c r="AJ16" i="5"/>
  <c r="AN16" i="5"/>
  <c r="AR16" i="5"/>
  <c r="AB17" i="5"/>
  <c r="AJ17" i="5"/>
  <c r="AN17" i="5"/>
  <c r="AR17" i="5"/>
  <c r="AB18" i="5"/>
  <c r="AJ18" i="5"/>
  <c r="AN18" i="5"/>
  <c r="AR18" i="5"/>
  <c r="AB19" i="5"/>
  <c r="AJ19" i="5"/>
  <c r="AN19" i="5"/>
  <c r="AR19" i="5"/>
  <c r="AB20" i="5"/>
  <c r="AJ20" i="5"/>
  <c r="AN20" i="5"/>
  <c r="AR20" i="5"/>
  <c r="AB21" i="5"/>
  <c r="AJ21" i="5"/>
  <c r="AN21" i="5"/>
  <c r="AR21" i="5"/>
  <c r="AB22" i="5"/>
  <c r="AJ22" i="5"/>
  <c r="AN22" i="5"/>
  <c r="AR22" i="5"/>
  <c r="AB23" i="5"/>
  <c r="AJ23" i="5"/>
  <c r="AN23" i="5"/>
  <c r="AR23" i="5"/>
  <c r="AB24" i="5"/>
  <c r="AJ24" i="5"/>
  <c r="AN24" i="5"/>
  <c r="AR24" i="5"/>
  <c r="AB25" i="5"/>
  <c r="AJ25" i="5"/>
  <c r="AN25" i="5"/>
  <c r="AR25" i="5"/>
  <c r="AB26" i="5"/>
  <c r="AJ26" i="5"/>
  <c r="AN26" i="5"/>
  <c r="AR26" i="5"/>
  <c r="AB27" i="5"/>
  <c r="AJ27" i="5"/>
  <c r="AN27" i="5"/>
  <c r="AR27" i="5"/>
  <c r="AB28" i="5"/>
  <c r="AJ28" i="5"/>
  <c r="AN28" i="5"/>
  <c r="AR28" i="5"/>
  <c r="AB29" i="5"/>
  <c r="AJ29" i="5"/>
  <c r="AN29" i="5"/>
  <c r="AR29" i="5"/>
  <c r="AB30" i="5"/>
  <c r="AJ30" i="5"/>
  <c r="AN30" i="5"/>
  <c r="AR30" i="5"/>
  <c r="AB31" i="5"/>
  <c r="AJ31" i="5"/>
  <c r="AN31" i="5"/>
  <c r="AR31" i="5"/>
  <c r="AB32" i="5"/>
  <c r="AJ32" i="5"/>
  <c r="AN32" i="5"/>
  <c r="AR32" i="5"/>
  <c r="AB33" i="5"/>
  <c r="AJ33" i="5"/>
  <c r="AN33" i="5"/>
  <c r="AR33" i="5"/>
  <c r="AB34" i="5"/>
  <c r="AJ34" i="5"/>
  <c r="AN34" i="5"/>
  <c r="AR34" i="5"/>
  <c r="AB35" i="5"/>
  <c r="AJ35" i="5"/>
  <c r="AN35" i="5"/>
  <c r="AR35" i="5"/>
  <c r="AB36" i="5"/>
  <c r="AJ36" i="5"/>
  <c r="AN36" i="5"/>
  <c r="AR36" i="5"/>
  <c r="AB37" i="5"/>
  <c r="AJ37" i="5"/>
  <c r="AN37" i="5"/>
  <c r="AR37" i="5"/>
  <c r="AB38" i="5"/>
  <c r="AJ38" i="5"/>
  <c r="AN38" i="5"/>
  <c r="AR38" i="5"/>
  <c r="AB39" i="5"/>
  <c r="AJ39" i="5"/>
  <c r="AN39" i="5"/>
  <c r="AR39" i="5"/>
  <c r="AB40" i="5"/>
  <c r="AJ40" i="5"/>
  <c r="AN40" i="5"/>
  <c r="AR40" i="5"/>
  <c r="AB41" i="5"/>
  <c r="AJ41" i="5"/>
  <c r="AN41" i="5"/>
  <c r="AR41" i="5"/>
  <c r="AB42" i="5"/>
  <c r="AJ42" i="5"/>
  <c r="AN42" i="5"/>
  <c r="AR42" i="5"/>
  <c r="AB43" i="5"/>
  <c r="AJ43" i="5"/>
  <c r="AN43" i="5"/>
  <c r="AR43" i="5"/>
  <c r="AB44" i="5"/>
  <c r="AJ44" i="5"/>
  <c r="AN44" i="5"/>
  <c r="AR44" i="5"/>
  <c r="AB45" i="5"/>
  <c r="AJ45" i="5"/>
  <c r="AN45" i="5"/>
  <c r="AR45" i="5"/>
  <c r="AB46" i="5"/>
  <c r="AJ46" i="5"/>
  <c r="AN46" i="5"/>
  <c r="AR46" i="5"/>
  <c r="AB47" i="5"/>
  <c r="AJ47" i="5"/>
  <c r="AN47" i="5"/>
  <c r="AR47" i="5"/>
  <c r="AB48" i="5"/>
  <c r="AJ48" i="5"/>
  <c r="AN48" i="5"/>
  <c r="AR48" i="5"/>
  <c r="AB49" i="5"/>
  <c r="AJ49" i="5"/>
  <c r="AN49" i="5"/>
  <c r="AR49" i="5"/>
  <c r="AB50" i="5"/>
  <c r="AJ50" i="5"/>
  <c r="AN50" i="5"/>
  <c r="AR50" i="5"/>
  <c r="AB51" i="5"/>
  <c r="AJ51" i="5"/>
  <c r="AN51" i="5"/>
  <c r="AR51" i="5"/>
  <c r="AB52" i="5"/>
  <c r="AJ52" i="5"/>
  <c r="AN52" i="5"/>
  <c r="AR52" i="5"/>
  <c r="AB53" i="5"/>
  <c r="AJ53" i="5"/>
  <c r="AN53" i="5"/>
  <c r="AR53" i="5"/>
  <c r="AB54" i="5"/>
  <c r="AJ54" i="5"/>
  <c r="AN54" i="5"/>
  <c r="AR54" i="5"/>
  <c r="AB55" i="5"/>
  <c r="AJ55" i="5"/>
  <c r="AN55" i="5"/>
  <c r="AR55" i="5"/>
  <c r="AB56" i="5"/>
  <c r="AJ56" i="5"/>
  <c r="AN56" i="5"/>
  <c r="AR56" i="5"/>
  <c r="AB57" i="5"/>
  <c r="AJ57" i="5"/>
  <c r="AN57" i="5"/>
  <c r="AR57" i="5"/>
  <c r="AB58" i="5"/>
  <c r="AJ58" i="5"/>
  <c r="AN58" i="5"/>
  <c r="AR58" i="5"/>
  <c r="AB59" i="5"/>
  <c r="AJ59" i="5"/>
  <c r="AN59" i="5"/>
  <c r="AR59" i="5"/>
  <c r="AB60" i="5"/>
  <c r="AJ60" i="5"/>
  <c r="AN60" i="5"/>
  <c r="AR60" i="5"/>
  <c r="AB61" i="5"/>
  <c r="AJ61" i="5"/>
  <c r="AN61" i="5"/>
  <c r="AR61" i="5"/>
  <c r="AB62" i="5"/>
  <c r="AJ62" i="5"/>
  <c r="AN62" i="5"/>
  <c r="AR62" i="5"/>
  <c r="AB63" i="5"/>
  <c r="AJ63" i="5"/>
  <c r="AN63" i="5"/>
  <c r="AR63" i="5"/>
  <c r="AB64" i="5"/>
  <c r="AJ64" i="5"/>
  <c r="AN64" i="5"/>
  <c r="AR64" i="5"/>
  <c r="AB65" i="5"/>
  <c r="AJ65" i="5"/>
  <c r="AN65" i="5"/>
  <c r="AR65" i="5"/>
  <c r="AB66" i="5"/>
  <c r="AJ66" i="5"/>
  <c r="AN66" i="5"/>
  <c r="AR66" i="5"/>
  <c r="AB67" i="5"/>
  <c r="AJ67" i="5"/>
  <c r="AN67" i="5"/>
  <c r="AR67" i="5"/>
  <c r="AB68" i="5"/>
  <c r="AJ68" i="5"/>
  <c r="AN68" i="5"/>
  <c r="AR68" i="5"/>
  <c r="AB69" i="5"/>
  <c r="AJ69" i="5"/>
  <c r="AN69" i="5"/>
  <c r="AR69" i="5"/>
  <c r="AB70" i="5"/>
  <c r="AJ70" i="5"/>
  <c r="AN70" i="5"/>
  <c r="AR70" i="5"/>
  <c r="AB71" i="5"/>
  <c r="AJ71" i="5"/>
  <c r="AN71" i="5"/>
  <c r="AR71" i="5"/>
  <c r="AB72" i="5"/>
  <c r="AJ72" i="5"/>
  <c r="AN72" i="5"/>
  <c r="AR72" i="5"/>
  <c r="AB73" i="5"/>
  <c r="AJ73" i="5"/>
  <c r="AN73" i="5"/>
  <c r="AR73" i="5"/>
  <c r="AB74" i="5"/>
  <c r="AJ74" i="5"/>
  <c r="AN74" i="5"/>
  <c r="AR74" i="5"/>
  <c r="AB75" i="5"/>
  <c r="AJ75" i="5"/>
  <c r="AN75" i="5"/>
  <c r="AR75" i="5"/>
  <c r="AB76" i="5"/>
  <c r="AJ76" i="5"/>
  <c r="AN76" i="5"/>
  <c r="AR76" i="5"/>
  <c r="AB77" i="5"/>
  <c r="AJ77" i="5"/>
  <c r="AN77" i="5"/>
  <c r="AR77" i="5"/>
  <c r="AB78" i="5"/>
  <c r="AJ78" i="5"/>
  <c r="AN78" i="5"/>
  <c r="AR78" i="5"/>
  <c r="AB79" i="5"/>
  <c r="AJ79" i="5"/>
  <c r="AN79" i="5"/>
  <c r="AR79" i="5"/>
  <c r="AB80" i="5"/>
  <c r="AJ80" i="5"/>
  <c r="AN80" i="5"/>
  <c r="AR80" i="5"/>
  <c r="AB81" i="5"/>
  <c r="AJ81" i="5"/>
  <c r="AN81" i="5"/>
  <c r="AR81" i="5"/>
  <c r="AB82" i="5"/>
  <c r="AJ82" i="5"/>
  <c r="AN82" i="5"/>
  <c r="AR82" i="5"/>
  <c r="AB83" i="5"/>
  <c r="AJ83" i="5"/>
  <c r="AN83" i="5"/>
  <c r="AR83" i="5"/>
  <c r="AB84" i="5"/>
  <c r="AJ84" i="5"/>
  <c r="AN84" i="5"/>
  <c r="AR84" i="5"/>
  <c r="AB85" i="5"/>
  <c r="AJ85" i="5"/>
  <c r="AN85" i="5"/>
  <c r="AR85" i="5"/>
  <c r="AB86" i="5"/>
  <c r="AJ86" i="5"/>
  <c r="AN86" i="5"/>
  <c r="AR86" i="5"/>
  <c r="AB87" i="5"/>
  <c r="AJ87" i="5"/>
  <c r="AN87" i="5"/>
  <c r="AR87" i="5"/>
  <c r="AB88" i="5"/>
  <c r="AJ88" i="5"/>
  <c r="AN88" i="5"/>
  <c r="AR88" i="5"/>
  <c r="AB89" i="5"/>
  <c r="AJ89" i="5"/>
  <c r="AN89" i="5"/>
  <c r="AR89" i="5"/>
  <c r="AB90" i="5"/>
  <c r="AJ90" i="5"/>
  <c r="AN90" i="5"/>
  <c r="AR90" i="5"/>
  <c r="AB91" i="5"/>
  <c r="AJ91" i="5"/>
  <c r="AN91" i="5"/>
  <c r="AR91" i="5"/>
  <c r="AB92" i="5"/>
  <c r="AJ92" i="5"/>
  <c r="AN92" i="5"/>
  <c r="AR92" i="5"/>
  <c r="AB93" i="5"/>
  <c r="AJ93" i="5"/>
  <c r="AN93" i="5"/>
  <c r="AR93" i="5"/>
  <c r="AB94" i="5"/>
  <c r="AJ94" i="5"/>
  <c r="AN94" i="5"/>
  <c r="AR94" i="5"/>
  <c r="AB95" i="5"/>
  <c r="AJ95" i="5"/>
  <c r="AN95" i="5"/>
  <c r="AR95" i="5"/>
  <c r="AB96" i="5"/>
  <c r="AJ96" i="5"/>
  <c r="AN96" i="5"/>
  <c r="AR96" i="5"/>
  <c r="AB97" i="5"/>
  <c r="AJ97" i="5"/>
  <c r="AN97" i="5"/>
  <c r="AR97" i="5"/>
  <c r="AB98" i="5"/>
  <c r="AJ98" i="5"/>
  <c r="AN98" i="5"/>
  <c r="AR98" i="5"/>
  <c r="AB99" i="5"/>
  <c r="AE99" i="5"/>
  <c r="AF99" i="5"/>
  <c r="AG99" i="5"/>
  <c r="AH99" i="5"/>
  <c r="AI99" i="5"/>
  <c r="AJ99" i="5"/>
  <c r="AN99" i="5"/>
  <c r="AR99" i="5"/>
  <c r="N100" i="5"/>
  <c r="AB100" i="5"/>
  <c r="AJ100" i="5"/>
  <c r="AN100" i="5"/>
  <c r="AR100" i="5"/>
  <c r="N101" i="5"/>
  <c r="AB101" i="5"/>
  <c r="AJ101" i="5"/>
  <c r="AN101" i="5"/>
  <c r="AR101" i="5"/>
  <c r="N102" i="5"/>
  <c r="AB102" i="5"/>
  <c r="AJ102" i="5"/>
  <c r="AN102" i="5"/>
  <c r="AR102" i="5"/>
  <c r="N103" i="5"/>
  <c r="AB103" i="5"/>
  <c r="AJ103" i="5"/>
  <c r="AN103" i="5"/>
  <c r="AR103" i="5"/>
  <c r="N104" i="5"/>
  <c r="AB104" i="5"/>
  <c r="AJ104" i="5"/>
  <c r="AN104" i="5"/>
  <c r="AR104" i="5"/>
  <c r="AB105" i="5"/>
  <c r="AJ105" i="5"/>
  <c r="AN105" i="5"/>
  <c r="AR105" i="5"/>
  <c r="AB106" i="5"/>
  <c r="AJ106" i="5"/>
  <c r="AN106" i="5"/>
  <c r="AR106" i="5"/>
  <c r="AB107" i="5"/>
  <c r="AJ107" i="5"/>
  <c r="AN107" i="5"/>
  <c r="AR107" i="5"/>
  <c r="AB108" i="5"/>
  <c r="AJ108" i="5"/>
  <c r="AN108" i="5"/>
  <c r="AR108" i="5"/>
  <c r="AB109" i="5"/>
  <c r="AJ109" i="5"/>
  <c r="AN109" i="5"/>
  <c r="AR109" i="5"/>
  <c r="AB110" i="5"/>
  <c r="AJ110" i="5"/>
  <c r="AN110" i="5"/>
  <c r="AR110" i="5"/>
  <c r="AB111" i="5"/>
  <c r="AJ111" i="5"/>
  <c r="AN111" i="5"/>
  <c r="AR111" i="5"/>
  <c r="AB112" i="5"/>
  <c r="AJ112" i="5"/>
  <c r="AN112" i="5"/>
  <c r="AR112" i="5"/>
  <c r="AB113" i="5"/>
  <c r="AE113" i="5"/>
  <c r="AF113" i="5"/>
  <c r="AG113" i="5"/>
  <c r="AH113" i="5"/>
  <c r="AJ113" i="5" s="1"/>
  <c r="AI113" i="5"/>
  <c r="AN113" i="5"/>
  <c r="AR113" i="5"/>
  <c r="AB114" i="5"/>
  <c r="AJ114" i="5"/>
  <c r="AN114" i="5"/>
  <c r="AR114" i="5"/>
  <c r="AB115" i="5"/>
  <c r="AJ115" i="5"/>
  <c r="AN115" i="5"/>
  <c r="AR115" i="5"/>
  <c r="AB116" i="5"/>
  <c r="AJ116" i="5"/>
  <c r="AN116" i="5"/>
  <c r="AR116" i="5"/>
  <c r="AB117" i="5"/>
  <c r="AJ117" i="5"/>
  <c r="AN117" i="5"/>
  <c r="AR117" i="5"/>
  <c r="AB118" i="5"/>
  <c r="AJ118" i="5"/>
  <c r="AN118" i="5"/>
  <c r="AR118" i="5"/>
  <c r="AB119" i="5"/>
  <c r="AJ119" i="5"/>
  <c r="AN119" i="5"/>
  <c r="AR119" i="5"/>
  <c r="AB120" i="5"/>
  <c r="AJ120" i="5"/>
  <c r="AN120" i="5"/>
  <c r="AR120" i="5"/>
  <c r="AB121" i="5"/>
  <c r="AJ121" i="5"/>
  <c r="AN121" i="5"/>
  <c r="AR121" i="5"/>
  <c r="AB122" i="5"/>
  <c r="AJ122" i="5"/>
  <c r="AN122" i="5"/>
  <c r="AR122" i="5"/>
  <c r="AB123" i="5"/>
  <c r="AJ123" i="5"/>
  <c r="AN123" i="5"/>
  <c r="AR123" i="5"/>
  <c r="AB124" i="5"/>
  <c r="AJ124" i="5"/>
  <c r="AN124" i="5"/>
  <c r="AR124" i="5"/>
  <c r="AB125" i="5"/>
  <c r="AJ125" i="5"/>
  <c r="AN125" i="5"/>
  <c r="AR125" i="5"/>
  <c r="AB126" i="5"/>
  <c r="AJ126" i="5"/>
  <c r="AN126" i="5"/>
  <c r="AR126" i="5"/>
  <c r="AB127" i="5"/>
  <c r="AJ127" i="5"/>
  <c r="AN127" i="5"/>
  <c r="AR127" i="5"/>
  <c r="AB128" i="5"/>
  <c r="AJ128" i="5"/>
  <c r="AN128" i="5"/>
  <c r="AR128" i="5"/>
  <c r="AB129" i="5"/>
  <c r="AJ129" i="5"/>
  <c r="AN129" i="5"/>
  <c r="AR129" i="5"/>
  <c r="AB130" i="5"/>
  <c r="AJ130" i="5"/>
  <c r="AN130" i="5"/>
  <c r="AR130" i="5"/>
  <c r="AB131" i="5"/>
  <c r="AJ131" i="5"/>
  <c r="AN131" i="5"/>
  <c r="AR131" i="5"/>
  <c r="AB132" i="5"/>
  <c r="AJ132" i="5"/>
  <c r="AN132" i="5"/>
  <c r="AR132" i="5"/>
  <c r="AB133" i="5"/>
  <c r="AJ133" i="5"/>
  <c r="AN133" i="5"/>
  <c r="AR133" i="5"/>
  <c r="AB134" i="5"/>
  <c r="AJ134" i="5"/>
  <c r="AN134" i="5"/>
  <c r="AR134" i="5"/>
  <c r="AB135" i="5"/>
  <c r="AJ135" i="5"/>
  <c r="AN135" i="5"/>
  <c r="AR135" i="5"/>
  <c r="AB136" i="5"/>
  <c r="AJ136" i="5"/>
  <c r="AN136" i="5"/>
  <c r="AR136" i="5"/>
  <c r="AB137" i="5"/>
  <c r="AJ137" i="5"/>
  <c r="AN137" i="5"/>
  <c r="AR137" i="5"/>
  <c r="AB138" i="5"/>
  <c r="AJ138" i="5"/>
  <c r="AN138" i="5"/>
  <c r="AR138" i="5"/>
  <c r="AB139" i="5"/>
  <c r="AJ139" i="5"/>
  <c r="AN139" i="5"/>
  <c r="AR139" i="5"/>
  <c r="AB140" i="5"/>
  <c r="AJ140" i="5"/>
  <c r="AN140" i="5"/>
  <c r="AR140" i="5"/>
  <c r="AB141" i="5"/>
  <c r="AJ141" i="5"/>
  <c r="AN141" i="5"/>
  <c r="AR141" i="5"/>
  <c r="AB142" i="5"/>
  <c r="AJ142" i="5"/>
  <c r="AN142" i="5"/>
  <c r="AR142" i="5"/>
  <c r="AB143" i="5"/>
  <c r="AJ143" i="5"/>
  <c r="AN143" i="5"/>
  <c r="AR143" i="5"/>
  <c r="AB144" i="5"/>
  <c r="AJ144" i="5"/>
  <c r="AN144" i="5"/>
  <c r="AR144" i="5"/>
  <c r="AB145" i="5"/>
  <c r="AJ145" i="5"/>
  <c r="AN145" i="5"/>
  <c r="AR145" i="5"/>
  <c r="AB146" i="5"/>
  <c r="AJ146" i="5"/>
  <c r="AN146" i="5"/>
  <c r="AR146" i="5"/>
  <c r="AB147" i="5"/>
  <c r="AJ147" i="5"/>
  <c r="AN147" i="5"/>
  <c r="AR147" i="5"/>
  <c r="AB148" i="5"/>
  <c r="AJ148" i="5"/>
  <c r="AN148" i="5"/>
  <c r="AR148" i="5"/>
  <c r="AB149" i="5"/>
  <c r="AJ149" i="5"/>
  <c r="AN149" i="5"/>
  <c r="AR149" i="5"/>
  <c r="AB150" i="5"/>
  <c r="AJ150" i="5"/>
  <c r="AN150" i="5"/>
  <c r="AR150" i="5"/>
  <c r="N151" i="5"/>
  <c r="AB151" i="5"/>
  <c r="AJ151" i="5"/>
  <c r="AN151" i="5"/>
  <c r="AR151" i="5"/>
  <c r="N152" i="5"/>
  <c r="AB152" i="5"/>
  <c r="AJ152" i="5"/>
  <c r="AN152" i="5"/>
  <c r="AR152" i="5"/>
  <c r="AB153" i="5"/>
  <c r="AJ153" i="5"/>
  <c r="AN153" i="5"/>
  <c r="AR153" i="5"/>
  <c r="AB154" i="5"/>
  <c r="AJ154" i="5"/>
  <c r="AN154" i="5"/>
  <c r="AR154" i="5"/>
  <c r="AB155" i="5"/>
  <c r="AJ155" i="5"/>
  <c r="AN155" i="5"/>
  <c r="AR155" i="5"/>
  <c r="AB156" i="5"/>
  <c r="AJ156" i="5"/>
  <c r="AN156" i="5"/>
  <c r="AR156" i="5"/>
  <c r="AB157" i="5"/>
  <c r="AJ157" i="5"/>
  <c r="AN157" i="5"/>
  <c r="AR157" i="5"/>
  <c r="AB158" i="5"/>
  <c r="AJ158" i="5"/>
  <c r="AN158" i="5"/>
  <c r="AR158" i="5"/>
  <c r="AB159" i="5"/>
  <c r="AJ159" i="5"/>
  <c r="AN159" i="5"/>
  <c r="AR159" i="5"/>
  <c r="AB160" i="5"/>
  <c r="AJ160" i="5"/>
  <c r="AN160" i="5"/>
  <c r="AR160" i="5"/>
  <c r="AB161" i="5"/>
  <c r="AJ161" i="5"/>
  <c r="AN161" i="5"/>
  <c r="AR161" i="5"/>
  <c r="AB162" i="5"/>
  <c r="AJ162" i="5"/>
  <c r="AN162" i="5"/>
  <c r="AR162" i="5"/>
  <c r="AB163" i="5"/>
  <c r="AJ163" i="5"/>
  <c r="AN163" i="5"/>
  <c r="AR163" i="5"/>
  <c r="AB164" i="5"/>
  <c r="AJ164" i="5"/>
  <c r="AN164" i="5"/>
  <c r="AR164" i="5"/>
  <c r="AB165" i="5"/>
  <c r="AJ165" i="5"/>
  <c r="AN165" i="5"/>
  <c r="AR165" i="5"/>
  <c r="AB166" i="5"/>
  <c r="AJ166" i="5"/>
  <c r="AN166" i="5"/>
  <c r="AR166" i="5"/>
  <c r="AB167" i="5"/>
  <c r="AJ167" i="5"/>
  <c r="AN167" i="5"/>
  <c r="AR167" i="5"/>
  <c r="AB168" i="5"/>
  <c r="AJ168" i="5"/>
  <c r="AN168" i="5"/>
  <c r="AR168" i="5"/>
  <c r="AB169" i="5"/>
  <c r="AJ169" i="5"/>
  <c r="AN169" i="5"/>
  <c r="AR169" i="5"/>
  <c r="AB170" i="5"/>
  <c r="AJ170" i="5"/>
  <c r="AN170" i="5"/>
  <c r="AR170" i="5"/>
  <c r="AB171" i="5"/>
  <c r="AJ171" i="5"/>
  <c r="AN171" i="5"/>
  <c r="AR171" i="5"/>
  <c r="AB172" i="5"/>
  <c r="AJ172" i="5"/>
  <c r="AN172" i="5"/>
  <c r="AR172" i="5"/>
  <c r="AB173" i="5"/>
  <c r="AJ173" i="5"/>
  <c r="AN173" i="5"/>
  <c r="AR173" i="5"/>
  <c r="AB174" i="5"/>
  <c r="AJ174" i="5"/>
  <c r="AN174" i="5"/>
  <c r="AR174" i="5"/>
  <c r="AB175" i="5"/>
  <c r="AJ175" i="5"/>
  <c r="AN175" i="5"/>
  <c r="AR175" i="5"/>
  <c r="AB176" i="5"/>
  <c r="AJ176" i="5"/>
  <c r="AN176" i="5"/>
  <c r="AR176" i="5"/>
  <c r="AB177" i="5"/>
  <c r="AJ177" i="5"/>
  <c r="AN177" i="5"/>
  <c r="AR177" i="5"/>
  <c r="AB178" i="5"/>
  <c r="AJ178" i="5"/>
  <c r="AN178" i="5"/>
  <c r="AR178" i="5"/>
  <c r="AB179" i="5"/>
  <c r="AJ179" i="5"/>
  <c r="AN179" i="5"/>
  <c r="AR179" i="5"/>
  <c r="AB180" i="5"/>
  <c r="AJ180" i="5"/>
  <c r="AN180" i="5"/>
  <c r="AR180" i="5"/>
  <c r="AB181" i="5"/>
  <c r="AJ181" i="5"/>
  <c r="AN181" i="5"/>
  <c r="AR181" i="5"/>
  <c r="AB182" i="5"/>
  <c r="AE182" i="5"/>
  <c r="AF182" i="5"/>
  <c r="AH182" i="5"/>
  <c r="AI182" i="5"/>
  <c r="AJ182" i="5"/>
  <c r="AN182" i="5"/>
  <c r="AR182" i="5"/>
  <c r="AB183" i="5"/>
  <c r="AJ183" i="5"/>
  <c r="AN183" i="5"/>
  <c r="AR183" i="5"/>
  <c r="AB184" i="5"/>
  <c r="AJ184" i="5"/>
  <c r="AN184" i="5"/>
  <c r="AR184" i="5"/>
  <c r="AB185" i="5"/>
  <c r="AJ185" i="5"/>
  <c r="AN185" i="5"/>
  <c r="AR185" i="5"/>
  <c r="AB186" i="5"/>
  <c r="AJ186" i="5"/>
  <c r="AN186" i="5"/>
  <c r="AR186" i="5"/>
  <c r="AB187" i="5"/>
  <c r="AJ187" i="5"/>
  <c r="AN187" i="5"/>
  <c r="AR187" i="5"/>
  <c r="AB188" i="5"/>
  <c r="AJ188" i="5"/>
  <c r="AN188" i="5"/>
  <c r="AR188" i="5"/>
  <c r="AB189" i="5"/>
  <c r="AJ189" i="5"/>
  <c r="AN189" i="5"/>
  <c r="AR189" i="5"/>
  <c r="AB190" i="5"/>
  <c r="AJ190" i="5"/>
  <c r="AN190" i="5"/>
  <c r="AR190" i="5"/>
  <c r="AB191" i="5"/>
  <c r="AJ191" i="5"/>
  <c r="AN191" i="5"/>
  <c r="AR191" i="5"/>
  <c r="AB192" i="5"/>
  <c r="AJ192" i="5"/>
  <c r="AN192" i="5"/>
  <c r="AR192" i="5"/>
  <c r="AB193" i="5"/>
  <c r="AJ193" i="5"/>
  <c r="AN193" i="5"/>
  <c r="AR193" i="5"/>
  <c r="AB194" i="5"/>
  <c r="AJ194" i="5"/>
  <c r="AN194" i="5"/>
  <c r="AR194" i="5"/>
  <c r="AB195" i="5"/>
  <c r="AJ195" i="5"/>
  <c r="AN195" i="5"/>
  <c r="AR195" i="5"/>
  <c r="AB196" i="5"/>
  <c r="AJ196" i="5"/>
  <c r="AN196" i="5"/>
  <c r="AR196" i="5"/>
  <c r="AB197" i="5"/>
  <c r="AJ197" i="5"/>
  <c r="AN197" i="5"/>
  <c r="AR197" i="5"/>
  <c r="AB198" i="5"/>
  <c r="AJ198" i="5"/>
  <c r="AN198" i="5"/>
  <c r="AR198" i="5"/>
  <c r="AB199" i="5"/>
  <c r="AJ199" i="5"/>
  <c r="AN199" i="5"/>
  <c r="AR199" i="5"/>
  <c r="AB200" i="5"/>
  <c r="AJ200" i="5"/>
  <c r="AN200" i="5"/>
  <c r="AR200" i="5"/>
  <c r="AB201" i="5"/>
  <c r="AJ201" i="5"/>
  <c r="AN201" i="5"/>
  <c r="AR201" i="5"/>
  <c r="AB202" i="5"/>
  <c r="AJ202" i="5"/>
  <c r="AN202" i="5"/>
  <c r="AR202" i="5"/>
  <c r="AB203" i="5"/>
  <c r="AJ203" i="5"/>
  <c r="AN203" i="5"/>
  <c r="AR203" i="5"/>
  <c r="AB204" i="5"/>
  <c r="AJ204" i="5"/>
  <c r="AN204" i="5"/>
  <c r="AR204" i="5"/>
  <c r="AB205" i="5"/>
  <c r="AJ205" i="5"/>
  <c r="AN205" i="5"/>
  <c r="AR205" i="5"/>
  <c r="AB206" i="5"/>
  <c r="AJ206" i="5"/>
  <c r="AN206" i="5"/>
  <c r="AR206" i="5"/>
  <c r="AB207" i="5"/>
  <c r="AJ207" i="5"/>
  <c r="AN207" i="5"/>
  <c r="AR207" i="5"/>
  <c r="AB208" i="5"/>
  <c r="AJ208" i="5"/>
  <c r="AN208" i="5"/>
  <c r="AR208" i="5"/>
  <c r="AB209" i="5"/>
  <c r="AJ209" i="5"/>
  <c r="AN209" i="5"/>
  <c r="AR209" i="5"/>
  <c r="AB210" i="5"/>
  <c r="AJ210" i="5"/>
  <c r="AN210" i="5"/>
  <c r="AR210" i="5"/>
  <c r="AB211" i="5"/>
  <c r="AJ211" i="5"/>
  <c r="AN211" i="5"/>
  <c r="AR211" i="5"/>
  <c r="AB212" i="5"/>
  <c r="AJ212" i="5"/>
  <c r="AN212" i="5"/>
  <c r="AR212" i="5"/>
  <c r="AB213" i="5"/>
  <c r="AJ213" i="5"/>
  <c r="AN213" i="5"/>
  <c r="AR213" i="5"/>
  <c r="AB214" i="5"/>
  <c r="AJ214" i="5"/>
  <c r="AN214" i="5"/>
  <c r="AR214" i="5"/>
  <c r="AB215" i="5"/>
  <c r="AJ215" i="5"/>
  <c r="AN215" i="5"/>
  <c r="AR215" i="5"/>
  <c r="AB216" i="5"/>
  <c r="AJ216" i="5"/>
  <c r="AN216" i="5"/>
  <c r="AR216" i="5"/>
  <c r="AB217" i="5"/>
  <c r="AJ217" i="5"/>
  <c r="AN217" i="5"/>
  <c r="AR217" i="5"/>
  <c r="AB218" i="5"/>
  <c r="AJ218" i="5"/>
  <c r="AN218" i="5"/>
  <c r="AR218" i="5"/>
  <c r="AB219" i="5"/>
  <c r="AJ219" i="5"/>
  <c r="AN219" i="5"/>
  <c r="AR219" i="5"/>
  <c r="AB220" i="5"/>
  <c r="AJ220" i="5"/>
  <c r="AN220" i="5"/>
  <c r="AR220" i="5"/>
  <c r="AB221" i="5"/>
  <c r="AJ221" i="5"/>
  <c r="AN221" i="5"/>
  <c r="AR221" i="5"/>
  <c r="AB222" i="5"/>
  <c r="AJ222" i="5"/>
  <c r="AN222" i="5"/>
  <c r="AR222" i="5"/>
  <c r="AB223" i="5"/>
  <c r="AJ223" i="5"/>
  <c r="AN223" i="5"/>
  <c r="AR223" i="5"/>
  <c r="AB224" i="5"/>
  <c r="AJ224" i="5"/>
  <c r="AN224" i="5"/>
  <c r="AR224" i="5"/>
  <c r="N225" i="5"/>
  <c r="AB225" i="5"/>
  <c r="AJ225" i="5"/>
  <c r="AN225" i="5"/>
  <c r="AR225" i="5"/>
  <c r="N226" i="5"/>
  <c r="AB226" i="5"/>
  <c r="AJ226" i="5"/>
  <c r="AN226" i="5"/>
  <c r="AR226" i="5"/>
  <c r="N227" i="5"/>
  <c r="AB227" i="5"/>
  <c r="AJ227" i="5"/>
  <c r="AN227" i="5"/>
  <c r="AR227" i="5"/>
  <c r="N228" i="5"/>
  <c r="AB228" i="5"/>
  <c r="AJ228" i="5"/>
  <c r="AN228" i="5"/>
  <c r="AR228" i="5"/>
  <c r="N229" i="5"/>
  <c r="AB229" i="5"/>
  <c r="AJ229" i="5"/>
  <c r="AN229" i="5"/>
  <c r="AR229" i="5"/>
  <c r="AB230" i="5"/>
  <c r="AJ230" i="5"/>
  <c r="AN230" i="5"/>
  <c r="AR230" i="5"/>
  <c r="AB231" i="5"/>
  <c r="AJ231" i="5"/>
  <c r="AN231" i="5"/>
  <c r="AR231" i="5"/>
  <c r="AB232" i="5"/>
  <c r="AJ232" i="5"/>
  <c r="AN232" i="5"/>
  <c r="AR232" i="5"/>
  <c r="AB233" i="5"/>
  <c r="AJ233" i="5"/>
  <c r="AN233" i="5"/>
  <c r="AR233" i="5"/>
  <c r="AB234" i="5"/>
  <c r="AJ234" i="5"/>
  <c r="AN234" i="5"/>
  <c r="AR234" i="5"/>
  <c r="AB235" i="5"/>
  <c r="AJ235" i="5"/>
  <c r="AN235" i="5"/>
  <c r="AR235" i="5"/>
  <c r="AB236" i="5"/>
  <c r="AJ236" i="5"/>
  <c r="AN236" i="5"/>
  <c r="AR236" i="5"/>
  <c r="AB237" i="5"/>
  <c r="AJ237" i="5"/>
  <c r="AN237" i="5"/>
  <c r="AR237" i="5"/>
  <c r="AB238" i="5"/>
  <c r="AJ238" i="5"/>
  <c r="AN238" i="5"/>
  <c r="AR238" i="5"/>
  <c r="AB239" i="5"/>
  <c r="AJ239" i="5"/>
  <c r="AN239" i="5"/>
  <c r="AR239" i="5"/>
  <c r="AB240" i="5"/>
  <c r="AJ240" i="5"/>
  <c r="AN240" i="5"/>
  <c r="AR240" i="5"/>
  <c r="AB241" i="5"/>
  <c r="AJ241" i="5"/>
  <c r="AN241" i="5"/>
  <c r="AR241" i="5"/>
  <c r="AB242" i="5"/>
  <c r="AJ242" i="5"/>
  <c r="AN242" i="5"/>
  <c r="AR242" i="5"/>
  <c r="AB243" i="5"/>
  <c r="AJ243" i="5"/>
  <c r="AN243" i="5"/>
  <c r="AR243" i="5"/>
  <c r="AB244" i="5"/>
  <c r="AJ244" i="5"/>
  <c r="AN244" i="5"/>
  <c r="AR244" i="5"/>
  <c r="AB245" i="5"/>
  <c r="AE245" i="5"/>
  <c r="AF245" i="5"/>
  <c r="AH245" i="5"/>
  <c r="AI245" i="5"/>
  <c r="AJ245" i="5"/>
  <c r="AN245" i="5"/>
  <c r="AR245" i="5"/>
  <c r="AB246" i="5"/>
  <c r="AJ246" i="5"/>
  <c r="AN246" i="5"/>
  <c r="AR246" i="5"/>
  <c r="AB247" i="5"/>
  <c r="AJ247" i="5"/>
  <c r="AN247" i="5"/>
  <c r="AR247" i="5"/>
  <c r="AB248" i="5"/>
  <c r="AJ248" i="5"/>
  <c r="AN248" i="5"/>
  <c r="AR248" i="5"/>
  <c r="AB249" i="5"/>
  <c r="AJ249" i="5"/>
  <c r="AN249" i="5"/>
  <c r="AR249" i="5"/>
  <c r="N250" i="5"/>
  <c r="AB250" i="5"/>
  <c r="AJ250" i="5"/>
  <c r="AN250" i="5"/>
  <c r="AR250" i="5"/>
  <c r="N251" i="5"/>
  <c r="AB251" i="5"/>
  <c r="AJ251" i="5"/>
  <c r="AN251" i="5"/>
  <c r="AR251" i="5"/>
  <c r="N252" i="5"/>
  <c r="AB252" i="5"/>
  <c r="AJ252" i="5"/>
  <c r="AN252" i="5"/>
  <c r="AR252" i="5"/>
  <c r="N253" i="5"/>
  <c r="AB253" i="5"/>
  <c r="AJ253" i="5"/>
  <c r="AN253" i="5"/>
  <c r="AR253" i="5"/>
  <c r="AB254" i="5"/>
  <c r="AJ254" i="5"/>
  <c r="AN254" i="5"/>
  <c r="AR254" i="5"/>
  <c r="AB255" i="5"/>
  <c r="AJ255" i="5"/>
  <c r="AN255" i="5"/>
  <c r="AR255" i="5"/>
  <c r="N256" i="5"/>
  <c r="AB256" i="5"/>
  <c r="AJ256" i="5"/>
  <c r="AN256" i="5"/>
  <c r="AR256" i="5"/>
  <c r="N257" i="5"/>
  <c r="AB257" i="5"/>
  <c r="AJ257" i="5"/>
  <c r="AN257" i="5"/>
  <c r="AR257" i="5"/>
  <c r="AB258" i="5"/>
  <c r="AJ258" i="5"/>
  <c r="AN258" i="5"/>
  <c r="AR258" i="5"/>
  <c r="AB259" i="5"/>
  <c r="AJ259" i="5"/>
  <c r="AN259" i="5"/>
  <c r="AR259" i="5"/>
  <c r="AB260" i="5"/>
  <c r="AJ260" i="5"/>
  <c r="AN260" i="5"/>
  <c r="AR260" i="5"/>
  <c r="AB261" i="5"/>
  <c r="AJ261" i="5"/>
  <c r="AN261" i="5"/>
  <c r="AR261" i="5"/>
  <c r="AB262" i="5"/>
  <c r="AJ262" i="5"/>
  <c r="AN262" i="5"/>
  <c r="AR262" i="5"/>
  <c r="AB263" i="5"/>
  <c r="AJ263" i="5"/>
  <c r="AN263" i="5"/>
  <c r="AR263" i="5"/>
  <c r="AB264" i="5"/>
  <c r="AJ264" i="5"/>
  <c r="AN264" i="5"/>
  <c r="AR264" i="5"/>
  <c r="AB265" i="5"/>
  <c r="AJ265" i="5"/>
  <c r="AN265" i="5"/>
  <c r="AR265" i="5"/>
  <c r="AB266" i="5"/>
  <c r="AJ266" i="5"/>
  <c r="AN266" i="5"/>
  <c r="AR266" i="5"/>
  <c r="AB267" i="5"/>
  <c r="AJ267" i="5"/>
  <c r="AN267" i="5"/>
  <c r="AR267" i="5"/>
  <c r="AB268" i="5"/>
  <c r="AJ268" i="5"/>
  <c r="AN268" i="5"/>
  <c r="AR268" i="5"/>
  <c r="AB269" i="5"/>
  <c r="AJ269" i="5"/>
  <c r="AN269" i="5"/>
  <c r="AR269" i="5"/>
  <c r="AB270" i="5"/>
  <c r="AJ270" i="5"/>
  <c r="AN270" i="5"/>
  <c r="AR270" i="5"/>
  <c r="AB271" i="5"/>
  <c r="AJ271" i="5"/>
  <c r="AN271" i="5"/>
  <c r="AR271" i="5"/>
  <c r="AB272" i="5"/>
  <c r="AJ272" i="5"/>
  <c r="AN272" i="5"/>
  <c r="AR272" i="5"/>
  <c r="N273" i="5"/>
  <c r="AB273" i="5"/>
  <c r="AJ273" i="5"/>
  <c r="AN273" i="5"/>
  <c r="AR273" i="5"/>
  <c r="N274" i="5"/>
  <c r="AB274" i="5"/>
  <c r="AJ274" i="5"/>
  <c r="AN274" i="5"/>
  <c r="AR274" i="5"/>
  <c r="N275" i="5"/>
  <c r="AB275" i="5"/>
  <c r="AJ275" i="5"/>
  <c r="AN275" i="5"/>
  <c r="AR275" i="5"/>
  <c r="AB276" i="5"/>
  <c r="AJ276" i="5"/>
  <c r="AN276" i="5"/>
  <c r="AR276" i="5"/>
  <c r="AB277" i="5"/>
  <c r="AJ277" i="5"/>
  <c r="AN277" i="5"/>
  <c r="AR277" i="5"/>
  <c r="AB278" i="5"/>
  <c r="AJ278" i="5"/>
  <c r="AN278" i="5"/>
  <c r="AR278" i="5"/>
  <c r="AB279" i="5"/>
  <c r="AJ279" i="5"/>
  <c r="AN279" i="5"/>
  <c r="AR279" i="5"/>
  <c r="AB280" i="5"/>
  <c r="AJ280" i="5"/>
  <c r="AN280" i="5"/>
  <c r="AR280" i="5"/>
  <c r="AB281" i="5"/>
  <c r="AJ281" i="5"/>
  <c r="AN281" i="5"/>
  <c r="AR281" i="5"/>
  <c r="AB282" i="5"/>
  <c r="AJ282" i="5"/>
  <c r="AN282" i="5"/>
  <c r="AR282" i="5"/>
  <c r="AB283" i="5"/>
  <c r="AJ283" i="5"/>
  <c r="AN283" i="5"/>
  <c r="AR283" i="5"/>
  <c r="AB284" i="5"/>
  <c r="AJ284" i="5"/>
  <c r="AN284" i="5"/>
  <c r="AR284" i="5"/>
  <c r="AB285" i="5"/>
  <c r="AJ285" i="5"/>
  <c r="AN285" i="5"/>
  <c r="AR285" i="5"/>
  <c r="AB286" i="5"/>
  <c r="AJ286" i="5"/>
  <c r="AN286" i="5"/>
  <c r="AR286" i="5"/>
  <c r="AB287" i="5"/>
  <c r="AJ287" i="5"/>
  <c r="AN287" i="5"/>
  <c r="AR287" i="5"/>
  <c r="AB288" i="5"/>
  <c r="AJ288" i="5"/>
  <c r="AN288" i="5"/>
  <c r="AR288" i="5"/>
  <c r="AB289" i="5"/>
  <c r="AJ289" i="5"/>
  <c r="AN289" i="5"/>
  <c r="AR289" i="5"/>
  <c r="AB290" i="5"/>
  <c r="AJ290" i="5"/>
  <c r="AN290" i="5"/>
  <c r="AR290" i="5"/>
  <c r="AB291" i="5"/>
  <c r="AJ291" i="5"/>
  <c r="AN291" i="5"/>
  <c r="AR291" i="5"/>
  <c r="AB292" i="5"/>
  <c r="AJ292" i="5"/>
  <c r="AN292" i="5"/>
  <c r="AR292" i="5"/>
  <c r="AB293" i="5"/>
  <c r="AJ293" i="5"/>
  <c r="AN293" i="5"/>
  <c r="AR293" i="5"/>
  <c r="AB294" i="5"/>
  <c r="AJ294" i="5"/>
  <c r="AN294" i="5"/>
  <c r="AR294" i="5"/>
  <c r="AB295" i="5"/>
  <c r="AJ295" i="5"/>
  <c r="AN295" i="5"/>
  <c r="AR295" i="5"/>
  <c r="AB296" i="5"/>
  <c r="AJ296" i="5"/>
  <c r="AN296" i="5"/>
  <c r="AR296" i="5"/>
  <c r="AB297" i="5"/>
  <c r="AJ297" i="5"/>
  <c r="AN297" i="5"/>
  <c r="AR297" i="5"/>
  <c r="AB298" i="5"/>
  <c r="AE298" i="5"/>
  <c r="AF298" i="5"/>
  <c r="AG298" i="5"/>
  <c r="AH298" i="5"/>
  <c r="AI298" i="5"/>
  <c r="AJ298" i="5"/>
  <c r="AN298" i="5"/>
  <c r="AR298" i="5"/>
  <c r="AB299" i="5"/>
  <c r="AE299" i="5"/>
  <c r="AF299" i="5"/>
  <c r="AG299" i="5"/>
  <c r="AH299" i="5"/>
  <c r="AI299" i="5"/>
  <c r="AJ299" i="5"/>
  <c r="AN299" i="5"/>
  <c r="AR299" i="5"/>
  <c r="AB300" i="5"/>
  <c r="AJ300" i="5"/>
  <c r="AN300" i="5"/>
  <c r="AR300" i="5"/>
  <c r="AB301" i="5"/>
  <c r="AJ301" i="5"/>
  <c r="AN301" i="5"/>
  <c r="AR301" i="5"/>
  <c r="AB302" i="5"/>
  <c r="AJ302" i="5"/>
  <c r="AN302" i="5"/>
  <c r="AR302" i="5"/>
  <c r="AB303" i="5"/>
  <c r="AJ303" i="5"/>
  <c r="AN303" i="5"/>
  <c r="AR303" i="5"/>
  <c r="AB304" i="5"/>
  <c r="AJ304" i="5"/>
  <c r="AN304" i="5"/>
  <c r="AR304" i="5"/>
  <c r="AB305" i="5"/>
  <c r="AJ305" i="5"/>
  <c r="AN305" i="5"/>
  <c r="AR305" i="5"/>
  <c r="AB306" i="5"/>
  <c r="AJ306" i="5"/>
  <c r="AN306" i="5"/>
  <c r="AR306" i="5"/>
  <c r="AB307" i="5"/>
  <c r="AJ307" i="5"/>
  <c r="AN307" i="5"/>
  <c r="AR307" i="5"/>
  <c r="AB308" i="5"/>
  <c r="AJ308" i="5"/>
  <c r="AN308" i="5"/>
  <c r="AR308" i="5"/>
  <c r="AB309" i="5"/>
  <c r="AJ309" i="5"/>
  <c r="AN309" i="5"/>
  <c r="AR309" i="5"/>
  <c r="AB310" i="5"/>
  <c r="AJ310" i="5"/>
  <c r="AN310" i="5"/>
  <c r="AR310" i="5"/>
  <c r="AB311" i="5"/>
  <c r="AJ311" i="5"/>
  <c r="AN311" i="5"/>
  <c r="AR311" i="5"/>
  <c r="AB312" i="5"/>
  <c r="AJ312" i="5"/>
  <c r="AN312" i="5"/>
  <c r="AR312" i="5"/>
  <c r="AB313" i="5"/>
  <c r="AJ313" i="5"/>
  <c r="AN313" i="5"/>
  <c r="AR313" i="5"/>
  <c r="AB314" i="5"/>
  <c r="AJ314" i="5"/>
  <c r="AN314" i="5"/>
  <c r="AR314" i="5"/>
  <c r="AB315" i="5"/>
  <c r="AJ315" i="5"/>
  <c r="AN315" i="5"/>
  <c r="AR315" i="5"/>
  <c r="AB316" i="5"/>
  <c r="AJ316" i="5"/>
  <c r="AN316" i="5"/>
  <c r="AR316" i="5"/>
  <c r="AB317" i="5"/>
  <c r="AJ317" i="5"/>
  <c r="AN317" i="5"/>
  <c r="AR317" i="5"/>
  <c r="AB318" i="5"/>
  <c r="AJ318" i="5"/>
  <c r="AN318" i="5"/>
  <c r="AR318" i="5"/>
  <c r="AB319" i="5"/>
  <c r="AJ319" i="5"/>
  <c r="AN319" i="5"/>
  <c r="AR319" i="5"/>
  <c r="AB320" i="5"/>
  <c r="AJ320" i="5"/>
  <c r="AN320" i="5"/>
  <c r="AR320" i="5"/>
  <c r="AB321" i="5"/>
  <c r="AJ321" i="5"/>
  <c r="AN321" i="5"/>
  <c r="AR321" i="5"/>
  <c r="AB322" i="5"/>
  <c r="AJ322" i="5"/>
  <c r="AN322" i="5"/>
  <c r="AR322" i="5"/>
  <c r="AB323" i="5"/>
  <c r="AJ323" i="5"/>
  <c r="AN323" i="5"/>
  <c r="AR323" i="5"/>
  <c r="AB324" i="5"/>
  <c r="AJ324" i="5"/>
  <c r="AN324" i="5"/>
  <c r="AR324" i="5"/>
  <c r="AB325" i="5"/>
  <c r="AJ325" i="5"/>
  <c r="AN325" i="5"/>
  <c r="AR325" i="5"/>
  <c r="AB326" i="5"/>
  <c r="AJ326" i="5"/>
  <c r="AN326" i="5"/>
  <c r="AR326" i="5"/>
  <c r="AB327" i="5"/>
  <c r="AJ327" i="5"/>
  <c r="AN327" i="5"/>
  <c r="AR327" i="5"/>
  <c r="AB328" i="5"/>
  <c r="AJ328" i="5"/>
  <c r="AN328" i="5"/>
  <c r="AR328" i="5"/>
  <c r="AB329" i="5"/>
  <c r="AJ329" i="5"/>
  <c r="AN329" i="5"/>
  <c r="AR329" i="5"/>
  <c r="AB330" i="5"/>
  <c r="AJ330" i="5"/>
  <c r="AN330" i="5"/>
  <c r="AR330" i="5"/>
  <c r="AB331" i="5"/>
  <c r="AJ331" i="5"/>
  <c r="AN331" i="5"/>
  <c r="AR331" i="5"/>
  <c r="AB332" i="5"/>
  <c r="AJ332" i="5"/>
  <c r="AN332" i="5"/>
  <c r="AR332" i="5"/>
  <c r="AB333" i="5"/>
  <c r="AJ333" i="5"/>
  <c r="AN333" i="5"/>
  <c r="AR333" i="5"/>
  <c r="AB334" i="5"/>
  <c r="AJ334" i="5"/>
  <c r="AN334" i="5"/>
  <c r="AR334" i="5"/>
  <c r="AB335" i="5"/>
  <c r="AJ335" i="5"/>
  <c r="AN335" i="5"/>
  <c r="AR335" i="5"/>
  <c r="AB336" i="5"/>
  <c r="AJ336" i="5"/>
  <c r="AN336" i="5"/>
  <c r="AR336" i="5"/>
  <c r="AB337" i="5"/>
  <c r="AJ337" i="5"/>
  <c r="AN337" i="5"/>
  <c r="AR337" i="5"/>
  <c r="AB338" i="5"/>
  <c r="AJ338" i="5"/>
  <c r="AN338" i="5"/>
  <c r="AR338" i="5"/>
  <c r="AB339" i="5"/>
  <c r="AJ339" i="5"/>
  <c r="AN339" i="5"/>
  <c r="AR339" i="5"/>
  <c r="AB340" i="5"/>
  <c r="AJ340" i="5"/>
  <c r="AN340" i="5"/>
  <c r="AR340" i="5"/>
  <c r="AB341" i="5"/>
  <c r="AJ341" i="5"/>
  <c r="AN341" i="5"/>
  <c r="AR341" i="5"/>
  <c r="AB342" i="5"/>
  <c r="AJ342" i="5"/>
  <c r="AN342" i="5"/>
  <c r="AR342" i="5"/>
  <c r="AB343" i="5"/>
  <c r="AJ343" i="5"/>
  <c r="AN343" i="5"/>
  <c r="AR343" i="5"/>
  <c r="AB344" i="5"/>
  <c r="AJ344" i="5"/>
  <c r="AN344" i="5"/>
  <c r="AR344" i="5"/>
  <c r="AB345" i="5"/>
  <c r="AJ345" i="5"/>
  <c r="AN345" i="5"/>
  <c r="AR345" i="5"/>
  <c r="AB346" i="5"/>
  <c r="AJ346" i="5"/>
  <c r="AN346" i="5"/>
  <c r="AR346" i="5"/>
  <c r="AB347" i="5"/>
  <c r="AJ347" i="5"/>
  <c r="AN347" i="5"/>
  <c r="AR347" i="5"/>
  <c r="AB348" i="5"/>
  <c r="AJ348" i="5"/>
  <c r="AN348" i="5"/>
  <c r="AR348" i="5"/>
  <c r="AB349" i="5"/>
  <c r="AJ349" i="5"/>
  <c r="AN349" i="5"/>
  <c r="AR349" i="5"/>
  <c r="AB350" i="5"/>
  <c r="AJ350" i="5"/>
  <c r="AN350" i="5"/>
  <c r="AR350" i="5"/>
  <c r="AB351" i="5"/>
  <c r="AJ351" i="5"/>
  <c r="AN351" i="5"/>
  <c r="AR351" i="5"/>
  <c r="AB352" i="5"/>
  <c r="AJ352" i="5"/>
  <c r="AN352" i="5"/>
  <c r="AR352" i="5"/>
  <c r="AB353" i="5"/>
  <c r="AJ353" i="5"/>
  <c r="AN353" i="5"/>
  <c r="AR353" i="5"/>
  <c r="AB354" i="5"/>
  <c r="AJ354" i="5"/>
  <c r="AN354" i="5"/>
  <c r="AR354" i="5"/>
  <c r="AB355" i="5"/>
  <c r="AJ355" i="5"/>
  <c r="AN355" i="5"/>
  <c r="AR355" i="5"/>
  <c r="AB356" i="5"/>
  <c r="AJ356" i="5"/>
  <c r="AN356" i="5"/>
  <c r="AR356" i="5"/>
  <c r="AB357" i="5"/>
  <c r="AJ357" i="5"/>
  <c r="AN357" i="5"/>
  <c r="AR357" i="5"/>
  <c r="AB358" i="5"/>
  <c r="AJ358" i="5"/>
  <c r="AN358" i="5"/>
  <c r="AR358" i="5"/>
  <c r="AB359" i="5"/>
  <c r="AJ359" i="5"/>
  <c r="AN359" i="5"/>
  <c r="AR359" i="5"/>
  <c r="AB360" i="5"/>
  <c r="AJ360" i="5"/>
  <c r="AN360" i="5"/>
  <c r="AR360" i="5"/>
  <c r="AB361" i="5"/>
  <c r="AJ361" i="5"/>
  <c r="AN361" i="5"/>
  <c r="AR361" i="5"/>
  <c r="AB362" i="5"/>
  <c r="AJ362" i="5"/>
  <c r="AN362" i="5"/>
  <c r="AR362" i="5"/>
  <c r="AB363" i="5"/>
  <c r="AJ363" i="5"/>
  <c r="AN363" i="5"/>
  <c r="AR363" i="5"/>
  <c r="AB364" i="5"/>
  <c r="AJ364" i="5"/>
  <c r="AN364" i="5"/>
  <c r="AR364" i="5"/>
  <c r="AB365" i="5"/>
  <c r="AJ365" i="5"/>
  <c r="AN365" i="5"/>
  <c r="AR365" i="5"/>
  <c r="AB366" i="5"/>
  <c r="AJ366" i="5"/>
  <c r="AN366" i="5"/>
  <c r="AR366" i="5"/>
  <c r="AB367" i="5"/>
  <c r="AJ367" i="5"/>
  <c r="AN367" i="5"/>
  <c r="AR367" i="5"/>
  <c r="AB368" i="5"/>
  <c r="AJ368" i="5"/>
  <c r="AN368" i="5"/>
  <c r="AR368" i="5"/>
  <c r="AB369" i="5"/>
  <c r="AJ369" i="5"/>
  <c r="AN369" i="5"/>
  <c r="AR369" i="5"/>
  <c r="AB370" i="5"/>
  <c r="AJ370" i="5"/>
  <c r="AN370" i="5"/>
  <c r="AR370" i="5"/>
  <c r="AB371" i="5"/>
  <c r="AJ371" i="5"/>
  <c r="AN371" i="5"/>
  <c r="AR371" i="5"/>
  <c r="AB372" i="5"/>
  <c r="AJ372" i="5"/>
  <c r="AN372" i="5"/>
  <c r="AR372" i="5"/>
  <c r="AB373" i="5"/>
  <c r="AJ373" i="5"/>
  <c r="AN373" i="5"/>
  <c r="AR373" i="5"/>
  <c r="AB374" i="5"/>
  <c r="AJ374" i="5"/>
  <c r="AN374" i="5"/>
  <c r="AR374" i="5"/>
  <c r="AB375" i="5"/>
  <c r="AJ375" i="5"/>
  <c r="AN375" i="5"/>
  <c r="AR375" i="5"/>
  <c r="AB376" i="5"/>
  <c r="AJ376" i="5"/>
  <c r="AN376" i="5"/>
  <c r="AR376" i="5"/>
  <c r="AB377" i="5"/>
  <c r="AJ377" i="5"/>
  <c r="AN377" i="5"/>
  <c r="AR377" i="5"/>
  <c r="AB378" i="5"/>
  <c r="AJ378" i="5"/>
  <c r="AN378" i="5"/>
  <c r="AR378" i="5"/>
  <c r="AB379" i="5"/>
  <c r="AJ379" i="5"/>
  <c r="AN379" i="5"/>
  <c r="AR379" i="5"/>
  <c r="AB380" i="5"/>
  <c r="AJ380" i="5"/>
  <c r="AN380" i="5"/>
  <c r="AR380" i="5"/>
  <c r="AB381" i="5"/>
  <c r="AJ381" i="5"/>
  <c r="AN381" i="5"/>
  <c r="AR381" i="5"/>
  <c r="AB382" i="5"/>
  <c r="AJ382" i="5"/>
  <c r="AN382" i="5"/>
  <c r="AR382" i="5"/>
  <c r="AB383" i="5"/>
  <c r="AJ383" i="5"/>
  <c r="AN383" i="5"/>
  <c r="AR383" i="5"/>
  <c r="AB384" i="5"/>
  <c r="AJ384" i="5"/>
  <c r="AN384" i="5"/>
  <c r="AR384" i="5"/>
  <c r="AB385" i="5"/>
  <c r="AJ385" i="5"/>
  <c r="AN385" i="5"/>
  <c r="AR385" i="5"/>
  <c r="AB386" i="5"/>
  <c r="AJ386" i="5"/>
  <c r="AN386" i="5"/>
  <c r="AR386" i="5"/>
  <c r="AB387" i="5"/>
  <c r="AJ387" i="5"/>
  <c r="AN387" i="5"/>
  <c r="AR387" i="5"/>
  <c r="AB388" i="5"/>
  <c r="AJ388" i="5"/>
  <c r="AN388" i="5"/>
  <c r="AR388" i="5"/>
  <c r="AB389" i="5"/>
  <c r="AJ389" i="5"/>
  <c r="AN389" i="5"/>
  <c r="AR389" i="5"/>
  <c r="AB390" i="5"/>
  <c r="AJ390" i="5"/>
  <c r="AN390" i="5"/>
  <c r="AR390" i="5"/>
  <c r="AB391" i="5"/>
  <c r="AJ391" i="5"/>
  <c r="AN391" i="5"/>
  <c r="AR391" i="5"/>
  <c r="AB392" i="5"/>
  <c r="AJ392" i="5"/>
  <c r="AN392" i="5"/>
  <c r="AR392" i="5"/>
  <c r="AB393" i="5"/>
  <c r="AE393" i="5"/>
  <c r="AF393" i="5"/>
  <c r="AH393" i="5"/>
  <c r="AI393" i="5"/>
  <c r="AJ393" i="5"/>
  <c r="AN393" i="5"/>
  <c r="AR393" i="5"/>
  <c r="AB394" i="5"/>
  <c r="AJ394" i="5"/>
  <c r="AN394" i="5"/>
  <c r="AR394" i="5"/>
  <c r="AB395" i="5"/>
  <c r="AJ395" i="5"/>
  <c r="AN395" i="5"/>
  <c r="AR395" i="5"/>
  <c r="AB396" i="5"/>
  <c r="AJ396" i="5"/>
  <c r="AN396" i="5"/>
  <c r="AR396" i="5"/>
  <c r="AB397" i="5"/>
  <c r="AJ397" i="5"/>
  <c r="AN397" i="5"/>
  <c r="AR397" i="5"/>
  <c r="AB398" i="5"/>
  <c r="AJ398" i="5"/>
  <c r="AN398" i="5"/>
  <c r="AR398" i="5"/>
  <c r="AB399" i="5"/>
  <c r="AJ399" i="5"/>
  <c r="AN399" i="5"/>
  <c r="AR399" i="5"/>
  <c r="AB400" i="5"/>
  <c r="AJ400" i="5"/>
  <c r="AN400" i="5"/>
  <c r="AR400" i="5"/>
  <c r="AB401" i="5"/>
  <c r="AJ401" i="5"/>
  <c r="AN401" i="5"/>
  <c r="AR401" i="5"/>
  <c r="AB402" i="5"/>
  <c r="AJ402" i="5"/>
  <c r="AN402" i="5"/>
  <c r="AR402" i="5"/>
  <c r="AB403" i="5"/>
  <c r="AJ403" i="5"/>
  <c r="AN403" i="5"/>
  <c r="AR403" i="5"/>
  <c r="AB404" i="5"/>
  <c r="AJ404" i="5"/>
  <c r="AN404" i="5"/>
  <c r="AR404" i="5"/>
  <c r="AB405" i="5"/>
  <c r="AJ405" i="5"/>
  <c r="AN405" i="5"/>
  <c r="AR405" i="5"/>
  <c r="AB406" i="5"/>
  <c r="AJ406" i="5"/>
  <c r="AN406" i="5"/>
  <c r="AR406" i="5"/>
  <c r="AB407" i="5"/>
  <c r="AJ407" i="5"/>
  <c r="AN407" i="5"/>
  <c r="AR407" i="5"/>
  <c r="AB408" i="5"/>
  <c r="AJ408" i="5"/>
  <c r="AN408" i="5"/>
  <c r="AR408" i="5"/>
  <c r="AB409" i="5"/>
  <c r="AJ409" i="5"/>
  <c r="AN409" i="5"/>
  <c r="AR409" i="5"/>
  <c r="AB410" i="5"/>
  <c r="AJ410" i="5"/>
  <c r="AN410" i="5"/>
  <c r="AR410" i="5"/>
  <c r="AB411" i="5"/>
  <c r="AJ411" i="5"/>
  <c r="AN411" i="5"/>
  <c r="AR411" i="5"/>
  <c r="AB412" i="5"/>
  <c r="AJ412" i="5"/>
  <c r="AN412" i="5"/>
  <c r="AR412" i="5"/>
  <c r="AB413" i="5"/>
  <c r="AJ413" i="5"/>
  <c r="AN413" i="5"/>
  <c r="AR413" i="5"/>
  <c r="AB414" i="5"/>
  <c r="AJ414" i="5"/>
  <c r="AN414" i="5"/>
  <c r="AR414" i="5"/>
  <c r="AB415" i="5"/>
  <c r="AJ415" i="5"/>
  <c r="AN415" i="5"/>
  <c r="AR415" i="5"/>
  <c r="AB416" i="5"/>
  <c r="AE416" i="5"/>
  <c r="AF416" i="5"/>
  <c r="AG416" i="5"/>
  <c r="AH416" i="5"/>
  <c r="AI416" i="5"/>
  <c r="AJ416" i="5"/>
  <c r="AN416" i="5"/>
  <c r="AR416" i="5"/>
  <c r="AB417" i="5"/>
  <c r="AJ417" i="5"/>
  <c r="AN417" i="5"/>
  <c r="AR417" i="5"/>
  <c r="AB418" i="5"/>
  <c r="AJ418" i="5"/>
  <c r="AN418" i="5"/>
  <c r="AR418" i="5"/>
  <c r="AB419" i="5"/>
  <c r="AJ419" i="5"/>
  <c r="AN419" i="5"/>
  <c r="AR419" i="5"/>
  <c r="AB420" i="5"/>
  <c r="AJ420" i="5"/>
  <c r="AN420" i="5"/>
  <c r="AR420" i="5"/>
  <c r="AB421" i="5"/>
  <c r="AJ421" i="5"/>
  <c r="AN421" i="5"/>
  <c r="AR421" i="5"/>
  <c r="AB422" i="5"/>
  <c r="AJ422" i="5"/>
  <c r="AN422" i="5"/>
  <c r="AR422" i="5"/>
  <c r="AB423" i="5"/>
  <c r="AJ423" i="5"/>
  <c r="AN423" i="5"/>
  <c r="AR423" i="5"/>
  <c r="AB424" i="5"/>
  <c r="AJ424" i="5"/>
  <c r="AN424" i="5"/>
  <c r="AR424" i="5"/>
  <c r="AB425" i="5"/>
  <c r="AJ425" i="5"/>
  <c r="AN425" i="5"/>
  <c r="AR425" i="5"/>
  <c r="AB426" i="5"/>
  <c r="AJ426" i="5"/>
  <c r="AN426" i="5"/>
  <c r="AR426" i="5"/>
  <c r="AB427" i="5"/>
  <c r="AJ427" i="5"/>
  <c r="AN427" i="5"/>
  <c r="AR427" i="5"/>
  <c r="AB428" i="5"/>
  <c r="AJ428" i="5"/>
  <c r="AN428" i="5"/>
  <c r="AR428" i="5"/>
  <c r="AB429" i="5"/>
  <c r="AJ429" i="5"/>
  <c r="AN429" i="5"/>
  <c r="AR429" i="5"/>
  <c r="AB430" i="5"/>
  <c r="AJ430" i="5"/>
  <c r="AN430" i="5"/>
  <c r="AR430" i="5"/>
  <c r="AB431" i="5"/>
  <c r="AJ431" i="5"/>
  <c r="AN431" i="5"/>
  <c r="AR431" i="5"/>
  <c r="AB432" i="5"/>
  <c r="AJ432" i="5"/>
  <c r="AN432" i="5"/>
  <c r="AR432" i="5"/>
  <c r="AB433" i="5"/>
  <c r="AJ433" i="5"/>
  <c r="AN433" i="5"/>
  <c r="AR433" i="5"/>
  <c r="AB434" i="5"/>
  <c r="AJ434" i="5"/>
  <c r="AN434" i="5"/>
  <c r="AR434" i="5"/>
  <c r="AB435" i="5"/>
  <c r="AJ435" i="5"/>
  <c r="AN435" i="5"/>
  <c r="AR435" i="5"/>
  <c r="AB436" i="5"/>
  <c r="AJ436" i="5"/>
  <c r="AN436" i="5"/>
  <c r="AR436" i="5"/>
  <c r="AB437" i="5"/>
  <c r="AJ437" i="5"/>
  <c r="AN437" i="5"/>
  <c r="AR437" i="5"/>
  <c r="AB438" i="5"/>
  <c r="AJ438" i="5"/>
  <c r="AN438" i="5"/>
  <c r="AR438" i="5"/>
  <c r="AB439" i="5"/>
  <c r="AJ439" i="5"/>
  <c r="AN439" i="5"/>
  <c r="AR439" i="5"/>
  <c r="AB440" i="5"/>
  <c r="AJ440" i="5"/>
  <c r="AN440" i="5"/>
  <c r="AR440" i="5"/>
  <c r="AB441" i="5"/>
  <c r="AJ441" i="5"/>
  <c r="AN441" i="5"/>
  <c r="AR441" i="5"/>
  <c r="AB442" i="5"/>
  <c r="AJ442" i="5"/>
  <c r="AN442" i="5"/>
  <c r="AR442" i="5"/>
  <c r="AB443" i="5"/>
  <c r="AJ443" i="5"/>
  <c r="AN443" i="5"/>
  <c r="AR443" i="5"/>
  <c r="AB444" i="5"/>
  <c r="AJ444" i="5"/>
  <c r="AN444" i="5"/>
  <c r="AR444" i="5"/>
  <c r="N445" i="5"/>
  <c r="AB445" i="5"/>
  <c r="AJ445" i="5"/>
  <c r="AN445" i="5"/>
  <c r="AR445" i="5"/>
  <c r="N446" i="5"/>
  <c r="AB446" i="5"/>
  <c r="AJ446" i="5"/>
  <c r="AN446" i="5"/>
  <c r="AR446" i="5"/>
  <c r="N447" i="5"/>
  <c r="AB447" i="5"/>
  <c r="AJ447" i="5"/>
  <c r="AN447" i="5"/>
  <c r="AR447" i="5"/>
  <c r="AB448" i="5"/>
  <c r="AJ448" i="5"/>
  <c r="AN448" i="5"/>
  <c r="AR448" i="5"/>
  <c r="AB449" i="5"/>
  <c r="AJ449" i="5"/>
  <c r="AN449" i="5"/>
  <c r="AR449" i="5"/>
  <c r="AB450" i="5"/>
  <c r="AJ450" i="5"/>
  <c r="AN450" i="5"/>
  <c r="AR450" i="5"/>
  <c r="AB451" i="5"/>
  <c r="AJ451" i="5"/>
  <c r="AN451" i="5"/>
  <c r="AR451" i="5"/>
  <c r="AB452" i="5"/>
  <c r="AJ452" i="5"/>
  <c r="AN452" i="5"/>
  <c r="AR452" i="5"/>
  <c r="AB453" i="5"/>
  <c r="AJ453" i="5"/>
  <c r="AN453" i="5"/>
  <c r="AR453" i="5"/>
  <c r="AB454" i="5"/>
  <c r="AJ454" i="5"/>
  <c r="AN454" i="5"/>
  <c r="AR454" i="5"/>
  <c r="AB455" i="5"/>
  <c r="AJ455" i="5"/>
  <c r="AN455" i="5"/>
  <c r="AR455" i="5"/>
  <c r="AB456" i="5"/>
  <c r="AJ456" i="5"/>
  <c r="AN456" i="5"/>
  <c r="AR456" i="5"/>
  <c r="AB457" i="5"/>
  <c r="AJ457" i="5"/>
  <c r="AN457" i="5"/>
  <c r="AR457" i="5"/>
  <c r="AB458" i="5"/>
  <c r="AJ458" i="5"/>
  <c r="AN458" i="5"/>
  <c r="AR458" i="5"/>
  <c r="AB459" i="5"/>
  <c r="AJ459" i="5"/>
  <c r="AN459" i="5"/>
  <c r="AR459" i="5"/>
  <c r="AB460" i="5"/>
  <c r="AJ460" i="5"/>
  <c r="AN460" i="5"/>
  <c r="AR460" i="5"/>
  <c r="AB461" i="5"/>
  <c r="AJ461" i="5"/>
  <c r="AN461" i="5"/>
  <c r="AR461" i="5"/>
  <c r="AB462" i="5"/>
  <c r="AJ462" i="5"/>
  <c r="AN462" i="5"/>
  <c r="AR462" i="5"/>
  <c r="AB463" i="5"/>
  <c r="AJ463" i="5"/>
  <c r="AN463" i="5"/>
  <c r="AR463" i="5"/>
  <c r="AB464" i="5"/>
  <c r="AJ464" i="5"/>
  <c r="AN464" i="5"/>
  <c r="AR464" i="5"/>
  <c r="AB465" i="5"/>
  <c r="AJ465" i="5"/>
  <c r="AN465" i="5"/>
  <c r="AR465" i="5"/>
  <c r="AB466" i="5"/>
  <c r="AJ466" i="5"/>
  <c r="AN466" i="5"/>
  <c r="AR466" i="5"/>
  <c r="AB467" i="5"/>
  <c r="AJ467" i="5"/>
  <c r="AN467" i="5"/>
  <c r="AR467" i="5"/>
  <c r="AB468" i="5"/>
  <c r="AJ468" i="5"/>
  <c r="AN468" i="5"/>
  <c r="AR468" i="5"/>
  <c r="AB469" i="5"/>
  <c r="AJ469" i="5"/>
  <c r="AN469" i="5"/>
  <c r="AR469" i="5"/>
  <c r="AB470" i="5"/>
  <c r="AJ470" i="5"/>
  <c r="AN470" i="5"/>
  <c r="AR470" i="5"/>
  <c r="AB471" i="5"/>
  <c r="AJ471" i="5"/>
  <c r="AN471" i="5"/>
  <c r="AR471" i="5"/>
  <c r="AB472" i="5"/>
  <c r="AJ472" i="5"/>
  <c r="AN472" i="5"/>
  <c r="AR472" i="5"/>
  <c r="AB473" i="5"/>
  <c r="AJ473" i="5"/>
  <c r="AN473" i="5"/>
  <c r="AR473" i="5"/>
  <c r="AB474" i="5"/>
  <c r="AJ474" i="5"/>
  <c r="AN474" i="5"/>
  <c r="AR474" i="5"/>
  <c r="AB475" i="5"/>
  <c r="AJ475" i="5"/>
  <c r="AN475" i="5"/>
  <c r="AR475" i="5"/>
  <c r="AB476" i="5"/>
  <c r="AJ476" i="5"/>
  <c r="AN476" i="5"/>
  <c r="AR476" i="5"/>
  <c r="AB477" i="5"/>
  <c r="AJ477" i="5"/>
  <c r="AN477" i="5"/>
  <c r="AR477" i="5"/>
  <c r="AB478" i="5"/>
  <c r="AJ478" i="5"/>
  <c r="AN478" i="5"/>
  <c r="AR478" i="5"/>
  <c r="AB479" i="5"/>
  <c r="AJ479" i="5"/>
  <c r="AN479" i="5"/>
  <c r="AR479" i="5"/>
  <c r="AB480" i="5"/>
  <c r="AJ480" i="5"/>
  <c r="AN480" i="5"/>
  <c r="AR480" i="5"/>
  <c r="AB481" i="5"/>
  <c r="AJ481" i="5"/>
  <c r="AN481" i="5"/>
  <c r="AR481" i="5"/>
  <c r="AB482" i="5"/>
  <c r="AJ482" i="5"/>
  <c r="AN482" i="5"/>
  <c r="AR482" i="5"/>
  <c r="AB483" i="5"/>
  <c r="AJ483" i="5"/>
  <c r="AN483" i="5"/>
  <c r="AR483" i="5"/>
  <c r="AB484" i="5"/>
  <c r="AJ484" i="5"/>
  <c r="AN484" i="5"/>
  <c r="AR484" i="5"/>
  <c r="AB485" i="5"/>
  <c r="AJ485" i="5"/>
  <c r="AN485" i="5"/>
  <c r="AR485" i="5"/>
  <c r="AB486" i="5"/>
  <c r="AJ486" i="5"/>
  <c r="AN486" i="5"/>
  <c r="AR486" i="5"/>
  <c r="AB487" i="5"/>
  <c r="AJ487" i="5"/>
  <c r="AN487" i="5"/>
  <c r="AR487" i="5"/>
  <c r="AB488" i="5"/>
  <c r="AJ488" i="5"/>
  <c r="AN488" i="5"/>
  <c r="AR488" i="5"/>
  <c r="AB489" i="5"/>
  <c r="AJ489" i="5"/>
  <c r="AN489" i="5"/>
  <c r="AR489" i="5"/>
  <c r="AB490" i="5"/>
  <c r="AJ490" i="5"/>
  <c r="AN490" i="5"/>
  <c r="AR490" i="5"/>
  <c r="AB491" i="5"/>
  <c r="AJ491" i="5"/>
  <c r="AN491" i="5"/>
  <c r="AR491" i="5"/>
  <c r="AB492" i="5"/>
  <c r="AJ492" i="5"/>
  <c r="AN492" i="5"/>
  <c r="AR492" i="5"/>
  <c r="AB493" i="5"/>
  <c r="AJ493" i="5"/>
  <c r="AN493" i="5"/>
  <c r="AR493" i="5"/>
  <c r="AB494" i="5"/>
  <c r="AJ494" i="5"/>
  <c r="AN494" i="5"/>
  <c r="AR494" i="5"/>
  <c r="AB495" i="5"/>
  <c r="AJ495" i="5"/>
  <c r="AN495" i="5"/>
  <c r="AR495" i="5"/>
  <c r="AB496" i="5"/>
  <c r="AJ496" i="5"/>
  <c r="AN496" i="5"/>
  <c r="AR496" i="5"/>
  <c r="AB497" i="5"/>
  <c r="AJ497" i="5"/>
  <c r="AN497" i="5"/>
  <c r="AR497" i="5"/>
  <c r="AB498" i="5"/>
  <c r="AJ498" i="5"/>
  <c r="AN498" i="5"/>
  <c r="AR498" i="5"/>
  <c r="AB499" i="5"/>
  <c r="AJ499" i="5"/>
  <c r="AN499" i="5"/>
  <c r="AR499" i="5"/>
  <c r="AB500" i="5"/>
  <c r="AJ500" i="5"/>
  <c r="AN500" i="5"/>
  <c r="AR500" i="5"/>
  <c r="AB501" i="5"/>
  <c r="AJ501" i="5"/>
  <c r="AN501" i="5"/>
  <c r="AR501" i="5"/>
  <c r="AB502" i="5"/>
  <c r="AJ502" i="5"/>
  <c r="AN502" i="5"/>
  <c r="AR502" i="5"/>
  <c r="AB503" i="5"/>
  <c r="AJ503" i="5"/>
  <c r="AN503" i="5"/>
  <c r="AR503" i="5"/>
  <c r="AB504" i="5"/>
  <c r="AJ504" i="5"/>
  <c r="AN504" i="5"/>
  <c r="AR504" i="5"/>
  <c r="AB505" i="5"/>
  <c r="AJ505" i="5"/>
  <c r="AN505" i="5"/>
  <c r="AR505" i="5"/>
  <c r="AB506" i="5"/>
  <c r="AJ506" i="5"/>
  <c r="AN506" i="5"/>
  <c r="AR506" i="5"/>
  <c r="AB507" i="5"/>
  <c r="AJ507" i="5"/>
  <c r="AN507" i="5"/>
  <c r="AR507" i="5"/>
  <c r="AB508" i="5"/>
  <c r="AJ508" i="5"/>
  <c r="AN508" i="5"/>
  <c r="AR508" i="5"/>
  <c r="AB509" i="5"/>
  <c r="AJ509" i="5"/>
  <c r="AN509" i="5"/>
  <c r="AR509" i="5"/>
  <c r="AB510" i="5"/>
  <c r="AJ510" i="5"/>
  <c r="AN510" i="5"/>
  <c r="AR510" i="5"/>
  <c r="AB511" i="5"/>
  <c r="AJ511" i="5"/>
  <c r="AN511" i="5"/>
  <c r="AR511" i="5"/>
  <c r="AB512" i="5"/>
  <c r="AJ512" i="5"/>
  <c r="AN512" i="5"/>
  <c r="AR512" i="5"/>
  <c r="AB513" i="5"/>
  <c r="AJ513" i="5"/>
  <c r="AN513" i="5"/>
  <c r="AR513" i="5"/>
  <c r="AB514" i="5"/>
  <c r="AJ514" i="5"/>
  <c r="AN514" i="5"/>
  <c r="AR514" i="5"/>
  <c r="AB515" i="5"/>
  <c r="AJ515" i="5"/>
  <c r="AN515" i="5"/>
  <c r="AR515" i="5"/>
  <c r="AB516" i="5"/>
  <c r="AJ516" i="5"/>
  <c r="AN516" i="5"/>
  <c r="AR516" i="5"/>
  <c r="AB517" i="5"/>
  <c r="AJ517" i="5"/>
  <c r="AN517" i="5"/>
  <c r="AR517" i="5"/>
  <c r="AB518" i="5"/>
  <c r="AJ518" i="5"/>
  <c r="AN518" i="5"/>
  <c r="AR518" i="5"/>
  <c r="AB519" i="5"/>
  <c r="AJ519" i="5"/>
  <c r="AN519" i="5"/>
  <c r="AR519" i="5"/>
  <c r="AB520" i="5"/>
  <c r="AJ520" i="5"/>
  <c r="AN520" i="5"/>
  <c r="AR520" i="5"/>
  <c r="AB521" i="5"/>
  <c r="AJ521" i="5"/>
  <c r="AN521" i="5"/>
  <c r="AR521" i="5"/>
  <c r="AB522" i="5"/>
  <c r="AJ522" i="5"/>
  <c r="AN522" i="5"/>
  <c r="AR522" i="5"/>
  <c r="AB523" i="5"/>
  <c r="AJ523" i="5"/>
  <c r="AN523" i="5"/>
  <c r="AR523" i="5"/>
  <c r="AB524" i="5"/>
  <c r="AJ524" i="5"/>
  <c r="AN524" i="5"/>
  <c r="AR524" i="5"/>
  <c r="AB525" i="5"/>
  <c r="AJ525" i="5"/>
  <c r="AN525" i="5"/>
  <c r="AR525" i="5"/>
  <c r="AB526" i="5"/>
  <c r="AJ526" i="5"/>
  <c r="AN526" i="5"/>
  <c r="AR526" i="5"/>
  <c r="AB527" i="5"/>
  <c r="AJ527" i="5"/>
  <c r="AN527" i="5"/>
  <c r="AR527" i="5"/>
  <c r="AB528" i="5"/>
  <c r="AJ528" i="5"/>
  <c r="AN528" i="5"/>
  <c r="AR528" i="5"/>
  <c r="AB529" i="5"/>
  <c r="AJ529" i="5"/>
  <c r="AN529" i="5"/>
  <c r="AR529" i="5"/>
  <c r="AB530" i="5"/>
  <c r="AJ530" i="5"/>
  <c r="AN530" i="5"/>
  <c r="AR530" i="5"/>
  <c r="AB531" i="5"/>
  <c r="AJ531" i="5"/>
  <c r="AN531" i="5"/>
  <c r="AR531" i="5"/>
  <c r="AB532" i="5"/>
  <c r="AJ532" i="5"/>
  <c r="AN532" i="5"/>
  <c r="AR532" i="5"/>
  <c r="AB533" i="5"/>
  <c r="AJ533" i="5"/>
  <c r="AN533" i="5"/>
  <c r="AR533" i="5"/>
  <c r="AB534" i="5"/>
  <c r="AJ534" i="5"/>
  <c r="AN534" i="5"/>
  <c r="AR534" i="5"/>
  <c r="AB535" i="5"/>
  <c r="AJ535" i="5"/>
  <c r="AN535" i="5"/>
  <c r="AR535" i="5"/>
  <c r="AB536" i="5"/>
  <c r="AJ536" i="5"/>
  <c r="AN536" i="5"/>
  <c r="AR536" i="5"/>
  <c r="AB537" i="5"/>
  <c r="AJ537" i="5"/>
  <c r="AN537" i="5"/>
  <c r="AR537" i="5"/>
  <c r="AB538" i="5"/>
  <c r="AJ538" i="5"/>
  <c r="AN538" i="5"/>
  <c r="AR538" i="5"/>
  <c r="AB539" i="5"/>
  <c r="AJ539" i="5"/>
  <c r="AN539" i="5"/>
  <c r="AR539" i="5"/>
  <c r="AB540" i="5"/>
  <c r="AJ540" i="5"/>
  <c r="AN540" i="5"/>
  <c r="AR540" i="5"/>
  <c r="AB541" i="5"/>
  <c r="AJ541" i="5"/>
  <c r="AN541" i="5"/>
  <c r="AR541" i="5"/>
  <c r="AB542" i="5"/>
  <c r="AJ542" i="5"/>
  <c r="AN542" i="5"/>
  <c r="AR542" i="5"/>
  <c r="AB543" i="5"/>
  <c r="AJ543" i="5"/>
  <c r="AN543" i="5"/>
  <c r="AR543" i="5"/>
  <c r="AB544" i="5"/>
  <c r="AJ544" i="5"/>
  <c r="AN544" i="5"/>
  <c r="AR544" i="5"/>
  <c r="AB545" i="5"/>
  <c r="AJ545" i="5"/>
  <c r="AN545" i="5"/>
  <c r="AR545" i="5"/>
  <c r="AB546" i="5"/>
  <c r="AJ546" i="5"/>
  <c r="AN546" i="5"/>
  <c r="AR546" i="5"/>
  <c r="AB547" i="5"/>
  <c r="AJ547" i="5"/>
  <c r="AN547" i="5"/>
  <c r="AR547" i="5"/>
  <c r="AB548" i="5"/>
  <c r="AJ548" i="5"/>
  <c r="AN548" i="5"/>
  <c r="AR548" i="5"/>
  <c r="AB549" i="5"/>
  <c r="AJ549" i="5"/>
  <c r="AN549" i="5"/>
  <c r="AR549" i="5"/>
  <c r="AB550" i="5"/>
  <c r="AJ550" i="5"/>
  <c r="AN550" i="5"/>
  <c r="AR550" i="5"/>
  <c r="AB551" i="5"/>
  <c r="AJ551" i="5"/>
  <c r="AN551" i="5"/>
  <c r="AR551" i="5"/>
  <c r="AB552" i="5"/>
  <c r="AJ552" i="5"/>
  <c r="AN552" i="5"/>
  <c r="AR552" i="5"/>
  <c r="AB553" i="5"/>
  <c r="AJ553" i="5"/>
  <c r="AN553" i="5"/>
  <c r="AR553" i="5"/>
  <c r="AB554" i="5"/>
  <c r="AJ554" i="5"/>
  <c r="AN554" i="5"/>
  <c r="AR554" i="5"/>
  <c r="AB555" i="5"/>
  <c r="AJ555" i="5"/>
  <c r="AN555" i="5"/>
  <c r="AR555" i="5"/>
  <c r="AB556" i="5"/>
  <c r="AJ556" i="5"/>
  <c r="AN556" i="5"/>
  <c r="AR556" i="5"/>
  <c r="AB557" i="5"/>
  <c r="AJ557" i="5"/>
  <c r="AN557" i="5"/>
  <c r="AR557" i="5"/>
  <c r="AB558" i="5"/>
  <c r="AJ558" i="5"/>
  <c r="AN558" i="5"/>
  <c r="AR558" i="5"/>
  <c r="AB559" i="5"/>
  <c r="AJ559" i="5"/>
  <c r="AN559" i="5"/>
  <c r="AR559" i="5"/>
  <c r="AB560" i="5"/>
  <c r="AJ560" i="5"/>
  <c r="AN560" i="5"/>
  <c r="AR560" i="5"/>
  <c r="AB561" i="5"/>
  <c r="AE561" i="5"/>
  <c r="AF561" i="5"/>
  <c r="AG561" i="5"/>
  <c r="AH561" i="5"/>
  <c r="AI561" i="5"/>
  <c r="AJ561" i="5"/>
  <c r="AN561" i="5"/>
  <c r="AR561" i="5"/>
  <c r="AB562" i="5"/>
  <c r="AJ562" i="5"/>
  <c r="AN562" i="5"/>
  <c r="AR562" i="5"/>
  <c r="AB563" i="5"/>
  <c r="AJ563" i="5"/>
  <c r="AN563" i="5"/>
  <c r="AR563" i="5"/>
  <c r="AB564" i="5"/>
  <c r="AJ564" i="5"/>
  <c r="AN564" i="5"/>
  <c r="AR564" i="5"/>
  <c r="AB565" i="5"/>
  <c r="AJ565" i="5"/>
  <c r="AN565" i="5"/>
  <c r="AR565" i="5"/>
  <c r="AB566" i="5"/>
  <c r="AJ566" i="5"/>
  <c r="AN566" i="5"/>
  <c r="AR566" i="5"/>
  <c r="AB567" i="5"/>
  <c r="AJ567" i="5"/>
  <c r="AN567" i="5"/>
  <c r="AR567" i="5"/>
  <c r="AB568" i="5"/>
  <c r="AJ568" i="5"/>
  <c r="AN568" i="5"/>
  <c r="AR568" i="5"/>
  <c r="AB569" i="5"/>
  <c r="AJ569" i="5"/>
  <c r="AN569" i="5"/>
  <c r="AR569" i="5"/>
  <c r="AB570" i="5"/>
  <c r="AJ570" i="5"/>
  <c r="AN570" i="5"/>
  <c r="AR570" i="5"/>
  <c r="AB571" i="5"/>
  <c r="AJ571" i="5"/>
  <c r="AN571" i="5"/>
  <c r="AR571" i="5"/>
  <c r="AB572" i="5"/>
  <c r="AJ572" i="5"/>
  <c r="AN572" i="5"/>
  <c r="AR572" i="5"/>
  <c r="AB573" i="5"/>
  <c r="AJ573" i="5"/>
  <c r="AN573" i="5"/>
  <c r="AR573" i="5"/>
  <c r="AB574" i="5"/>
  <c r="AJ574" i="5"/>
  <c r="AN574" i="5"/>
  <c r="AR574" i="5"/>
  <c r="AB575" i="5"/>
  <c r="AJ575" i="5"/>
  <c r="AN575" i="5"/>
  <c r="AR575" i="5"/>
  <c r="AB576" i="5"/>
  <c r="AJ576" i="5"/>
  <c r="AN576" i="5"/>
  <c r="AR576" i="5"/>
  <c r="AB577" i="5"/>
  <c r="AJ577" i="5"/>
  <c r="AN577" i="5"/>
  <c r="AR577" i="5"/>
  <c r="AB578" i="5"/>
  <c r="AJ578" i="5"/>
  <c r="AN578" i="5"/>
  <c r="AR578" i="5"/>
  <c r="AB579" i="5"/>
  <c r="AJ579" i="5"/>
  <c r="AN579" i="5"/>
  <c r="AR579" i="5"/>
  <c r="AB580" i="5"/>
  <c r="AJ580" i="5"/>
  <c r="AN580" i="5"/>
  <c r="AR580" i="5"/>
  <c r="AB581" i="5"/>
  <c r="AJ581" i="5"/>
  <c r="AN581" i="5"/>
  <c r="AR581" i="5"/>
  <c r="AB582" i="5"/>
  <c r="AJ582" i="5"/>
  <c r="AN582" i="5"/>
  <c r="AR582" i="5"/>
  <c r="AB583" i="5"/>
  <c r="AJ583" i="5"/>
  <c r="AN583" i="5"/>
  <c r="AR583" i="5"/>
  <c r="AB584" i="5"/>
  <c r="AJ584" i="5"/>
  <c r="AN584" i="5"/>
  <c r="AR584" i="5"/>
  <c r="AB585" i="5"/>
  <c r="AJ585" i="5"/>
  <c r="AN585" i="5"/>
  <c r="AR585" i="5"/>
  <c r="AB586" i="5"/>
  <c r="AJ586" i="5"/>
  <c r="AN586" i="5"/>
  <c r="AR586" i="5"/>
  <c r="AB587" i="5"/>
  <c r="AJ587" i="5"/>
  <c r="AN587" i="5"/>
  <c r="AR587" i="5"/>
  <c r="AB588" i="5"/>
  <c r="AJ588" i="5"/>
  <c r="AN588" i="5"/>
  <c r="AR588" i="5"/>
  <c r="AB589" i="5"/>
  <c r="AJ589" i="5"/>
  <c r="AN589" i="5"/>
  <c r="AR589" i="5"/>
  <c r="AB590" i="5"/>
  <c r="AJ590" i="5"/>
  <c r="AN590" i="5"/>
  <c r="AR590" i="5"/>
  <c r="AB591" i="5"/>
  <c r="AJ591" i="5"/>
  <c r="AN591" i="5"/>
  <c r="AR591" i="5"/>
  <c r="AB592" i="5"/>
  <c r="AJ592" i="5"/>
  <c r="AN592" i="5"/>
  <c r="AR592" i="5"/>
  <c r="AB593" i="5"/>
  <c r="AJ593" i="5"/>
  <c r="AN593" i="5"/>
  <c r="AR593" i="5"/>
  <c r="AB594" i="5"/>
  <c r="AJ594" i="5"/>
  <c r="AN594" i="5"/>
  <c r="AR594" i="5"/>
  <c r="AB595" i="5"/>
  <c r="AJ595" i="5"/>
  <c r="AN595" i="5"/>
  <c r="AR595" i="5"/>
  <c r="AB596" i="5"/>
  <c r="AJ596" i="5"/>
  <c r="AN596" i="5"/>
  <c r="AR596" i="5"/>
  <c r="AB597" i="5"/>
  <c r="AJ597" i="5"/>
  <c r="AN597" i="5"/>
  <c r="AR597" i="5"/>
  <c r="AB598" i="5"/>
  <c r="AE598" i="5"/>
  <c r="AF598" i="5"/>
  <c r="AG598" i="5"/>
  <c r="AH598" i="5"/>
  <c r="AI598" i="5"/>
  <c r="AJ598" i="5"/>
  <c r="AN598" i="5"/>
  <c r="AR598" i="5"/>
  <c r="AB599" i="5"/>
  <c r="AJ599" i="5"/>
  <c r="AN599" i="5"/>
  <c r="AR599" i="5"/>
  <c r="AB600" i="5"/>
  <c r="AJ600" i="5"/>
  <c r="AN600" i="5"/>
  <c r="AR600" i="5"/>
  <c r="AB601" i="5"/>
  <c r="AJ601" i="5"/>
  <c r="AN601" i="5"/>
  <c r="AR601" i="5"/>
  <c r="AB602" i="5"/>
  <c r="AJ602" i="5"/>
  <c r="AN602" i="5"/>
  <c r="AR602" i="5"/>
  <c r="AB603" i="5"/>
  <c r="AJ603" i="5"/>
  <c r="AN603" i="5"/>
  <c r="AR603" i="5"/>
  <c r="AB604" i="5"/>
  <c r="AJ604" i="5"/>
  <c r="AN604" i="5"/>
  <c r="AR604" i="5"/>
  <c r="AB605" i="5"/>
  <c r="AJ605" i="5"/>
  <c r="AN605" i="5"/>
  <c r="AR605" i="5"/>
  <c r="AB606" i="5"/>
  <c r="AJ606" i="5"/>
  <c r="AN606" i="5"/>
  <c r="AR606" i="5"/>
  <c r="AB607" i="5"/>
  <c r="AJ607" i="5"/>
  <c r="AN607" i="5"/>
  <c r="AR607" i="5"/>
  <c r="AB608" i="5"/>
  <c r="AJ608" i="5"/>
  <c r="AN608" i="5"/>
  <c r="AR608" i="5"/>
  <c r="AB609" i="5"/>
  <c r="AJ609" i="5"/>
  <c r="AN609" i="5"/>
  <c r="AR609" i="5"/>
  <c r="AB610" i="5"/>
  <c r="AJ610" i="5"/>
  <c r="AN610" i="5"/>
  <c r="AR610" i="5"/>
  <c r="AB611" i="5"/>
  <c r="AJ611" i="5"/>
  <c r="AN611" i="5"/>
  <c r="AR611" i="5"/>
  <c r="AB612" i="5"/>
  <c r="AJ612" i="5"/>
  <c r="AN612" i="5"/>
  <c r="AR612" i="5"/>
  <c r="AB613" i="5"/>
  <c r="AJ613" i="5"/>
  <c r="AN613" i="5"/>
  <c r="AR613" i="5"/>
  <c r="AB614" i="5"/>
  <c r="AJ614" i="5"/>
  <c r="AN614" i="5"/>
  <c r="AR614" i="5"/>
  <c r="AB615" i="5"/>
  <c r="AJ615" i="5"/>
  <c r="AN615" i="5"/>
  <c r="AR615" i="5"/>
  <c r="AB616" i="5"/>
  <c r="AJ616" i="5"/>
  <c r="AN616" i="5"/>
  <c r="AR616" i="5"/>
  <c r="AB617" i="5"/>
  <c r="AJ617" i="5"/>
  <c r="AN617" i="5"/>
  <c r="AR617" i="5"/>
  <c r="AB618" i="5"/>
  <c r="AJ618" i="5"/>
  <c r="AN618" i="5"/>
  <c r="AR618" i="5"/>
  <c r="AB619" i="5"/>
  <c r="AJ619" i="5"/>
  <c r="AN619" i="5"/>
  <c r="AR619" i="5"/>
  <c r="AB620" i="5"/>
  <c r="AJ620" i="5"/>
  <c r="AN620" i="5"/>
  <c r="AR620" i="5"/>
  <c r="AB621" i="5"/>
  <c r="AJ621" i="5"/>
  <c r="AN621" i="5"/>
  <c r="AR621" i="5"/>
  <c r="AB622" i="5"/>
  <c r="AJ622" i="5"/>
  <c r="AN622" i="5"/>
  <c r="AR622" i="5"/>
  <c r="AB623" i="5"/>
  <c r="AJ623" i="5"/>
  <c r="AN623" i="5"/>
  <c r="AR623" i="5"/>
  <c r="AB624" i="5"/>
  <c r="AJ624" i="5"/>
  <c r="AN624" i="5"/>
  <c r="AR624" i="5"/>
  <c r="AB625" i="5"/>
  <c r="AJ625" i="5"/>
  <c r="AN625" i="5"/>
  <c r="AR625" i="5"/>
  <c r="AB626" i="5"/>
  <c r="AJ626" i="5"/>
  <c r="AN626" i="5"/>
  <c r="AR626" i="5"/>
  <c r="AB627" i="5"/>
  <c r="AJ627" i="5"/>
  <c r="AN627" i="5"/>
  <c r="AR627" i="5"/>
  <c r="AB628" i="5"/>
  <c r="AJ628" i="5"/>
  <c r="AN628" i="5"/>
  <c r="AR628" i="5"/>
  <c r="AB629" i="5"/>
  <c r="AJ629" i="5"/>
  <c r="AN629" i="5"/>
  <c r="AR629" i="5"/>
  <c r="AB630" i="5"/>
  <c r="AJ630" i="5"/>
  <c r="AN630" i="5"/>
  <c r="AR630" i="5"/>
  <c r="AB631" i="5"/>
  <c r="AJ631" i="5"/>
  <c r="AN631" i="5"/>
  <c r="AR631" i="5"/>
  <c r="AB632" i="5"/>
  <c r="AJ632" i="5"/>
  <c r="AN632" i="5"/>
  <c r="AR632" i="5"/>
  <c r="AB633" i="5"/>
  <c r="AJ633" i="5"/>
  <c r="AN633" i="5"/>
  <c r="AR633" i="5"/>
  <c r="AB634" i="5"/>
  <c r="AJ634" i="5"/>
  <c r="AN634" i="5"/>
  <c r="AR634" i="5"/>
  <c r="AB635" i="5"/>
  <c r="AJ635" i="5"/>
  <c r="AN635" i="5"/>
  <c r="AR635" i="5"/>
  <c r="AB636" i="5"/>
  <c r="AJ636" i="5"/>
  <c r="AN636" i="5"/>
  <c r="AR636" i="5"/>
  <c r="AB637" i="5"/>
  <c r="AJ637" i="5"/>
  <c r="AN637" i="5"/>
  <c r="AR637" i="5"/>
  <c r="AB638" i="5"/>
  <c r="AJ638" i="5"/>
  <c r="AN638" i="5"/>
  <c r="AR638" i="5"/>
  <c r="AB639" i="5"/>
  <c r="AJ639" i="5"/>
  <c r="AN639" i="5"/>
  <c r="AR639" i="5"/>
  <c r="AB640" i="5"/>
  <c r="AJ640" i="5"/>
  <c r="AN640" i="5"/>
  <c r="AR640" i="5"/>
  <c r="AB641" i="5"/>
  <c r="AJ641" i="5"/>
  <c r="AN641" i="5"/>
  <c r="AR641" i="5"/>
  <c r="AB642" i="5"/>
  <c r="AJ642" i="5"/>
  <c r="AN642" i="5"/>
  <c r="AR642" i="5"/>
  <c r="AB643" i="5"/>
  <c r="AJ643" i="5"/>
  <c r="AN643" i="5"/>
  <c r="AR643" i="5"/>
  <c r="AB644" i="5"/>
  <c r="AJ644" i="5"/>
  <c r="AN644" i="5"/>
  <c r="AR644" i="5"/>
  <c r="AB645" i="5"/>
  <c r="AJ645" i="5"/>
  <c r="AN645" i="5"/>
  <c r="AR645" i="5"/>
  <c r="AB646" i="5"/>
  <c r="AJ646" i="5"/>
  <c r="AN646" i="5"/>
  <c r="AR646" i="5"/>
  <c r="AB647" i="5"/>
  <c r="AJ647" i="5"/>
  <c r="AN647" i="5"/>
  <c r="AR647" i="5"/>
  <c r="AB648" i="5"/>
  <c r="AJ648" i="5"/>
  <c r="AN648" i="5"/>
  <c r="AR648" i="5"/>
  <c r="AB649" i="5"/>
  <c r="AJ649" i="5"/>
  <c r="AN649" i="5"/>
  <c r="AR649" i="5"/>
  <c r="AB650" i="5"/>
  <c r="AJ650" i="5"/>
  <c r="AN650" i="5"/>
  <c r="AR650" i="5"/>
  <c r="AB651" i="5"/>
  <c r="AJ651" i="5"/>
  <c r="AN651" i="5"/>
  <c r="AR651" i="5"/>
  <c r="AB652" i="5"/>
  <c r="AJ652" i="5"/>
  <c r="AN652" i="5"/>
  <c r="AR652" i="5"/>
  <c r="AB653" i="5"/>
  <c r="AJ653" i="5"/>
  <c r="AN653" i="5"/>
  <c r="AR653" i="5"/>
  <c r="AB654" i="5"/>
  <c r="AJ654" i="5"/>
  <c r="AN654" i="5"/>
  <c r="AR654" i="5"/>
  <c r="AB655" i="5"/>
  <c r="AJ655" i="5"/>
  <c r="AN655" i="5"/>
  <c r="AR655" i="5"/>
  <c r="AB656" i="5"/>
  <c r="AJ656" i="5"/>
  <c r="AN656" i="5"/>
  <c r="AR656" i="5"/>
  <c r="AB657" i="5"/>
  <c r="AJ657" i="5"/>
  <c r="AN657" i="5"/>
  <c r="AR657" i="5"/>
  <c r="AB658" i="5"/>
  <c r="AJ658" i="5"/>
  <c r="AN658" i="5"/>
  <c r="AR658" i="5"/>
  <c r="AB659" i="5"/>
  <c r="AJ659" i="5"/>
  <c r="AN659" i="5"/>
  <c r="AR659" i="5"/>
  <c r="AB660" i="5"/>
  <c r="AJ660" i="5"/>
  <c r="AN660" i="5"/>
  <c r="AR660" i="5"/>
  <c r="AB661" i="5"/>
  <c r="AJ661" i="5"/>
  <c r="AN661" i="5"/>
  <c r="AR661" i="5"/>
  <c r="AB662" i="5"/>
  <c r="AJ662" i="5"/>
  <c r="AN662" i="5"/>
  <c r="AR662" i="5"/>
  <c r="AB663" i="5"/>
  <c r="AJ663" i="5"/>
  <c r="AN663" i="5"/>
  <c r="AR663" i="5"/>
  <c r="AB664" i="5"/>
  <c r="AE664" i="5"/>
  <c r="AF664" i="5"/>
  <c r="AG664" i="5"/>
  <c r="AH664" i="5"/>
  <c r="AI664" i="5"/>
  <c r="AJ664" i="5"/>
  <c r="AN664" i="5"/>
  <c r="AR664" i="5"/>
  <c r="AB665" i="5"/>
  <c r="AJ665" i="5"/>
  <c r="AN665" i="5"/>
  <c r="AR665" i="5"/>
  <c r="AB666" i="5"/>
  <c r="AJ666" i="5"/>
  <c r="AN666" i="5"/>
  <c r="AR666" i="5"/>
  <c r="AB667" i="5"/>
  <c r="AJ667" i="5"/>
  <c r="AN667" i="5"/>
  <c r="AR667" i="5"/>
  <c r="AB668" i="5"/>
  <c r="AJ668" i="5"/>
  <c r="AN668" i="5"/>
  <c r="AR668" i="5"/>
  <c r="AB669" i="5"/>
  <c r="AJ669" i="5"/>
  <c r="AN669" i="5"/>
  <c r="AR669" i="5"/>
  <c r="AB670" i="5"/>
  <c r="AJ670" i="5"/>
  <c r="AN670" i="5"/>
  <c r="AR670" i="5"/>
  <c r="AB671" i="5"/>
  <c r="AJ671" i="5"/>
  <c r="AN671" i="5"/>
  <c r="AR671" i="5"/>
  <c r="AB672" i="5"/>
  <c r="AJ672" i="5"/>
  <c r="AN672" i="5"/>
  <c r="AR672" i="5"/>
  <c r="AB673" i="5"/>
  <c r="AJ673" i="5"/>
  <c r="AN673" i="5"/>
  <c r="AR673" i="5"/>
  <c r="AB674" i="5"/>
  <c r="AJ674" i="5"/>
  <c r="AN674" i="5"/>
  <c r="AR674" i="5"/>
  <c r="AB675" i="5"/>
  <c r="AJ675" i="5"/>
  <c r="AN675" i="5"/>
  <c r="AR675" i="5"/>
  <c r="AB676" i="5"/>
  <c r="AJ676" i="5"/>
  <c r="AN676" i="5"/>
  <c r="AR676" i="5"/>
  <c r="AB677" i="5"/>
  <c r="AJ677" i="5"/>
  <c r="AN677" i="5"/>
  <c r="AR677" i="5"/>
  <c r="AB678" i="5"/>
  <c r="AE678" i="5"/>
  <c r="AF678" i="5"/>
  <c r="AI678" i="5"/>
  <c r="AJ678" i="5"/>
  <c r="AN678" i="5"/>
  <c r="AR678" i="5"/>
  <c r="AB679" i="5"/>
  <c r="AJ679" i="5"/>
  <c r="AN679" i="5"/>
  <c r="AR679" i="5"/>
  <c r="AB680" i="5"/>
  <c r="AJ680" i="5"/>
  <c r="AN680" i="5"/>
  <c r="AR680" i="5"/>
  <c r="AB681" i="5"/>
  <c r="AJ681" i="5"/>
  <c r="AN681" i="5"/>
  <c r="AR681" i="5"/>
  <c r="AB682" i="5"/>
  <c r="AJ682" i="5"/>
  <c r="AN682" i="5"/>
  <c r="AR682" i="5"/>
  <c r="AB683" i="5"/>
  <c r="AJ683" i="5"/>
  <c r="AN683" i="5"/>
  <c r="AR683" i="5"/>
  <c r="AB684" i="5"/>
  <c r="AJ684" i="5"/>
  <c r="AN684" i="5"/>
  <c r="AR684" i="5"/>
  <c r="AB685" i="5"/>
  <c r="AJ685" i="5"/>
  <c r="AN685" i="5"/>
  <c r="AR685" i="5"/>
  <c r="AB686" i="5"/>
  <c r="AJ686" i="5"/>
  <c r="AN686" i="5"/>
  <c r="AR686" i="5"/>
  <c r="AB687" i="5"/>
  <c r="AJ687" i="5"/>
  <c r="AN687" i="5"/>
  <c r="AR687" i="5"/>
  <c r="AB688" i="5"/>
  <c r="AJ688" i="5"/>
  <c r="AN688" i="5"/>
  <c r="AR688" i="5"/>
  <c r="AB689" i="5"/>
  <c r="AJ689" i="5"/>
  <c r="AN689" i="5"/>
  <c r="AR689" i="5"/>
  <c r="AB690" i="5"/>
  <c r="AJ690" i="5"/>
  <c r="AN690" i="5"/>
  <c r="AR690" i="5"/>
  <c r="AB691" i="5"/>
  <c r="AJ691" i="5"/>
  <c r="AN691" i="5"/>
  <c r="AR691" i="5"/>
  <c r="AB692" i="5"/>
  <c r="AJ692" i="5"/>
  <c r="AN692" i="5"/>
  <c r="AR692" i="5"/>
  <c r="AB693" i="5"/>
  <c r="AJ693" i="5"/>
  <c r="AN693" i="5"/>
  <c r="AR693" i="5"/>
  <c r="AB694" i="5"/>
  <c r="AJ694" i="5"/>
  <c r="AN694" i="5"/>
  <c r="AR694" i="5"/>
  <c r="AB695" i="5"/>
  <c r="AJ695" i="5"/>
  <c r="AN695" i="5"/>
  <c r="AR695" i="5"/>
  <c r="AB696" i="5"/>
  <c r="AJ696" i="5"/>
  <c r="AN696" i="5"/>
  <c r="AR696" i="5"/>
  <c r="AB697" i="5"/>
  <c r="AJ697" i="5"/>
  <c r="AN697" i="5"/>
  <c r="AR697" i="5"/>
  <c r="AB698" i="5"/>
  <c r="AJ698" i="5"/>
  <c r="AN698" i="5"/>
  <c r="AR698" i="5"/>
  <c r="AB699" i="5"/>
  <c r="AJ699" i="5"/>
  <c r="AN699" i="5"/>
  <c r="AR699" i="5"/>
  <c r="AB700" i="5"/>
  <c r="AJ700" i="5"/>
  <c r="AN700" i="5"/>
  <c r="AR700" i="5"/>
  <c r="AB701" i="5"/>
  <c r="AJ701" i="5"/>
  <c r="AN701" i="5"/>
  <c r="AR701" i="5"/>
  <c r="AB702" i="5"/>
  <c r="AJ702" i="5"/>
  <c r="AN702" i="5"/>
  <c r="AR702" i="5"/>
  <c r="AB703" i="5"/>
  <c r="AJ703" i="5"/>
  <c r="AN703" i="5"/>
  <c r="AR703" i="5"/>
  <c r="AB704" i="5"/>
  <c r="AJ704" i="5"/>
  <c r="AN704" i="5"/>
  <c r="AR704" i="5"/>
  <c r="AB705" i="5"/>
  <c r="AJ705" i="5"/>
  <c r="AN705" i="5"/>
  <c r="AR705" i="5"/>
  <c r="AB706" i="5"/>
  <c r="AJ706" i="5"/>
  <c r="AN706" i="5"/>
  <c r="AR706" i="5"/>
  <c r="AB707" i="5"/>
  <c r="AJ707" i="5"/>
  <c r="AN707" i="5"/>
  <c r="AR707" i="5"/>
  <c r="AB708" i="5"/>
  <c r="AJ708" i="5"/>
  <c r="AN708" i="5"/>
  <c r="AR708" i="5"/>
  <c r="AB709" i="5"/>
  <c r="AJ709" i="5"/>
  <c r="AN709" i="5"/>
  <c r="AR709" i="5"/>
  <c r="AB710" i="5"/>
  <c r="AJ710" i="5"/>
  <c r="AN710" i="5"/>
  <c r="AR710" i="5"/>
  <c r="AB711" i="5"/>
  <c r="AE711" i="5"/>
  <c r="AF711" i="5"/>
  <c r="AG711" i="5"/>
  <c r="AH711" i="5"/>
  <c r="AI711" i="5"/>
  <c r="AJ711" i="5"/>
  <c r="AN711" i="5"/>
  <c r="AR711" i="5"/>
  <c r="AB712" i="5"/>
  <c r="AJ712" i="5"/>
  <c r="AN712" i="5"/>
  <c r="AR712" i="5"/>
  <c r="AB713" i="5"/>
  <c r="AJ713" i="5"/>
  <c r="AN713" i="5"/>
  <c r="AR713" i="5"/>
  <c r="AB714" i="5"/>
  <c r="AJ714" i="5"/>
  <c r="AN714" i="5"/>
  <c r="AR714" i="5"/>
  <c r="AB715" i="5"/>
  <c r="AJ715" i="5"/>
  <c r="AN715" i="5"/>
  <c r="AR715" i="5"/>
  <c r="AB716" i="5"/>
  <c r="AJ716" i="5"/>
  <c r="AN716" i="5"/>
  <c r="AR716" i="5"/>
  <c r="AB717" i="5"/>
  <c r="AJ717" i="5"/>
  <c r="AN717" i="5"/>
  <c r="AR717" i="5"/>
  <c r="AB718" i="5"/>
  <c r="AJ718" i="5"/>
  <c r="AN718" i="5"/>
  <c r="AR718" i="5"/>
  <c r="AB719" i="5"/>
  <c r="AJ719" i="5"/>
  <c r="AN719" i="5"/>
  <c r="AR719" i="5"/>
  <c r="AB720" i="5"/>
  <c r="AJ720" i="5"/>
  <c r="AN720" i="5"/>
  <c r="AR720" i="5"/>
  <c r="AB721" i="5"/>
  <c r="AJ721" i="5"/>
  <c r="AN721" i="5"/>
  <c r="AR721" i="5"/>
  <c r="AB722" i="5"/>
  <c r="AJ722" i="5"/>
  <c r="AN722" i="5"/>
  <c r="AR722" i="5"/>
  <c r="AB723" i="5"/>
  <c r="AJ723" i="5"/>
  <c r="AN723" i="5"/>
  <c r="AR723" i="5"/>
  <c r="AB724" i="5"/>
  <c r="AJ724" i="5"/>
  <c r="AN724" i="5"/>
  <c r="AR724" i="5"/>
  <c r="AB725" i="5"/>
  <c r="AJ725" i="5"/>
  <c r="AN725" i="5"/>
  <c r="AR725" i="5"/>
  <c r="AB726" i="5"/>
  <c r="AE726" i="5"/>
  <c r="AF726" i="5"/>
  <c r="AG726" i="5"/>
  <c r="AH726" i="5"/>
  <c r="AI726" i="5"/>
  <c r="AJ726" i="5"/>
  <c r="AN726" i="5"/>
  <c r="AR726" i="5"/>
  <c r="AB727" i="5"/>
  <c r="AJ727" i="5"/>
  <c r="AN727" i="5"/>
  <c r="AR727" i="5"/>
  <c r="AB728" i="5"/>
  <c r="AJ728" i="5"/>
  <c r="AN728" i="5"/>
  <c r="AR728" i="5"/>
  <c r="AB729" i="5"/>
  <c r="AJ729" i="5"/>
  <c r="AN729" i="5"/>
  <c r="AR729" i="5"/>
  <c r="AB730" i="5"/>
  <c r="AJ730" i="5"/>
  <c r="AN730" i="5"/>
  <c r="AR730" i="5"/>
  <c r="AB731" i="5"/>
  <c r="AJ731" i="5"/>
  <c r="AN731" i="5"/>
  <c r="AR731" i="5"/>
  <c r="AB732" i="5"/>
  <c r="AJ732" i="5"/>
  <c r="AN732" i="5"/>
  <c r="AR732" i="5"/>
  <c r="AB733" i="5"/>
  <c r="AJ733" i="5"/>
  <c r="AN733" i="5"/>
  <c r="AR733" i="5"/>
  <c r="AB734" i="5"/>
  <c r="AJ734" i="5"/>
  <c r="AN734" i="5"/>
  <c r="AR734" i="5"/>
  <c r="AB735" i="5"/>
  <c r="AJ735" i="5"/>
  <c r="AN735" i="5"/>
  <c r="AR735" i="5"/>
  <c r="AB736" i="5"/>
  <c r="AJ736" i="5"/>
  <c r="AN736" i="5"/>
  <c r="AR736" i="5"/>
  <c r="AB737" i="5"/>
  <c r="AJ737" i="5"/>
  <c r="AN737" i="5"/>
  <c r="AR737" i="5"/>
  <c r="AB738" i="5"/>
  <c r="AJ738" i="5"/>
  <c r="AN738" i="5"/>
  <c r="AR738" i="5"/>
  <c r="AB739" i="5"/>
  <c r="AJ739" i="5"/>
  <c r="AN739" i="5"/>
  <c r="AR739" i="5"/>
  <c r="AB740" i="5"/>
  <c r="AE740" i="5"/>
  <c r="AF740" i="5"/>
  <c r="AG740" i="5"/>
  <c r="AH740" i="5"/>
  <c r="AI740" i="5"/>
  <c r="AJ740" i="5"/>
  <c r="AN740" i="5"/>
  <c r="AR740" i="5"/>
  <c r="AB741" i="5"/>
  <c r="AJ741" i="5"/>
  <c r="AN741" i="5"/>
  <c r="AR741" i="5"/>
  <c r="AB742" i="5"/>
  <c r="AJ742" i="5"/>
  <c r="AN742" i="5"/>
  <c r="AR742" i="5"/>
  <c r="AB743" i="5"/>
  <c r="AJ743" i="5"/>
  <c r="AN743" i="5"/>
  <c r="AR743" i="5"/>
  <c r="AB744" i="5"/>
  <c r="AJ744" i="5"/>
  <c r="AN744" i="5"/>
  <c r="AR744" i="5"/>
  <c r="AB745" i="5"/>
  <c r="AJ745" i="5"/>
  <c r="AN745" i="5"/>
  <c r="AR745" i="5"/>
  <c r="AB746" i="5"/>
  <c r="AJ746" i="5"/>
  <c r="AN746" i="5"/>
  <c r="AR746" i="5"/>
  <c r="AB747" i="5"/>
  <c r="AJ747" i="5"/>
  <c r="AN747" i="5"/>
  <c r="AR747" i="5"/>
  <c r="AB748" i="5"/>
  <c r="AJ748" i="5"/>
  <c r="AN748" i="5"/>
  <c r="AR748" i="5"/>
  <c r="AB749" i="5"/>
  <c r="AJ749" i="5"/>
  <c r="AN749" i="5"/>
  <c r="AR749" i="5"/>
  <c r="AB750" i="5"/>
  <c r="AJ750" i="5"/>
  <c r="AN750" i="5"/>
  <c r="AR750" i="5"/>
  <c r="AB751" i="5"/>
  <c r="AJ751" i="5"/>
  <c r="AN751" i="5"/>
  <c r="AR751" i="5"/>
  <c r="AB752" i="5"/>
  <c r="AJ752" i="5"/>
  <c r="AN752" i="5"/>
  <c r="AR752" i="5"/>
  <c r="AB753" i="5"/>
  <c r="AJ753" i="5"/>
  <c r="AN753" i="5"/>
  <c r="AR753" i="5"/>
  <c r="AB754" i="5"/>
  <c r="AJ754" i="5"/>
  <c r="AN754" i="5"/>
  <c r="AR754" i="5"/>
  <c r="AB755" i="5"/>
  <c r="AJ755" i="5"/>
  <c r="AN755" i="5"/>
  <c r="AR755" i="5"/>
  <c r="AB756" i="5"/>
  <c r="AJ756" i="5"/>
  <c r="AN756" i="5"/>
  <c r="AR756" i="5"/>
  <c r="AB757" i="5"/>
  <c r="AJ757" i="5"/>
  <c r="AN757" i="5"/>
  <c r="AR757" i="5"/>
  <c r="AB758" i="5"/>
  <c r="AJ758" i="5"/>
  <c r="AN758" i="5"/>
  <c r="AR758" i="5"/>
  <c r="AB759" i="5"/>
  <c r="AJ759" i="5"/>
  <c r="AN759" i="5"/>
  <c r="AR759" i="5"/>
  <c r="AB760" i="5"/>
  <c r="AJ760" i="5"/>
  <c r="AN760" i="5"/>
  <c r="AR760" i="5"/>
  <c r="AB761" i="5"/>
  <c r="AJ761" i="5"/>
  <c r="AN761" i="5"/>
  <c r="AR761" i="5"/>
  <c r="AB762" i="5"/>
  <c r="AJ762" i="5"/>
  <c r="AN762" i="5"/>
  <c r="AR762" i="5"/>
  <c r="AB763" i="5"/>
  <c r="AJ763" i="5"/>
  <c r="AN763" i="5"/>
  <c r="AR763" i="5"/>
  <c r="AB764" i="5"/>
  <c r="AJ764" i="5"/>
  <c r="AN764" i="5"/>
  <c r="AR764" i="5"/>
  <c r="AB765" i="5"/>
  <c r="AJ765" i="5"/>
  <c r="AN765" i="5"/>
  <c r="AR765" i="5"/>
  <c r="AB766" i="5"/>
  <c r="AJ766" i="5"/>
  <c r="AN766" i="5"/>
  <c r="AR766" i="5"/>
  <c r="AB767" i="5"/>
  <c r="AJ767" i="5"/>
  <c r="AN767" i="5"/>
  <c r="AR767" i="5"/>
  <c r="AB768" i="5"/>
  <c r="AJ768" i="5"/>
  <c r="AN768" i="5"/>
  <c r="AR768" i="5"/>
  <c r="AB769" i="5"/>
  <c r="AJ769" i="5"/>
  <c r="AN769" i="5"/>
  <c r="AR769" i="5"/>
  <c r="AB770" i="5"/>
  <c r="AJ770" i="5"/>
  <c r="AN770" i="5"/>
  <c r="AR770" i="5"/>
  <c r="AB771" i="5"/>
  <c r="AJ771" i="5"/>
  <c r="AN771" i="5"/>
  <c r="AR771" i="5"/>
  <c r="AB772" i="5"/>
  <c r="AJ772" i="5"/>
  <c r="AN772" i="5"/>
  <c r="AR772" i="5"/>
  <c r="AB773" i="5"/>
  <c r="AJ773" i="5"/>
  <c r="AN773" i="5"/>
  <c r="AR773" i="5"/>
  <c r="AB774" i="5"/>
  <c r="AJ774" i="5"/>
  <c r="AN774" i="5"/>
  <c r="AR774" i="5"/>
  <c r="AB775" i="5"/>
  <c r="AJ775" i="5"/>
  <c r="AN775" i="5"/>
  <c r="AR775" i="5"/>
  <c r="AB776" i="5"/>
  <c r="AJ776" i="5"/>
  <c r="AN776" i="5"/>
  <c r="AR776" i="5"/>
  <c r="AB777" i="5"/>
  <c r="AJ777" i="5"/>
  <c r="AN777" i="5"/>
  <c r="AR777" i="5"/>
  <c r="AB778" i="5"/>
  <c r="AJ778" i="5"/>
  <c r="AN778" i="5"/>
  <c r="AR778" i="5"/>
  <c r="AB779" i="5"/>
  <c r="AJ779" i="5"/>
  <c r="AN779" i="5"/>
  <c r="AR779" i="5"/>
  <c r="AB780" i="5"/>
  <c r="AJ780" i="5"/>
  <c r="AN780" i="5"/>
  <c r="AR780" i="5"/>
  <c r="AB781" i="5"/>
  <c r="AJ781" i="5"/>
  <c r="AN781" i="5"/>
  <c r="AR781" i="5"/>
  <c r="AB782" i="5"/>
  <c r="AE782" i="5"/>
  <c r="AF782" i="5"/>
  <c r="AG782" i="5"/>
  <c r="AI782" i="5"/>
  <c r="AJ782" i="5"/>
  <c r="AN782" i="5"/>
  <c r="AR782" i="5"/>
  <c r="AB783" i="5"/>
  <c r="AJ783" i="5"/>
  <c r="AN783" i="5"/>
  <c r="AR783" i="5"/>
  <c r="AB784" i="5"/>
  <c r="AJ784" i="5"/>
  <c r="AN784" i="5"/>
  <c r="AR784" i="5"/>
  <c r="AB785" i="5"/>
  <c r="AJ785" i="5"/>
  <c r="AN785" i="5"/>
  <c r="AR785" i="5"/>
  <c r="AB786" i="5"/>
  <c r="AJ786" i="5"/>
  <c r="AN786" i="5"/>
  <c r="AR786" i="5"/>
  <c r="AB787" i="5"/>
  <c r="AJ787" i="5"/>
  <c r="AN787" i="5"/>
  <c r="AR787" i="5"/>
  <c r="AB788" i="5"/>
  <c r="AJ788" i="5"/>
  <c r="AN788" i="5"/>
  <c r="AR788" i="5"/>
  <c r="AB789" i="5"/>
  <c r="AJ789" i="5"/>
  <c r="AN789" i="5"/>
  <c r="AR789" i="5"/>
  <c r="AB790" i="5"/>
  <c r="AJ790" i="5"/>
  <c r="AN790" i="5"/>
  <c r="AR790" i="5"/>
  <c r="AB791" i="5"/>
  <c r="AJ791" i="5"/>
  <c r="AN791" i="5"/>
  <c r="AR791" i="5"/>
  <c r="AB792" i="5"/>
  <c r="AJ792" i="5"/>
  <c r="AN792" i="5"/>
  <c r="AR792" i="5"/>
  <c r="AB793" i="5"/>
  <c r="AJ793" i="5"/>
  <c r="AN793" i="5"/>
  <c r="AR793" i="5"/>
  <c r="AB794" i="5"/>
  <c r="AJ794" i="5"/>
  <c r="AN794" i="5"/>
  <c r="AR794" i="5"/>
  <c r="AB795" i="5"/>
  <c r="AJ795" i="5"/>
  <c r="AN795" i="5"/>
  <c r="AR795" i="5"/>
  <c r="AB796" i="5"/>
  <c r="AJ796" i="5"/>
  <c r="AN796" i="5"/>
  <c r="AR796" i="5"/>
  <c r="AB797" i="5"/>
  <c r="AJ797" i="5"/>
  <c r="AN797" i="5"/>
  <c r="AR797" i="5"/>
  <c r="AB798" i="5"/>
  <c r="AJ798" i="5"/>
  <c r="AN798" i="5"/>
  <c r="AR798" i="5"/>
  <c r="AB799" i="5"/>
  <c r="AJ799" i="5"/>
  <c r="AN799" i="5"/>
  <c r="AR799" i="5"/>
  <c r="AB800" i="5"/>
  <c r="AJ800" i="5"/>
  <c r="AN800" i="5"/>
  <c r="AR800" i="5"/>
  <c r="AB801" i="5"/>
  <c r="AJ801" i="5"/>
  <c r="AN801" i="5"/>
  <c r="AR801" i="5"/>
  <c r="AB802" i="5"/>
  <c r="AJ802" i="5"/>
  <c r="AN802" i="5"/>
  <c r="AR802" i="5"/>
  <c r="AB803" i="5"/>
  <c r="AJ803" i="5"/>
  <c r="AN803" i="5"/>
  <c r="AR803" i="5"/>
  <c r="AB804" i="5"/>
  <c r="AJ804" i="5"/>
  <c r="AN804" i="5"/>
  <c r="AR804" i="5"/>
  <c r="AB805" i="5"/>
  <c r="AJ805" i="5"/>
  <c r="AN805" i="5"/>
  <c r="AR805" i="5"/>
  <c r="AB806" i="5"/>
  <c r="AJ806" i="5"/>
  <c r="AN806" i="5"/>
  <c r="AR806" i="5"/>
  <c r="AB807" i="5"/>
  <c r="AJ807" i="5"/>
  <c r="AN807" i="5"/>
  <c r="AR807" i="5"/>
  <c r="AB808" i="5"/>
  <c r="AJ808" i="5"/>
  <c r="AN808" i="5"/>
  <c r="AR808" i="5"/>
  <c r="AB809" i="5"/>
  <c r="AJ809" i="5"/>
  <c r="AN809" i="5"/>
  <c r="AR809" i="5"/>
  <c r="AB810" i="5"/>
  <c r="AJ810" i="5"/>
  <c r="AN810" i="5"/>
  <c r="AR810" i="5"/>
  <c r="AB811" i="5"/>
  <c r="AJ811" i="5"/>
  <c r="AN811" i="5"/>
  <c r="AR811" i="5"/>
  <c r="AB812" i="5"/>
  <c r="AJ812" i="5"/>
  <c r="AN812" i="5"/>
  <c r="AR812" i="5"/>
  <c r="AB813" i="5"/>
  <c r="AJ813" i="5"/>
  <c r="AN813" i="5"/>
  <c r="AR813" i="5"/>
  <c r="AB814" i="5"/>
  <c r="AJ814" i="5"/>
  <c r="AN814" i="5"/>
  <c r="AR814" i="5"/>
  <c r="AB815" i="5"/>
  <c r="AJ815" i="5"/>
  <c r="AN815" i="5"/>
  <c r="AR815" i="5"/>
  <c r="AB816" i="5"/>
  <c r="AJ816" i="5"/>
  <c r="AN816" i="5"/>
  <c r="AR816" i="5"/>
  <c r="AB817" i="5"/>
  <c r="AJ817" i="5"/>
  <c r="AN817" i="5"/>
  <c r="AR817" i="5"/>
  <c r="AB818" i="5"/>
  <c r="AJ818" i="5"/>
  <c r="AN818" i="5"/>
  <c r="AR818" i="5"/>
  <c r="AB819" i="5"/>
  <c r="AJ819" i="5"/>
  <c r="AN819" i="5"/>
  <c r="AR819" i="5"/>
  <c r="AB820" i="5"/>
  <c r="AJ820" i="5"/>
  <c r="AN820" i="5"/>
  <c r="AR820" i="5"/>
  <c r="AB821" i="5"/>
  <c r="AJ821" i="5"/>
  <c r="AN821" i="5"/>
  <c r="AR821" i="5"/>
  <c r="AB822" i="5"/>
  <c r="AJ822" i="5"/>
  <c r="AN822" i="5"/>
  <c r="AR822" i="5"/>
  <c r="AB823" i="5"/>
  <c r="AJ823" i="5"/>
  <c r="AN823" i="5"/>
  <c r="AR823" i="5"/>
  <c r="AB824" i="5"/>
  <c r="AJ824" i="5"/>
  <c r="AN824" i="5"/>
  <c r="AR824" i="5"/>
  <c r="AB825" i="5"/>
  <c r="AE825" i="5"/>
  <c r="AF825" i="5"/>
  <c r="AI825" i="5"/>
  <c r="AJ825" i="5"/>
  <c r="AN825" i="5"/>
  <c r="AR825" i="5"/>
  <c r="AB826" i="5"/>
  <c r="AJ826" i="5"/>
  <c r="AN826" i="5"/>
  <c r="AR826" i="5"/>
  <c r="AB827" i="5"/>
  <c r="AJ827" i="5"/>
  <c r="AN827" i="5"/>
  <c r="AR827" i="5"/>
  <c r="AB828" i="5"/>
  <c r="AJ828" i="5"/>
  <c r="AN828" i="5"/>
  <c r="AR828" i="5"/>
  <c r="AB829" i="5"/>
  <c r="AJ829" i="5"/>
  <c r="AN829" i="5"/>
  <c r="AR829" i="5"/>
  <c r="AB830" i="5"/>
  <c r="AJ830" i="5"/>
  <c r="AN830" i="5"/>
  <c r="AR830" i="5"/>
  <c r="AB831" i="5"/>
  <c r="AJ831" i="5"/>
  <c r="AN831" i="5"/>
  <c r="AR831" i="5"/>
  <c r="AB832" i="5"/>
  <c r="AJ832" i="5"/>
  <c r="AN832" i="5"/>
  <c r="AR832" i="5"/>
  <c r="AB833" i="5"/>
  <c r="AJ833" i="5"/>
  <c r="AN833" i="5"/>
  <c r="AR833" i="5"/>
  <c r="AB834" i="5"/>
  <c r="AJ834" i="5"/>
  <c r="AN834" i="5"/>
  <c r="AR834" i="5"/>
  <c r="AB835" i="5"/>
  <c r="AJ835" i="5"/>
  <c r="AN835" i="5"/>
  <c r="AR835" i="5"/>
  <c r="AB836" i="5"/>
  <c r="AJ836" i="5"/>
  <c r="AN836" i="5"/>
  <c r="AR836" i="5"/>
  <c r="AB837" i="5"/>
  <c r="AJ837" i="5"/>
  <c r="AN837" i="5"/>
  <c r="AR837" i="5"/>
  <c r="AB838" i="5"/>
  <c r="AJ838" i="5"/>
  <c r="AN838" i="5"/>
  <c r="AR838" i="5"/>
  <c r="N839" i="5"/>
  <c r="AB839" i="5"/>
  <c r="AJ839" i="5"/>
  <c r="AN839" i="5"/>
  <c r="AR839" i="5"/>
  <c r="N840" i="5"/>
  <c r="AB840" i="5"/>
  <c r="AJ840" i="5"/>
  <c r="AN840" i="5"/>
  <c r="AR840" i="5"/>
  <c r="AB841" i="5"/>
  <c r="AJ841" i="5"/>
  <c r="AN841" i="5"/>
  <c r="AR841" i="5"/>
  <c r="AB842" i="5"/>
  <c r="AE842" i="5"/>
  <c r="AF842" i="5"/>
  <c r="AH842" i="5"/>
  <c r="AI842" i="5"/>
  <c r="AJ842" i="5"/>
  <c r="AN842" i="5"/>
  <c r="AR842" i="5"/>
  <c r="AB843" i="5"/>
  <c r="AJ843" i="5"/>
  <c r="AN843" i="5"/>
  <c r="AR843" i="5"/>
  <c r="AB844" i="5"/>
  <c r="AJ844" i="5"/>
  <c r="AN844" i="5"/>
  <c r="AR844" i="5"/>
  <c r="AB845" i="5"/>
  <c r="AJ845" i="5"/>
  <c r="AN845" i="5"/>
  <c r="AR845" i="5"/>
  <c r="AB846" i="5"/>
  <c r="AJ846" i="5"/>
  <c r="AN846" i="5"/>
  <c r="AR846" i="5"/>
  <c r="AB847" i="5"/>
  <c r="AJ847" i="5"/>
  <c r="AN847" i="5"/>
  <c r="AR847" i="5"/>
  <c r="AB848" i="5"/>
  <c r="AJ848" i="5"/>
  <c r="AN848" i="5"/>
  <c r="AR848" i="5"/>
  <c r="AB849" i="5"/>
  <c r="AJ849" i="5"/>
  <c r="AN849" i="5"/>
  <c r="AR849" i="5"/>
  <c r="AB850" i="5"/>
  <c r="AJ850" i="5"/>
  <c r="AN850" i="5"/>
  <c r="AR850" i="5"/>
  <c r="AB851" i="5"/>
  <c r="AJ851" i="5"/>
  <c r="AN851" i="5"/>
  <c r="AR851" i="5"/>
  <c r="AB852" i="5"/>
  <c r="AJ852" i="5"/>
  <c r="AN852" i="5"/>
  <c r="AR852" i="5"/>
  <c r="AB853" i="5"/>
  <c r="AJ853" i="5"/>
  <c r="AN853" i="5"/>
  <c r="AR853" i="5"/>
  <c r="AB854" i="5"/>
  <c r="AJ854" i="5"/>
  <c r="AN854" i="5"/>
  <c r="AR854" i="5"/>
  <c r="AB855" i="5"/>
  <c r="AJ855" i="5"/>
  <c r="AN855" i="5"/>
  <c r="AR855" i="5"/>
  <c r="AB856" i="5"/>
  <c r="AJ856" i="5"/>
  <c r="AN856" i="5"/>
  <c r="AR856" i="5"/>
  <c r="AB857" i="5"/>
  <c r="AJ857" i="5"/>
  <c r="AN857" i="5"/>
  <c r="AR857" i="5"/>
  <c r="AB858" i="5"/>
  <c r="AJ858" i="5"/>
  <c r="AN858" i="5"/>
  <c r="AR858" i="5"/>
  <c r="AB859" i="5"/>
  <c r="AJ859" i="5"/>
  <c r="AN859" i="5"/>
  <c r="AR859" i="5"/>
  <c r="AB860" i="5"/>
  <c r="AJ860" i="5"/>
  <c r="AN860" i="5"/>
  <c r="AR860" i="5"/>
  <c r="AB861" i="5"/>
  <c r="AJ861" i="5"/>
  <c r="AN861" i="5"/>
  <c r="AR861" i="5"/>
  <c r="AB862" i="5"/>
  <c r="AJ862" i="5"/>
  <c r="AN862" i="5"/>
  <c r="AR862" i="5"/>
  <c r="AB863" i="5"/>
  <c r="AJ863" i="5"/>
  <c r="AN863" i="5"/>
  <c r="AR863" i="5"/>
  <c r="AB864" i="5"/>
  <c r="AJ864" i="5"/>
  <c r="AN864" i="5"/>
  <c r="AR864" i="5"/>
  <c r="AB865" i="5"/>
  <c r="AJ865" i="5"/>
  <c r="AN865" i="5"/>
  <c r="AR865" i="5"/>
  <c r="AB866" i="5"/>
  <c r="AJ866" i="5"/>
  <c r="AN866" i="5"/>
  <c r="AR866" i="5"/>
  <c r="AB867" i="5"/>
  <c r="AJ867" i="5"/>
  <c r="AN867" i="5"/>
  <c r="AR867" i="5"/>
  <c r="AB868" i="5"/>
  <c r="AJ868" i="5"/>
  <c r="AN868" i="5"/>
  <c r="AR868" i="5"/>
  <c r="AB869" i="5"/>
  <c r="AJ869" i="5"/>
  <c r="AN869" i="5"/>
  <c r="AR869" i="5"/>
  <c r="AB870" i="5"/>
  <c r="AJ870" i="5"/>
  <c r="AN870" i="5"/>
  <c r="AR870" i="5"/>
  <c r="AB871" i="5"/>
  <c r="AJ871" i="5"/>
  <c r="AN871" i="5"/>
  <c r="AR871" i="5"/>
  <c r="AB872" i="5"/>
  <c r="AJ872" i="5"/>
  <c r="AN872" i="5"/>
  <c r="AR872" i="5"/>
  <c r="AB873" i="5"/>
  <c r="AJ873" i="5"/>
  <c r="AN873" i="5"/>
  <c r="AR873" i="5"/>
  <c r="AB874" i="5"/>
  <c r="AJ874" i="5"/>
  <c r="AN874" i="5"/>
  <c r="AR874" i="5"/>
  <c r="AB875" i="5"/>
  <c r="AJ875" i="5"/>
  <c r="AN875" i="5"/>
  <c r="AR875" i="5"/>
  <c r="AB876" i="5"/>
  <c r="AJ876" i="5"/>
  <c r="AN876" i="5"/>
  <c r="AR876" i="5"/>
  <c r="AB877" i="5"/>
  <c r="AJ877" i="5"/>
  <c r="AN877" i="5"/>
  <c r="AR877" i="5"/>
  <c r="AB878" i="5"/>
  <c r="AJ878" i="5"/>
  <c r="AN878" i="5"/>
  <c r="AR878" i="5"/>
  <c r="AB879" i="5"/>
  <c r="AJ879" i="5"/>
  <c r="AN879" i="5"/>
  <c r="AR879" i="5"/>
  <c r="AB880" i="5"/>
  <c r="AJ880" i="5"/>
  <c r="AN880" i="5"/>
  <c r="AR880" i="5"/>
  <c r="AB881" i="5"/>
  <c r="AJ881" i="5"/>
  <c r="AN881" i="5"/>
  <c r="AR881" i="5"/>
  <c r="AB882" i="5"/>
  <c r="AJ882" i="5"/>
  <c r="AN882" i="5"/>
  <c r="AR882" i="5"/>
  <c r="AB883" i="5"/>
  <c r="AJ883" i="5"/>
  <c r="AN883" i="5"/>
  <c r="AR883" i="5"/>
  <c r="AB884" i="5"/>
  <c r="AJ884" i="5"/>
  <c r="AN884" i="5"/>
  <c r="AR884" i="5"/>
  <c r="AB885" i="5"/>
  <c r="AJ885" i="5"/>
  <c r="AN885" i="5"/>
  <c r="AR885" i="5"/>
  <c r="AB886" i="5"/>
  <c r="AJ886" i="5"/>
  <c r="AN886" i="5"/>
  <c r="AR886" i="5"/>
  <c r="AB887" i="5"/>
  <c r="AJ887" i="5"/>
  <c r="AN887" i="5"/>
  <c r="AR887" i="5"/>
  <c r="AB888" i="5"/>
  <c r="AJ888" i="5"/>
  <c r="AN888" i="5"/>
  <c r="AR888" i="5"/>
  <c r="AB889" i="5"/>
  <c r="AJ889" i="5"/>
  <c r="AN889" i="5"/>
  <c r="AR889" i="5"/>
  <c r="AB890" i="5"/>
  <c r="AJ890" i="5"/>
  <c r="AN890" i="5"/>
  <c r="AR890" i="5"/>
  <c r="AB891" i="5"/>
  <c r="AJ891" i="5"/>
  <c r="AN891" i="5"/>
  <c r="AR891" i="5"/>
  <c r="AB892" i="5"/>
  <c r="AJ892" i="5"/>
  <c r="AN892" i="5"/>
  <c r="AR892" i="5"/>
  <c r="AB893" i="5"/>
  <c r="AJ893" i="5"/>
  <c r="AN893" i="5"/>
  <c r="AR893" i="5"/>
  <c r="AB894" i="5"/>
  <c r="AJ894" i="5"/>
  <c r="AN894" i="5"/>
  <c r="AR894" i="5"/>
  <c r="AB895" i="5"/>
  <c r="AJ895" i="5"/>
  <c r="AN895" i="5"/>
  <c r="AR895" i="5"/>
  <c r="N896" i="5"/>
  <c r="AB896" i="5"/>
  <c r="AJ896" i="5"/>
  <c r="AN896" i="5"/>
  <c r="AR896" i="5"/>
  <c r="AB897" i="5"/>
  <c r="AJ897" i="5"/>
  <c r="AN897" i="5"/>
  <c r="AR897" i="5"/>
  <c r="AB898" i="5"/>
  <c r="AE898" i="5"/>
  <c r="AF898" i="5"/>
  <c r="AI898" i="5"/>
  <c r="AJ898" i="5"/>
  <c r="AN898" i="5"/>
  <c r="AR898" i="5"/>
  <c r="AB899" i="5"/>
  <c r="AJ899" i="5"/>
  <c r="AN899" i="5"/>
  <c r="AR899" i="5"/>
  <c r="AB900" i="5"/>
  <c r="AJ900" i="5"/>
  <c r="AN900" i="5"/>
  <c r="AR900" i="5"/>
  <c r="AB901" i="5"/>
  <c r="AJ901" i="5"/>
  <c r="AN901" i="5"/>
  <c r="AR901" i="5"/>
  <c r="AB902" i="5"/>
  <c r="AJ902" i="5"/>
  <c r="AN902" i="5"/>
  <c r="AR902" i="5"/>
  <c r="AB903" i="5"/>
  <c r="AJ903" i="5"/>
  <c r="AN903" i="5"/>
  <c r="AR903" i="5"/>
  <c r="AB904" i="5"/>
  <c r="AJ904" i="5"/>
  <c r="AN904" i="5"/>
  <c r="AR904" i="5"/>
  <c r="AB905" i="5"/>
  <c r="AJ905" i="5"/>
  <c r="AN905" i="5"/>
  <c r="AR905" i="5"/>
  <c r="AB906" i="5"/>
  <c r="AJ906" i="5"/>
  <c r="AN906" i="5"/>
  <c r="AR906" i="5"/>
  <c r="AB907" i="5"/>
  <c r="AJ907" i="5"/>
  <c r="AN907" i="5"/>
  <c r="AR907" i="5"/>
  <c r="AB908" i="5"/>
  <c r="AJ908" i="5"/>
  <c r="AN908" i="5"/>
  <c r="AR908" i="5"/>
  <c r="AB909" i="5"/>
  <c r="AJ909" i="5"/>
  <c r="AN909" i="5"/>
  <c r="AR909" i="5"/>
  <c r="AB910" i="5"/>
  <c r="AJ910" i="5"/>
  <c r="AN910" i="5"/>
  <c r="AR910" i="5"/>
  <c r="AB911" i="5"/>
  <c r="AJ911" i="5"/>
  <c r="AN911" i="5"/>
  <c r="AR911" i="5"/>
  <c r="AB912" i="5"/>
  <c r="AJ912" i="5"/>
  <c r="AN912" i="5"/>
  <c r="AR912" i="5"/>
  <c r="AB913" i="5"/>
  <c r="AJ913" i="5"/>
  <c r="AN913" i="5"/>
  <c r="AR913" i="5"/>
  <c r="AB914" i="5"/>
  <c r="AJ914" i="5"/>
  <c r="AN914" i="5"/>
  <c r="AR914" i="5"/>
  <c r="AB915" i="5"/>
  <c r="AJ915" i="5"/>
  <c r="AN915" i="5"/>
  <c r="AR915" i="5"/>
  <c r="AB916" i="5"/>
  <c r="AJ916" i="5"/>
  <c r="AN916" i="5"/>
  <c r="AR916" i="5"/>
  <c r="AB917" i="5"/>
  <c r="AJ917" i="5"/>
  <c r="AN917" i="5"/>
  <c r="AR917" i="5"/>
  <c r="AB918" i="5"/>
  <c r="AJ918" i="5"/>
  <c r="AN918" i="5"/>
  <c r="AR918" i="5"/>
  <c r="AB919" i="5"/>
  <c r="AJ919" i="5"/>
  <c r="AN919" i="5"/>
  <c r="AR919" i="5"/>
  <c r="AB920" i="5"/>
  <c r="AJ920" i="5"/>
  <c r="AN920" i="5"/>
  <c r="AR920" i="5"/>
  <c r="AB921" i="5"/>
  <c r="AJ921" i="5"/>
  <c r="AN921" i="5"/>
  <c r="AR921" i="5"/>
  <c r="AB922" i="5"/>
  <c r="AJ922" i="5"/>
  <c r="AN922" i="5"/>
  <c r="AR922" i="5"/>
  <c r="N923" i="5"/>
  <c r="AB923" i="5"/>
  <c r="AJ923" i="5"/>
  <c r="AN923" i="5"/>
  <c r="AR923" i="5"/>
  <c r="N924" i="5"/>
  <c r="AB924" i="5"/>
  <c r="AJ924" i="5"/>
  <c r="AN924" i="5"/>
  <c r="AR924" i="5"/>
  <c r="AB925" i="5"/>
  <c r="AJ925" i="5"/>
  <c r="AN925" i="5"/>
  <c r="AR925" i="5"/>
  <c r="N926" i="5"/>
  <c r="AB926" i="5"/>
  <c r="AJ926" i="5"/>
  <c r="AN926" i="5"/>
  <c r="AR926" i="5"/>
  <c r="N927" i="5"/>
  <c r="AB927" i="5"/>
  <c r="AJ927" i="5"/>
  <c r="AN927" i="5"/>
  <c r="AR927" i="5"/>
  <c r="N928" i="5"/>
  <c r="AB928" i="5"/>
  <c r="AJ928" i="5"/>
  <c r="AN928" i="5"/>
  <c r="AR928" i="5"/>
  <c r="N929" i="5"/>
  <c r="AB929" i="5"/>
  <c r="AJ929" i="5"/>
  <c r="AN929" i="5"/>
  <c r="AR929" i="5"/>
  <c r="AB930" i="5"/>
  <c r="AJ930" i="5"/>
  <c r="AN930" i="5"/>
  <c r="AR930" i="5"/>
  <c r="AB931" i="5"/>
  <c r="AJ931" i="5"/>
  <c r="AN931" i="5"/>
  <c r="AR931" i="5"/>
  <c r="N932" i="5"/>
  <c r="AB932" i="5"/>
  <c r="AJ932" i="5"/>
  <c r="AN932" i="5"/>
  <c r="AR932" i="5"/>
  <c r="AB933" i="5"/>
  <c r="AJ933" i="5"/>
  <c r="AN933" i="5"/>
  <c r="AR933" i="5"/>
  <c r="AB934" i="5"/>
  <c r="AJ934" i="5"/>
  <c r="AN934" i="5"/>
  <c r="AR934" i="5"/>
  <c r="AB935" i="5"/>
  <c r="AE935" i="5"/>
  <c r="AF935" i="5"/>
  <c r="AG935" i="5"/>
  <c r="AH935" i="5"/>
  <c r="AI935" i="5"/>
  <c r="AJ935" i="5"/>
  <c r="AN935" i="5"/>
  <c r="AR935" i="5"/>
  <c r="AB936" i="5"/>
  <c r="AJ936" i="5"/>
  <c r="AN936" i="5"/>
  <c r="AR936" i="5"/>
  <c r="N937" i="5"/>
  <c r="AB937" i="5"/>
  <c r="AJ937" i="5"/>
  <c r="AN937" i="5"/>
  <c r="AR937" i="5"/>
  <c r="N938" i="5"/>
  <c r="AB938" i="5"/>
  <c r="AJ938" i="5"/>
  <c r="AN938" i="5"/>
  <c r="AR938" i="5"/>
  <c r="N939" i="5"/>
  <c r="AB939" i="5"/>
  <c r="AJ939" i="5"/>
  <c r="AN939" i="5"/>
  <c r="AR939" i="5"/>
  <c r="N940" i="5"/>
  <c r="AB940" i="5"/>
  <c r="AJ940" i="5"/>
  <c r="AN940" i="5"/>
  <c r="AR940" i="5"/>
  <c r="N941" i="5"/>
  <c r="AB941" i="5"/>
  <c r="AJ941" i="5"/>
  <c r="AN941" i="5"/>
  <c r="AR941" i="5"/>
  <c r="AB942" i="5"/>
  <c r="AJ942" i="5"/>
  <c r="AN942" i="5"/>
  <c r="AR942" i="5"/>
  <c r="AB943" i="5"/>
  <c r="AJ943" i="5"/>
  <c r="AN943" i="5"/>
  <c r="AR943" i="5"/>
  <c r="AB944" i="5"/>
  <c r="AJ944" i="5"/>
  <c r="AN944" i="5"/>
  <c r="AR944" i="5"/>
  <c r="AB945" i="5"/>
  <c r="AJ945" i="5"/>
  <c r="AN945" i="5"/>
  <c r="AR945" i="5"/>
  <c r="AB946" i="5"/>
  <c r="AJ946" i="5"/>
  <c r="AN946" i="5"/>
  <c r="AR946" i="5"/>
  <c r="AB947" i="5"/>
  <c r="AJ947" i="5"/>
  <c r="AN947" i="5"/>
  <c r="AR947" i="5"/>
  <c r="AB948" i="5"/>
  <c r="AJ948" i="5"/>
  <c r="AN948" i="5"/>
  <c r="AR948" i="5"/>
  <c r="AB949" i="5"/>
  <c r="AJ949" i="5"/>
  <c r="AN949" i="5"/>
  <c r="AR949" i="5"/>
  <c r="AB950" i="5"/>
  <c r="AJ950" i="5"/>
  <c r="AN950" i="5"/>
  <c r="AR950" i="5"/>
  <c r="AB951" i="5"/>
  <c r="AJ951" i="5"/>
  <c r="AN951" i="5"/>
  <c r="AR951" i="5"/>
  <c r="AB952" i="5"/>
  <c r="AJ952" i="5"/>
  <c r="AN952" i="5"/>
  <c r="AR952" i="5"/>
  <c r="AB953" i="5"/>
  <c r="AJ953" i="5"/>
  <c r="AN953" i="5"/>
  <c r="AR953" i="5"/>
  <c r="AB954" i="5"/>
  <c r="AJ954" i="5"/>
  <c r="AN954" i="5"/>
  <c r="AR954" i="5"/>
  <c r="AB955" i="5"/>
  <c r="AJ955" i="5"/>
  <c r="AN955" i="5"/>
  <c r="AR955" i="5"/>
  <c r="AB956" i="5"/>
  <c r="AJ956" i="5"/>
  <c r="AN956" i="5"/>
  <c r="AR956" i="5"/>
  <c r="AB957" i="5"/>
  <c r="AJ957" i="5"/>
  <c r="AN957" i="5"/>
  <c r="AR957" i="5"/>
  <c r="AB958" i="5"/>
  <c r="AJ958" i="5"/>
  <c r="AN958" i="5"/>
  <c r="AR958" i="5"/>
  <c r="AB959" i="5"/>
  <c r="AJ959" i="5"/>
  <c r="AN959" i="5"/>
  <c r="AR959" i="5"/>
  <c r="AB960" i="5"/>
  <c r="AJ960" i="5"/>
  <c r="AN960" i="5"/>
  <c r="AR960" i="5"/>
  <c r="AB961" i="5"/>
  <c r="AJ961" i="5"/>
  <c r="AN961" i="5"/>
  <c r="AR961" i="5"/>
  <c r="AB962" i="5"/>
  <c r="AJ962" i="5"/>
  <c r="AN962" i="5"/>
  <c r="AR962" i="5"/>
  <c r="AB963" i="5"/>
  <c r="AJ963" i="5"/>
  <c r="AN963" i="5"/>
  <c r="AR963" i="5"/>
  <c r="AB964" i="5"/>
  <c r="AJ964" i="5"/>
  <c r="AN964" i="5"/>
  <c r="AR964" i="5"/>
  <c r="AB965" i="5"/>
  <c r="AJ965" i="5"/>
  <c r="AN965" i="5"/>
  <c r="AR965" i="5"/>
  <c r="AB966" i="5"/>
  <c r="AJ966" i="5"/>
  <c r="AN966" i="5"/>
  <c r="AR966" i="5"/>
  <c r="AB967" i="5"/>
  <c r="AJ967" i="5"/>
  <c r="AN967" i="5"/>
  <c r="AR967" i="5"/>
  <c r="AB968" i="5"/>
  <c r="AJ968" i="5"/>
  <c r="AN968" i="5"/>
  <c r="AR968" i="5"/>
  <c r="AB969" i="5"/>
  <c r="AJ969" i="5"/>
  <c r="AN969" i="5"/>
  <c r="AR969" i="5"/>
  <c r="AB970" i="5"/>
  <c r="AJ970" i="5"/>
  <c r="AN970" i="5"/>
  <c r="AR970" i="5"/>
  <c r="AB971" i="5"/>
  <c r="AJ971" i="5"/>
  <c r="AN971" i="5"/>
  <c r="AR971" i="5"/>
  <c r="AB972" i="5"/>
  <c r="AJ972" i="5"/>
  <c r="AN972" i="5"/>
  <c r="AR972" i="5"/>
  <c r="AB973" i="5"/>
  <c r="AJ973" i="5"/>
  <c r="AN973" i="5"/>
  <c r="AR973" i="5"/>
  <c r="AB974" i="5"/>
  <c r="AJ974" i="5"/>
  <c r="AN974" i="5"/>
  <c r="AR974" i="5"/>
  <c r="AB975" i="5"/>
  <c r="AJ975" i="5"/>
  <c r="AN975" i="5"/>
  <c r="AR975" i="5"/>
  <c r="AB976" i="5"/>
  <c r="AJ976" i="5"/>
  <c r="AN976" i="5"/>
  <c r="AR976" i="5"/>
  <c r="AB977" i="5"/>
  <c r="AJ977" i="5"/>
  <c r="AN977" i="5"/>
  <c r="AR977" i="5"/>
  <c r="AB978" i="5"/>
  <c r="AJ978" i="5"/>
  <c r="AN978" i="5"/>
  <c r="AR978" i="5"/>
  <c r="AB979" i="5"/>
  <c r="AJ979" i="5"/>
  <c r="AN979" i="5"/>
  <c r="AR979" i="5"/>
  <c r="AB980" i="5"/>
  <c r="AE980" i="5"/>
  <c r="AF980" i="5"/>
  <c r="AG980" i="5"/>
  <c r="AH980" i="5"/>
  <c r="AI980" i="5"/>
  <c r="AJ980" i="5"/>
  <c r="AN980" i="5"/>
  <c r="AR980" i="5"/>
  <c r="AB981" i="5"/>
  <c r="AJ981" i="5"/>
  <c r="AN981" i="5"/>
  <c r="AR981" i="5"/>
  <c r="AB982" i="5"/>
  <c r="AJ982" i="5"/>
  <c r="AN982" i="5"/>
  <c r="AR982" i="5"/>
  <c r="AB983" i="5"/>
  <c r="AJ983" i="5"/>
  <c r="AN983" i="5"/>
  <c r="AR983" i="5"/>
  <c r="N984" i="5"/>
  <c r="AB984" i="5"/>
  <c r="AJ984" i="5"/>
  <c r="AN984" i="5"/>
  <c r="AR984" i="5"/>
  <c r="AB985" i="5"/>
  <c r="AJ985" i="5"/>
  <c r="AN985" i="5"/>
  <c r="AR985" i="5"/>
  <c r="AB986" i="5"/>
  <c r="AJ986" i="5"/>
  <c r="AN986" i="5"/>
  <c r="AR986" i="5"/>
  <c r="AB987" i="5"/>
  <c r="AJ987" i="5"/>
  <c r="AN987" i="5"/>
  <c r="AR987" i="5"/>
  <c r="AB988" i="5"/>
  <c r="AJ988" i="5"/>
  <c r="AN988" i="5"/>
  <c r="AR988" i="5"/>
  <c r="AB989" i="5"/>
  <c r="AJ989" i="5"/>
  <c r="AN989" i="5"/>
  <c r="AR989" i="5"/>
  <c r="AB990" i="5"/>
  <c r="AJ990" i="5"/>
  <c r="AN990" i="5"/>
  <c r="AR990" i="5"/>
  <c r="AB991" i="5"/>
  <c r="AJ991" i="5"/>
  <c r="AN991" i="5"/>
  <c r="AR991" i="5"/>
  <c r="AB992" i="5"/>
  <c r="AJ992" i="5"/>
  <c r="AN992" i="5"/>
  <c r="AR992" i="5"/>
  <c r="AB993" i="5"/>
  <c r="AJ993" i="5"/>
  <c r="AN993" i="5"/>
  <c r="AR993" i="5"/>
  <c r="AB994" i="5"/>
  <c r="AJ994" i="5"/>
  <c r="AN994" i="5"/>
  <c r="AR994" i="5"/>
  <c r="AB995" i="5"/>
  <c r="AJ995" i="5"/>
  <c r="AN995" i="5"/>
  <c r="AR995" i="5"/>
  <c r="AB996" i="5"/>
  <c r="AJ996" i="5"/>
  <c r="AN996" i="5"/>
  <c r="AR996" i="5"/>
  <c r="AB997" i="5"/>
  <c r="AJ997" i="5"/>
  <c r="AN997" i="5"/>
  <c r="AR997" i="5"/>
  <c r="AB998" i="5"/>
  <c r="AJ998" i="5"/>
  <c r="AN998" i="5"/>
  <c r="AR998" i="5"/>
  <c r="AB999" i="5"/>
  <c r="AJ999" i="5"/>
  <c r="AN999" i="5"/>
  <c r="AR999" i="5"/>
  <c r="AB1000" i="5"/>
  <c r="AE1000" i="5"/>
  <c r="AF1000" i="5"/>
  <c r="AG1000" i="5"/>
  <c r="AH1000" i="5"/>
  <c r="AJ1000" i="5" s="1"/>
  <c r="AI1000" i="5"/>
  <c r="AN1000" i="5"/>
  <c r="AR1000" i="5"/>
  <c r="AB1001" i="5"/>
  <c r="AJ1001" i="5"/>
  <c r="AN1001" i="5"/>
  <c r="AR1001" i="5"/>
  <c r="AB1002" i="5"/>
  <c r="AJ1002" i="5"/>
  <c r="AN1002" i="5"/>
  <c r="AR1002" i="5"/>
  <c r="AB1003" i="5"/>
  <c r="AJ1003" i="5"/>
  <c r="AN1003" i="5"/>
  <c r="AR1003" i="5"/>
  <c r="AB1004" i="5"/>
  <c r="AJ1004" i="5"/>
  <c r="AN1004" i="5"/>
  <c r="AR1004" i="5"/>
  <c r="AB1005" i="5"/>
  <c r="AJ1005" i="5"/>
  <c r="AN1005" i="5"/>
  <c r="AR1005" i="5"/>
  <c r="AB1006" i="5"/>
  <c r="AE1006" i="5"/>
  <c r="AF1006" i="5"/>
  <c r="AG1006" i="5"/>
  <c r="AH1006" i="5"/>
  <c r="AI1006" i="5"/>
  <c r="AJ1006" i="5"/>
  <c r="AN1006" i="5"/>
  <c r="AR1006" i="5"/>
  <c r="AB1007" i="5"/>
  <c r="AJ1007" i="5"/>
  <c r="AN1007" i="5"/>
  <c r="AR1007" i="5"/>
  <c r="AB1008" i="5"/>
  <c r="AJ1008" i="5"/>
  <c r="AN1008" i="5"/>
  <c r="AR1008" i="5"/>
  <c r="AB1009" i="5"/>
  <c r="AJ1009" i="5"/>
  <c r="AN1009" i="5"/>
  <c r="AR1009" i="5"/>
  <c r="AB1010" i="5"/>
  <c r="AJ1010" i="5"/>
  <c r="AN1010" i="5"/>
  <c r="AR1010" i="5"/>
  <c r="AB1011" i="5"/>
  <c r="AJ1011" i="5"/>
  <c r="AN1011" i="5"/>
  <c r="AR1011" i="5"/>
  <c r="AB1012" i="5"/>
  <c r="AJ1012" i="5"/>
  <c r="AN1012" i="5"/>
  <c r="AR1012" i="5"/>
  <c r="AB1013" i="5"/>
  <c r="AJ1013" i="5"/>
  <c r="AN1013" i="5"/>
  <c r="AR1013" i="5"/>
  <c r="AB1014" i="5"/>
  <c r="AJ1014" i="5"/>
  <c r="AN1014" i="5"/>
  <c r="AR1014" i="5"/>
  <c r="AB1015" i="5"/>
  <c r="AJ1015" i="5"/>
  <c r="AN1015" i="5"/>
  <c r="AR1015" i="5"/>
  <c r="AB1016" i="5"/>
  <c r="AJ1016" i="5"/>
  <c r="AN1016" i="5"/>
  <c r="AR1016" i="5"/>
  <c r="AB1017" i="5"/>
  <c r="AJ1017" i="5"/>
  <c r="AN1017" i="5"/>
  <c r="AR1017" i="5"/>
  <c r="AB1018" i="5"/>
  <c r="AJ1018" i="5"/>
  <c r="AN1018" i="5"/>
  <c r="AR1018" i="5"/>
  <c r="AB1019" i="5"/>
  <c r="AJ1019" i="5"/>
  <c r="AN1019" i="5"/>
  <c r="AR1019" i="5"/>
  <c r="AB1020" i="5"/>
  <c r="AJ1020" i="5"/>
  <c r="AN1020" i="5"/>
  <c r="AR1020" i="5"/>
  <c r="AB1021" i="5"/>
  <c r="AJ1021" i="5"/>
  <c r="AN1021" i="5"/>
  <c r="AR1021" i="5"/>
  <c r="AB1022" i="5"/>
  <c r="AJ1022" i="5"/>
  <c r="AN1022" i="5"/>
  <c r="AR1022" i="5"/>
  <c r="AB1023" i="5"/>
  <c r="AJ1023" i="5"/>
  <c r="AN1023" i="5"/>
  <c r="AR1023" i="5"/>
  <c r="AB1024" i="5"/>
  <c r="AJ1024" i="5"/>
  <c r="AN1024" i="5"/>
  <c r="AR1024" i="5"/>
  <c r="AB1025" i="5"/>
  <c r="AJ1025" i="5"/>
  <c r="AN1025" i="5"/>
  <c r="AR1025" i="5"/>
  <c r="AB1026" i="5"/>
  <c r="AJ1026" i="5"/>
  <c r="AN1026" i="5"/>
  <c r="AR1026" i="5"/>
  <c r="AB1027" i="5"/>
  <c r="AJ1027" i="5"/>
  <c r="AN1027" i="5"/>
  <c r="AR1027" i="5"/>
  <c r="AB1028" i="5"/>
  <c r="AJ1028" i="5"/>
  <c r="AN1028" i="5"/>
  <c r="AR1028" i="5"/>
  <c r="AB1029" i="5"/>
  <c r="AJ1029" i="5"/>
  <c r="AN1029" i="5"/>
  <c r="AR1029" i="5"/>
  <c r="AB1030" i="5"/>
  <c r="AJ1030" i="5"/>
  <c r="AN1030" i="5"/>
  <c r="AR1030" i="5"/>
  <c r="AB1031" i="5"/>
  <c r="AJ1031" i="5"/>
  <c r="AN1031" i="5"/>
  <c r="AR1031" i="5"/>
  <c r="AB1032" i="5"/>
  <c r="AE1032" i="5"/>
  <c r="AF1032" i="5"/>
  <c r="AI1032" i="5"/>
  <c r="AJ1032" i="5"/>
  <c r="AN1032" i="5"/>
  <c r="AR1032" i="5"/>
  <c r="AB1033" i="5"/>
  <c r="AE1033" i="5"/>
  <c r="AF1033" i="5"/>
  <c r="AG1033" i="5"/>
  <c r="AH1033" i="5"/>
  <c r="AI1033" i="5"/>
  <c r="AJ1033" i="5"/>
  <c r="AN1033" i="5"/>
  <c r="AR1033" i="5"/>
  <c r="AB1034" i="5"/>
  <c r="AJ1034" i="5"/>
  <c r="AN1034" i="5"/>
  <c r="AR1034" i="5"/>
  <c r="AB1035" i="5"/>
  <c r="AJ1035" i="5"/>
  <c r="AN1035" i="5"/>
  <c r="AR1035" i="5"/>
  <c r="AB1036" i="5"/>
  <c r="AJ1036" i="5"/>
  <c r="AN1036" i="5"/>
  <c r="AR1036" i="5"/>
  <c r="AB1037" i="5"/>
  <c r="AJ1037" i="5"/>
  <c r="AN1037" i="5"/>
  <c r="AR1037" i="5"/>
  <c r="AB1038" i="5"/>
  <c r="AJ1038" i="5"/>
  <c r="AN1038" i="5"/>
  <c r="AR1038" i="5"/>
  <c r="AB1039" i="5"/>
  <c r="AJ1039" i="5"/>
  <c r="AN1039" i="5"/>
  <c r="AR1039" i="5"/>
  <c r="AB1040" i="5"/>
  <c r="AJ1040" i="5"/>
  <c r="AN1040" i="5"/>
  <c r="AR1040" i="5"/>
  <c r="AB1041" i="5"/>
  <c r="AJ1041" i="5"/>
  <c r="AN1041" i="5"/>
  <c r="AR1041" i="5"/>
  <c r="AB1042" i="5"/>
  <c r="AJ1042" i="5"/>
  <c r="AN1042" i="5"/>
  <c r="AR1042" i="5"/>
  <c r="AB1043" i="5"/>
  <c r="AJ1043" i="5"/>
  <c r="AN1043" i="5"/>
  <c r="AR1043" i="5"/>
  <c r="AB1044" i="5"/>
  <c r="AJ1044" i="5"/>
  <c r="AN1044" i="5"/>
  <c r="AR1044" i="5"/>
  <c r="AB1045" i="5"/>
  <c r="AJ1045" i="5"/>
  <c r="AN1045" i="5"/>
  <c r="AR1045" i="5"/>
  <c r="AB1046" i="5"/>
  <c r="AJ1046" i="5"/>
  <c r="AN1046" i="5"/>
  <c r="AR1046" i="5"/>
  <c r="AB1047" i="5"/>
  <c r="AJ1047" i="5"/>
  <c r="AN1047" i="5"/>
  <c r="AR1047" i="5"/>
  <c r="AB1048" i="5"/>
  <c r="AJ1048" i="5"/>
  <c r="AN1048" i="5"/>
  <c r="AR1048" i="5"/>
  <c r="AB1049" i="5"/>
  <c r="AJ1049" i="5"/>
  <c r="AN1049" i="5"/>
  <c r="AR1049" i="5"/>
  <c r="AB1050" i="5"/>
  <c r="AJ1050" i="5"/>
  <c r="AN1050" i="5"/>
  <c r="AR1050" i="5"/>
  <c r="AB1051" i="5"/>
  <c r="AJ1051" i="5"/>
  <c r="AN1051" i="5"/>
  <c r="AR1051" i="5"/>
  <c r="AB1052" i="5"/>
  <c r="AJ1052" i="5"/>
  <c r="AN1052" i="5"/>
  <c r="AR1052" i="5"/>
  <c r="AB1053" i="5"/>
  <c r="AJ1053" i="5"/>
  <c r="AN1053" i="5"/>
  <c r="AR1053" i="5"/>
  <c r="AB1054" i="5"/>
  <c r="AJ1054" i="5"/>
  <c r="AN1054" i="5"/>
  <c r="AR1054" i="5"/>
  <c r="AB1055" i="5"/>
  <c r="AJ1055" i="5"/>
  <c r="AN1055" i="5"/>
  <c r="AR1055" i="5"/>
  <c r="AB1056" i="5"/>
  <c r="AJ1056" i="5"/>
  <c r="AN1056" i="5"/>
  <c r="AR1056" i="5"/>
  <c r="AB1057" i="5"/>
  <c r="AJ1057" i="5"/>
  <c r="AN1057" i="5"/>
  <c r="AR1057" i="5"/>
  <c r="AB1058" i="5"/>
  <c r="AJ1058" i="5"/>
  <c r="AN1058" i="5"/>
  <c r="AR1058" i="5"/>
  <c r="AB1059" i="5"/>
  <c r="AJ1059" i="5"/>
  <c r="AN1059" i="5"/>
  <c r="AR1059" i="5"/>
  <c r="AB1060" i="5"/>
  <c r="AJ1060" i="5"/>
  <c r="AN1060" i="5"/>
  <c r="AR1060" i="5"/>
  <c r="AB1061" i="5"/>
  <c r="AJ1061" i="5"/>
  <c r="AN1061" i="5"/>
  <c r="AR1061" i="5"/>
  <c r="AB1062" i="5"/>
  <c r="AJ1062" i="5"/>
  <c r="AN1062" i="5"/>
  <c r="AR1062" i="5"/>
  <c r="AB1063" i="5"/>
  <c r="AJ1063" i="5"/>
  <c r="AN1063" i="5"/>
  <c r="AR1063" i="5"/>
  <c r="AB1064" i="5"/>
  <c r="AJ1064" i="5"/>
  <c r="AN1064" i="5"/>
  <c r="AR1064" i="5"/>
  <c r="AB1065" i="5"/>
  <c r="AE1065" i="5"/>
  <c r="AF1065" i="5"/>
  <c r="AG1065" i="5"/>
  <c r="AH1065" i="5"/>
  <c r="AI1065" i="5"/>
  <c r="AJ1065" i="5"/>
  <c r="AN1065" i="5"/>
  <c r="AR1065" i="5"/>
  <c r="AB1066" i="5"/>
  <c r="AJ1066" i="5"/>
  <c r="AN1066" i="5"/>
  <c r="AR1066" i="5"/>
  <c r="AB1067" i="5"/>
  <c r="AJ1067" i="5"/>
  <c r="AN1067" i="5"/>
  <c r="AR1067" i="5"/>
  <c r="AB1068" i="5"/>
  <c r="AJ1068" i="5"/>
  <c r="AN1068" i="5"/>
  <c r="AR1068" i="5"/>
  <c r="AB1069" i="5"/>
  <c r="AJ1069" i="5"/>
  <c r="AN1069" i="5"/>
  <c r="AR1069" i="5"/>
  <c r="AB1070" i="5"/>
  <c r="AJ1070" i="5"/>
  <c r="AN1070" i="5"/>
  <c r="AR1070" i="5"/>
  <c r="AB1071" i="5"/>
  <c r="AJ1071" i="5"/>
  <c r="AN1071" i="5"/>
  <c r="AR1071" i="5"/>
  <c r="AB1072" i="5"/>
  <c r="AJ1072" i="5"/>
  <c r="AN1072" i="5"/>
  <c r="AR1072" i="5"/>
  <c r="AB1073" i="5"/>
  <c r="AJ1073" i="5"/>
  <c r="AN1073" i="5"/>
  <c r="AR1073" i="5"/>
  <c r="AB1074" i="5"/>
  <c r="AJ1074" i="5"/>
  <c r="AN1074" i="5"/>
  <c r="AR1074" i="5"/>
  <c r="AB1075" i="5"/>
  <c r="AJ1075" i="5"/>
  <c r="AN1075" i="5"/>
  <c r="AR1075" i="5"/>
  <c r="AB1076" i="5"/>
  <c r="AJ1076" i="5"/>
  <c r="AN1076" i="5"/>
  <c r="AR1076" i="5"/>
  <c r="AB1077" i="5"/>
  <c r="AJ1077" i="5"/>
  <c r="AN1077" i="5"/>
  <c r="AR1077" i="5"/>
  <c r="AB1078" i="5"/>
  <c r="AJ1078" i="5"/>
  <c r="AN1078" i="5"/>
  <c r="AR1078" i="5"/>
  <c r="AB1079" i="5"/>
  <c r="AJ1079" i="5"/>
  <c r="AN1079" i="5"/>
  <c r="AR1079" i="5"/>
  <c r="AB1080" i="5"/>
  <c r="AJ1080" i="5"/>
  <c r="AN1080" i="5"/>
  <c r="AR1080" i="5"/>
  <c r="AB1081" i="5"/>
  <c r="AJ1081" i="5"/>
  <c r="AN1081" i="5"/>
  <c r="AR1081" i="5"/>
  <c r="AB1082" i="5"/>
  <c r="AJ1082" i="5"/>
  <c r="AN1082" i="5"/>
  <c r="AR1082" i="5"/>
  <c r="AB1083" i="5"/>
  <c r="AJ1083" i="5"/>
  <c r="AN1083" i="5"/>
  <c r="AR1083" i="5"/>
  <c r="AB1084" i="5"/>
  <c r="AJ1084" i="5"/>
  <c r="AN1084" i="5"/>
  <c r="AR1084" i="5"/>
  <c r="AB1085" i="5"/>
  <c r="AJ1085" i="5"/>
  <c r="AN1085" i="5"/>
  <c r="AR1085" i="5"/>
  <c r="AB1086" i="5"/>
  <c r="AJ1086" i="5"/>
  <c r="AN1086" i="5"/>
  <c r="AR1086" i="5"/>
  <c r="AB1087" i="5"/>
  <c r="AJ1087" i="5"/>
  <c r="AN1087" i="5"/>
  <c r="AR1087" i="5"/>
  <c r="AB1088" i="5"/>
  <c r="AJ1088" i="5"/>
  <c r="AN1088" i="5"/>
  <c r="AR1088" i="5"/>
  <c r="AB1089" i="5"/>
  <c r="AJ1089" i="5"/>
  <c r="AN1089" i="5"/>
  <c r="AR1089" i="5"/>
  <c r="AB1090" i="5"/>
  <c r="AE1090" i="5"/>
  <c r="AF1090" i="5"/>
  <c r="AG1090" i="5"/>
  <c r="AI1090" i="5"/>
  <c r="AJ1090" i="5"/>
  <c r="AN1090" i="5"/>
  <c r="AR1090" i="5"/>
  <c r="AB1091" i="5"/>
  <c r="AJ1091" i="5"/>
  <c r="AN1091" i="5"/>
  <c r="AR1091" i="5"/>
  <c r="AB1092" i="5"/>
  <c r="AJ1092" i="5"/>
  <c r="AN1092" i="5"/>
  <c r="AR1092" i="5"/>
  <c r="AB1093" i="5"/>
  <c r="AJ1093" i="5"/>
  <c r="AN1093" i="5"/>
  <c r="AR1093" i="5"/>
  <c r="AB1094" i="5"/>
  <c r="AJ1094" i="5"/>
  <c r="AN1094" i="5"/>
  <c r="AR1094" i="5"/>
  <c r="AB1095" i="5"/>
  <c r="AJ1095" i="5"/>
  <c r="AN1095" i="5"/>
  <c r="AR1095" i="5"/>
  <c r="AB1096" i="5"/>
  <c r="AJ1096" i="5"/>
  <c r="AN1096" i="5"/>
  <c r="AR1096" i="5"/>
  <c r="AB1097" i="5"/>
  <c r="AJ1097" i="5"/>
  <c r="AN1097" i="5"/>
  <c r="AR1097" i="5"/>
  <c r="AB1098" i="5"/>
  <c r="AJ1098" i="5"/>
  <c r="AN1098" i="5"/>
  <c r="AR1098" i="5"/>
  <c r="AB1099" i="5"/>
  <c r="AJ1099" i="5"/>
  <c r="AN1099" i="5"/>
  <c r="AR1099" i="5"/>
  <c r="AB1100" i="5"/>
  <c r="AJ1100" i="5"/>
  <c r="AN1100" i="5"/>
  <c r="AR1100" i="5"/>
  <c r="AB1101" i="5"/>
  <c r="AJ1101" i="5"/>
  <c r="AN1101" i="5"/>
  <c r="AR1101" i="5"/>
  <c r="AB1102" i="5"/>
  <c r="AJ1102" i="5"/>
  <c r="AN1102" i="5"/>
  <c r="AR1102" i="5"/>
  <c r="AB1103" i="5"/>
  <c r="AJ1103" i="5"/>
  <c r="AN1103" i="5"/>
  <c r="AR1103" i="5"/>
  <c r="AB1104" i="5"/>
  <c r="AJ1104" i="5"/>
  <c r="AN1104" i="5"/>
  <c r="AR1104" i="5"/>
  <c r="AB1105" i="5"/>
  <c r="AJ1105" i="5"/>
  <c r="AN1105" i="5"/>
  <c r="AR1105" i="5"/>
  <c r="AB1106" i="5"/>
  <c r="AJ1106" i="5"/>
  <c r="AN1106" i="5"/>
  <c r="AR1106" i="5"/>
  <c r="AB1107" i="5"/>
  <c r="AJ1107" i="5"/>
  <c r="AN1107" i="5"/>
  <c r="AR1107" i="5"/>
  <c r="AB1108" i="5"/>
  <c r="AJ1108" i="5"/>
  <c r="AN1108" i="5"/>
  <c r="AR1108" i="5"/>
  <c r="AB1109" i="5"/>
  <c r="AJ1109" i="5"/>
  <c r="AN1109" i="5"/>
  <c r="AR1109" i="5"/>
  <c r="AB1110" i="5"/>
  <c r="AJ1110" i="5"/>
  <c r="AN1110" i="5"/>
  <c r="AR1110" i="5"/>
  <c r="AB1111" i="5"/>
  <c r="AJ1111" i="5"/>
  <c r="AN1111" i="5"/>
  <c r="AR1111" i="5"/>
  <c r="AB1112" i="5"/>
  <c r="AE1112" i="5"/>
  <c r="AF1112" i="5"/>
  <c r="AG1112" i="5"/>
  <c r="AH1112" i="5"/>
  <c r="AI1112" i="5"/>
  <c r="AJ1112" i="5"/>
  <c r="AN1112" i="5"/>
  <c r="AR1112" i="5"/>
  <c r="AB1113" i="5"/>
  <c r="AJ1113" i="5"/>
  <c r="AN1113" i="5"/>
  <c r="AR1113" i="5"/>
  <c r="AB1114" i="5"/>
  <c r="AJ1114" i="5"/>
  <c r="AN1114" i="5"/>
  <c r="AR1114" i="5"/>
  <c r="AB1115" i="5"/>
  <c r="AJ1115" i="5"/>
  <c r="AN1115" i="5"/>
  <c r="AR1115" i="5"/>
  <c r="AB1116" i="5"/>
  <c r="AJ1116" i="5"/>
  <c r="AN1116" i="5"/>
  <c r="AR1116" i="5"/>
  <c r="AB1117" i="5"/>
  <c r="AJ1117" i="5"/>
  <c r="AN1117" i="5"/>
  <c r="AR1117" i="5"/>
  <c r="AB1118" i="5"/>
  <c r="AJ1118" i="5"/>
  <c r="AN1118" i="5"/>
  <c r="AR1118" i="5"/>
  <c r="AB1119" i="5"/>
  <c r="AJ1119" i="5"/>
  <c r="AN1119" i="5"/>
  <c r="AR1119" i="5"/>
  <c r="AB1120" i="5"/>
  <c r="AJ1120" i="5"/>
  <c r="AN1120" i="5"/>
  <c r="AR1120" i="5"/>
  <c r="AB1121" i="5"/>
  <c r="AJ1121" i="5"/>
  <c r="AN1121" i="5"/>
  <c r="AR1121" i="5"/>
  <c r="AB1122" i="5"/>
  <c r="AJ1122" i="5"/>
  <c r="AN1122" i="5"/>
  <c r="AR1122" i="5"/>
  <c r="AB1123" i="5"/>
  <c r="AJ1123" i="5"/>
  <c r="AN1123" i="5"/>
  <c r="AR1123" i="5"/>
  <c r="AB1124" i="5"/>
  <c r="AJ1124" i="5"/>
  <c r="AN1124" i="5"/>
  <c r="AR1124" i="5"/>
  <c r="AB1125" i="5"/>
  <c r="AJ1125" i="5"/>
  <c r="AN1125" i="5"/>
  <c r="AR1125" i="5"/>
  <c r="AB1126" i="5"/>
  <c r="AJ1126" i="5"/>
  <c r="AN1126" i="5"/>
  <c r="AR1126" i="5"/>
  <c r="AB1127" i="5"/>
  <c r="AJ1127" i="5"/>
  <c r="AN1127" i="5"/>
  <c r="AR1127" i="5"/>
  <c r="AB1128" i="5"/>
  <c r="AJ1128" i="5"/>
  <c r="AN1128" i="5"/>
  <c r="AR1128" i="5"/>
  <c r="AB1129" i="5"/>
  <c r="AJ1129" i="5"/>
  <c r="AN1129" i="5"/>
  <c r="AR1129" i="5"/>
  <c r="AB1130" i="5"/>
  <c r="AJ1130" i="5"/>
  <c r="AN1130" i="5"/>
  <c r="AR1130" i="5"/>
  <c r="AB1131" i="5"/>
  <c r="AJ1131" i="5"/>
  <c r="AN1131" i="5"/>
  <c r="AR1131" i="5"/>
  <c r="AB1132" i="5"/>
  <c r="AJ1132" i="5"/>
  <c r="AN1132" i="5"/>
  <c r="AR1132" i="5"/>
  <c r="AB1133" i="5"/>
  <c r="AJ1133" i="5"/>
  <c r="AN1133" i="5"/>
  <c r="AR1133" i="5"/>
  <c r="AB1134" i="5"/>
  <c r="AJ1134" i="5"/>
  <c r="AN1134" i="5"/>
  <c r="AR1134" i="5"/>
  <c r="AB1135" i="5"/>
  <c r="AJ1135" i="5"/>
  <c r="AN1135" i="5"/>
  <c r="AR1135" i="5"/>
  <c r="AB1136" i="5"/>
  <c r="AJ1136" i="5"/>
  <c r="AN1136" i="5"/>
  <c r="AR1136" i="5"/>
  <c r="AB1137" i="5"/>
  <c r="AJ1137" i="5"/>
  <c r="AN1137" i="5"/>
  <c r="AR1137" i="5"/>
  <c r="AB1138" i="5"/>
  <c r="AJ1138" i="5"/>
  <c r="AN1138" i="5"/>
  <c r="AR1138" i="5"/>
  <c r="AB1139" i="5"/>
  <c r="AJ1139" i="5"/>
  <c r="AN1139" i="5"/>
  <c r="AR1139" i="5"/>
  <c r="AB1140" i="5"/>
  <c r="AJ1140" i="5"/>
  <c r="AN1140" i="5"/>
  <c r="AR1140" i="5"/>
  <c r="AB1141" i="5"/>
  <c r="AJ1141" i="5"/>
  <c r="AN1141" i="5"/>
  <c r="AR1141" i="5"/>
  <c r="AB1142" i="5"/>
  <c r="AJ1142" i="5"/>
  <c r="AN1142" i="5"/>
  <c r="AR1142" i="5"/>
  <c r="AB1143" i="5"/>
  <c r="AJ1143" i="5"/>
  <c r="AN1143" i="5"/>
  <c r="AR1143" i="5"/>
  <c r="AB1144" i="5"/>
  <c r="AJ1144" i="5"/>
  <c r="AN1144" i="5"/>
  <c r="AR1144" i="5"/>
  <c r="AB1145" i="5"/>
  <c r="AJ1145" i="5"/>
  <c r="AN1145" i="5"/>
  <c r="AR1145" i="5"/>
  <c r="AB1146" i="5"/>
  <c r="AJ1146" i="5"/>
  <c r="AN1146" i="5"/>
  <c r="AR1146" i="5"/>
  <c r="AB1147" i="5"/>
  <c r="AE1147" i="5"/>
  <c r="AF1147" i="5"/>
  <c r="AG1147" i="5"/>
  <c r="AH1147" i="5"/>
  <c r="AI1147" i="5"/>
  <c r="AJ1147" i="5"/>
  <c r="AN1147" i="5"/>
  <c r="AR1147" i="5"/>
  <c r="AB1148" i="5"/>
  <c r="AJ1148" i="5"/>
  <c r="AN1148" i="5"/>
  <c r="AR1148" i="5"/>
  <c r="AB1149" i="5"/>
  <c r="AJ1149" i="5"/>
  <c r="AN1149" i="5"/>
  <c r="AR1149" i="5"/>
  <c r="AB1150" i="5"/>
  <c r="AE1150" i="5"/>
  <c r="AH1150" i="5"/>
  <c r="AI1150" i="5"/>
  <c r="AJ1150" i="5"/>
  <c r="AN1150" i="5"/>
  <c r="AR1150" i="5"/>
  <c r="AB1151" i="5"/>
  <c r="AJ1151" i="5"/>
  <c r="AN1151" i="5"/>
  <c r="AR1151" i="5"/>
  <c r="AB1152" i="5"/>
  <c r="AJ1152" i="5"/>
  <c r="AN1152" i="5"/>
  <c r="AR1152" i="5"/>
  <c r="AB1153" i="5"/>
  <c r="AJ1153" i="5"/>
  <c r="AN1153" i="5"/>
  <c r="AR1153" i="5"/>
  <c r="AB1154" i="5"/>
  <c r="AJ1154" i="5"/>
  <c r="AN1154" i="5"/>
  <c r="AR1154" i="5"/>
  <c r="AB1155" i="5"/>
  <c r="AJ1155" i="5"/>
  <c r="AN1155" i="5"/>
  <c r="AR1155" i="5"/>
  <c r="AB1156" i="5"/>
  <c r="AJ1156" i="5"/>
  <c r="AN1156" i="5"/>
  <c r="AR1156" i="5"/>
  <c r="AB1157" i="5"/>
  <c r="AJ1157" i="5"/>
  <c r="AN1157" i="5"/>
  <c r="AR1157" i="5"/>
  <c r="AB1158" i="5"/>
  <c r="AJ1158" i="5"/>
  <c r="AN1158" i="5"/>
  <c r="AR1158" i="5"/>
  <c r="AB1159" i="5"/>
  <c r="AJ1159" i="5"/>
  <c r="AN1159" i="5"/>
  <c r="AR1159" i="5"/>
  <c r="AB1160" i="5"/>
  <c r="AJ1160" i="5"/>
  <c r="AN1160" i="5"/>
  <c r="AR1160" i="5"/>
  <c r="AB1161" i="5"/>
  <c r="AJ1161" i="5"/>
  <c r="AN1161" i="5"/>
  <c r="AR1161" i="5"/>
  <c r="AB1162" i="5"/>
  <c r="AJ1162" i="5"/>
  <c r="AN1162" i="5"/>
  <c r="AR1162" i="5"/>
  <c r="AB1163" i="5"/>
  <c r="AJ1163" i="5"/>
  <c r="AN1163" i="5"/>
  <c r="AR1163" i="5"/>
  <c r="AB1164" i="5"/>
  <c r="AJ1164" i="5"/>
  <c r="AN1164" i="5"/>
  <c r="AR1164" i="5"/>
  <c r="AB1165" i="5"/>
  <c r="AJ1165" i="5"/>
  <c r="AN1165" i="5"/>
  <c r="AR1165" i="5"/>
  <c r="AB1166" i="5"/>
  <c r="AJ1166" i="5"/>
  <c r="AN1166" i="5"/>
  <c r="AR1166" i="5"/>
  <c r="AB1167" i="5"/>
  <c r="AJ1167" i="5"/>
  <c r="AN1167" i="5"/>
  <c r="AR1167" i="5"/>
  <c r="AB1168" i="5"/>
  <c r="AJ1168" i="5"/>
  <c r="AN1168" i="5"/>
  <c r="AR1168" i="5"/>
  <c r="AB1169" i="5"/>
  <c r="AJ1169" i="5"/>
  <c r="AN1169" i="5"/>
  <c r="AR1169" i="5"/>
  <c r="AB1170" i="5"/>
  <c r="AJ1170" i="5"/>
  <c r="AN1170" i="5"/>
  <c r="AR1170" i="5"/>
  <c r="AB1171" i="5"/>
  <c r="AJ1171" i="5"/>
  <c r="AN1171" i="5"/>
  <c r="AR1171" i="5"/>
  <c r="AB1172" i="5"/>
  <c r="AJ1172" i="5"/>
  <c r="AN1172" i="5"/>
  <c r="AR1172" i="5"/>
  <c r="AB1173" i="5"/>
  <c r="AJ1173" i="5"/>
  <c r="AN1173" i="5"/>
  <c r="AR1173" i="5"/>
  <c r="AB1174" i="5"/>
  <c r="AJ1174" i="5"/>
  <c r="AN1174" i="5"/>
  <c r="AR1174" i="5"/>
  <c r="AB1175" i="5"/>
  <c r="AJ1175" i="5"/>
  <c r="AN1175" i="5"/>
  <c r="AR1175" i="5"/>
  <c r="AB1176" i="5"/>
  <c r="AJ1176" i="5"/>
  <c r="AN1176" i="5"/>
  <c r="AR1176" i="5"/>
  <c r="AB1177" i="5"/>
  <c r="AJ1177" i="5"/>
  <c r="AN1177" i="5"/>
  <c r="AR1177" i="5"/>
  <c r="AB1178" i="5"/>
  <c r="AJ1178" i="5"/>
  <c r="AN1178" i="5"/>
  <c r="AR1178" i="5"/>
  <c r="AB1179" i="5"/>
  <c r="AJ1179" i="5"/>
  <c r="AN1179" i="5"/>
  <c r="AR1179" i="5"/>
  <c r="AB1180" i="5"/>
  <c r="AJ1180" i="5"/>
  <c r="AN1180" i="5"/>
  <c r="AR1180" i="5"/>
  <c r="AB1181" i="5"/>
  <c r="AJ1181" i="5"/>
  <c r="AN1181" i="5"/>
  <c r="AR1181" i="5"/>
  <c r="AB1182" i="5"/>
  <c r="AJ1182" i="5"/>
  <c r="AN1182" i="5"/>
  <c r="AR1182" i="5"/>
  <c r="AB1183" i="5"/>
  <c r="AJ1183" i="5"/>
  <c r="AN1183" i="5"/>
  <c r="AR1183" i="5"/>
  <c r="AB1184" i="5"/>
  <c r="AJ1184" i="5"/>
  <c r="AN1184" i="5"/>
  <c r="AR1184" i="5"/>
  <c r="AB1185" i="5"/>
  <c r="AJ1185" i="5"/>
  <c r="AN1185" i="5"/>
  <c r="AR1185" i="5"/>
  <c r="AB1186" i="5"/>
  <c r="AJ1186" i="5"/>
  <c r="AN1186" i="5"/>
  <c r="AR1186" i="5"/>
  <c r="AB1187" i="5"/>
  <c r="AJ1187" i="5"/>
  <c r="AN1187" i="5"/>
  <c r="AR1187" i="5"/>
  <c r="AB1188" i="5"/>
  <c r="AE1188" i="5"/>
  <c r="AF1188" i="5"/>
  <c r="AG1188" i="5"/>
  <c r="AH1188" i="5"/>
  <c r="AJ1188" i="5" s="1"/>
  <c r="AI1188" i="5"/>
  <c r="AN1188" i="5"/>
  <c r="AR1188" i="5"/>
  <c r="AB1189" i="5"/>
  <c r="AJ1189" i="5"/>
  <c r="AN1189" i="5"/>
  <c r="AR1189" i="5"/>
  <c r="AB1190" i="5"/>
  <c r="AJ1190" i="5"/>
  <c r="AN1190" i="5"/>
  <c r="AR1190" i="5"/>
  <c r="AB1191" i="5"/>
  <c r="AJ1191" i="5"/>
  <c r="AN1191" i="5"/>
  <c r="AR1191" i="5"/>
  <c r="AB1192" i="5"/>
  <c r="AJ1192" i="5"/>
  <c r="AN1192" i="5"/>
  <c r="AR1192" i="5"/>
  <c r="AB1193" i="5"/>
  <c r="AJ1193" i="5"/>
  <c r="AN1193" i="5"/>
  <c r="AR1193" i="5"/>
  <c r="AB1194" i="5"/>
  <c r="AJ1194" i="5"/>
  <c r="AN1194" i="5"/>
  <c r="AR1194" i="5"/>
  <c r="AB1195" i="5"/>
  <c r="AJ1195" i="5"/>
  <c r="AN1195" i="5"/>
  <c r="AR1195" i="5"/>
  <c r="AB1196" i="5"/>
  <c r="AJ1196" i="5"/>
  <c r="AN1196" i="5"/>
  <c r="AR1196" i="5"/>
  <c r="AB1197" i="5"/>
  <c r="AJ1197" i="5"/>
  <c r="AN1197" i="5"/>
  <c r="AR1197" i="5"/>
  <c r="AB1198" i="5"/>
  <c r="AJ1198" i="5"/>
  <c r="AN1198" i="5"/>
  <c r="AR1198" i="5"/>
  <c r="AB1199" i="5"/>
  <c r="AJ1199" i="5"/>
  <c r="AN1199" i="5"/>
  <c r="AR1199" i="5"/>
  <c r="AB1200" i="5"/>
  <c r="AJ1200" i="5"/>
  <c r="AN1200" i="5"/>
  <c r="AR1200" i="5"/>
  <c r="AB1201" i="5"/>
  <c r="AJ1201" i="5"/>
  <c r="AN1201" i="5"/>
  <c r="AR1201" i="5"/>
  <c r="AB1202" i="5"/>
  <c r="AE1202" i="5"/>
  <c r="AF1202" i="5"/>
  <c r="AI1202" i="5"/>
  <c r="AJ1202" i="5"/>
  <c r="AN1202" i="5"/>
  <c r="AR1202" i="5"/>
  <c r="AB1203" i="5"/>
  <c r="AJ1203" i="5"/>
  <c r="AN1203" i="5"/>
  <c r="AR1203" i="5"/>
  <c r="AB1204" i="5"/>
  <c r="AJ1204" i="5"/>
  <c r="AN1204" i="5"/>
  <c r="AR1204" i="5"/>
  <c r="AB1205" i="5"/>
  <c r="AJ1205" i="5"/>
  <c r="AN1205" i="5"/>
  <c r="AR1205" i="5"/>
  <c r="AB1206" i="5"/>
  <c r="AJ1206" i="5"/>
  <c r="AN1206" i="5"/>
  <c r="AR1206" i="5"/>
  <c r="AB1207" i="5"/>
  <c r="AJ1207" i="5"/>
  <c r="AN1207" i="5"/>
  <c r="AR1207" i="5"/>
  <c r="AB1208" i="5"/>
  <c r="AJ1208" i="5"/>
  <c r="AN1208" i="5"/>
  <c r="AR1208" i="5"/>
  <c r="AB1209" i="5"/>
  <c r="AJ1209" i="5"/>
  <c r="AN1209" i="5"/>
  <c r="AR1209" i="5"/>
  <c r="AB1210" i="5"/>
  <c r="AJ1210" i="5"/>
  <c r="AN1210" i="5"/>
  <c r="AR1210" i="5"/>
  <c r="AB1211" i="5"/>
  <c r="AJ1211" i="5"/>
  <c r="AN1211" i="5"/>
  <c r="AR1211" i="5"/>
  <c r="AB1212" i="5"/>
  <c r="AE1212" i="5"/>
  <c r="AF1212" i="5"/>
  <c r="AI1212" i="5"/>
  <c r="AJ1212" i="5"/>
  <c r="AN1212" i="5"/>
  <c r="AR1212" i="5"/>
  <c r="AB1213" i="5"/>
  <c r="AE1213" i="5"/>
  <c r="AF1213" i="5"/>
  <c r="AG1213" i="5"/>
  <c r="AH1213" i="5"/>
  <c r="AI1213" i="5"/>
  <c r="AJ1213" i="5"/>
  <c r="AN1213" i="5"/>
  <c r="AR1213" i="5"/>
  <c r="AB1214" i="5"/>
  <c r="AE1214" i="5"/>
  <c r="AF1214" i="5"/>
  <c r="AI1214" i="5"/>
  <c r="AJ1214" i="5"/>
  <c r="AN1214" i="5"/>
  <c r="AR1214" i="5"/>
  <c r="AB1215" i="5"/>
  <c r="AJ1215" i="5"/>
  <c r="AN1215" i="5"/>
  <c r="AR1215" i="5"/>
  <c r="AB1216" i="5"/>
  <c r="AJ1216" i="5"/>
  <c r="AN1216" i="5"/>
  <c r="AR1216" i="5"/>
  <c r="AB1217" i="5"/>
  <c r="AJ1217" i="5"/>
  <c r="AN1217" i="5"/>
  <c r="AR1217" i="5"/>
  <c r="AB1218" i="5"/>
  <c r="AJ1218" i="5"/>
  <c r="AN1218" i="5"/>
  <c r="AR1218" i="5"/>
  <c r="AB1219" i="5"/>
  <c r="AJ1219" i="5"/>
  <c r="AN1219" i="5"/>
  <c r="AR1219" i="5"/>
  <c r="AB1220" i="5"/>
  <c r="AE1220" i="5"/>
  <c r="AF1220" i="5"/>
  <c r="AH1220" i="5"/>
  <c r="AI1220" i="5"/>
  <c r="AJ1220" i="5"/>
  <c r="AN1220" i="5"/>
  <c r="AR1220" i="5"/>
  <c r="AB1221" i="5"/>
  <c r="AJ1221" i="5"/>
  <c r="AN1221" i="5"/>
  <c r="AR1221" i="5"/>
  <c r="AB1222" i="5"/>
  <c r="AJ1222" i="5"/>
  <c r="AN1222" i="5"/>
  <c r="AR1222" i="5"/>
  <c r="AB1223" i="5"/>
  <c r="AJ1223" i="5"/>
  <c r="AN1223" i="5"/>
  <c r="AR1223" i="5"/>
  <c r="AB1224" i="5"/>
  <c r="AJ1224" i="5"/>
  <c r="AN1224" i="5"/>
  <c r="AR1224" i="5"/>
  <c r="AB1225" i="5"/>
  <c r="AJ1225" i="5"/>
  <c r="AN1225" i="5"/>
  <c r="AR1225" i="5"/>
  <c r="AB1226" i="5"/>
  <c r="AJ1226" i="5"/>
  <c r="AN1226" i="5"/>
  <c r="AR1226" i="5"/>
  <c r="AB1227" i="5"/>
  <c r="AJ1227" i="5"/>
  <c r="AN1227" i="5"/>
  <c r="AR1227" i="5"/>
  <c r="AB1228" i="5"/>
  <c r="AJ1228" i="5"/>
  <c r="AN1228" i="5"/>
  <c r="AR1228" i="5"/>
  <c r="AB1229" i="5"/>
  <c r="AJ1229" i="5"/>
  <c r="AN1229" i="5"/>
  <c r="AR1229" i="5"/>
  <c r="AB1230" i="5"/>
  <c r="AJ1230" i="5"/>
  <c r="AN1230" i="5"/>
  <c r="AR1230" i="5"/>
  <c r="AB1231" i="5"/>
  <c r="AJ1231" i="5"/>
  <c r="AN1231" i="5"/>
  <c r="AR1231" i="5"/>
  <c r="AB1232" i="5"/>
  <c r="AJ1232" i="5"/>
  <c r="AN1232" i="5"/>
  <c r="AR1232" i="5"/>
  <c r="AB1233" i="5"/>
  <c r="AJ1233" i="5"/>
  <c r="AN1233" i="5"/>
  <c r="AR1233" i="5"/>
  <c r="AB1234" i="5"/>
  <c r="AJ1234" i="5"/>
  <c r="AN1234" i="5"/>
  <c r="AR1234" i="5"/>
  <c r="AB1235" i="5"/>
  <c r="AJ1235" i="5"/>
  <c r="AN1235" i="5"/>
  <c r="AR1235" i="5"/>
  <c r="AB1236" i="5"/>
  <c r="AJ1236" i="5"/>
  <c r="AN1236" i="5"/>
  <c r="AR1236" i="5"/>
  <c r="AB1237" i="5"/>
  <c r="AJ1237" i="5"/>
  <c r="AN1237" i="5"/>
  <c r="AR1237" i="5"/>
  <c r="AB1238" i="5"/>
  <c r="AJ1238" i="5"/>
  <c r="AN1238" i="5"/>
  <c r="AR1238" i="5"/>
  <c r="AB1239" i="5"/>
  <c r="AE1239" i="5"/>
  <c r="AF1239" i="5"/>
  <c r="AG1239" i="5"/>
  <c r="AH1239" i="5"/>
  <c r="AI1239" i="5"/>
  <c r="AJ1239" i="5"/>
  <c r="AN1239" i="5"/>
  <c r="AR1239" i="5"/>
  <c r="AB1240" i="5"/>
  <c r="AJ1240" i="5"/>
  <c r="AN1240" i="5"/>
  <c r="AR1240" i="5"/>
  <c r="AB1241" i="5"/>
  <c r="AJ1241" i="5"/>
  <c r="AN1241" i="5"/>
  <c r="AR1241" i="5"/>
  <c r="AB1242" i="5"/>
  <c r="AJ1242" i="5"/>
  <c r="AN1242" i="5"/>
  <c r="AR1242" i="5"/>
  <c r="AB1243" i="5"/>
  <c r="AJ1243" i="5"/>
  <c r="AN1243" i="5"/>
  <c r="AR1243" i="5"/>
  <c r="AB1244" i="5"/>
  <c r="AJ1244" i="5"/>
  <c r="AN1244" i="5"/>
  <c r="AR1244" i="5"/>
  <c r="AB1245" i="5"/>
  <c r="AJ1245" i="5"/>
  <c r="AN1245" i="5"/>
  <c r="AR1245" i="5"/>
  <c r="AB1246" i="5"/>
  <c r="AJ1246" i="5"/>
  <c r="AN1246" i="5"/>
  <c r="AR1246" i="5"/>
  <c r="AB1247" i="5"/>
  <c r="AJ1247" i="5"/>
  <c r="AN1247" i="5"/>
  <c r="AR1247" i="5"/>
  <c r="AB1248" i="5"/>
  <c r="AJ1248" i="5"/>
  <c r="AN1248" i="5"/>
  <c r="AR1248" i="5"/>
  <c r="AB1249" i="5"/>
  <c r="AJ1249" i="5"/>
  <c r="AN1249" i="5"/>
  <c r="AR1249" i="5"/>
  <c r="AB1250" i="5"/>
  <c r="AJ1250" i="5"/>
  <c r="AN1250" i="5"/>
  <c r="AR1250" i="5"/>
  <c r="AB1251" i="5"/>
  <c r="AJ1251" i="5"/>
  <c r="AN1251" i="5"/>
  <c r="AR1251" i="5"/>
  <c r="AB1252" i="5"/>
  <c r="AJ1252" i="5"/>
  <c r="AN1252" i="5"/>
  <c r="AR1252" i="5"/>
  <c r="AB1253" i="5"/>
  <c r="AJ1253" i="5"/>
  <c r="AN1253" i="5"/>
  <c r="AR1253" i="5"/>
  <c r="AB1254" i="5"/>
  <c r="AJ1254" i="5"/>
  <c r="AN1254" i="5"/>
  <c r="AR1254" i="5"/>
  <c r="AB1255" i="5"/>
  <c r="AJ1255" i="5"/>
  <c r="AN1255" i="5"/>
  <c r="AR1255" i="5"/>
  <c r="AB1256" i="5"/>
  <c r="AJ1256" i="5"/>
  <c r="AN1256" i="5"/>
  <c r="AR1256" i="5"/>
  <c r="N1257" i="5"/>
  <c r="AB1257" i="5"/>
  <c r="AJ1257" i="5"/>
  <c r="AN1257" i="5"/>
  <c r="AR1257" i="5"/>
  <c r="AB1258" i="5"/>
  <c r="AJ1258" i="5"/>
  <c r="AN1258" i="5"/>
  <c r="AR1258" i="5"/>
  <c r="AB1259" i="5"/>
  <c r="AJ1259" i="5"/>
  <c r="AN1259" i="5"/>
  <c r="AR1259" i="5"/>
  <c r="AB1260" i="5"/>
  <c r="AJ1260" i="5"/>
  <c r="AN1260" i="5"/>
  <c r="AR1260" i="5"/>
  <c r="AB1261" i="5"/>
  <c r="AJ1261" i="5"/>
  <c r="AN1261" i="5"/>
  <c r="AR1261" i="5"/>
  <c r="AB1262" i="5"/>
  <c r="AJ1262" i="5"/>
  <c r="AN1262" i="5"/>
  <c r="AR1262" i="5"/>
  <c r="AB1263" i="5"/>
  <c r="AJ1263" i="5"/>
  <c r="AN1263" i="5"/>
  <c r="AR1263" i="5"/>
  <c r="AB1264" i="5"/>
  <c r="AJ1264" i="5"/>
  <c r="AN1264" i="5"/>
  <c r="AR1264" i="5"/>
  <c r="AB1265" i="5"/>
  <c r="AE1265" i="5"/>
  <c r="AF1265" i="5"/>
  <c r="AG1265" i="5"/>
  <c r="AH1265" i="5"/>
  <c r="AI1265" i="5"/>
  <c r="AJ1265" i="5"/>
  <c r="AN1265" i="5"/>
  <c r="AR1265" i="5"/>
  <c r="AB1266" i="5"/>
  <c r="AE1266" i="5"/>
  <c r="AF1266" i="5"/>
  <c r="AG1266" i="5"/>
  <c r="AH1266" i="5"/>
  <c r="AI1266" i="5"/>
  <c r="AJ1266" i="5"/>
  <c r="AN1266" i="5"/>
  <c r="AR1266" i="5"/>
  <c r="AB1267" i="5"/>
  <c r="AJ1267" i="5"/>
  <c r="AN1267" i="5"/>
  <c r="AR1267" i="5"/>
  <c r="AB1268" i="5"/>
  <c r="AJ1268" i="5"/>
  <c r="AN1268" i="5"/>
  <c r="AR1268" i="5"/>
  <c r="AB1269" i="5"/>
  <c r="AJ1269" i="5"/>
  <c r="AN1269" i="5"/>
  <c r="AR1269" i="5"/>
  <c r="AB1270" i="5"/>
  <c r="AJ1270" i="5"/>
  <c r="AN1270" i="5"/>
  <c r="AR1270" i="5"/>
  <c r="AB1271" i="5"/>
  <c r="AJ1271" i="5"/>
  <c r="AN1271" i="5"/>
  <c r="AR1271" i="5"/>
  <c r="AB1272" i="5"/>
  <c r="AJ1272" i="5"/>
  <c r="AN1272" i="5"/>
  <c r="AR1272" i="5"/>
  <c r="AB1273" i="5"/>
  <c r="AJ1273" i="5"/>
  <c r="AN1273" i="5"/>
  <c r="AR1273" i="5"/>
  <c r="AB1274" i="5"/>
  <c r="AJ1274" i="5"/>
  <c r="AN1274" i="5"/>
  <c r="AR1274" i="5"/>
  <c r="AB1275" i="5"/>
  <c r="AJ1275" i="5"/>
  <c r="AN1275" i="5"/>
  <c r="AR1275" i="5"/>
  <c r="AB1276" i="5"/>
  <c r="AJ1276" i="5"/>
  <c r="AN1276" i="5"/>
  <c r="AR1276" i="5"/>
  <c r="AB1277" i="5"/>
  <c r="AJ1277" i="5"/>
  <c r="AN1277" i="5"/>
  <c r="AR1277" i="5"/>
  <c r="AB1278" i="5"/>
  <c r="AJ1278" i="5"/>
  <c r="AN1278" i="5"/>
  <c r="AR1278" i="5"/>
  <c r="AB1279" i="5"/>
  <c r="AJ1279" i="5"/>
  <c r="AN1279" i="5"/>
  <c r="AR1279" i="5"/>
  <c r="AB1280" i="5"/>
  <c r="AJ1280" i="5"/>
  <c r="AN1280" i="5"/>
  <c r="AR1280" i="5"/>
  <c r="AB1281" i="5"/>
  <c r="AJ1281" i="5"/>
  <c r="AN1281" i="5"/>
  <c r="AR1281" i="5"/>
  <c r="AB1282" i="5"/>
  <c r="AJ1282" i="5"/>
  <c r="AN1282" i="5"/>
  <c r="AR1282" i="5"/>
  <c r="AB1283" i="5"/>
  <c r="AJ1283" i="5"/>
  <c r="AN1283" i="5"/>
  <c r="AR1283" i="5"/>
  <c r="AB1284" i="5"/>
  <c r="AJ1284" i="5"/>
  <c r="AN1284" i="5"/>
  <c r="AR1284" i="5"/>
  <c r="AB1285" i="5"/>
  <c r="AE1285" i="5"/>
  <c r="AF1285" i="5"/>
  <c r="AG1285" i="5"/>
  <c r="AH1285" i="5"/>
  <c r="AI1285" i="5"/>
  <c r="AJ1285" i="5"/>
  <c r="AN1285" i="5"/>
  <c r="AR1285" i="5"/>
  <c r="AB1286" i="5"/>
  <c r="AJ1286" i="5"/>
  <c r="AN1286" i="5"/>
  <c r="AR1286" i="5"/>
  <c r="AB1287" i="5"/>
  <c r="AJ1287" i="5"/>
  <c r="AN1287" i="5"/>
  <c r="AR1287" i="5"/>
  <c r="AB1288" i="5"/>
  <c r="AJ1288" i="5"/>
  <c r="AN1288" i="5"/>
  <c r="AR1288" i="5"/>
  <c r="AB1289" i="5"/>
  <c r="AJ1289" i="5"/>
  <c r="AN1289" i="5"/>
  <c r="AR1289" i="5"/>
  <c r="AB1290" i="5"/>
  <c r="AE1290" i="5"/>
  <c r="AF1290" i="5"/>
  <c r="AH1290" i="5"/>
  <c r="AI1290" i="5"/>
  <c r="AJ1290" i="5"/>
  <c r="AN1290" i="5"/>
  <c r="AR1290" i="5"/>
  <c r="AB1291" i="5"/>
  <c r="AJ1291" i="5"/>
  <c r="AN1291" i="5"/>
  <c r="AR1291" i="5"/>
  <c r="AB1292" i="5"/>
  <c r="AJ1292" i="5"/>
  <c r="AN1292" i="5"/>
  <c r="AR1292" i="5"/>
  <c r="AB1293" i="5"/>
  <c r="AJ1293" i="5"/>
  <c r="AN1293" i="5"/>
  <c r="AR1293" i="5"/>
  <c r="AB1294" i="5"/>
  <c r="AJ1294" i="5"/>
  <c r="AN1294" i="5"/>
  <c r="AR1294" i="5"/>
  <c r="AB1295" i="5"/>
  <c r="AJ1295" i="5"/>
  <c r="AN1295" i="5"/>
  <c r="AR1295" i="5"/>
  <c r="AB1296" i="5"/>
  <c r="AJ1296" i="5"/>
  <c r="AN1296" i="5"/>
  <c r="AR1296" i="5"/>
  <c r="AB1297" i="5"/>
  <c r="AJ1297" i="5"/>
  <c r="AN1297" i="5"/>
  <c r="AR1297" i="5"/>
  <c r="AB1298" i="5"/>
  <c r="AJ1298" i="5"/>
  <c r="AN1298" i="5"/>
  <c r="AR1298" i="5"/>
  <c r="AB1299" i="5"/>
  <c r="AJ1299" i="5"/>
  <c r="AN1299" i="5"/>
  <c r="AR1299" i="5"/>
  <c r="AB1300" i="5"/>
  <c r="AJ1300" i="5"/>
  <c r="AN1300" i="5"/>
  <c r="AR1300" i="5"/>
  <c r="AB1301" i="5"/>
  <c r="AJ1301" i="5"/>
  <c r="AN1301" i="5"/>
  <c r="AR1301" i="5"/>
  <c r="AB1302" i="5"/>
  <c r="AJ1302" i="5"/>
  <c r="AN1302" i="5"/>
  <c r="AR1302" i="5"/>
  <c r="AB1303" i="5"/>
  <c r="AJ1303" i="5"/>
  <c r="AN1303" i="5"/>
  <c r="AR1303" i="5"/>
  <c r="AB1304" i="5"/>
  <c r="AJ1304" i="5"/>
  <c r="AN1304" i="5"/>
  <c r="AR1304" i="5"/>
  <c r="AB1305" i="5"/>
  <c r="AJ1305" i="5"/>
  <c r="AN1305" i="5"/>
  <c r="AR1305" i="5"/>
  <c r="AB1306" i="5"/>
  <c r="AJ1306" i="5"/>
  <c r="AN1306" i="5"/>
  <c r="AR1306" i="5"/>
  <c r="AB1307" i="5"/>
  <c r="AJ1307" i="5"/>
  <c r="AN1307" i="5"/>
  <c r="AR1307" i="5"/>
  <c r="AB1308" i="5"/>
  <c r="AJ1308" i="5"/>
  <c r="AN1308" i="5"/>
  <c r="AR1308" i="5"/>
  <c r="AB1309" i="5"/>
  <c r="AJ1309" i="5"/>
  <c r="AN1309" i="5"/>
  <c r="AR1309" i="5"/>
  <c r="AB1310" i="5"/>
  <c r="AJ1310" i="5"/>
  <c r="AN1310" i="5"/>
  <c r="AR1310" i="5"/>
  <c r="AB1311" i="5"/>
  <c r="AJ1311" i="5"/>
  <c r="AN1311" i="5"/>
  <c r="AR1311" i="5"/>
  <c r="AB1312" i="5"/>
  <c r="AJ1312" i="5"/>
  <c r="AN1312" i="5"/>
  <c r="AR1312" i="5"/>
  <c r="AB1313" i="5"/>
  <c r="AJ1313" i="5"/>
  <c r="AN1313" i="5"/>
  <c r="AR1313" i="5"/>
  <c r="AB1314" i="5"/>
  <c r="AJ1314" i="5"/>
  <c r="AN1314" i="5"/>
  <c r="AR1314" i="5"/>
  <c r="AB1315" i="5"/>
  <c r="AJ1315" i="5"/>
  <c r="AN1315" i="5"/>
  <c r="AR1315" i="5"/>
  <c r="AB1316" i="5"/>
  <c r="AJ1316" i="5"/>
  <c r="AN1316" i="5"/>
  <c r="AR1316" i="5"/>
  <c r="AB1317" i="5"/>
  <c r="AJ1317" i="5"/>
  <c r="AN1317" i="5"/>
  <c r="AR1317" i="5"/>
  <c r="AB1318" i="5"/>
  <c r="AJ1318" i="5"/>
  <c r="AN1318" i="5"/>
  <c r="AR1318" i="5"/>
  <c r="AB1319" i="5"/>
  <c r="AJ1319" i="5"/>
  <c r="AN1319" i="5"/>
  <c r="AR1319" i="5"/>
  <c r="AB1320" i="5"/>
  <c r="AJ1320" i="5"/>
  <c r="AN1320" i="5"/>
  <c r="AR1320" i="5"/>
  <c r="AB1321" i="5"/>
  <c r="AJ1321" i="5"/>
  <c r="AN1321" i="5"/>
  <c r="AR1321" i="5"/>
  <c r="AB1322" i="5"/>
  <c r="AJ1322" i="5"/>
  <c r="AN1322" i="5"/>
  <c r="AR1322" i="5"/>
  <c r="AB1323" i="5"/>
  <c r="AJ1323" i="5"/>
  <c r="AN1323" i="5"/>
  <c r="AR1323" i="5"/>
  <c r="AB1324" i="5"/>
  <c r="AJ1324" i="5"/>
  <c r="AN1324" i="5"/>
  <c r="AR1324" i="5"/>
  <c r="AB1325" i="5"/>
  <c r="AJ1325" i="5"/>
  <c r="AN1325" i="5"/>
  <c r="AR1325" i="5"/>
  <c r="AB1326" i="5"/>
  <c r="AJ1326" i="5"/>
  <c r="AN1326" i="5"/>
  <c r="AR1326" i="5"/>
  <c r="AB1327" i="5"/>
  <c r="AJ1327" i="5"/>
  <c r="AN1327" i="5"/>
  <c r="AR1327" i="5"/>
  <c r="AB1328" i="5"/>
  <c r="AJ1328" i="5"/>
  <c r="AN1328" i="5"/>
  <c r="AR1328" i="5"/>
  <c r="AB1329" i="5"/>
  <c r="AJ1329" i="5"/>
  <c r="AN1329" i="5"/>
  <c r="AR1329" i="5"/>
  <c r="AB1330" i="5"/>
  <c r="AE1330" i="5"/>
  <c r="AF1330" i="5"/>
  <c r="AG1330" i="5"/>
  <c r="AI1330" i="5"/>
  <c r="AJ1330" i="5"/>
  <c r="AN1330" i="5"/>
  <c r="AR1330" i="5"/>
  <c r="AB1331" i="5"/>
  <c r="AJ1331" i="5"/>
  <c r="AN1331" i="5"/>
  <c r="AR1331" i="5"/>
  <c r="AB1332" i="5"/>
  <c r="AJ1332" i="5"/>
  <c r="AN1332" i="5"/>
  <c r="AR1332" i="5"/>
  <c r="AB1333" i="5"/>
  <c r="AJ1333" i="5"/>
  <c r="AN1333" i="5"/>
  <c r="AR1333" i="5"/>
  <c r="AB1334" i="5"/>
  <c r="AJ1334" i="5"/>
  <c r="AN1334" i="5"/>
  <c r="AR1334" i="5"/>
  <c r="AB1335" i="5"/>
  <c r="AJ1335" i="5"/>
  <c r="AN1335" i="5"/>
  <c r="AR1335" i="5"/>
  <c r="AB1336" i="5"/>
  <c r="AJ1336" i="5"/>
  <c r="AN1336" i="5"/>
  <c r="AR1336" i="5"/>
  <c r="AB1337" i="5"/>
  <c r="AJ1337" i="5"/>
  <c r="AN1337" i="5"/>
  <c r="AR1337" i="5"/>
  <c r="AB1338" i="5"/>
  <c r="AJ1338" i="5"/>
  <c r="AN1338" i="5"/>
  <c r="AR1338" i="5"/>
  <c r="AB1339" i="5"/>
  <c r="AJ1339" i="5"/>
  <c r="AN1339" i="5"/>
  <c r="AR1339" i="5"/>
  <c r="AB1340" i="5"/>
  <c r="AJ1340" i="5"/>
  <c r="AN1340" i="5"/>
  <c r="AR1340" i="5"/>
  <c r="AB1341" i="5"/>
  <c r="AJ1341" i="5"/>
  <c r="AN1341" i="5"/>
  <c r="AR1341" i="5"/>
  <c r="AB1342" i="5"/>
  <c r="AJ1342" i="5"/>
  <c r="AN1342" i="5"/>
  <c r="AR1342" i="5"/>
  <c r="AB1343" i="5"/>
  <c r="AJ1343" i="5"/>
  <c r="AN1343" i="5"/>
  <c r="AR1343" i="5"/>
  <c r="AB1344" i="5"/>
  <c r="AJ1344" i="5"/>
  <c r="AN1344" i="5"/>
  <c r="AR1344" i="5"/>
  <c r="AB1345" i="5"/>
  <c r="AJ1345" i="5"/>
  <c r="AN1345" i="5"/>
  <c r="AR1345" i="5"/>
  <c r="AB1346" i="5"/>
  <c r="AJ1346" i="5"/>
  <c r="AN1346" i="5"/>
  <c r="AR1346" i="5"/>
  <c r="AB1347" i="5"/>
  <c r="AJ1347" i="5"/>
  <c r="AN1347" i="5"/>
  <c r="AR1347" i="5"/>
  <c r="AB1348" i="5"/>
  <c r="AJ1348" i="5"/>
  <c r="AN1348" i="5"/>
  <c r="AR1348" i="5"/>
  <c r="AB1349" i="5"/>
  <c r="AJ1349" i="5"/>
  <c r="AN1349" i="5"/>
  <c r="AR1349" i="5"/>
  <c r="AB1350" i="5"/>
  <c r="AJ1350" i="5"/>
  <c r="AN1350" i="5"/>
  <c r="AR1350" i="5"/>
  <c r="AB1351" i="5"/>
  <c r="AJ1351" i="5"/>
  <c r="AN1351" i="5"/>
  <c r="AR1351" i="5"/>
  <c r="AB1352" i="5"/>
  <c r="AJ1352" i="5"/>
  <c r="AN1352" i="5"/>
  <c r="AR1352" i="5"/>
  <c r="AB1353" i="5"/>
  <c r="AJ1353" i="5"/>
  <c r="AN1353" i="5"/>
  <c r="AR1353" i="5"/>
  <c r="AB1354" i="5"/>
  <c r="AJ1354" i="5"/>
  <c r="AN1354" i="5"/>
  <c r="AR1354" i="5"/>
  <c r="AB1355" i="5"/>
  <c r="AJ1355" i="5"/>
  <c r="AN1355" i="5"/>
  <c r="AR1355" i="5"/>
  <c r="AB1356" i="5"/>
  <c r="AJ1356" i="5"/>
  <c r="AN1356" i="5"/>
  <c r="AR1356" i="5"/>
  <c r="AB1357" i="5"/>
  <c r="AJ1357" i="5"/>
  <c r="AN1357" i="5"/>
  <c r="AR1357" i="5"/>
  <c r="AB1358" i="5"/>
  <c r="AJ1358" i="5"/>
  <c r="AN1358" i="5"/>
  <c r="AR1358" i="5"/>
  <c r="AB1359" i="5"/>
  <c r="AJ1359" i="5"/>
  <c r="AN1359" i="5"/>
  <c r="AR1359" i="5"/>
  <c r="AB1360" i="5"/>
  <c r="AJ1360" i="5"/>
  <c r="AN1360" i="5"/>
  <c r="AR1360" i="5"/>
  <c r="AB1361" i="5"/>
  <c r="AJ1361" i="5"/>
  <c r="AN1361" i="5"/>
  <c r="AR1361" i="5"/>
  <c r="AB1362" i="5"/>
  <c r="AJ1362" i="5"/>
  <c r="AN1362" i="5"/>
  <c r="AR1362" i="5"/>
  <c r="AB1363" i="5"/>
  <c r="AJ1363" i="5"/>
  <c r="AN1363" i="5"/>
  <c r="AR1363" i="5"/>
  <c r="AB1364" i="5"/>
  <c r="AJ1364" i="5"/>
  <c r="AN1364" i="5"/>
  <c r="AR1364" i="5"/>
  <c r="AB1365" i="5"/>
  <c r="AJ1365" i="5"/>
  <c r="AN1365" i="5"/>
  <c r="AR1365" i="5"/>
  <c r="AB1366" i="5"/>
  <c r="AJ1366" i="5"/>
  <c r="AN1366" i="5"/>
  <c r="AR1366" i="5"/>
  <c r="AB1367" i="5"/>
  <c r="AJ1367" i="5"/>
  <c r="AN1367" i="5"/>
  <c r="AR1367" i="5"/>
  <c r="AB1368" i="5"/>
  <c r="AJ1368" i="5"/>
  <c r="AN1368" i="5"/>
  <c r="AR1368" i="5"/>
  <c r="J1371" i="5"/>
  <c r="AN1371" i="5"/>
  <c r="AO4" i="5" s="1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J491" i="3"/>
  <c r="I491" i="3"/>
  <c r="H491" i="3"/>
  <c r="J490" i="3"/>
  <c r="I490" i="3"/>
  <c r="H490" i="3"/>
  <c r="J489" i="3"/>
  <c r="I489" i="3"/>
  <c r="H489" i="3"/>
  <c r="J488" i="3"/>
  <c r="I488" i="3"/>
  <c r="H488" i="3"/>
  <c r="J487" i="3"/>
  <c r="I487" i="3"/>
  <c r="H487" i="3"/>
  <c r="J486" i="3"/>
  <c r="I486" i="3"/>
  <c r="H486" i="3"/>
  <c r="J485" i="3"/>
  <c r="I485" i="3"/>
  <c r="H485" i="3"/>
  <c r="J484" i="3"/>
  <c r="I484" i="3"/>
  <c r="H484" i="3"/>
  <c r="J483" i="3"/>
  <c r="I483" i="3"/>
  <c r="H483" i="3"/>
  <c r="J482" i="3"/>
  <c r="I482" i="3"/>
  <c r="H482" i="3"/>
  <c r="J481" i="3"/>
  <c r="I481" i="3"/>
  <c r="H481" i="3"/>
  <c r="J480" i="3"/>
  <c r="I480" i="3"/>
  <c r="H480" i="3"/>
  <c r="J479" i="3"/>
  <c r="I479" i="3"/>
  <c r="H479" i="3"/>
  <c r="J478" i="3"/>
  <c r="I478" i="3"/>
  <c r="H478" i="3"/>
  <c r="J477" i="3"/>
  <c r="I477" i="3"/>
  <c r="H477" i="3"/>
  <c r="J476" i="3"/>
  <c r="I476" i="3"/>
  <c r="H476" i="3"/>
  <c r="J475" i="3"/>
  <c r="I475" i="3"/>
  <c r="H475" i="3"/>
  <c r="J474" i="3"/>
  <c r="I474" i="3"/>
  <c r="H474" i="3"/>
  <c r="J473" i="3"/>
  <c r="I473" i="3"/>
  <c r="H473" i="3"/>
  <c r="J472" i="3"/>
  <c r="I472" i="3"/>
  <c r="H472" i="3"/>
  <c r="J471" i="3"/>
  <c r="I471" i="3"/>
  <c r="H471" i="3"/>
  <c r="J470" i="3"/>
  <c r="I470" i="3"/>
  <c r="H470" i="3"/>
  <c r="J469" i="3"/>
  <c r="I469" i="3"/>
  <c r="H469" i="3"/>
  <c r="J468" i="3"/>
  <c r="I468" i="3"/>
  <c r="H468" i="3"/>
  <c r="J467" i="3"/>
  <c r="I467" i="3"/>
  <c r="H467" i="3"/>
  <c r="J466" i="3"/>
  <c r="I466" i="3"/>
  <c r="H466" i="3"/>
  <c r="J465" i="3"/>
  <c r="I465" i="3"/>
  <c r="H465" i="3"/>
  <c r="G465" i="3" s="1"/>
  <c r="J464" i="3"/>
  <c r="I464" i="3"/>
  <c r="H464" i="3"/>
  <c r="J463" i="3"/>
  <c r="I463" i="3"/>
  <c r="H463" i="3"/>
  <c r="J462" i="3"/>
  <c r="I462" i="3"/>
  <c r="H462" i="3"/>
  <c r="J461" i="3"/>
  <c r="I461" i="3"/>
  <c r="H461" i="3"/>
  <c r="J460" i="3"/>
  <c r="I460" i="3"/>
  <c r="H460" i="3"/>
  <c r="J459" i="3"/>
  <c r="I459" i="3"/>
  <c r="H459" i="3"/>
  <c r="J458" i="3"/>
  <c r="I458" i="3"/>
  <c r="H458" i="3"/>
  <c r="J457" i="3"/>
  <c r="I457" i="3"/>
  <c r="H457" i="3"/>
  <c r="J456" i="3"/>
  <c r="I456" i="3"/>
  <c r="H456" i="3"/>
  <c r="J455" i="3"/>
  <c r="I455" i="3"/>
  <c r="H455" i="3"/>
  <c r="J454" i="3"/>
  <c r="I454" i="3"/>
  <c r="H454" i="3"/>
  <c r="J453" i="3"/>
  <c r="I453" i="3"/>
  <c r="H453" i="3"/>
  <c r="J452" i="3"/>
  <c r="I452" i="3"/>
  <c r="H452" i="3"/>
  <c r="J451" i="3"/>
  <c r="I451" i="3"/>
  <c r="H451" i="3"/>
  <c r="J450" i="3"/>
  <c r="I450" i="3"/>
  <c r="H450" i="3"/>
  <c r="J449" i="3"/>
  <c r="I449" i="3"/>
  <c r="H449" i="3"/>
  <c r="G449" i="3" s="1"/>
  <c r="J448" i="3"/>
  <c r="I448" i="3"/>
  <c r="H448" i="3"/>
  <c r="J447" i="3"/>
  <c r="I447" i="3"/>
  <c r="H447" i="3"/>
  <c r="J446" i="3"/>
  <c r="I446" i="3"/>
  <c r="H446" i="3"/>
  <c r="J445" i="3"/>
  <c r="I445" i="3"/>
  <c r="H445" i="3"/>
  <c r="J444" i="3"/>
  <c r="I444" i="3"/>
  <c r="H444" i="3"/>
  <c r="J443" i="3"/>
  <c r="I443" i="3"/>
  <c r="H443" i="3"/>
  <c r="J442" i="3"/>
  <c r="I442" i="3"/>
  <c r="H442" i="3"/>
  <c r="J441" i="3"/>
  <c r="I441" i="3"/>
  <c r="H441" i="3"/>
  <c r="G441" i="3" s="1"/>
  <c r="J440" i="3"/>
  <c r="I440" i="3"/>
  <c r="H440" i="3"/>
  <c r="J439" i="3"/>
  <c r="I439" i="3"/>
  <c r="H439" i="3"/>
  <c r="J438" i="3"/>
  <c r="I438" i="3"/>
  <c r="H438" i="3"/>
  <c r="J437" i="3"/>
  <c r="I437" i="3"/>
  <c r="H437" i="3"/>
  <c r="J436" i="3"/>
  <c r="I436" i="3"/>
  <c r="H436" i="3"/>
  <c r="J435" i="3"/>
  <c r="I435" i="3"/>
  <c r="H435" i="3"/>
  <c r="J434" i="3"/>
  <c r="I434" i="3"/>
  <c r="H434" i="3"/>
  <c r="J433" i="3"/>
  <c r="I433" i="3"/>
  <c r="H433" i="3"/>
  <c r="J432" i="3"/>
  <c r="I432" i="3"/>
  <c r="H432" i="3"/>
  <c r="J431" i="3"/>
  <c r="I431" i="3"/>
  <c r="H431" i="3"/>
  <c r="J430" i="3"/>
  <c r="I430" i="3"/>
  <c r="H430" i="3"/>
  <c r="J429" i="3"/>
  <c r="I429" i="3"/>
  <c r="H429" i="3"/>
  <c r="J428" i="3"/>
  <c r="I428" i="3"/>
  <c r="H428" i="3"/>
  <c r="J427" i="3"/>
  <c r="I427" i="3"/>
  <c r="H427" i="3"/>
  <c r="J426" i="3"/>
  <c r="I426" i="3"/>
  <c r="H426" i="3"/>
  <c r="J425" i="3"/>
  <c r="I425" i="3"/>
  <c r="H425" i="3"/>
  <c r="J424" i="3"/>
  <c r="I424" i="3"/>
  <c r="H424" i="3"/>
  <c r="J423" i="3"/>
  <c r="I423" i="3"/>
  <c r="H423" i="3"/>
  <c r="J422" i="3"/>
  <c r="I422" i="3"/>
  <c r="H422" i="3"/>
  <c r="J421" i="3"/>
  <c r="I421" i="3"/>
  <c r="H421" i="3"/>
  <c r="J420" i="3"/>
  <c r="I420" i="3"/>
  <c r="H420" i="3"/>
  <c r="J419" i="3"/>
  <c r="I419" i="3"/>
  <c r="H419" i="3"/>
  <c r="J418" i="3"/>
  <c r="I418" i="3"/>
  <c r="H418" i="3"/>
  <c r="J417" i="3"/>
  <c r="I417" i="3"/>
  <c r="H417" i="3"/>
  <c r="G417" i="3" s="1"/>
  <c r="J416" i="3"/>
  <c r="I416" i="3"/>
  <c r="H416" i="3"/>
  <c r="J415" i="3"/>
  <c r="I415" i="3"/>
  <c r="H415" i="3"/>
  <c r="J414" i="3"/>
  <c r="I414" i="3"/>
  <c r="H414" i="3"/>
  <c r="J413" i="3"/>
  <c r="I413" i="3"/>
  <c r="H413" i="3"/>
  <c r="J412" i="3"/>
  <c r="I412" i="3"/>
  <c r="H412" i="3"/>
  <c r="J411" i="3"/>
  <c r="I411" i="3"/>
  <c r="H411" i="3"/>
  <c r="J410" i="3"/>
  <c r="I410" i="3"/>
  <c r="H410" i="3"/>
  <c r="J409" i="3"/>
  <c r="I409" i="3"/>
  <c r="H409" i="3"/>
  <c r="J408" i="3"/>
  <c r="I408" i="3"/>
  <c r="H408" i="3"/>
  <c r="J407" i="3"/>
  <c r="I407" i="3"/>
  <c r="H407" i="3"/>
  <c r="J406" i="3"/>
  <c r="I406" i="3"/>
  <c r="H406" i="3"/>
  <c r="J405" i="3"/>
  <c r="I405" i="3"/>
  <c r="H405" i="3"/>
  <c r="J404" i="3"/>
  <c r="I404" i="3"/>
  <c r="H404" i="3"/>
  <c r="J403" i="3"/>
  <c r="I403" i="3"/>
  <c r="H403" i="3"/>
  <c r="J402" i="3"/>
  <c r="I402" i="3"/>
  <c r="H402" i="3"/>
  <c r="J401" i="3"/>
  <c r="I401" i="3"/>
  <c r="H401" i="3"/>
  <c r="J400" i="3"/>
  <c r="I400" i="3"/>
  <c r="H400" i="3"/>
  <c r="J399" i="3"/>
  <c r="I399" i="3"/>
  <c r="H399" i="3"/>
  <c r="J398" i="3"/>
  <c r="I398" i="3"/>
  <c r="H398" i="3"/>
  <c r="J397" i="3"/>
  <c r="I397" i="3"/>
  <c r="H397" i="3"/>
  <c r="J396" i="3"/>
  <c r="I396" i="3"/>
  <c r="H396" i="3"/>
  <c r="J395" i="3"/>
  <c r="I395" i="3"/>
  <c r="H395" i="3"/>
  <c r="J394" i="3"/>
  <c r="I394" i="3"/>
  <c r="H394" i="3"/>
  <c r="J393" i="3"/>
  <c r="I393" i="3"/>
  <c r="H393" i="3"/>
  <c r="G393" i="3" s="1"/>
  <c r="J392" i="3"/>
  <c r="I392" i="3"/>
  <c r="H392" i="3"/>
  <c r="J391" i="3"/>
  <c r="I391" i="3"/>
  <c r="H391" i="3"/>
  <c r="J390" i="3"/>
  <c r="I390" i="3"/>
  <c r="H390" i="3"/>
  <c r="J389" i="3"/>
  <c r="I389" i="3"/>
  <c r="H389" i="3"/>
  <c r="J388" i="3"/>
  <c r="I388" i="3"/>
  <c r="H388" i="3"/>
  <c r="J387" i="3"/>
  <c r="I387" i="3"/>
  <c r="H387" i="3"/>
  <c r="J386" i="3"/>
  <c r="I386" i="3"/>
  <c r="H386" i="3"/>
  <c r="J385" i="3"/>
  <c r="I385" i="3"/>
  <c r="H385" i="3"/>
  <c r="J384" i="3"/>
  <c r="I384" i="3"/>
  <c r="H384" i="3"/>
  <c r="J383" i="3"/>
  <c r="I383" i="3"/>
  <c r="H383" i="3"/>
  <c r="J382" i="3"/>
  <c r="I382" i="3"/>
  <c r="H382" i="3"/>
  <c r="J381" i="3"/>
  <c r="I381" i="3"/>
  <c r="H381" i="3"/>
  <c r="J380" i="3"/>
  <c r="I380" i="3"/>
  <c r="H380" i="3"/>
  <c r="J379" i="3"/>
  <c r="I379" i="3"/>
  <c r="H379" i="3"/>
  <c r="J378" i="3"/>
  <c r="I378" i="3"/>
  <c r="H378" i="3"/>
  <c r="J377" i="3"/>
  <c r="I377" i="3"/>
  <c r="H377" i="3"/>
  <c r="J376" i="3"/>
  <c r="I376" i="3"/>
  <c r="H376" i="3"/>
  <c r="J375" i="3"/>
  <c r="I375" i="3"/>
  <c r="H375" i="3"/>
  <c r="J374" i="3"/>
  <c r="I374" i="3"/>
  <c r="H374" i="3"/>
  <c r="J373" i="3"/>
  <c r="I373" i="3"/>
  <c r="H373" i="3"/>
  <c r="J372" i="3"/>
  <c r="I372" i="3"/>
  <c r="H372" i="3"/>
  <c r="J371" i="3"/>
  <c r="I371" i="3"/>
  <c r="H371" i="3"/>
  <c r="J370" i="3"/>
  <c r="I370" i="3"/>
  <c r="H370" i="3"/>
  <c r="J369" i="3"/>
  <c r="I369" i="3"/>
  <c r="H369" i="3"/>
  <c r="G369" i="3" s="1"/>
  <c r="J368" i="3"/>
  <c r="I368" i="3"/>
  <c r="H368" i="3"/>
  <c r="J367" i="3"/>
  <c r="I367" i="3"/>
  <c r="H367" i="3"/>
  <c r="J366" i="3"/>
  <c r="I366" i="3"/>
  <c r="H366" i="3"/>
  <c r="J365" i="3"/>
  <c r="I365" i="3"/>
  <c r="H365" i="3"/>
  <c r="J364" i="3"/>
  <c r="I364" i="3"/>
  <c r="H364" i="3"/>
  <c r="J363" i="3"/>
  <c r="I363" i="3"/>
  <c r="H363" i="3"/>
  <c r="J362" i="3"/>
  <c r="I362" i="3"/>
  <c r="H362" i="3"/>
  <c r="J361" i="3"/>
  <c r="I361" i="3"/>
  <c r="H361" i="3"/>
  <c r="G361" i="3" s="1"/>
  <c r="J360" i="3"/>
  <c r="I360" i="3"/>
  <c r="H360" i="3"/>
  <c r="J359" i="3"/>
  <c r="I359" i="3"/>
  <c r="H359" i="3"/>
  <c r="J358" i="3"/>
  <c r="I358" i="3"/>
  <c r="H358" i="3"/>
  <c r="J357" i="3"/>
  <c r="I357" i="3"/>
  <c r="H357" i="3"/>
  <c r="J356" i="3"/>
  <c r="I356" i="3"/>
  <c r="H356" i="3"/>
  <c r="J355" i="3"/>
  <c r="I355" i="3"/>
  <c r="H355" i="3"/>
  <c r="J354" i="3"/>
  <c r="I354" i="3"/>
  <c r="H354" i="3"/>
  <c r="J353" i="3"/>
  <c r="I353" i="3"/>
  <c r="H353" i="3"/>
  <c r="J352" i="3"/>
  <c r="I352" i="3"/>
  <c r="H352" i="3"/>
  <c r="J351" i="3"/>
  <c r="I351" i="3"/>
  <c r="H351" i="3"/>
  <c r="J350" i="3"/>
  <c r="I350" i="3"/>
  <c r="H350" i="3"/>
  <c r="J349" i="3"/>
  <c r="I349" i="3"/>
  <c r="H349" i="3"/>
  <c r="J348" i="3"/>
  <c r="I348" i="3"/>
  <c r="H348" i="3"/>
  <c r="J347" i="3"/>
  <c r="I347" i="3"/>
  <c r="H347" i="3"/>
  <c r="J346" i="3"/>
  <c r="I346" i="3"/>
  <c r="H346" i="3"/>
  <c r="J345" i="3"/>
  <c r="I345" i="3"/>
  <c r="H345" i="3"/>
  <c r="G345" i="3" s="1"/>
  <c r="J344" i="3"/>
  <c r="I344" i="3"/>
  <c r="H344" i="3"/>
  <c r="J343" i="3"/>
  <c r="I343" i="3"/>
  <c r="H343" i="3"/>
  <c r="J342" i="3"/>
  <c r="I342" i="3"/>
  <c r="H342" i="3"/>
  <c r="J341" i="3"/>
  <c r="I341" i="3"/>
  <c r="H341" i="3"/>
  <c r="J340" i="3"/>
  <c r="I340" i="3"/>
  <c r="H340" i="3"/>
  <c r="J339" i="3"/>
  <c r="I339" i="3"/>
  <c r="H339" i="3"/>
  <c r="J338" i="3"/>
  <c r="I338" i="3"/>
  <c r="H338" i="3"/>
  <c r="J337" i="3"/>
  <c r="I337" i="3"/>
  <c r="H337" i="3"/>
  <c r="G337" i="3" s="1"/>
  <c r="J336" i="3"/>
  <c r="I336" i="3"/>
  <c r="H336" i="3"/>
  <c r="J335" i="3"/>
  <c r="I335" i="3"/>
  <c r="H335" i="3"/>
  <c r="J334" i="3"/>
  <c r="I334" i="3"/>
  <c r="H334" i="3"/>
  <c r="J333" i="3"/>
  <c r="I333" i="3"/>
  <c r="H333" i="3"/>
  <c r="J332" i="3"/>
  <c r="I332" i="3"/>
  <c r="H332" i="3"/>
  <c r="J331" i="3"/>
  <c r="I331" i="3"/>
  <c r="H331" i="3"/>
  <c r="J330" i="3"/>
  <c r="I330" i="3"/>
  <c r="H330" i="3"/>
  <c r="J329" i="3"/>
  <c r="I329" i="3"/>
  <c r="H329" i="3"/>
  <c r="J328" i="3"/>
  <c r="I328" i="3"/>
  <c r="H328" i="3"/>
  <c r="J327" i="3"/>
  <c r="I327" i="3"/>
  <c r="H327" i="3"/>
  <c r="J326" i="3"/>
  <c r="I326" i="3"/>
  <c r="H326" i="3"/>
  <c r="J325" i="3"/>
  <c r="I325" i="3"/>
  <c r="H325" i="3"/>
  <c r="J324" i="3"/>
  <c r="I324" i="3"/>
  <c r="H324" i="3"/>
  <c r="J323" i="3"/>
  <c r="I323" i="3"/>
  <c r="H323" i="3"/>
  <c r="J322" i="3"/>
  <c r="I322" i="3"/>
  <c r="H322" i="3"/>
  <c r="J321" i="3"/>
  <c r="I321" i="3"/>
  <c r="H321" i="3"/>
  <c r="G321" i="3" s="1"/>
  <c r="J320" i="3"/>
  <c r="I320" i="3"/>
  <c r="H320" i="3"/>
  <c r="J319" i="3"/>
  <c r="I319" i="3"/>
  <c r="H319" i="3"/>
  <c r="J318" i="3"/>
  <c r="I318" i="3"/>
  <c r="H318" i="3"/>
  <c r="J317" i="3"/>
  <c r="I317" i="3"/>
  <c r="H317" i="3"/>
  <c r="J316" i="3"/>
  <c r="I316" i="3"/>
  <c r="H316" i="3"/>
  <c r="J315" i="3"/>
  <c r="I315" i="3"/>
  <c r="H315" i="3"/>
  <c r="J314" i="3"/>
  <c r="I314" i="3"/>
  <c r="H314" i="3"/>
  <c r="J313" i="3"/>
  <c r="I313" i="3"/>
  <c r="H313" i="3"/>
  <c r="G313" i="3" s="1"/>
  <c r="J312" i="3"/>
  <c r="I312" i="3"/>
  <c r="H312" i="3"/>
  <c r="J311" i="3"/>
  <c r="I311" i="3"/>
  <c r="H311" i="3"/>
  <c r="J310" i="3"/>
  <c r="I310" i="3"/>
  <c r="H310" i="3"/>
  <c r="J309" i="3"/>
  <c r="I309" i="3"/>
  <c r="H309" i="3"/>
  <c r="J308" i="3"/>
  <c r="I308" i="3"/>
  <c r="H308" i="3"/>
  <c r="J307" i="3"/>
  <c r="I307" i="3"/>
  <c r="H307" i="3"/>
  <c r="J306" i="3"/>
  <c r="I306" i="3"/>
  <c r="H306" i="3"/>
  <c r="J305" i="3"/>
  <c r="I305" i="3"/>
  <c r="H305" i="3"/>
  <c r="J304" i="3"/>
  <c r="I304" i="3"/>
  <c r="H304" i="3"/>
  <c r="J303" i="3"/>
  <c r="I303" i="3"/>
  <c r="H303" i="3"/>
  <c r="J302" i="3"/>
  <c r="I302" i="3"/>
  <c r="H302" i="3"/>
  <c r="J301" i="3"/>
  <c r="I301" i="3"/>
  <c r="H301" i="3"/>
  <c r="J300" i="3"/>
  <c r="I300" i="3"/>
  <c r="H300" i="3"/>
  <c r="J299" i="3"/>
  <c r="I299" i="3"/>
  <c r="H299" i="3"/>
  <c r="J298" i="3"/>
  <c r="I298" i="3"/>
  <c r="H298" i="3"/>
  <c r="J297" i="3"/>
  <c r="I297" i="3"/>
  <c r="H297" i="3"/>
  <c r="G297" i="3" s="1"/>
  <c r="J296" i="3"/>
  <c r="I296" i="3"/>
  <c r="H296" i="3"/>
  <c r="J295" i="3"/>
  <c r="I295" i="3"/>
  <c r="H295" i="3"/>
  <c r="J294" i="3"/>
  <c r="I294" i="3"/>
  <c r="H294" i="3"/>
  <c r="J293" i="3"/>
  <c r="I293" i="3"/>
  <c r="H293" i="3"/>
  <c r="J292" i="3"/>
  <c r="I292" i="3"/>
  <c r="H292" i="3"/>
  <c r="J291" i="3"/>
  <c r="I291" i="3"/>
  <c r="H291" i="3"/>
  <c r="J290" i="3"/>
  <c r="I290" i="3"/>
  <c r="H290" i="3"/>
  <c r="J289" i="3"/>
  <c r="I289" i="3"/>
  <c r="H289" i="3"/>
  <c r="G289" i="3" s="1"/>
  <c r="J288" i="3"/>
  <c r="I288" i="3"/>
  <c r="H288" i="3"/>
  <c r="J287" i="3"/>
  <c r="I287" i="3"/>
  <c r="H287" i="3"/>
  <c r="J286" i="3"/>
  <c r="I286" i="3"/>
  <c r="H286" i="3"/>
  <c r="J285" i="3"/>
  <c r="I285" i="3"/>
  <c r="H285" i="3"/>
  <c r="J284" i="3"/>
  <c r="I284" i="3"/>
  <c r="H284" i="3"/>
  <c r="J283" i="3"/>
  <c r="I283" i="3"/>
  <c r="H283" i="3"/>
  <c r="J282" i="3"/>
  <c r="I282" i="3"/>
  <c r="H282" i="3"/>
  <c r="J281" i="3"/>
  <c r="I281" i="3"/>
  <c r="H281" i="3"/>
  <c r="J280" i="3"/>
  <c r="I280" i="3"/>
  <c r="H280" i="3"/>
  <c r="J279" i="3"/>
  <c r="I279" i="3"/>
  <c r="H279" i="3"/>
  <c r="J278" i="3"/>
  <c r="I278" i="3"/>
  <c r="H278" i="3"/>
  <c r="J277" i="3"/>
  <c r="I277" i="3"/>
  <c r="H277" i="3"/>
  <c r="J276" i="3"/>
  <c r="I276" i="3"/>
  <c r="H276" i="3"/>
  <c r="J275" i="3"/>
  <c r="I275" i="3"/>
  <c r="H275" i="3"/>
  <c r="J274" i="3"/>
  <c r="I274" i="3"/>
  <c r="H274" i="3"/>
  <c r="J273" i="3"/>
  <c r="I273" i="3"/>
  <c r="H273" i="3"/>
  <c r="J272" i="3"/>
  <c r="I272" i="3"/>
  <c r="H272" i="3"/>
  <c r="J271" i="3"/>
  <c r="I271" i="3"/>
  <c r="H271" i="3"/>
  <c r="J270" i="3"/>
  <c r="I270" i="3"/>
  <c r="H270" i="3"/>
  <c r="J269" i="3"/>
  <c r="I269" i="3"/>
  <c r="H269" i="3"/>
  <c r="J268" i="3"/>
  <c r="I268" i="3"/>
  <c r="H268" i="3"/>
  <c r="J267" i="3"/>
  <c r="I267" i="3"/>
  <c r="H267" i="3"/>
  <c r="J266" i="3"/>
  <c r="I266" i="3"/>
  <c r="H266" i="3"/>
  <c r="J265" i="3"/>
  <c r="I265" i="3"/>
  <c r="H265" i="3"/>
  <c r="G265" i="3" s="1"/>
  <c r="J264" i="3"/>
  <c r="I264" i="3"/>
  <c r="H264" i="3"/>
  <c r="J263" i="3"/>
  <c r="I263" i="3"/>
  <c r="H263" i="3"/>
  <c r="J262" i="3"/>
  <c r="I262" i="3"/>
  <c r="H262" i="3"/>
  <c r="J261" i="3"/>
  <c r="I261" i="3"/>
  <c r="H261" i="3"/>
  <c r="J260" i="3"/>
  <c r="I260" i="3"/>
  <c r="H260" i="3"/>
  <c r="J259" i="3"/>
  <c r="I259" i="3"/>
  <c r="H259" i="3"/>
  <c r="J258" i="3"/>
  <c r="I258" i="3"/>
  <c r="H258" i="3"/>
  <c r="J257" i="3"/>
  <c r="I257" i="3"/>
  <c r="H257" i="3"/>
  <c r="J256" i="3"/>
  <c r="I256" i="3"/>
  <c r="H256" i="3"/>
  <c r="J255" i="3"/>
  <c r="I255" i="3"/>
  <c r="H255" i="3"/>
  <c r="J254" i="3"/>
  <c r="I254" i="3"/>
  <c r="H254" i="3"/>
  <c r="J253" i="3"/>
  <c r="I253" i="3"/>
  <c r="H253" i="3"/>
  <c r="J252" i="3"/>
  <c r="I252" i="3"/>
  <c r="H252" i="3"/>
  <c r="J251" i="3"/>
  <c r="I251" i="3"/>
  <c r="H251" i="3"/>
  <c r="J250" i="3"/>
  <c r="I250" i="3"/>
  <c r="H250" i="3"/>
  <c r="J249" i="3"/>
  <c r="I249" i="3"/>
  <c r="H249" i="3"/>
  <c r="G249" i="3" s="1"/>
  <c r="J248" i="3"/>
  <c r="I248" i="3"/>
  <c r="H248" i="3"/>
  <c r="J247" i="3"/>
  <c r="I247" i="3"/>
  <c r="H247" i="3"/>
  <c r="J246" i="3"/>
  <c r="I246" i="3"/>
  <c r="H246" i="3"/>
  <c r="J245" i="3"/>
  <c r="I245" i="3"/>
  <c r="H245" i="3"/>
  <c r="J244" i="3"/>
  <c r="I244" i="3"/>
  <c r="H244" i="3"/>
  <c r="J243" i="3"/>
  <c r="I243" i="3"/>
  <c r="H243" i="3"/>
  <c r="J242" i="3"/>
  <c r="I242" i="3"/>
  <c r="H242" i="3"/>
  <c r="J241" i="3"/>
  <c r="I241" i="3"/>
  <c r="H241" i="3"/>
  <c r="J240" i="3"/>
  <c r="I240" i="3"/>
  <c r="H240" i="3"/>
  <c r="J239" i="3"/>
  <c r="I239" i="3"/>
  <c r="H239" i="3"/>
  <c r="J238" i="3"/>
  <c r="I238" i="3"/>
  <c r="H238" i="3"/>
  <c r="J237" i="3"/>
  <c r="I237" i="3"/>
  <c r="H237" i="3"/>
  <c r="J236" i="3"/>
  <c r="I236" i="3"/>
  <c r="H236" i="3"/>
  <c r="J235" i="3"/>
  <c r="I235" i="3"/>
  <c r="H235" i="3"/>
  <c r="J234" i="3"/>
  <c r="I234" i="3"/>
  <c r="H234" i="3"/>
  <c r="J233" i="3"/>
  <c r="I233" i="3"/>
  <c r="H233" i="3"/>
  <c r="J232" i="3"/>
  <c r="I232" i="3"/>
  <c r="H232" i="3"/>
  <c r="J231" i="3"/>
  <c r="I231" i="3"/>
  <c r="H231" i="3"/>
  <c r="J230" i="3"/>
  <c r="I230" i="3"/>
  <c r="H230" i="3"/>
  <c r="J229" i="3"/>
  <c r="I229" i="3"/>
  <c r="H229" i="3"/>
  <c r="J228" i="3"/>
  <c r="I228" i="3"/>
  <c r="H228" i="3"/>
  <c r="J227" i="3"/>
  <c r="I227" i="3"/>
  <c r="H227" i="3"/>
  <c r="J226" i="3"/>
  <c r="I226" i="3"/>
  <c r="H226" i="3"/>
  <c r="J225" i="3"/>
  <c r="I225" i="3"/>
  <c r="H225" i="3"/>
  <c r="G225" i="3" s="1"/>
  <c r="J224" i="3"/>
  <c r="I224" i="3"/>
  <c r="H224" i="3"/>
  <c r="J223" i="3"/>
  <c r="I223" i="3"/>
  <c r="H223" i="3"/>
  <c r="J222" i="3"/>
  <c r="I222" i="3"/>
  <c r="H222" i="3"/>
  <c r="J221" i="3"/>
  <c r="I221" i="3"/>
  <c r="H221" i="3"/>
  <c r="J220" i="3"/>
  <c r="I220" i="3"/>
  <c r="H220" i="3"/>
  <c r="J219" i="3"/>
  <c r="I219" i="3"/>
  <c r="H219" i="3"/>
  <c r="J218" i="3"/>
  <c r="I218" i="3"/>
  <c r="H218" i="3"/>
  <c r="J217" i="3"/>
  <c r="I217" i="3"/>
  <c r="H217" i="3"/>
  <c r="G217" i="3" s="1"/>
  <c r="J216" i="3"/>
  <c r="I216" i="3"/>
  <c r="H216" i="3"/>
  <c r="J215" i="3"/>
  <c r="I215" i="3"/>
  <c r="H215" i="3"/>
  <c r="J214" i="3"/>
  <c r="I214" i="3"/>
  <c r="H214" i="3"/>
  <c r="J213" i="3"/>
  <c r="I213" i="3"/>
  <c r="H213" i="3"/>
  <c r="J212" i="3"/>
  <c r="I212" i="3"/>
  <c r="H212" i="3"/>
  <c r="J211" i="3"/>
  <c r="I211" i="3"/>
  <c r="H211" i="3"/>
  <c r="J210" i="3"/>
  <c r="I210" i="3"/>
  <c r="H210" i="3"/>
  <c r="J209" i="3"/>
  <c r="I209" i="3"/>
  <c r="H209" i="3"/>
  <c r="J208" i="3"/>
  <c r="I208" i="3"/>
  <c r="H208" i="3"/>
  <c r="J207" i="3"/>
  <c r="I207" i="3"/>
  <c r="H207" i="3"/>
  <c r="J206" i="3"/>
  <c r="I206" i="3"/>
  <c r="H206" i="3"/>
  <c r="J205" i="3"/>
  <c r="I205" i="3"/>
  <c r="H205" i="3"/>
  <c r="J204" i="3"/>
  <c r="I204" i="3"/>
  <c r="H204" i="3"/>
  <c r="J203" i="3"/>
  <c r="I203" i="3"/>
  <c r="H203" i="3"/>
  <c r="J202" i="3"/>
  <c r="I202" i="3"/>
  <c r="H202" i="3"/>
  <c r="J201" i="3"/>
  <c r="I201" i="3"/>
  <c r="H201" i="3"/>
  <c r="G201" i="3" s="1"/>
  <c r="J200" i="3"/>
  <c r="I200" i="3"/>
  <c r="H200" i="3"/>
  <c r="J199" i="3"/>
  <c r="I199" i="3"/>
  <c r="H199" i="3"/>
  <c r="J198" i="3"/>
  <c r="I198" i="3"/>
  <c r="H198" i="3"/>
  <c r="J197" i="3"/>
  <c r="I197" i="3"/>
  <c r="H197" i="3"/>
  <c r="J196" i="3"/>
  <c r="I196" i="3"/>
  <c r="H196" i="3"/>
  <c r="J195" i="3"/>
  <c r="I195" i="3"/>
  <c r="H195" i="3"/>
  <c r="J194" i="3"/>
  <c r="I194" i="3"/>
  <c r="H194" i="3"/>
  <c r="J193" i="3"/>
  <c r="I193" i="3"/>
  <c r="H193" i="3"/>
  <c r="G193" i="3" s="1"/>
  <c r="J192" i="3"/>
  <c r="I192" i="3"/>
  <c r="H192" i="3"/>
  <c r="J191" i="3"/>
  <c r="I191" i="3"/>
  <c r="H191" i="3"/>
  <c r="J190" i="3"/>
  <c r="I190" i="3"/>
  <c r="H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4" i="3"/>
  <c r="I184" i="3"/>
  <c r="H184" i="3"/>
  <c r="J183" i="3"/>
  <c r="I183" i="3"/>
  <c r="H183" i="3"/>
  <c r="J182" i="3"/>
  <c r="I182" i="3"/>
  <c r="H182" i="3"/>
  <c r="J181" i="3"/>
  <c r="I181" i="3"/>
  <c r="H181" i="3"/>
  <c r="J180" i="3"/>
  <c r="I180" i="3"/>
  <c r="H180" i="3"/>
  <c r="J179" i="3"/>
  <c r="I179" i="3"/>
  <c r="H179" i="3"/>
  <c r="J178" i="3"/>
  <c r="I178" i="3"/>
  <c r="H178" i="3"/>
  <c r="J177" i="3"/>
  <c r="I177" i="3"/>
  <c r="H177" i="3"/>
  <c r="G177" i="3" s="1"/>
  <c r="J176" i="3"/>
  <c r="I176" i="3"/>
  <c r="H176" i="3"/>
  <c r="J175" i="3"/>
  <c r="I175" i="3"/>
  <c r="H175" i="3"/>
  <c r="J174" i="3"/>
  <c r="I174" i="3"/>
  <c r="H174" i="3"/>
  <c r="J173" i="3"/>
  <c r="I173" i="3"/>
  <c r="H173" i="3"/>
  <c r="J172" i="3"/>
  <c r="I172" i="3"/>
  <c r="H172" i="3"/>
  <c r="J171" i="3"/>
  <c r="I171" i="3"/>
  <c r="H171" i="3"/>
  <c r="J170" i="3"/>
  <c r="I170" i="3"/>
  <c r="H170" i="3"/>
  <c r="J169" i="3"/>
  <c r="I169" i="3"/>
  <c r="H169" i="3"/>
  <c r="G169" i="3" s="1"/>
  <c r="J168" i="3"/>
  <c r="I168" i="3"/>
  <c r="H168" i="3"/>
  <c r="J167" i="3"/>
  <c r="I167" i="3"/>
  <c r="H167" i="3"/>
  <c r="J166" i="3"/>
  <c r="I166" i="3"/>
  <c r="H166" i="3"/>
  <c r="J165" i="3"/>
  <c r="I165" i="3"/>
  <c r="H165" i="3"/>
  <c r="J164" i="3"/>
  <c r="I164" i="3"/>
  <c r="H164" i="3"/>
  <c r="J163" i="3"/>
  <c r="I163" i="3"/>
  <c r="H163" i="3"/>
  <c r="J162" i="3"/>
  <c r="I162" i="3"/>
  <c r="H162" i="3"/>
  <c r="J161" i="3"/>
  <c r="I161" i="3"/>
  <c r="H161" i="3"/>
  <c r="J160" i="3"/>
  <c r="I160" i="3"/>
  <c r="H160" i="3"/>
  <c r="J159" i="3"/>
  <c r="I159" i="3"/>
  <c r="H159" i="3"/>
  <c r="J158" i="3"/>
  <c r="I158" i="3"/>
  <c r="H158" i="3"/>
  <c r="J157" i="3"/>
  <c r="I157" i="3"/>
  <c r="H157" i="3"/>
  <c r="J156" i="3"/>
  <c r="I156" i="3"/>
  <c r="H156" i="3"/>
  <c r="J155" i="3"/>
  <c r="I155" i="3"/>
  <c r="H155" i="3"/>
  <c r="J154" i="3"/>
  <c r="I154" i="3"/>
  <c r="H154" i="3"/>
  <c r="J153" i="3"/>
  <c r="I153" i="3"/>
  <c r="H153" i="3"/>
  <c r="G153" i="3" s="1"/>
  <c r="J152" i="3"/>
  <c r="I152" i="3"/>
  <c r="H152" i="3"/>
  <c r="J151" i="3"/>
  <c r="I151" i="3"/>
  <c r="H151" i="3"/>
  <c r="J150" i="3"/>
  <c r="I150" i="3"/>
  <c r="H150" i="3"/>
  <c r="J149" i="3"/>
  <c r="I149" i="3"/>
  <c r="H149" i="3"/>
  <c r="J148" i="3"/>
  <c r="I148" i="3"/>
  <c r="H148" i="3"/>
  <c r="J147" i="3"/>
  <c r="I147" i="3"/>
  <c r="H147" i="3"/>
  <c r="J146" i="3"/>
  <c r="I146" i="3"/>
  <c r="H146" i="3"/>
  <c r="J145" i="3"/>
  <c r="I145" i="3"/>
  <c r="H145" i="3"/>
  <c r="G145" i="3" s="1"/>
  <c r="J144" i="3"/>
  <c r="I144" i="3"/>
  <c r="H144" i="3"/>
  <c r="J143" i="3"/>
  <c r="I143" i="3"/>
  <c r="H143" i="3"/>
  <c r="J142" i="3"/>
  <c r="I142" i="3"/>
  <c r="H142" i="3"/>
  <c r="J141" i="3"/>
  <c r="I141" i="3"/>
  <c r="H141" i="3"/>
  <c r="J140" i="3"/>
  <c r="I140" i="3"/>
  <c r="H140" i="3"/>
  <c r="J139" i="3"/>
  <c r="I139" i="3"/>
  <c r="H139" i="3"/>
  <c r="J138" i="3"/>
  <c r="I138" i="3"/>
  <c r="H138" i="3"/>
  <c r="J137" i="3"/>
  <c r="I137" i="3"/>
  <c r="H137" i="3"/>
  <c r="J136" i="3"/>
  <c r="I136" i="3"/>
  <c r="H136" i="3"/>
  <c r="J135" i="3"/>
  <c r="I135" i="3"/>
  <c r="H135" i="3"/>
  <c r="J134" i="3"/>
  <c r="I134" i="3"/>
  <c r="H134" i="3"/>
  <c r="J133" i="3"/>
  <c r="I133" i="3"/>
  <c r="H133" i="3"/>
  <c r="J132" i="3"/>
  <c r="I132" i="3"/>
  <c r="H132" i="3"/>
  <c r="J131" i="3"/>
  <c r="I131" i="3"/>
  <c r="H131" i="3"/>
  <c r="J130" i="3"/>
  <c r="I130" i="3"/>
  <c r="H130" i="3"/>
  <c r="J129" i="3"/>
  <c r="I129" i="3"/>
  <c r="H129" i="3"/>
  <c r="G129" i="3" s="1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J123" i="3"/>
  <c r="I123" i="3"/>
  <c r="H123" i="3"/>
  <c r="J122" i="3"/>
  <c r="I122" i="3"/>
  <c r="H122" i="3"/>
  <c r="J121" i="3"/>
  <c r="I121" i="3"/>
  <c r="H121" i="3"/>
  <c r="G121" i="3" s="1"/>
  <c r="J120" i="3"/>
  <c r="I120" i="3"/>
  <c r="H120" i="3"/>
  <c r="J119" i="3"/>
  <c r="I119" i="3"/>
  <c r="H119" i="3"/>
  <c r="J118" i="3"/>
  <c r="I118" i="3"/>
  <c r="H118" i="3"/>
  <c r="J117" i="3"/>
  <c r="I117" i="3"/>
  <c r="H117" i="3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J107" i="3"/>
  <c r="I107" i="3"/>
  <c r="H107" i="3"/>
  <c r="J106" i="3"/>
  <c r="I106" i="3"/>
  <c r="H106" i="3"/>
  <c r="J105" i="3"/>
  <c r="I105" i="3"/>
  <c r="H105" i="3"/>
  <c r="J104" i="3"/>
  <c r="I104" i="3"/>
  <c r="H104" i="3"/>
  <c r="J103" i="3"/>
  <c r="I103" i="3"/>
  <c r="H103" i="3"/>
  <c r="J102" i="3"/>
  <c r="I102" i="3"/>
  <c r="H102" i="3"/>
  <c r="J101" i="3"/>
  <c r="I101" i="3"/>
  <c r="H101" i="3"/>
  <c r="J100" i="3"/>
  <c r="I100" i="3"/>
  <c r="H100" i="3"/>
  <c r="J99" i="3"/>
  <c r="I99" i="3"/>
  <c r="H99" i="3"/>
  <c r="J98" i="3"/>
  <c r="I98" i="3"/>
  <c r="H98" i="3"/>
  <c r="J97" i="3"/>
  <c r="I97" i="3"/>
  <c r="H97" i="3"/>
  <c r="J96" i="3"/>
  <c r="I96" i="3"/>
  <c r="H96" i="3"/>
  <c r="J95" i="3"/>
  <c r="I95" i="3"/>
  <c r="H95" i="3"/>
  <c r="J94" i="3"/>
  <c r="I94" i="3"/>
  <c r="H94" i="3"/>
  <c r="J93" i="3"/>
  <c r="I93" i="3"/>
  <c r="H93" i="3"/>
  <c r="J92" i="3"/>
  <c r="I92" i="3"/>
  <c r="H92" i="3"/>
  <c r="J91" i="3"/>
  <c r="I91" i="3"/>
  <c r="H91" i="3"/>
  <c r="J90" i="3"/>
  <c r="I90" i="3"/>
  <c r="H90" i="3"/>
  <c r="J89" i="3"/>
  <c r="I89" i="3"/>
  <c r="H89" i="3"/>
  <c r="J88" i="3"/>
  <c r="I88" i="3"/>
  <c r="H88" i="3"/>
  <c r="J87" i="3"/>
  <c r="I87" i="3"/>
  <c r="H87" i="3"/>
  <c r="J86" i="3"/>
  <c r="I86" i="3"/>
  <c r="H86" i="3"/>
  <c r="J85" i="3"/>
  <c r="I85" i="3"/>
  <c r="H85" i="3"/>
  <c r="J84" i="3"/>
  <c r="I84" i="3"/>
  <c r="H84" i="3"/>
  <c r="J83" i="3"/>
  <c r="I83" i="3"/>
  <c r="H83" i="3"/>
  <c r="J82" i="3"/>
  <c r="I82" i="3"/>
  <c r="H82" i="3"/>
  <c r="J81" i="3"/>
  <c r="I81" i="3"/>
  <c r="H81" i="3"/>
  <c r="J80" i="3"/>
  <c r="I80" i="3"/>
  <c r="H80" i="3"/>
  <c r="J79" i="3"/>
  <c r="I79" i="3"/>
  <c r="H79" i="3"/>
  <c r="J78" i="3"/>
  <c r="I78" i="3"/>
  <c r="H78" i="3"/>
  <c r="J77" i="3"/>
  <c r="I77" i="3"/>
  <c r="H77" i="3"/>
  <c r="J76" i="3"/>
  <c r="I76" i="3"/>
  <c r="H76" i="3"/>
  <c r="J75" i="3"/>
  <c r="I75" i="3"/>
  <c r="H75" i="3"/>
  <c r="J74" i="3"/>
  <c r="I74" i="3"/>
  <c r="H74" i="3"/>
  <c r="J73" i="3"/>
  <c r="I73" i="3"/>
  <c r="H73" i="3"/>
  <c r="J72" i="3"/>
  <c r="I72" i="3"/>
  <c r="H72" i="3"/>
  <c r="J71" i="3"/>
  <c r="I71" i="3"/>
  <c r="H71" i="3"/>
  <c r="J70" i="3"/>
  <c r="I70" i="3"/>
  <c r="H70" i="3"/>
  <c r="J69" i="3"/>
  <c r="I69" i="3"/>
  <c r="H69" i="3"/>
  <c r="J68" i="3"/>
  <c r="I68" i="3"/>
  <c r="H68" i="3"/>
  <c r="J67" i="3"/>
  <c r="I67" i="3"/>
  <c r="H67" i="3"/>
  <c r="J66" i="3"/>
  <c r="I66" i="3"/>
  <c r="H66" i="3"/>
  <c r="J65" i="3"/>
  <c r="I65" i="3"/>
  <c r="H65" i="3"/>
  <c r="J64" i="3"/>
  <c r="I64" i="3"/>
  <c r="H64" i="3"/>
  <c r="J63" i="3"/>
  <c r="I63" i="3"/>
  <c r="H63" i="3"/>
  <c r="J62" i="3"/>
  <c r="I62" i="3"/>
  <c r="H62" i="3"/>
  <c r="J61" i="3"/>
  <c r="I61" i="3"/>
  <c r="H61" i="3"/>
  <c r="J60" i="3"/>
  <c r="I60" i="3"/>
  <c r="H60" i="3"/>
  <c r="J59" i="3"/>
  <c r="I59" i="3"/>
  <c r="H59" i="3"/>
  <c r="J58" i="3"/>
  <c r="I58" i="3"/>
  <c r="H58" i="3"/>
  <c r="J57" i="3"/>
  <c r="I57" i="3"/>
  <c r="H57" i="3"/>
  <c r="J56" i="3"/>
  <c r="I56" i="3"/>
  <c r="H56" i="3"/>
  <c r="J55" i="3"/>
  <c r="I55" i="3"/>
  <c r="H55" i="3"/>
  <c r="J54" i="3"/>
  <c r="I54" i="3"/>
  <c r="H54" i="3"/>
  <c r="J53" i="3"/>
  <c r="I53" i="3"/>
  <c r="H53" i="3"/>
  <c r="J52" i="3"/>
  <c r="I52" i="3"/>
  <c r="H52" i="3"/>
  <c r="J51" i="3"/>
  <c r="I51" i="3"/>
  <c r="H51" i="3"/>
  <c r="J50" i="3"/>
  <c r="I50" i="3"/>
  <c r="H50" i="3"/>
  <c r="J49" i="3"/>
  <c r="I49" i="3"/>
  <c r="H49" i="3"/>
  <c r="J48" i="3"/>
  <c r="I48" i="3"/>
  <c r="H48" i="3"/>
  <c r="J47" i="3"/>
  <c r="I47" i="3"/>
  <c r="H47" i="3"/>
  <c r="J46" i="3"/>
  <c r="I46" i="3"/>
  <c r="H46" i="3"/>
  <c r="J45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J5" i="3"/>
  <c r="I5" i="3"/>
  <c r="H5" i="3"/>
  <c r="J4" i="3"/>
  <c r="I4" i="3"/>
  <c r="H4" i="3"/>
  <c r="I3" i="3"/>
  <c r="H3" i="3"/>
  <c r="J3" i="3"/>
  <c r="G8" i="3" l="1"/>
  <c r="G16" i="3"/>
  <c r="G24" i="3"/>
  <c r="G32" i="3"/>
  <c r="G40" i="3"/>
  <c r="G48" i="3"/>
  <c r="G56" i="3"/>
  <c r="G64" i="3"/>
  <c r="G72" i="3"/>
  <c r="G80" i="3"/>
  <c r="G88" i="3"/>
  <c r="G96" i="3"/>
  <c r="G104" i="3"/>
  <c r="G112" i="3"/>
  <c r="G120" i="3"/>
  <c r="G128" i="3"/>
  <c r="G136" i="3"/>
  <c r="G144" i="3"/>
  <c r="G152" i="3"/>
  <c r="G160" i="3"/>
  <c r="G168" i="3"/>
  <c r="G176" i="3"/>
  <c r="G184" i="3"/>
  <c r="G192" i="3"/>
  <c r="G200" i="3"/>
  <c r="G208" i="3"/>
  <c r="G216" i="3"/>
  <c r="G224" i="3"/>
  <c r="G232" i="3"/>
  <c r="G240" i="3"/>
  <c r="G248" i="3"/>
  <c r="G256" i="3"/>
  <c r="G264" i="3"/>
  <c r="G272" i="3"/>
  <c r="G280" i="3"/>
  <c r="G288" i="3"/>
  <c r="G296" i="3"/>
  <c r="G304" i="3"/>
  <c r="G312" i="3"/>
  <c r="G320" i="3"/>
  <c r="G328" i="3"/>
  <c r="G336" i="3"/>
  <c r="G344" i="3"/>
  <c r="G352" i="3"/>
  <c r="G360" i="3"/>
  <c r="G368" i="3"/>
  <c r="G376" i="3"/>
  <c r="G384" i="3"/>
  <c r="G392" i="3"/>
  <c r="G400" i="3"/>
  <c r="G408" i="3"/>
  <c r="G416" i="3"/>
  <c r="G424" i="3"/>
  <c r="G432" i="3"/>
  <c r="G440" i="3"/>
  <c r="G448" i="3"/>
  <c r="G456" i="3"/>
  <c r="G472" i="3"/>
  <c r="G480" i="3"/>
  <c r="G488" i="3"/>
  <c r="G158" i="3"/>
  <c r="G206" i="3"/>
  <c r="G246" i="3"/>
  <c r="G262" i="3"/>
  <c r="G286" i="3"/>
  <c r="G310" i="3"/>
  <c r="G334" i="3"/>
  <c r="G390" i="3"/>
  <c r="G438" i="3"/>
  <c r="G454" i="3"/>
  <c r="G478" i="3"/>
  <c r="G489" i="3"/>
  <c r="G464" i="3"/>
  <c r="G4" i="3"/>
  <c r="G12" i="3"/>
  <c r="G20" i="3"/>
  <c r="G28" i="3"/>
  <c r="G36" i="3"/>
  <c r="G44" i="3"/>
  <c r="G52" i="3"/>
  <c r="G60" i="3"/>
  <c r="G68" i="3"/>
  <c r="G7" i="3"/>
  <c r="G15" i="3"/>
  <c r="G23" i="3"/>
  <c r="G31" i="3"/>
  <c r="G39" i="3"/>
  <c r="G47" i="3"/>
  <c r="G231" i="3"/>
  <c r="G271" i="3"/>
  <c r="G198" i="3"/>
  <c r="G270" i="3"/>
  <c r="G414" i="3"/>
  <c r="G38" i="3"/>
  <c r="G57" i="3"/>
  <c r="G70" i="3"/>
  <c r="G81" i="3"/>
  <c r="G89" i="3"/>
  <c r="G97" i="3"/>
  <c r="G113" i="3"/>
  <c r="G222" i="3"/>
  <c r="G374" i="3"/>
  <c r="G6" i="3"/>
  <c r="G25" i="3"/>
  <c r="G41" i="3"/>
  <c r="G73" i="3"/>
  <c r="G86" i="3"/>
  <c r="G105" i="3"/>
  <c r="G182" i="3"/>
  <c r="G398" i="3"/>
  <c r="G462" i="3"/>
  <c r="G9" i="3"/>
  <c r="G17" i="3"/>
  <c r="G22" i="3"/>
  <c r="G33" i="3"/>
  <c r="G49" i="3"/>
  <c r="G54" i="3"/>
  <c r="G65" i="3"/>
  <c r="G102" i="3"/>
  <c r="G5" i="3"/>
  <c r="G13" i="3"/>
  <c r="G21" i="3"/>
  <c r="G29" i="3"/>
  <c r="G37" i="3"/>
  <c r="G45" i="3"/>
  <c r="G53" i="3"/>
  <c r="G61" i="3"/>
  <c r="G69" i="3"/>
  <c r="G77" i="3"/>
  <c r="G85" i="3"/>
  <c r="G93" i="3"/>
  <c r="G101" i="3"/>
  <c r="G109" i="3"/>
  <c r="G117" i="3"/>
  <c r="G125" i="3"/>
  <c r="G133" i="3"/>
  <c r="G141" i="3"/>
  <c r="G149" i="3"/>
  <c r="G157" i="3"/>
  <c r="G165" i="3"/>
  <c r="G173" i="3"/>
  <c r="G181" i="3"/>
  <c r="G189" i="3"/>
  <c r="G197" i="3"/>
  <c r="G205" i="3"/>
  <c r="G213" i="3"/>
  <c r="G221" i="3"/>
  <c r="G229" i="3"/>
  <c r="G237" i="3"/>
  <c r="G245" i="3"/>
  <c r="G253" i="3"/>
  <c r="G261" i="3"/>
  <c r="G269" i="3"/>
  <c r="G277" i="3"/>
  <c r="G285" i="3"/>
  <c r="G293" i="3"/>
  <c r="G295" i="3"/>
  <c r="G301" i="3"/>
  <c r="G309" i="3"/>
  <c r="G317" i="3"/>
  <c r="G325" i="3"/>
  <c r="G333" i="3"/>
  <c r="G341" i="3"/>
  <c r="G349" i="3"/>
  <c r="G357" i="3"/>
  <c r="G365" i="3"/>
  <c r="G373" i="3"/>
  <c r="G381" i="3"/>
  <c r="G389" i="3"/>
  <c r="G397" i="3"/>
  <c r="G405" i="3"/>
  <c r="G413" i="3"/>
  <c r="G421" i="3"/>
  <c r="G423" i="3"/>
  <c r="G429" i="3"/>
  <c r="G437" i="3"/>
  <c r="G445" i="3"/>
  <c r="G453" i="3"/>
  <c r="G461" i="3"/>
  <c r="G463" i="3"/>
  <c r="G469" i="3"/>
  <c r="G477" i="3"/>
  <c r="G485" i="3"/>
  <c r="G487" i="3"/>
  <c r="G55" i="3"/>
  <c r="G10" i="3"/>
  <c r="G18" i="3"/>
  <c r="G26" i="3"/>
  <c r="G34" i="3"/>
  <c r="G42" i="3"/>
  <c r="G50" i="3"/>
  <c r="G58" i="3"/>
  <c r="G63" i="3"/>
  <c r="G66" i="3"/>
  <c r="G71" i="3"/>
  <c r="G74" i="3"/>
  <c r="G79" i="3"/>
  <c r="G82" i="3"/>
  <c r="G87" i="3"/>
  <c r="G90" i="3"/>
  <c r="G95" i="3"/>
  <c r="G98" i="3"/>
  <c r="G103" i="3"/>
  <c r="G106" i="3"/>
  <c r="G111" i="3"/>
  <c r="G114" i="3"/>
  <c r="G119" i="3"/>
  <c r="G122" i="3"/>
  <c r="G127" i="3"/>
  <c r="G130" i="3"/>
  <c r="G135" i="3"/>
  <c r="G138" i="3"/>
  <c r="G143" i="3"/>
  <c r="G118" i="3"/>
  <c r="G134" i="3"/>
  <c r="G142" i="3"/>
  <c r="G137" i="3"/>
  <c r="G161" i="3"/>
  <c r="G185" i="3"/>
  <c r="G209" i="3"/>
  <c r="G233" i="3"/>
  <c r="G241" i="3"/>
  <c r="G257" i="3"/>
  <c r="G273" i="3"/>
  <c r="G281" i="3"/>
  <c r="G305" i="3"/>
  <c r="G326" i="3"/>
  <c r="G329" i="3"/>
  <c r="G350" i="3"/>
  <c r="G353" i="3"/>
  <c r="G377" i="3"/>
  <c r="G385" i="3"/>
  <c r="G401" i="3"/>
  <c r="G409" i="3"/>
  <c r="G425" i="3"/>
  <c r="G433" i="3"/>
  <c r="G457" i="3"/>
  <c r="G473" i="3"/>
  <c r="G481" i="3"/>
  <c r="G76" i="3"/>
  <c r="G84" i="3"/>
  <c r="G92" i="3"/>
  <c r="G100" i="3"/>
  <c r="G108" i="3"/>
  <c r="G116" i="3"/>
  <c r="G124" i="3"/>
  <c r="G132" i="3"/>
  <c r="G140" i="3"/>
  <c r="G148" i="3"/>
  <c r="G156" i="3"/>
  <c r="G164" i="3"/>
  <c r="G172" i="3"/>
  <c r="G180" i="3"/>
  <c r="G188" i="3"/>
  <c r="G196" i="3"/>
  <c r="G204" i="3"/>
  <c r="G212" i="3"/>
  <c r="G220" i="3"/>
  <c r="G228" i="3"/>
  <c r="G236" i="3"/>
  <c r="G244" i="3"/>
  <c r="G252" i="3"/>
  <c r="G260" i="3"/>
  <c r="G268" i="3"/>
  <c r="G276" i="3"/>
  <c r="G284" i="3"/>
  <c r="G292" i="3"/>
  <c r="G300" i="3"/>
  <c r="G308" i="3"/>
  <c r="G316" i="3"/>
  <c r="G324" i="3"/>
  <c r="G332" i="3"/>
  <c r="G340" i="3"/>
  <c r="G348" i="3"/>
  <c r="G356" i="3"/>
  <c r="G364" i="3"/>
  <c r="G372" i="3"/>
  <c r="G380" i="3"/>
  <c r="G388" i="3"/>
  <c r="G396" i="3"/>
  <c r="G404" i="3"/>
  <c r="G412" i="3"/>
  <c r="G420" i="3"/>
  <c r="G428" i="3"/>
  <c r="G436" i="3"/>
  <c r="G444" i="3"/>
  <c r="G452" i="3"/>
  <c r="G460" i="3"/>
  <c r="G468" i="3"/>
  <c r="G476" i="3"/>
  <c r="G484" i="3"/>
  <c r="G41" i="4"/>
  <c r="F42" i="4"/>
  <c r="F34" i="4"/>
  <c r="F26" i="4"/>
  <c r="F18" i="4"/>
  <c r="F10" i="4"/>
  <c r="F32" i="4"/>
  <c r="F38" i="4"/>
  <c r="F14" i="4"/>
  <c r="F37" i="4"/>
  <c r="F21" i="4"/>
  <c r="F5" i="4"/>
  <c r="F12" i="4"/>
  <c r="F27" i="4"/>
  <c r="F41" i="4"/>
  <c r="F33" i="4"/>
  <c r="F25" i="4"/>
  <c r="F17" i="4"/>
  <c r="F9" i="4"/>
  <c r="F40" i="4"/>
  <c r="F24" i="4"/>
  <c r="F16" i="4"/>
  <c r="F8" i="4"/>
  <c r="F39" i="4"/>
  <c r="F31" i="4"/>
  <c r="F23" i="4"/>
  <c r="F15" i="4"/>
  <c r="F7" i="4"/>
  <c r="F30" i="4"/>
  <c r="F22" i="4"/>
  <c r="F6" i="4"/>
  <c r="F29" i="4"/>
  <c r="F13" i="4"/>
  <c r="F36" i="4"/>
  <c r="F4" i="4"/>
  <c r="F11" i="4"/>
  <c r="F28" i="4"/>
  <c r="F35" i="4"/>
  <c r="F3" i="4"/>
  <c r="F20" i="4"/>
  <c r="F19" i="4"/>
  <c r="G14" i="4"/>
  <c r="G30" i="4"/>
  <c r="G29" i="4"/>
  <c r="G167" i="3"/>
  <c r="G207" i="3"/>
  <c r="G335" i="3"/>
  <c r="G359" i="3"/>
  <c r="G399" i="3"/>
  <c r="G13" i="4"/>
  <c r="G146" i="3"/>
  <c r="G151" i="3"/>
  <c r="G154" i="3"/>
  <c r="G159" i="3"/>
  <c r="G162" i="3"/>
  <c r="G170" i="3"/>
  <c r="G175" i="3"/>
  <c r="G178" i="3"/>
  <c r="G183" i="3"/>
  <c r="G186" i="3"/>
  <c r="G191" i="3"/>
  <c r="G194" i="3"/>
  <c r="G199" i="3"/>
  <c r="G202" i="3"/>
  <c r="G210" i="3"/>
  <c r="G215" i="3"/>
  <c r="G218" i="3"/>
  <c r="G223" i="3"/>
  <c r="G226" i="3"/>
  <c r="G234" i="3"/>
  <c r="G239" i="3"/>
  <c r="G242" i="3"/>
  <c r="G247" i="3"/>
  <c r="G250" i="3"/>
  <c r="G255" i="3"/>
  <c r="G258" i="3"/>
  <c r="G263" i="3"/>
  <c r="G266" i="3"/>
  <c r="G274" i="3"/>
  <c r="G279" i="3"/>
  <c r="G282" i="3"/>
  <c r="G287" i="3"/>
  <c r="G290" i="3"/>
  <c r="G298" i="3"/>
  <c r="G303" i="3"/>
  <c r="G306" i="3"/>
  <c r="G311" i="3"/>
  <c r="G314" i="3"/>
  <c r="G319" i="3"/>
  <c r="G322" i="3"/>
  <c r="G327" i="3"/>
  <c r="G330" i="3"/>
  <c r="G338" i="3"/>
  <c r="G343" i="3"/>
  <c r="G346" i="3"/>
  <c r="G351" i="3"/>
  <c r="G354" i="3"/>
  <c r="G362" i="3"/>
  <c r="G367" i="3"/>
  <c r="G370" i="3"/>
  <c r="G375" i="3"/>
  <c r="G378" i="3"/>
  <c r="G383" i="3"/>
  <c r="G386" i="3"/>
  <c r="G391" i="3"/>
  <c r="G394" i="3"/>
  <c r="G402" i="3"/>
  <c r="G407" i="3"/>
  <c r="G410" i="3"/>
  <c r="G415" i="3"/>
  <c r="G418" i="3"/>
  <c r="G426" i="3"/>
  <c r="G431" i="3"/>
  <c r="G434" i="3"/>
  <c r="G439" i="3"/>
  <c r="G442" i="3"/>
  <c r="G447" i="3"/>
  <c r="G450" i="3"/>
  <c r="G455" i="3"/>
  <c r="G458" i="3"/>
  <c r="G466" i="3"/>
  <c r="G471" i="3"/>
  <c r="G474" i="3"/>
  <c r="G479" i="3"/>
  <c r="G482" i="3"/>
  <c r="G490" i="3"/>
  <c r="G39" i="4"/>
  <c r="G11" i="3"/>
  <c r="G19" i="3"/>
  <c r="G27" i="3"/>
  <c r="G35" i="3"/>
  <c r="G43" i="3"/>
  <c r="G51" i="3"/>
  <c r="G59" i="3"/>
  <c r="G67" i="3"/>
  <c r="G75" i="3"/>
  <c r="G83" i="3"/>
  <c r="G91" i="3"/>
  <c r="G99" i="3"/>
  <c r="G107" i="3"/>
  <c r="G115" i="3"/>
  <c r="G123" i="3"/>
  <c r="G131" i="3"/>
  <c r="G139" i="3"/>
  <c r="G147" i="3"/>
  <c r="G155" i="3"/>
  <c r="G163" i="3"/>
  <c r="G171" i="3"/>
  <c r="G179" i="3"/>
  <c r="G187" i="3"/>
  <c r="G195" i="3"/>
  <c r="G203" i="3"/>
  <c r="G211" i="3"/>
  <c r="G219" i="3"/>
  <c r="G227" i="3"/>
  <c r="G235" i="3"/>
  <c r="G243" i="3"/>
  <c r="G251" i="3"/>
  <c r="G259" i="3"/>
  <c r="G267" i="3"/>
  <c r="G275" i="3"/>
  <c r="G283" i="3"/>
  <c r="G291" i="3"/>
  <c r="G299" i="3"/>
  <c r="G307" i="3"/>
  <c r="G315" i="3"/>
  <c r="G323" i="3"/>
  <c r="G331" i="3"/>
  <c r="G339" i="3"/>
  <c r="G347" i="3"/>
  <c r="G355" i="3"/>
  <c r="G363" i="3"/>
  <c r="G371" i="3"/>
  <c r="G379" i="3"/>
  <c r="G387" i="3"/>
  <c r="G395" i="3"/>
  <c r="G403" i="3"/>
  <c r="G411" i="3"/>
  <c r="G419" i="3"/>
  <c r="G427" i="3"/>
  <c r="G435" i="3"/>
  <c r="G443" i="3"/>
  <c r="G451" i="3"/>
  <c r="G459" i="3"/>
  <c r="G467" i="3"/>
  <c r="G475" i="3"/>
  <c r="G483" i="3"/>
  <c r="G491" i="3"/>
  <c r="G14" i="3"/>
  <c r="G30" i="3"/>
  <c r="G46" i="3"/>
  <c r="G62" i="3"/>
  <c r="G78" i="3"/>
  <c r="G94" i="3"/>
  <c r="G110" i="3"/>
  <c r="G126" i="3"/>
  <c r="G150" i="3"/>
  <c r="G166" i="3"/>
  <c r="G174" i="3"/>
  <c r="G190" i="3"/>
  <c r="G214" i="3"/>
  <c r="G230" i="3"/>
  <c r="G238" i="3"/>
  <c r="G254" i="3"/>
  <c r="G278" i="3"/>
  <c r="G294" i="3"/>
  <c r="G302" i="3"/>
  <c r="G318" i="3"/>
  <c r="G342" i="3"/>
  <c r="G358" i="3"/>
  <c r="G366" i="3"/>
  <c r="G382" i="3"/>
  <c r="G406" i="3"/>
  <c r="G422" i="3"/>
  <c r="G430" i="3"/>
  <c r="G446" i="3"/>
  <c r="G470" i="3"/>
  <c r="G486" i="3"/>
  <c r="G5" i="4"/>
  <c r="G21" i="4"/>
  <c r="G37" i="4"/>
  <c r="G31" i="4"/>
  <c r="G4" i="4"/>
  <c r="G6" i="4"/>
  <c r="G22" i="4"/>
  <c r="G38" i="4"/>
  <c r="G15" i="4"/>
  <c r="G36" i="4"/>
  <c r="G3" i="3"/>
  <c r="G7" i="4"/>
  <c r="G23" i="4"/>
  <c r="G40" i="4"/>
  <c r="G32" i="4"/>
  <c r="G24" i="4"/>
  <c r="G16" i="4"/>
  <c r="G8" i="4"/>
  <c r="G20" i="4"/>
  <c r="G12" i="4"/>
  <c r="G28" i="4"/>
  <c r="G9" i="4"/>
  <c r="G17" i="4"/>
  <c r="G25" i="4"/>
  <c r="G33" i="4"/>
  <c r="G3" i="4"/>
  <c r="G10" i="4"/>
  <c r="G18" i="4"/>
  <c r="G26" i="4"/>
  <c r="G34" i="4"/>
  <c r="G42" i="4"/>
  <c r="G11" i="4"/>
  <c r="G19" i="4"/>
  <c r="G27" i="4"/>
  <c r="G35" i="4"/>
  <c r="H6" i="4" l="1"/>
  <c r="H3" i="4"/>
  <c r="H9" i="4"/>
  <c r="H8" i="4"/>
  <c r="H33" i="4"/>
  <c r="H14" i="4"/>
  <c r="H34" i="4"/>
  <c r="H39" i="4"/>
  <c r="H25" i="4"/>
  <c r="H4" i="4"/>
  <c r="H26" i="4"/>
  <c r="H29" i="4"/>
  <c r="H20" i="4"/>
  <c r="H15" i="4"/>
  <c r="H40" i="4"/>
  <c r="H16" i="4"/>
  <c r="H12" i="4"/>
  <c r="H7" i="4"/>
  <c r="H36" i="4"/>
  <c r="H5" i="4"/>
  <c r="H21" i="4"/>
  <c r="H24" i="4"/>
  <c r="H10" i="4"/>
  <c r="H42" i="4"/>
  <c r="H27" i="4"/>
  <c r="H17" i="4"/>
  <c r="H37" i="4"/>
  <c r="H30" i="4"/>
  <c r="H38" i="4"/>
  <c r="H22" i="4"/>
  <c r="H35" i="4"/>
  <c r="H18" i="4"/>
  <c r="H11" i="4"/>
  <c r="H31" i="4"/>
  <c r="H32" i="4"/>
  <c r="H28" i="4"/>
  <c r="H23" i="4"/>
  <c r="H19" i="4"/>
  <c r="H13" i="4"/>
  <c r="H41" i="4"/>
  <c r="E28" i="4" l="1"/>
  <c r="E6" i="4"/>
  <c r="E20" i="4"/>
  <c r="E5" i="4"/>
  <c r="E38" i="4" l="1"/>
  <c r="E26" i="4"/>
  <c r="E13" i="4"/>
  <c r="E18" i="4"/>
  <c r="E29" i="4"/>
  <c r="E19" i="4"/>
  <c r="E41" i="4"/>
  <c r="E27" i="4"/>
  <c r="E12" i="4"/>
  <c r="E25" i="4"/>
  <c r="E34" i="4"/>
  <c r="E10" i="4"/>
  <c r="E15" i="4"/>
  <c r="E33" i="4"/>
  <c r="E40" i="4"/>
  <c r="E35" i="4"/>
  <c r="E16" i="4"/>
  <c r="E24" i="4"/>
  <c r="E7" i="4"/>
  <c r="E11" i="4"/>
  <c r="E21" i="4"/>
  <c r="E9" i="4"/>
  <c r="E4" i="4"/>
  <c r="E23" i="4"/>
  <c r="E14" i="4"/>
  <c r="E37" i="4"/>
  <c r="E39" i="4"/>
  <c r="E36" i="4"/>
  <c r="E30" i="4"/>
  <c r="E42" i="4"/>
  <c r="E31" i="4"/>
  <c r="E8" i="4"/>
  <c r="E22" i="4"/>
  <c r="E17" i="4"/>
  <c r="E3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Pupia Goncalves</author>
    <author>Maria Luiza da Silveira Talamini</author>
  </authors>
  <commentList>
    <comment ref="J229" authorId="0" shapeId="0" xr:uid="{EBC1F80A-7324-490B-9CED-08D5FE6814A4}">
      <text>
        <r>
          <rPr>
            <b/>
            <sz val="9"/>
            <color indexed="81"/>
            <rFont val="Segoe UI"/>
            <family val="2"/>
          </rPr>
          <t>Lucas Pupia Goncalves:</t>
        </r>
        <r>
          <rPr>
            <sz val="9"/>
            <color indexed="81"/>
            <rFont val="Segoe UI"/>
            <family val="2"/>
          </rPr>
          <t xml:space="preserve">
Alterado para 1,24km</t>
        </r>
      </text>
    </comment>
    <comment ref="A824" authorId="1" shapeId="0" xr:uid="{7E070369-30A0-4C35-BCFF-0140B1484BED}">
      <text>
        <r>
          <rPr>
            <b/>
            <sz val="9"/>
            <color indexed="81"/>
            <rFont val="Segoe UI"/>
            <family val="2"/>
          </rPr>
          <t>Maria Luiza da Silveira Talamini:</t>
        </r>
        <r>
          <rPr>
            <sz val="9"/>
            <color indexed="81"/>
            <rFont val="Segoe UI"/>
            <family val="2"/>
          </rPr>
          <t xml:space="preserve">
Antigo 467S0223PRC</t>
        </r>
      </text>
    </comment>
    <comment ref="J860" authorId="0" shapeId="0" xr:uid="{C022AB22-B9A2-4F62-A34B-8B67D7C5AD60}">
      <text>
        <r>
          <rPr>
            <b/>
            <sz val="9"/>
            <color indexed="81"/>
            <rFont val="Segoe UI"/>
            <family val="2"/>
          </rPr>
          <t>Lucas Pupia Goncalves:</t>
        </r>
        <r>
          <rPr>
            <sz val="9"/>
            <color indexed="81"/>
            <rFont val="Segoe UI"/>
            <family val="2"/>
          </rPr>
          <t xml:space="preserve">
Extensão alterada para 4,07km</t>
        </r>
      </text>
    </comment>
  </commentList>
</comments>
</file>

<file path=xl/sharedStrings.xml><?xml version="1.0" encoding="utf-8"?>
<sst xmlns="http://schemas.openxmlformats.org/spreadsheetml/2006/main" count="25600" uniqueCount="7939">
  <si>
    <t>LOTE</t>
  </si>
  <si>
    <t>MUNICIPIO</t>
  </si>
  <si>
    <t>LOTE 01</t>
  </si>
  <si>
    <t>Antonina</t>
  </si>
  <si>
    <t>Quatro Barras</t>
  </si>
  <si>
    <t>LOTE 02</t>
  </si>
  <si>
    <t>Almirante Tamandaré</t>
  </si>
  <si>
    <t>Bocaiúva do Sul</t>
  </si>
  <si>
    <t>Cerro Azul</t>
  </si>
  <si>
    <t>Colombo</t>
  </si>
  <si>
    <t>Curitiba</t>
  </si>
  <si>
    <t>Itaperuçu</t>
  </si>
  <si>
    <t>Pinhais</t>
  </si>
  <si>
    <t>Piraquara</t>
  </si>
  <si>
    <t>São José dos Pinhais</t>
  </si>
  <si>
    <t>LOTE 03</t>
  </si>
  <si>
    <t>Campo Largo</t>
  </si>
  <si>
    <t>Lapa</t>
  </si>
  <si>
    <t>Piên</t>
  </si>
  <si>
    <t>Quitandinha</t>
  </si>
  <si>
    <t>LOTE 04</t>
  </si>
  <si>
    <t>Antônio Olinto</t>
  </si>
  <si>
    <t>Campo do Tenente</t>
  </si>
  <si>
    <t>Palmeira</t>
  </si>
  <si>
    <t>São João do Triunfo</t>
  </si>
  <si>
    <t>São Mateus do Sul</t>
  </si>
  <si>
    <t>LOTE 05</t>
  </si>
  <si>
    <t>Bituruna</t>
  </si>
  <si>
    <t>Cruz Machado</t>
  </si>
  <si>
    <t>General Carneiro</t>
  </si>
  <si>
    <t>Paula Freitas</t>
  </si>
  <si>
    <t>Porto Vitória</t>
  </si>
  <si>
    <t>União da Vitória</t>
  </si>
  <si>
    <t>LOTE 06</t>
  </si>
  <si>
    <t>Arapoti</t>
  </si>
  <si>
    <t>Castro</t>
  </si>
  <si>
    <t>Jaguariaíva</t>
  </si>
  <si>
    <t>Piraí do Sul</t>
  </si>
  <si>
    <t>Santana do Itararé</t>
  </si>
  <si>
    <t>São José da Boa Vista</t>
  </si>
  <si>
    <t>Ventania</t>
  </si>
  <si>
    <t>Wenceslau Braz</t>
  </si>
  <si>
    <t>LOTE 07</t>
  </si>
  <si>
    <t>Ponta Grossa</t>
  </si>
  <si>
    <t>Tibagi</t>
  </si>
  <si>
    <t>LOTE 08</t>
  </si>
  <si>
    <t>Cândido de Abreu</t>
  </si>
  <si>
    <t>Curiúva</t>
  </si>
  <si>
    <t>Imbaú</t>
  </si>
  <si>
    <t>Ipiranga</t>
  </si>
  <si>
    <t>Ivaí</t>
  </si>
  <si>
    <t>Reserva</t>
  </si>
  <si>
    <t>Telêmaco Borba</t>
  </si>
  <si>
    <t>LOTE 09</t>
  </si>
  <si>
    <t>Fernandes Pinheiro</t>
  </si>
  <si>
    <t>Guarapuava</t>
  </si>
  <si>
    <t>Imbituva</t>
  </si>
  <si>
    <t>Inácio Martins</t>
  </si>
  <si>
    <t>Irati</t>
  </si>
  <si>
    <t>Prudentópolis</t>
  </si>
  <si>
    <t>Rebouças</t>
  </si>
  <si>
    <t>Teixeira Soares</t>
  </si>
  <si>
    <t>LOTE 10</t>
  </si>
  <si>
    <t>Boa Ventura de São Roque</t>
  </si>
  <si>
    <t>Campina do Simão</t>
  </si>
  <si>
    <t>Candói</t>
  </si>
  <si>
    <t>Goioxim</t>
  </si>
  <si>
    <t>Pinhão</t>
  </si>
  <si>
    <t>Pitanga</t>
  </si>
  <si>
    <t>Reserva do Iguaçu</t>
  </si>
  <si>
    <t>Turvo</t>
  </si>
  <si>
    <t>LOTE 11</t>
  </si>
  <si>
    <t>Iretama</t>
  </si>
  <si>
    <t>Laranjal</t>
  </si>
  <si>
    <t>Manoel Ribas</t>
  </si>
  <si>
    <t>Mato Rico</t>
  </si>
  <si>
    <t>Nova Tebas</t>
  </si>
  <si>
    <t>Palmital</t>
  </si>
  <si>
    <t>Santa Maria do Oeste</t>
  </si>
  <si>
    <t>LOTE 12</t>
  </si>
  <si>
    <t>Espigão Alto do Iguaçu</t>
  </si>
  <si>
    <t>Foz do Jordão</t>
  </si>
  <si>
    <t>Laranjeiras do Sul</t>
  </si>
  <si>
    <t>Nova Laranjeiras</t>
  </si>
  <si>
    <t>Porto Barreiro</t>
  </si>
  <si>
    <t>Quedas do Iguaçu</t>
  </si>
  <si>
    <t>Rio Bonito do Iguaçu</t>
  </si>
  <si>
    <t>LOTE 13</t>
  </si>
  <si>
    <t>Arapongas</t>
  </si>
  <si>
    <t>Astorga</t>
  </si>
  <si>
    <t>Centenário do Sul</t>
  </si>
  <si>
    <t>Florestópolis</t>
  </si>
  <si>
    <t>Guaraci</t>
  </si>
  <si>
    <t>Jaguapitã</t>
  </si>
  <si>
    <t>Miraselva</t>
  </si>
  <si>
    <t>Nossa Senhora das Graças</t>
  </si>
  <si>
    <t>Pitangueiras</t>
  </si>
  <si>
    <t>Prado Ferreira</t>
  </si>
  <si>
    <t>Rolândia</t>
  </si>
  <si>
    <t>Sabáudia</t>
  </si>
  <si>
    <t>LOTE 14</t>
  </si>
  <si>
    <t>Alvorada do Sul</t>
  </si>
  <si>
    <t>Bela Vista do Paraíso</t>
  </si>
  <si>
    <t>Cafeara</t>
  </si>
  <si>
    <t>Cambé</t>
  </si>
  <si>
    <t>Londrina</t>
  </si>
  <si>
    <t>Lupionópolis</t>
  </si>
  <si>
    <t>Porecatu</t>
  </si>
  <si>
    <t>Primeiro de Maio</t>
  </si>
  <si>
    <t>Santo Inácio</t>
  </si>
  <si>
    <t>LOTE 15</t>
  </si>
  <si>
    <t>Ibiporã</t>
  </si>
  <si>
    <t>Sertanópolis</t>
  </si>
  <si>
    <t>Tamarana</t>
  </si>
  <si>
    <t>LOTE 16</t>
  </si>
  <si>
    <t>Assaí</t>
  </si>
  <si>
    <t>Congonhinhas</t>
  </si>
  <si>
    <t>Cornélio Procópio</t>
  </si>
  <si>
    <t>Jataizinho</t>
  </si>
  <si>
    <t>Leópolis</t>
  </si>
  <si>
    <t>Nova América da Colina</t>
  </si>
  <si>
    <t>Nova Fátima</t>
  </si>
  <si>
    <t>Nova Santa Bárbara</t>
  </si>
  <si>
    <t>Rancho Alegre</t>
  </si>
  <si>
    <t>Santo Antônio do Paraíso</t>
  </si>
  <si>
    <t>São Jerônimo da Serra</t>
  </si>
  <si>
    <t>São Sebastião da Amoreira</t>
  </si>
  <si>
    <t>Sapopema</t>
  </si>
  <si>
    <t>Sertaneja</t>
  </si>
  <si>
    <t>Uraí</t>
  </si>
  <si>
    <t>LOTE 17</t>
  </si>
  <si>
    <t>Abatiá</t>
  </si>
  <si>
    <t>Bandeirantes</t>
  </si>
  <si>
    <t>Conselheiro Mairinck</t>
  </si>
  <si>
    <t>Ibaiti</t>
  </si>
  <si>
    <t>Jundiaí do Sul</t>
  </si>
  <si>
    <t>Ribeirão do Pinhal</t>
  </si>
  <si>
    <t>Santa Amélia</t>
  </si>
  <si>
    <t>LOTE 18</t>
  </si>
  <si>
    <t>Andirá</t>
  </si>
  <si>
    <t>Barra do Jacaré</t>
  </si>
  <si>
    <t>Cambará</t>
  </si>
  <si>
    <t>Carlópolis</t>
  </si>
  <si>
    <t>Itambaracá</t>
  </si>
  <si>
    <t>Jacarezinho</t>
  </si>
  <si>
    <t>Ribeirão Claro</t>
  </si>
  <si>
    <t>Santa Mariana</t>
  </si>
  <si>
    <t>Santo Antônio da Platina</t>
  </si>
  <si>
    <t>LOTE 19</t>
  </si>
  <si>
    <t>Apucarana</t>
  </si>
  <si>
    <t>Arapuã</t>
  </si>
  <si>
    <t>Ariranha do Ivaí</t>
  </si>
  <si>
    <t>Borrazópolis</t>
  </si>
  <si>
    <t>Cambira</t>
  </si>
  <si>
    <t>Cruzmaltina</t>
  </si>
  <si>
    <t>Fênix</t>
  </si>
  <si>
    <t>Godoy Moreira</t>
  </si>
  <si>
    <t>Ivaiporã</t>
  </si>
  <si>
    <t>Jardim Alegre</t>
  </si>
  <si>
    <t>Kaloré</t>
  </si>
  <si>
    <t>Lidianópolis</t>
  </si>
  <si>
    <t>Lunardelli</t>
  </si>
  <si>
    <t>Novo Itacolomi</t>
  </si>
  <si>
    <t>São João do Ivaí</t>
  </si>
  <si>
    <t>São Pedro do Ivaí</t>
  </si>
  <si>
    <t>LOTE 20</t>
  </si>
  <si>
    <t>Figueira</t>
  </si>
  <si>
    <t>Jaboti</t>
  </si>
  <si>
    <t>Japira</t>
  </si>
  <si>
    <t>Pinhalão</t>
  </si>
  <si>
    <t>Tomazina</t>
  </si>
  <si>
    <t>LOTE 21</t>
  </si>
  <si>
    <t>Guapirama</t>
  </si>
  <si>
    <t>Joaquim Távora</t>
  </si>
  <si>
    <t>Quatiguá</t>
  </si>
  <si>
    <t>Salto do Itararé</t>
  </si>
  <si>
    <t>Siqueira Campos</t>
  </si>
  <si>
    <t>LOTE 22</t>
  </si>
  <si>
    <t>Faxinal</t>
  </si>
  <si>
    <t>Grandes Rios</t>
  </si>
  <si>
    <t>Marilândia do Sul</t>
  </si>
  <si>
    <t>Mauá da Serra</t>
  </si>
  <si>
    <t>Ortigueira</t>
  </si>
  <si>
    <t>Rio Bom</t>
  </si>
  <si>
    <t>Rio Branco do Ivaí</t>
  </si>
  <si>
    <t>Rosário do Ivaí</t>
  </si>
  <si>
    <t>LOTE 23</t>
  </si>
  <si>
    <t>Ângulo</t>
  </si>
  <si>
    <t>Colorado</t>
  </si>
  <si>
    <t>Iguaraçu</t>
  </si>
  <si>
    <t>Itaguajé</t>
  </si>
  <si>
    <t>Lobato</t>
  </si>
  <si>
    <t>Maringá</t>
  </si>
  <si>
    <t>Santa Fé</t>
  </si>
  <si>
    <t>Santa Inês</t>
  </si>
  <si>
    <t>LOTE 24</t>
  </si>
  <si>
    <t>Barbosa Ferraz</t>
  </si>
  <si>
    <t>Bom Sucesso</t>
  </si>
  <si>
    <t>Corumbataí do Sul</t>
  </si>
  <si>
    <t>Engenheiro Beltrão</t>
  </si>
  <si>
    <t>Floresta</t>
  </si>
  <si>
    <t>Itambé</t>
  </si>
  <si>
    <t>Jandaia do Sul</t>
  </si>
  <si>
    <t>Marialva</t>
  </si>
  <si>
    <t>Marumbi</t>
  </si>
  <si>
    <t>Quinta do Sol</t>
  </si>
  <si>
    <t>Terra Boa</t>
  </si>
  <si>
    <t>LOTE 25</t>
  </si>
  <si>
    <t>Cianorte</t>
  </si>
  <si>
    <t>Doutor Camargo</t>
  </si>
  <si>
    <t>Floraí</t>
  </si>
  <si>
    <t>Indianópolis</t>
  </si>
  <si>
    <t>Ivatuba</t>
  </si>
  <si>
    <t>Japurá</t>
  </si>
  <si>
    <t>Jussara</t>
  </si>
  <si>
    <t>Mandaguaçu</t>
  </si>
  <si>
    <t>Nova Esperança</t>
  </si>
  <si>
    <t>Ourizona</t>
  </si>
  <si>
    <t>Presidente Castelo Branco</t>
  </si>
  <si>
    <t>São Carlos do Ivaí</t>
  </si>
  <si>
    <t>São Jorge do Ivaí</t>
  </si>
  <si>
    <t>São Manoel do Paraná</t>
  </si>
  <si>
    <t>São Tomé</t>
  </si>
  <si>
    <t>LOTE 26</t>
  </si>
  <si>
    <t>Alto Paraná</t>
  </si>
  <si>
    <t>Atalaia</t>
  </si>
  <si>
    <t>Cruzeiro do Sul</t>
  </si>
  <si>
    <t>Flórida</t>
  </si>
  <si>
    <t>Inajá</t>
  </si>
  <si>
    <t>Jardim Olinda</t>
  </si>
  <si>
    <t>Paranacity</t>
  </si>
  <si>
    <t>Paranapoema</t>
  </si>
  <si>
    <t>Paranavaí</t>
  </si>
  <si>
    <t>Santo Antônio do Caiuá</t>
  </si>
  <si>
    <t>São João do Caiuá</t>
  </si>
  <si>
    <t>Terra Rica</t>
  </si>
  <si>
    <t>Uniflor</t>
  </si>
  <si>
    <t>LOTE 27</t>
  </si>
  <si>
    <t>Araruna</t>
  </si>
  <si>
    <t>Campo Mourão</t>
  </si>
  <si>
    <t>Cruzeiro do Oeste</t>
  </si>
  <si>
    <t>Goioerê</t>
  </si>
  <si>
    <t>Mariluz</t>
  </si>
  <si>
    <t>Moreira Sales</t>
  </si>
  <si>
    <t>Peabiru</t>
  </si>
  <si>
    <t>Quarto Centenário</t>
  </si>
  <si>
    <t>Tapejara</t>
  </si>
  <si>
    <t>Tuneiras do Oeste</t>
  </si>
  <si>
    <t>Umuarama</t>
  </si>
  <si>
    <t>LOTE 28</t>
  </si>
  <si>
    <t>Altamira do Paraná</t>
  </si>
  <si>
    <t>Boa Esperança</t>
  </si>
  <si>
    <t>Campina da Lagoa</t>
  </si>
  <si>
    <t>Janiópolis</t>
  </si>
  <si>
    <t>Juranda</t>
  </si>
  <si>
    <t>Luiziana</t>
  </si>
  <si>
    <t>Mamborê</t>
  </si>
  <si>
    <t>Nova Cantu</t>
  </si>
  <si>
    <t>Roncador</t>
  </si>
  <si>
    <t>Ubiratã</t>
  </si>
  <si>
    <t>LOTE 29</t>
  </si>
  <si>
    <t>Amaporã</t>
  </si>
  <si>
    <t>Cidade Gaúcha</t>
  </si>
  <si>
    <t>Guaporema</t>
  </si>
  <si>
    <t>Mirador</t>
  </si>
  <si>
    <t>Nova Aliança do Ivaí</t>
  </si>
  <si>
    <t>Nova Olímpia</t>
  </si>
  <si>
    <t>Paraíso do Norte</t>
  </si>
  <si>
    <t>Rondon</t>
  </si>
  <si>
    <t>Santa Isabel do Ivaí</t>
  </si>
  <si>
    <t>Santa Mônica</t>
  </si>
  <si>
    <t>Tamboara</t>
  </si>
  <si>
    <t>Tapira</t>
  </si>
  <si>
    <t>LOTE 30</t>
  </si>
  <si>
    <t>Alto Piquiri</t>
  </si>
  <si>
    <t>Altônia</t>
  </si>
  <si>
    <t>Assis Chateaubriand</t>
  </si>
  <si>
    <t>Brasilândia do Sul</t>
  </si>
  <si>
    <t>Esperança Nova</t>
  </si>
  <si>
    <t>Francisco Alves</t>
  </si>
  <si>
    <t>Iporã</t>
  </si>
  <si>
    <t>Perobal</t>
  </si>
  <si>
    <t>Pérola</t>
  </si>
  <si>
    <t>São Jorge do Patrocínio</t>
  </si>
  <si>
    <t>Xambrê</t>
  </si>
  <si>
    <t>LOTE 31</t>
  </si>
  <si>
    <t>Diamante do Norte</t>
  </si>
  <si>
    <t>Guairaçá</t>
  </si>
  <si>
    <t>Loanda</t>
  </si>
  <si>
    <t>Marilena</t>
  </si>
  <si>
    <t>Nova Londrina</t>
  </si>
  <si>
    <t>Planaltina do Paraná</t>
  </si>
  <si>
    <t>Porto Rico</t>
  </si>
  <si>
    <t>Querência do Norte</t>
  </si>
  <si>
    <t>Santa Cruz de Monte Castelo</t>
  </si>
  <si>
    <t>São Pedro do Paraná</t>
  </si>
  <si>
    <t>LOTE 32</t>
  </si>
  <si>
    <t>Alto Paraíso</t>
  </si>
  <si>
    <t>Douradina</t>
  </si>
  <si>
    <t>Icaraíma</t>
  </si>
  <si>
    <t>Ivaté</t>
  </si>
  <si>
    <t>Maria Helena</t>
  </si>
  <si>
    <t>LOTE 33</t>
  </si>
  <si>
    <t>Céu Azul</t>
  </si>
  <si>
    <t>Diamante do Sul</t>
  </si>
  <si>
    <t>Entre Rios do Oeste</t>
  </si>
  <si>
    <t>Foz do Iguaçu</t>
  </si>
  <si>
    <t>Itaipulândia</t>
  </si>
  <si>
    <t>Marechal Cândido Rondon</t>
  </si>
  <si>
    <t>Matelândia</t>
  </si>
  <si>
    <t>Medianeira</t>
  </si>
  <si>
    <t>Missal</t>
  </si>
  <si>
    <t>Ouro Verde do Oeste</t>
  </si>
  <si>
    <t>Pato Bragado</t>
  </si>
  <si>
    <t>Ramilândia</t>
  </si>
  <si>
    <t>Santa Helena</t>
  </si>
  <si>
    <t>Santa Terezinha de Itaipu</t>
  </si>
  <si>
    <t>São José das Palmeiras</t>
  </si>
  <si>
    <t>São Miguel do Iguaçu</t>
  </si>
  <si>
    <t>São Pedro do Iguaçu</t>
  </si>
  <si>
    <t>Serranópolis do Iguaçu</t>
  </si>
  <si>
    <t>Toledo</t>
  </si>
  <si>
    <t>Vera Cruz do Oeste</t>
  </si>
  <si>
    <t>LOTE 34</t>
  </si>
  <si>
    <t>Maripá</t>
  </si>
  <si>
    <t>Nova Santa Rosa</t>
  </si>
  <si>
    <t>Palotina</t>
  </si>
  <si>
    <t>Quatro Pontes</t>
  </si>
  <si>
    <t>Terra Roxa</t>
  </si>
  <si>
    <t>LOTE 35</t>
  </si>
  <si>
    <t>Cafelândia</t>
  </si>
  <si>
    <t>Cascavel</t>
  </si>
  <si>
    <t>Corbélia</t>
  </si>
  <si>
    <t>Formosa do Oeste</t>
  </si>
  <si>
    <t>Iracema do Oeste</t>
  </si>
  <si>
    <t>Jesuítas</t>
  </si>
  <si>
    <t>Nova Aurora</t>
  </si>
  <si>
    <t>Tupãssi</t>
  </si>
  <si>
    <t>LOTE 36</t>
  </si>
  <si>
    <t>Anahy</t>
  </si>
  <si>
    <t>Boa Vista da Aparecida</t>
  </si>
  <si>
    <t>Braganey</t>
  </si>
  <si>
    <t>Campo Bonito</t>
  </si>
  <si>
    <t>Capitão Leônidas Marques</t>
  </si>
  <si>
    <t>Catanduvas</t>
  </si>
  <si>
    <t>Guaraniaçu</t>
  </si>
  <si>
    <t>Iguatu</t>
  </si>
  <si>
    <t>Santa Lúcia</t>
  </si>
  <si>
    <t>Santa Tereza do Oeste</t>
  </si>
  <si>
    <t>Três Barras do Paraná</t>
  </si>
  <si>
    <t>LOTE 37</t>
  </si>
  <si>
    <t>Boa Esperança do Iguaçu</t>
  </si>
  <si>
    <t>Cruzeiro do Iguaçu</t>
  </si>
  <si>
    <t>Dois Vizinhos</t>
  </si>
  <si>
    <t>Enéas Marques</t>
  </si>
  <si>
    <t>Flor da Serra do Sul</t>
  </si>
  <si>
    <t>Francisco Beltrão</t>
  </si>
  <si>
    <t>Manfrinópolis</t>
  </si>
  <si>
    <t>Marmeleiro</t>
  </si>
  <si>
    <t>Nova Esperança do Sudoeste</t>
  </si>
  <si>
    <t>Renascença</t>
  </si>
  <si>
    <t>Salgado Filho</t>
  </si>
  <si>
    <t>Salto do Lontra</t>
  </si>
  <si>
    <t>Verê</t>
  </si>
  <si>
    <t>LOTE 38</t>
  </si>
  <si>
    <t>Ampére</t>
  </si>
  <si>
    <t>Bela Vista da Caroba</t>
  </si>
  <si>
    <t>Bom Jesus do Sul</t>
  </si>
  <si>
    <t>Capanema</t>
  </si>
  <si>
    <t>Nova Prata do Iguaçu</t>
  </si>
  <si>
    <t>Pinhal de São Bento</t>
  </si>
  <si>
    <t>Planalto</t>
  </si>
  <si>
    <t>Realeza</t>
  </si>
  <si>
    <t>Santa Izabel do Oeste</t>
  </si>
  <si>
    <t>Santo Antônio do Sudoeste</t>
  </si>
  <si>
    <t>LOTE 39</t>
  </si>
  <si>
    <t>Bom Sucesso do Sul</t>
  </si>
  <si>
    <t>Chopinzinho</t>
  </si>
  <si>
    <t>Coronel Vivida</t>
  </si>
  <si>
    <t>Pato Branco</t>
  </si>
  <si>
    <t>São Jorge D'Oeste</t>
  </si>
  <si>
    <t>Saudade do Iguaçu</t>
  </si>
  <si>
    <t>Sulina</t>
  </si>
  <si>
    <t>LOTE 40</t>
  </si>
  <si>
    <t>Clevelândia</t>
  </si>
  <si>
    <t>Coronel Domingos Soares</t>
  </si>
  <si>
    <t>Honório Serpa</t>
  </si>
  <si>
    <t>Mangueirinha</t>
  </si>
  <si>
    <t>Mariópolis</t>
  </si>
  <si>
    <t>Palmas</t>
  </si>
  <si>
    <t>Vitorino</t>
  </si>
  <si>
    <t>Sengés</t>
  </si>
  <si>
    <t>Mallet</t>
  </si>
  <si>
    <t>Paulo Frontin</t>
  </si>
  <si>
    <t>Cantagalo</t>
  </si>
  <si>
    <t>Marquinho</t>
  </si>
  <si>
    <t>Campina Grande do Sul</t>
  </si>
  <si>
    <t>Guaraqueçaba</t>
  </si>
  <si>
    <t>Guaratuba</t>
  </si>
  <si>
    <t>Matinhos</t>
  </si>
  <si>
    <t>Morretes</t>
  </si>
  <si>
    <t>Pontal do Paraná</t>
  </si>
  <si>
    <t>Doutor Ulysses</t>
  </si>
  <si>
    <t>Rio Branco do Sul</t>
  </si>
  <si>
    <t>Tunas do Paraná</t>
  </si>
  <si>
    <t>Agudos do Sul</t>
  </si>
  <si>
    <t>Balsa Nova</t>
  </si>
  <si>
    <t>Campo Magro</t>
  </si>
  <si>
    <t>Contenda</t>
  </si>
  <si>
    <t>Mandirituba</t>
  </si>
  <si>
    <t>Tijucas do Sul</t>
  </si>
  <si>
    <t>Rancho Alegre D'Oeste</t>
  </si>
  <si>
    <t>Cafezal do Sul</t>
  </si>
  <si>
    <t>Lotes</t>
  </si>
  <si>
    <t>Área</t>
  </si>
  <si>
    <t>Sup. Regional</t>
  </si>
  <si>
    <t>Leste</t>
  </si>
  <si>
    <t>Oeste</t>
  </si>
  <si>
    <t>Noroeste</t>
  </si>
  <si>
    <t>Norte</t>
  </si>
  <si>
    <t>Campos Gerais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</si>
  <si>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</si>
  <si>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</si>
  <si>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</si>
  <si>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</si>
  <si>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</si>
  <si>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</si>
  <si>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</si>
  <si>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</si>
  <si>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</si>
  <si>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</si>
  <si>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Ext. (km)</t>
  </si>
  <si>
    <t>ÁREA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</si>
  <si>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</si>
  <si>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</si>
  <si>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</si>
  <si>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</si>
  <si>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</si>
  <si>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</si>
  <si>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</si>
  <si>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</si>
  <si>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</si>
  <si>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</si>
  <si>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</si>
  <si>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</si>
  <si>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</si>
  <si>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</si>
  <si>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</si>
  <si>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</si>
  <si>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</si>
  <si>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</si>
  <si>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</si>
  <si>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</si>
  <si>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</si>
  <si>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</si>
  <si>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</si>
  <si>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</si>
  <si>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</si>
  <si>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</si>
  <si>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</si>
  <si>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</si>
  <si>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</si>
  <si>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</si>
  <si>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</si>
  <si>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</si>
  <si>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</si>
  <si>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</si>
  <si>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</si>
  <si>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</si>
  <si>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</si>
  <si>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</si>
  <si>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</si>
  <si>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</si>
  <si>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SUP. REG.</t>
  </si>
  <si>
    <t>IDPM Renda 2022</t>
  </si>
  <si>
    <t>IDPM Educação 2022</t>
  </si>
  <si>
    <t>IDPM Saúde 2022</t>
  </si>
  <si>
    <t>IDPM Geral 2022</t>
  </si>
  <si>
    <t>Santa Cecília do Pavão</t>
  </si>
  <si>
    <t>Munhoz de Melo</t>
  </si>
  <si>
    <t>Diamante D'Oeste</t>
  </si>
  <si>
    <t>Itapejara D'Oeste</t>
  </si>
  <si>
    <t>Pérola D'Oeste</t>
  </si>
  <si>
    <t>São João</t>
  </si>
  <si>
    <t>Concessão</t>
  </si>
  <si>
    <t>PAV</t>
  </si>
  <si>
    <t>DER SR3</t>
  </si>
  <si>
    <t>ORTIGUEIRA</t>
  </si>
  <si>
    <t>ENTR. BR-376</t>
  </si>
  <si>
    <t>987|0010</t>
  </si>
  <si>
    <t>S</t>
  </si>
  <si>
    <t>987S</t>
  </si>
  <si>
    <t>0010</t>
  </si>
  <si>
    <t>987</t>
  </si>
  <si>
    <t>987S0010</t>
  </si>
  <si>
    <t>987S0010EPR</t>
  </si>
  <si>
    <t>CAUQ</t>
  </si>
  <si>
    <t>BG</t>
  </si>
  <si>
    <t>TAMARANA</t>
  </si>
  <si>
    <t>ENTR. PR-445</t>
  </si>
  <si>
    <t>980|0010</t>
  </si>
  <si>
    <t>980S</t>
  </si>
  <si>
    <t>980</t>
  </si>
  <si>
    <t>980S0010</t>
  </si>
  <si>
    <t>980S0010EPR</t>
  </si>
  <si>
    <t>SE</t>
  </si>
  <si>
    <t>EOP</t>
  </si>
  <si>
    <t>DER SR5</t>
  </si>
  <si>
    <t>ENTR. PR-364(B)</t>
  </si>
  <si>
    <t>ENTR. PR-182(B)</t>
  </si>
  <si>
    <t>975|0030</t>
  </si>
  <si>
    <t>O</t>
  </si>
  <si>
    <t>975O</t>
  </si>
  <si>
    <t>0030</t>
  </si>
  <si>
    <t>975</t>
  </si>
  <si>
    <t>975O0030</t>
  </si>
  <si>
    <t>975O0030EPR</t>
  </si>
  <si>
    <t>ENTR. PR-364(A)</t>
  </si>
  <si>
    <t>975|0020</t>
  </si>
  <si>
    <t>0020</t>
  </si>
  <si>
    <t>975O0020</t>
  </si>
  <si>
    <t>975O0020EPR</t>
  </si>
  <si>
    <t>ENTR. PR-182(A)</t>
  </si>
  <si>
    <t>975|0010</t>
  </si>
  <si>
    <t>975O0010</t>
  </si>
  <si>
    <t>975O0010EPR</t>
  </si>
  <si>
    <t>ENTR. BR-163</t>
  </si>
  <si>
    <t>CONTORNO DE MAL. CÂNDIDO RONDON: ENTR. PRC-467</t>
  </si>
  <si>
    <t>970|0010</t>
  </si>
  <si>
    <t>970O</t>
  </si>
  <si>
    <t>970</t>
  </si>
  <si>
    <t>970O0010</t>
  </si>
  <si>
    <t>970O0010EPR</t>
  </si>
  <si>
    <t>DER SR4</t>
  </si>
  <si>
    <t>ENTR. PR-682 (SANTA ELISA)</t>
  </si>
  <si>
    <t>ENTR. PR-182</t>
  </si>
  <si>
    <t>969|0010</t>
  </si>
  <si>
    <t>969S</t>
  </si>
  <si>
    <t>969</t>
  </si>
  <si>
    <t>969S0010</t>
  </si>
  <si>
    <t>969S0010EPR</t>
  </si>
  <si>
    <t>SANTA LÚCIA</t>
  </si>
  <si>
    <t>967|0010</t>
  </si>
  <si>
    <t>967S</t>
  </si>
  <si>
    <t>967</t>
  </si>
  <si>
    <t>967S0010</t>
  </si>
  <si>
    <t>967S0010EPR</t>
  </si>
  <si>
    <t>ENTR. PR-436 (P/ VILA GUAÍ)</t>
  </si>
  <si>
    <t>ENTR. PR-435 (CAMPINHO)</t>
  </si>
  <si>
    <t>963|0010</t>
  </si>
  <si>
    <t>963S</t>
  </si>
  <si>
    <t>963</t>
  </si>
  <si>
    <t>963S0010</t>
  </si>
  <si>
    <t>963S0010EPR</t>
  </si>
  <si>
    <t>CURIÚVA</t>
  </si>
  <si>
    <t>ENTR. PR-160</t>
  </si>
  <si>
    <t>962|0010</t>
  </si>
  <si>
    <t>962S</t>
  </si>
  <si>
    <t>962</t>
  </si>
  <si>
    <t>962S0010</t>
  </si>
  <si>
    <t>962S0010EPR</t>
  </si>
  <si>
    <t>SC</t>
  </si>
  <si>
    <t>CONSELHEIRO MAIRINCK</t>
  </si>
  <si>
    <t>ENTR. BR-153</t>
  </si>
  <si>
    <t>961|0010</t>
  </si>
  <si>
    <t>961S</t>
  </si>
  <si>
    <t>961</t>
  </si>
  <si>
    <t>961S0010</t>
  </si>
  <si>
    <t>961S0010EPR</t>
  </si>
  <si>
    <t>JABOTI</t>
  </si>
  <si>
    <t>ENTR. PRC-272</t>
  </si>
  <si>
    <t>960|0010</t>
  </si>
  <si>
    <t>960S</t>
  </si>
  <si>
    <t>960</t>
  </si>
  <si>
    <t>960S0010</t>
  </si>
  <si>
    <t>960S0010EPR</t>
  </si>
  <si>
    <t>PMF</t>
  </si>
  <si>
    <t>DER SR2</t>
  </si>
  <si>
    <t>COLÔNIA WITMARSUN</t>
  </si>
  <si>
    <t>ENTR. BR-277</t>
  </si>
  <si>
    <t>951|0010</t>
  </si>
  <si>
    <t>951S</t>
  </si>
  <si>
    <t>951</t>
  </si>
  <si>
    <t>951S0010</t>
  </si>
  <si>
    <t>951S0010EPR</t>
  </si>
  <si>
    <t>TST</t>
  </si>
  <si>
    <t>MUN</t>
  </si>
  <si>
    <t>ENTR. MUNICIPAL (940)</t>
  </si>
  <si>
    <t>PARANACITY (C)</t>
  </si>
  <si>
    <t>940|0015</t>
  </si>
  <si>
    <t>M</t>
  </si>
  <si>
    <t>940M</t>
  </si>
  <si>
    <t>0015</t>
  </si>
  <si>
    <t>940</t>
  </si>
  <si>
    <t>940M0015</t>
  </si>
  <si>
    <t>940M0015MUN</t>
  </si>
  <si>
    <t>DUP</t>
  </si>
  <si>
    <t>PARANACITY (A)</t>
  </si>
  <si>
    <t>ENTR. PR-463</t>
  </si>
  <si>
    <t>940|0010E</t>
  </si>
  <si>
    <t>E</t>
  </si>
  <si>
    <t>940E</t>
  </si>
  <si>
    <t>940E0010</t>
  </si>
  <si>
    <t>940E0010EPR</t>
  </si>
  <si>
    <t>PARANACITY</t>
  </si>
  <si>
    <t>940|0010D</t>
  </si>
  <si>
    <t>D</t>
  </si>
  <si>
    <t>940D</t>
  </si>
  <si>
    <t>940D0010</t>
  </si>
  <si>
    <t>940D0010EPR</t>
  </si>
  <si>
    <t>ENTR. PR-340 (JAGUAPITÃ)</t>
  </si>
  <si>
    <t>CONT. DE JAGUAPITÃ: ENTR. PR-454 (JAGUAPITÃ)</t>
  </si>
  <si>
    <t>937|0010</t>
  </si>
  <si>
    <t>937S</t>
  </si>
  <si>
    <t>937</t>
  </si>
  <si>
    <t>937S0010</t>
  </si>
  <si>
    <t>937S0010EPR</t>
  </si>
  <si>
    <t>NOVA ESPERANÇA</t>
  </si>
  <si>
    <t>935|0010</t>
  </si>
  <si>
    <t>935S</t>
  </si>
  <si>
    <t>935</t>
  </si>
  <si>
    <t>935S0010</t>
  </si>
  <si>
    <t>935S0010EPR</t>
  </si>
  <si>
    <t>COLORADO</t>
  </si>
  <si>
    <t>ENTR. PR-542</t>
  </si>
  <si>
    <t>933|0010</t>
  </si>
  <si>
    <t>933S</t>
  </si>
  <si>
    <t>933</t>
  </si>
  <si>
    <t>933S0010</t>
  </si>
  <si>
    <t>933S0010EPR</t>
  </si>
  <si>
    <t>ALTO PARANÁ</t>
  </si>
  <si>
    <t>930|0100</t>
  </si>
  <si>
    <t>930S</t>
  </si>
  <si>
    <t>0100</t>
  </si>
  <si>
    <t>930</t>
  </si>
  <si>
    <t>930S0100</t>
  </si>
  <si>
    <t>930S0100EPR</t>
  </si>
  <si>
    <t>UBIRATÃ</t>
  </si>
  <si>
    <t>ENTR. BR-369</t>
  </si>
  <si>
    <t>925|0010E</t>
  </si>
  <si>
    <t>925E</t>
  </si>
  <si>
    <t>925</t>
  </si>
  <si>
    <t>925E0010</t>
  </si>
  <si>
    <t>925E0010EPR</t>
  </si>
  <si>
    <t>925|0010D</t>
  </si>
  <si>
    <t>925D</t>
  </si>
  <si>
    <t>925D0010</t>
  </si>
  <si>
    <t>925D0010EPR</t>
  </si>
  <si>
    <t>BOM SUCESSO DO SUL</t>
  </si>
  <si>
    <t>ENTR. PR-493</t>
  </si>
  <si>
    <t>918|0010</t>
  </si>
  <si>
    <t>918S</t>
  </si>
  <si>
    <t>918</t>
  </si>
  <si>
    <t>918S0010</t>
  </si>
  <si>
    <t>918S0010EPR</t>
  </si>
  <si>
    <t>ENTR. PRC-158 - PATO BRANCO</t>
  </si>
  <si>
    <t>CONTORNO NOROESTE DE PATO BRANCO: ENTR. PR-493</t>
  </si>
  <si>
    <t>916|0020</t>
  </si>
  <si>
    <t>916O</t>
  </si>
  <si>
    <t>916</t>
  </si>
  <si>
    <t>916O0020</t>
  </si>
  <si>
    <t>916O0020EPR</t>
  </si>
  <si>
    <t>ENTR. BR-158</t>
  </si>
  <si>
    <t>916|0010</t>
  </si>
  <si>
    <t>916S</t>
  </si>
  <si>
    <t>916S0010</t>
  </si>
  <si>
    <t>916S0010EPR</t>
  </si>
  <si>
    <t>FINAL DA PAVIMENTAÇÃO (CEL. DOMINGOS SOARES)</t>
  </si>
  <si>
    <t>PONTE SOBRE O RIO CHOPIM</t>
  </si>
  <si>
    <t>912|0030</t>
  </si>
  <si>
    <t>912S</t>
  </si>
  <si>
    <t>912</t>
  </si>
  <si>
    <t>912S0030</t>
  </si>
  <si>
    <t>912S0030EPR</t>
  </si>
  <si>
    <t>ENTR. PR-449</t>
  </si>
  <si>
    <t>912|0010</t>
  </si>
  <si>
    <t>912S0010</t>
  </si>
  <si>
    <t>912S0010EPR</t>
  </si>
  <si>
    <t>PONTE INTERNACIONAL  RIO STO. ANTÔNIO</t>
  </si>
  <si>
    <t>ENTR. PR-281</t>
  </si>
  <si>
    <t>889|0010</t>
  </si>
  <si>
    <t>889S</t>
  </si>
  <si>
    <t>889</t>
  </si>
  <si>
    <t>889S0010</t>
  </si>
  <si>
    <t>889S0010EPR</t>
  </si>
  <si>
    <t>STA. IZABEL DO OESTE</t>
  </si>
  <si>
    <t>886|0010</t>
  </si>
  <si>
    <t>886S</t>
  </si>
  <si>
    <t>886</t>
  </si>
  <si>
    <t>886S0010</t>
  </si>
  <si>
    <t>886S0010EPR</t>
  </si>
  <si>
    <t>Poliédrico</t>
  </si>
  <si>
    <t>BOM JESUS DO SUL</t>
  </si>
  <si>
    <t>885|0010</t>
  </si>
  <si>
    <t>885S</t>
  </si>
  <si>
    <t>885</t>
  </si>
  <si>
    <t>885S0010</t>
  </si>
  <si>
    <t>885S0010EPR</t>
  </si>
  <si>
    <t>RENASCENÇA (PRC-280)</t>
  </si>
  <si>
    <t>ENTR. PR-180</t>
  </si>
  <si>
    <t>884|0010</t>
  </si>
  <si>
    <t>884S</t>
  </si>
  <si>
    <t>884</t>
  </si>
  <si>
    <t>884S0010</t>
  </si>
  <si>
    <t>884S0010EPR</t>
  </si>
  <si>
    <t>MARCIANÓPOLIS</t>
  </si>
  <si>
    <t>883|0010</t>
  </si>
  <si>
    <t>883S</t>
  </si>
  <si>
    <t>883</t>
  </si>
  <si>
    <t>883S0010</t>
  </si>
  <si>
    <t>883S0010EPR</t>
  </si>
  <si>
    <t>BELA VISTA DO CAROBA</t>
  </si>
  <si>
    <t>ENTR. PR-583</t>
  </si>
  <si>
    <t>881|0010</t>
  </si>
  <si>
    <t>881S</t>
  </si>
  <si>
    <t>881</t>
  </si>
  <si>
    <t>881S0010</t>
  </si>
  <si>
    <t>881S0010EPR</t>
  </si>
  <si>
    <t>REALEZA</t>
  </si>
  <si>
    <t>880|0010</t>
  </si>
  <si>
    <t>880S</t>
  </si>
  <si>
    <t>880</t>
  </si>
  <si>
    <t>880S0010</t>
  </si>
  <si>
    <t>880S0010EPR</t>
  </si>
  <si>
    <t>BOA ESPERANÇA DO IGUAÇU</t>
  </si>
  <si>
    <t>ENTR. RODOVIA MUNICIPAL</t>
  </si>
  <si>
    <t>879|0020</t>
  </si>
  <si>
    <t>879S</t>
  </si>
  <si>
    <t>879</t>
  </si>
  <si>
    <t>879S0020</t>
  </si>
  <si>
    <t>879S0020EPR</t>
  </si>
  <si>
    <t>ENTR. PR-473</t>
  </si>
  <si>
    <t>879|0010</t>
  </si>
  <si>
    <t>879S0010</t>
  </si>
  <si>
    <t>879S0010EPR</t>
  </si>
  <si>
    <t>GUARANIAÇU</t>
  </si>
  <si>
    <t>875|0010</t>
  </si>
  <si>
    <t>875S</t>
  </si>
  <si>
    <t>875</t>
  </si>
  <si>
    <t>875S0010</t>
  </si>
  <si>
    <t>875S0010EPR</t>
  </si>
  <si>
    <t>TERMINAL TURÍSTICO LAGO DE ITAIPÚ</t>
  </si>
  <si>
    <t>SANTA TEREZINHA DO ITAIPÚ (B)</t>
  </si>
  <si>
    <t>874|0010</t>
  </si>
  <si>
    <t>874S</t>
  </si>
  <si>
    <t>874</t>
  </si>
  <si>
    <t>874S0010</t>
  </si>
  <si>
    <t>874S0010EPR</t>
  </si>
  <si>
    <t>ENTR. BR-277 (STA. TEREZINHA DO ITAIPU) (A)</t>
  </si>
  <si>
    <t>874|0005</t>
  </si>
  <si>
    <t>874M</t>
  </si>
  <si>
    <t>0005</t>
  </si>
  <si>
    <t>874M0005</t>
  </si>
  <si>
    <t>874M0005MUN</t>
  </si>
  <si>
    <t>MARIPÁ</t>
  </si>
  <si>
    <t>873|0010</t>
  </si>
  <si>
    <t>873S</t>
  </si>
  <si>
    <t>873</t>
  </si>
  <si>
    <t>873S0010</t>
  </si>
  <si>
    <t>873S0010EPR</t>
  </si>
  <si>
    <t>QUATIGUÁ</t>
  </si>
  <si>
    <t>ENTR. PR-092</t>
  </si>
  <si>
    <t>852|0010</t>
  </si>
  <si>
    <t>852S</t>
  </si>
  <si>
    <t>852</t>
  </si>
  <si>
    <t>852S0010</t>
  </si>
  <si>
    <t>852S0010EPR</t>
  </si>
  <si>
    <t>ARAPUÃ</t>
  </si>
  <si>
    <t>ENTR. PRC-466</t>
  </si>
  <si>
    <t>850|0010</t>
  </si>
  <si>
    <t>850S</t>
  </si>
  <si>
    <t>850</t>
  </si>
  <si>
    <t>850S0010</t>
  </si>
  <si>
    <t>850S0010EPR</t>
  </si>
  <si>
    <t>ARIRANHA DO IVAÍ</t>
  </si>
  <si>
    <t>848|0010</t>
  </si>
  <si>
    <t>848S</t>
  </si>
  <si>
    <t>848</t>
  </si>
  <si>
    <t>848S0010</t>
  </si>
  <si>
    <t>848S0010EPR</t>
  </si>
  <si>
    <t>NOVA TEBAS</t>
  </si>
  <si>
    <t>ENTR. PRC-487</t>
  </si>
  <si>
    <t>845|0010</t>
  </si>
  <si>
    <t>845S</t>
  </si>
  <si>
    <t>845</t>
  </si>
  <si>
    <t>845S0010</t>
  </si>
  <si>
    <t>845S0010EPR</t>
  </si>
  <si>
    <t>ARARUNA</t>
  </si>
  <si>
    <t>ENTR. PR-558 (ARARUNA)</t>
  </si>
  <si>
    <t>842|0010</t>
  </si>
  <si>
    <t>842S</t>
  </si>
  <si>
    <t>842</t>
  </si>
  <si>
    <t>842S0010</t>
  </si>
  <si>
    <t>842S0010EPR</t>
  </si>
  <si>
    <t>AV. COMEND. NORBERTO MARCONDES (C. MOURÃO)</t>
  </si>
  <si>
    <t>ENTR. PR-317 (AV. TANCREDO NEVES) (C. MOURÃO)</t>
  </si>
  <si>
    <t>840|0010</t>
  </si>
  <si>
    <t>840S</t>
  </si>
  <si>
    <t>840</t>
  </si>
  <si>
    <t>840S0010</t>
  </si>
  <si>
    <t>840S0010EPR</t>
  </si>
  <si>
    <t>DER SR1</t>
  </si>
  <si>
    <t>TERMINAL DE CALCÁREO</t>
  </si>
  <si>
    <t>ENTR. RODOVIA MUNICIPAL II</t>
  </si>
  <si>
    <t>838|0020</t>
  </si>
  <si>
    <t>838S</t>
  </si>
  <si>
    <t>838</t>
  </si>
  <si>
    <t>838S0020</t>
  </si>
  <si>
    <t>838S0020EPR</t>
  </si>
  <si>
    <t>ENTR. RODOVIA MUNICIPAL I</t>
  </si>
  <si>
    <t>838|0015</t>
  </si>
  <si>
    <t>838S0015</t>
  </si>
  <si>
    <t>838S0015EPR</t>
  </si>
  <si>
    <t>UNIÃO DA VITÓRIA</t>
  </si>
  <si>
    <t>838|0010</t>
  </si>
  <si>
    <t>838S0010</t>
  </si>
  <si>
    <t>838S0010EPR</t>
  </si>
  <si>
    <t>UNIÃO DA VITÓRIA (P/ AEROPORTO) (B)</t>
  </si>
  <si>
    <t>ENTR. PR-838 (UNIÃO DA VITÓRIA) (B)</t>
  </si>
  <si>
    <t>836|0015 B</t>
  </si>
  <si>
    <t>836M</t>
  </si>
  <si>
    <t>836</t>
  </si>
  <si>
    <t>836M0015</t>
  </si>
  <si>
    <t>836M0015MUN (B)</t>
  </si>
  <si>
    <t>UNIÃO DA VITÓRIA (P/ AEROPORTO) (A)</t>
  </si>
  <si>
    <t>836|0015 A</t>
  </si>
  <si>
    <t>836M0015MUN (A)</t>
  </si>
  <si>
    <t>ENTR. PR-835</t>
  </si>
  <si>
    <t>836|0010</t>
  </si>
  <si>
    <t>836S</t>
  </si>
  <si>
    <t>836S0010</t>
  </si>
  <si>
    <t>836S0010EPR</t>
  </si>
  <si>
    <t>PONTE DOMÍCIO SCARAMELA (UNIÃO DA VITÓRIA)</t>
  </si>
  <si>
    <t>835|0020</t>
  </si>
  <si>
    <t>835S</t>
  </si>
  <si>
    <t>835</t>
  </si>
  <si>
    <t>835S0020</t>
  </si>
  <si>
    <t>835S0020EPR</t>
  </si>
  <si>
    <t>ENTR. PR-836 (UNIÃO DA VITÓRIA)</t>
  </si>
  <si>
    <t>835|0015</t>
  </si>
  <si>
    <t>835S0015</t>
  </si>
  <si>
    <t>835S0015EPR</t>
  </si>
  <si>
    <t>ENTR. BR-476</t>
  </si>
  <si>
    <t>835|0010</t>
  </si>
  <si>
    <t>835S0010</t>
  </si>
  <si>
    <t>835S0010EPR</t>
  </si>
  <si>
    <t>PAULA FREITAS</t>
  </si>
  <si>
    <t>831|0010</t>
  </si>
  <si>
    <t>831S</t>
  </si>
  <si>
    <t>831</t>
  </si>
  <si>
    <t>831S0010</t>
  </si>
  <si>
    <t>831S0010EPR</t>
  </si>
  <si>
    <t>CAMPINA DO SIMÃO</t>
  </si>
  <si>
    <t>ENTR. PR-364</t>
  </si>
  <si>
    <t>825|0010</t>
  </si>
  <si>
    <t>825S</t>
  </si>
  <si>
    <t>825</t>
  </si>
  <si>
    <t>825S0010</t>
  </si>
  <si>
    <t>825S0010EPR</t>
  </si>
  <si>
    <t>BOA VENTURA DE SÃO ROQUE</t>
  </si>
  <si>
    <t>820|0010</t>
  </si>
  <si>
    <t>820S</t>
  </si>
  <si>
    <t>820</t>
  </si>
  <si>
    <t>820S0010</t>
  </si>
  <si>
    <t>820S0010EPR</t>
  </si>
  <si>
    <t>MH</t>
  </si>
  <si>
    <t>CÂNDIDO DE ABREU</t>
  </si>
  <si>
    <t>816|0010</t>
  </si>
  <si>
    <t>816S</t>
  </si>
  <si>
    <t>816</t>
  </si>
  <si>
    <t>816S0010</t>
  </si>
  <si>
    <t>816S0010EPR</t>
  </si>
  <si>
    <t>SB</t>
  </si>
  <si>
    <t>DIVISA PR/SC (P/ ITAPOÁ)</t>
  </si>
  <si>
    <t>ENTR. PR-412</t>
  </si>
  <si>
    <t>808|0010</t>
  </si>
  <si>
    <t>808S</t>
  </si>
  <si>
    <t>808</t>
  </si>
  <si>
    <t>808S0010</t>
  </si>
  <si>
    <t>808S0010EPR</t>
  </si>
  <si>
    <t>ENTR. PR-412 (FERRY BOAT)</t>
  </si>
  <si>
    <t>GUARATUBA (ANTIGO MERCADO)</t>
  </si>
  <si>
    <t>807|0010</t>
  </si>
  <si>
    <t>807S</t>
  </si>
  <si>
    <t>807</t>
  </si>
  <si>
    <t>807S0010</t>
  </si>
  <si>
    <t>807S0010EPR</t>
  </si>
  <si>
    <t>SMC</t>
  </si>
  <si>
    <t>ENTR. PR-576/ PR-806</t>
  </si>
  <si>
    <t>ENTR. PR-482/ PR-806 (TAPIRA)</t>
  </si>
  <si>
    <t>806|0010</t>
  </si>
  <si>
    <t>806M</t>
  </si>
  <si>
    <t>806</t>
  </si>
  <si>
    <t>806M0010</t>
  </si>
  <si>
    <t>806M0010MUN</t>
  </si>
  <si>
    <t>ENTR. PR-482/ PR-576</t>
  </si>
  <si>
    <t>ENTR. PR-482/PR-805 (TAPIRA)</t>
  </si>
  <si>
    <t>805|0010</t>
  </si>
  <si>
    <t>805M</t>
  </si>
  <si>
    <t>805</t>
  </si>
  <si>
    <t>805M0010</t>
  </si>
  <si>
    <t>805M0010MUN</t>
  </si>
  <si>
    <t>PARQUE NEWTON FREIRE MAIA</t>
  </si>
  <si>
    <t>ENTR. BR-116</t>
  </si>
  <si>
    <t>802|0010</t>
  </si>
  <si>
    <t>802S</t>
  </si>
  <si>
    <t>802</t>
  </si>
  <si>
    <t>802S0010</t>
  </si>
  <si>
    <t>802S0010EPR</t>
  </si>
  <si>
    <t>ITAPERUÇU</t>
  </si>
  <si>
    <t>800|0010</t>
  </si>
  <si>
    <t>800S</t>
  </si>
  <si>
    <t>800</t>
  </si>
  <si>
    <t>800S0010</t>
  </si>
  <si>
    <t>800S0010EPR</t>
  </si>
  <si>
    <t>PORTO SÃO JOSÉ</t>
  </si>
  <si>
    <t>PORTO RICO</t>
  </si>
  <si>
    <t>691|0010</t>
  </si>
  <si>
    <t>691S</t>
  </si>
  <si>
    <t>691</t>
  </si>
  <si>
    <t>691S0010</t>
  </si>
  <si>
    <t>691S0010EPR</t>
  </si>
  <si>
    <t>PORTO SÃO JOSÉ (B)</t>
  </si>
  <si>
    <t>PORTO SÃO JOSÉ (A)</t>
  </si>
  <si>
    <t>691|0005</t>
  </si>
  <si>
    <t>691M</t>
  </si>
  <si>
    <t>691M0005</t>
  </si>
  <si>
    <t>691M0005MUN</t>
  </si>
  <si>
    <t>PINHAL DE SÃO BENTO</t>
  </si>
  <si>
    <t>AMPÉRE (B)</t>
  </si>
  <si>
    <t>690|0010</t>
  </si>
  <si>
    <t>690S</t>
  </si>
  <si>
    <t>690</t>
  </si>
  <si>
    <t>690S0010</t>
  </si>
  <si>
    <t>690S0010EPR</t>
  </si>
  <si>
    <t>ENTR. PR-481 (PLAN.) (AMPERE) (A)</t>
  </si>
  <si>
    <t>690|0005</t>
  </si>
  <si>
    <t>690M</t>
  </si>
  <si>
    <t>690M0005</t>
  </si>
  <si>
    <t>690M0005MUN</t>
  </si>
  <si>
    <t>ENTR. PR-559 (JURANDA)</t>
  </si>
  <si>
    <t>ENTR. PR-492 (TAMBOARA)</t>
  </si>
  <si>
    <t>685|0010</t>
  </si>
  <si>
    <t>685S</t>
  </si>
  <si>
    <t>685</t>
  </si>
  <si>
    <t>685S0010</t>
  </si>
  <si>
    <t>685S0010EPR</t>
  </si>
  <si>
    <t>Solo-solo</t>
  </si>
  <si>
    <t>ENTR. BR-487 (PORTO CAMARGO)</t>
  </si>
  <si>
    <t>ENTR. PR-489 (P/ PORTO FIGUEIRA)</t>
  </si>
  <si>
    <t>683|0010</t>
  </si>
  <si>
    <t>683S</t>
  </si>
  <si>
    <t>683</t>
  </si>
  <si>
    <t>683S0010</t>
  </si>
  <si>
    <t>683S0010EPR</t>
  </si>
  <si>
    <t>ENTR. PR-580</t>
  </si>
  <si>
    <t>FIM P.U. SERRA DOS DOURADOS</t>
  </si>
  <si>
    <t>682|0100</t>
  </si>
  <si>
    <t>682S</t>
  </si>
  <si>
    <t>682</t>
  </si>
  <si>
    <t>682S0100</t>
  </si>
  <si>
    <t>682S0100EPR</t>
  </si>
  <si>
    <t>ENTR. PR-182(B)(PLAN.) (IN. P.U. SERRA DOS DOURADOS)</t>
  </si>
  <si>
    <t>682|0090E</t>
  </si>
  <si>
    <t>682E</t>
  </si>
  <si>
    <t>0090</t>
  </si>
  <si>
    <t>682E0090</t>
  </si>
  <si>
    <t>682E0090EPR</t>
  </si>
  <si>
    <t>682|0090D</t>
  </si>
  <si>
    <t>682D</t>
  </si>
  <si>
    <t>682D0090</t>
  </si>
  <si>
    <t>682D0090EPR</t>
  </si>
  <si>
    <t>ENTR. PR-969</t>
  </si>
  <si>
    <t>FINAL P. DUPLA (FINAL P. U. STA. ELISA)</t>
  </si>
  <si>
    <t>682|0060</t>
  </si>
  <si>
    <t>0060</t>
  </si>
  <si>
    <t>682S0060</t>
  </si>
  <si>
    <t>682S0060EPR</t>
  </si>
  <si>
    <t>FINAL P. DUPLA (FINAL P.U. STA. ELISA)</t>
  </si>
  <si>
    <t>INÍCIO PISTA DUPLA</t>
  </si>
  <si>
    <t>682|0050E</t>
  </si>
  <si>
    <t>0050</t>
  </si>
  <si>
    <t>682E0050</t>
  </si>
  <si>
    <t>682E0050EPR</t>
  </si>
  <si>
    <t>682|0050D</t>
  </si>
  <si>
    <t>682D0050</t>
  </si>
  <si>
    <t>682D0050EPR</t>
  </si>
  <si>
    <t>INÍCIO P.U. STA. ELISA (INÍCIO PAVIM.)</t>
  </si>
  <si>
    <t>682|0040</t>
  </si>
  <si>
    <t>0040</t>
  </si>
  <si>
    <t>682S0040</t>
  </si>
  <si>
    <t>682S0040EPR</t>
  </si>
  <si>
    <t>ENTR. PR-082/485 (ICARAÍMA)</t>
  </si>
  <si>
    <t>ICARAÍMA (A)</t>
  </si>
  <si>
    <t>682|0015</t>
  </si>
  <si>
    <t>682M</t>
  </si>
  <si>
    <t>682M0015</t>
  </si>
  <si>
    <t>682M0015MUN</t>
  </si>
  <si>
    <t>MIRANTE DO PIQUIRI</t>
  </si>
  <si>
    <t>FINAL P. DUPLA PAULISTÂNIA</t>
  </si>
  <si>
    <t>681|0045</t>
  </si>
  <si>
    <t>681S</t>
  </si>
  <si>
    <t>0045</t>
  </si>
  <si>
    <t>681</t>
  </si>
  <si>
    <t>681S0045</t>
  </si>
  <si>
    <t>681S0045EPR</t>
  </si>
  <si>
    <t>INÍCIO PISTA DUPLA PAULISTÂNIA</t>
  </si>
  <si>
    <t>681|0040E</t>
  </si>
  <si>
    <t>681E</t>
  </si>
  <si>
    <t>681E0040</t>
  </si>
  <si>
    <t>681E0040EPR</t>
  </si>
  <si>
    <t>681|0040D</t>
  </si>
  <si>
    <t>681D</t>
  </si>
  <si>
    <t>681D0040</t>
  </si>
  <si>
    <t>681D0040EPR</t>
  </si>
  <si>
    <t>ALTO PIQUIRI (B)</t>
  </si>
  <si>
    <t>681|0030</t>
  </si>
  <si>
    <t>681S0030</t>
  </si>
  <si>
    <t>681S0030EPR</t>
  </si>
  <si>
    <t>ALTO PIQUIRI (A)</t>
  </si>
  <si>
    <t>681|0020</t>
  </si>
  <si>
    <t>681M</t>
  </si>
  <si>
    <t>681M0020</t>
  </si>
  <si>
    <t>681M0020MUN</t>
  </si>
  <si>
    <t>ENTR. PR-486</t>
  </si>
  <si>
    <t>681|0010</t>
  </si>
  <si>
    <t>681S0010</t>
  </si>
  <si>
    <t>681S0010EPR</t>
  </si>
  <si>
    <t>ENTR. PR-082 (DOURADINA) (B)</t>
  </si>
  <si>
    <t>DOURADINA (A)</t>
  </si>
  <si>
    <t>680|0025</t>
  </si>
  <si>
    <t>680M</t>
  </si>
  <si>
    <t>0025</t>
  </si>
  <si>
    <t>680</t>
  </si>
  <si>
    <t>680M0025</t>
  </si>
  <si>
    <t>680M0025MUN</t>
  </si>
  <si>
    <t>VILA FORMOSA</t>
  </si>
  <si>
    <t>680|0020</t>
  </si>
  <si>
    <t>680S</t>
  </si>
  <si>
    <t>680S0020</t>
  </si>
  <si>
    <t>680S0020EPR</t>
  </si>
  <si>
    <t>ENTR. PR-482 (MARIA HELENA)</t>
  </si>
  <si>
    <t>680|0010</t>
  </si>
  <si>
    <t>680S0010</t>
  </si>
  <si>
    <t>680S0010EPR</t>
  </si>
  <si>
    <t>DIAMANTE DO SUL</t>
  </si>
  <si>
    <t>670|0030</t>
  </si>
  <si>
    <t>670S</t>
  </si>
  <si>
    <t>670</t>
  </si>
  <si>
    <t>670S0030</t>
  </si>
  <si>
    <t>670S0030EPR</t>
  </si>
  <si>
    <t>ENTR. PR-459 (SALTO SEGREDO)</t>
  </si>
  <si>
    <t>FOZ DO JORDÃO (B)</t>
  </si>
  <si>
    <t>662|0030</t>
  </si>
  <si>
    <t>662S</t>
  </si>
  <si>
    <t>662</t>
  </si>
  <si>
    <t>662S0030</t>
  </si>
  <si>
    <t>662S0030EPR</t>
  </si>
  <si>
    <t>FOZ DO JORDÃO (A)</t>
  </si>
  <si>
    <t>ENTR. BR-373 (PAZ)</t>
  </si>
  <si>
    <t>662|0010</t>
  </si>
  <si>
    <t>662S0010</t>
  </si>
  <si>
    <t>662S0010EPR</t>
  </si>
  <si>
    <t>662|0002</t>
  </si>
  <si>
    <t>662M</t>
  </si>
  <si>
    <t>0002</t>
  </si>
  <si>
    <t>662M0002</t>
  </si>
  <si>
    <t>662M0002MUN</t>
  </si>
  <si>
    <t>GODOY MOREIRA</t>
  </si>
  <si>
    <t>STA. LUZIA DA ALVORADA</t>
  </si>
  <si>
    <t>650|0020</t>
  </si>
  <si>
    <t>650S</t>
  </si>
  <si>
    <t>650</t>
  </si>
  <si>
    <t>650S0020</t>
  </si>
  <si>
    <t>650S0020EPR</t>
  </si>
  <si>
    <t>ENTR. PR-082 (SÃO JOÃO DO IVAÍ)</t>
  </si>
  <si>
    <t>650|0010</t>
  </si>
  <si>
    <t>650S0010</t>
  </si>
  <si>
    <t>650S0010EPR</t>
  </si>
  <si>
    <t>ENTR. PR-484</t>
  </si>
  <si>
    <t>USINA DE SALTO CAXIAS (B)</t>
  </si>
  <si>
    <t>592|0020</t>
  </si>
  <si>
    <t>592S</t>
  </si>
  <si>
    <t>592</t>
  </si>
  <si>
    <t>592S0020</t>
  </si>
  <si>
    <t>592S0020EPR</t>
  </si>
  <si>
    <t>USINA DE SALTO CAXIAS (A)</t>
  </si>
  <si>
    <t>NOVA PRATA DO IGUAÇU (B)</t>
  </si>
  <si>
    <t>592|0010</t>
  </si>
  <si>
    <t>592S0010</t>
  </si>
  <si>
    <t>592S0010EPR</t>
  </si>
  <si>
    <t>ENTR. PR-471 (NOVA PRATA DO IGUAÇU) (A)</t>
  </si>
  <si>
    <t>592|0005</t>
  </si>
  <si>
    <t>592M</t>
  </si>
  <si>
    <t>592M0005</t>
  </si>
  <si>
    <t>592M0005MUN</t>
  </si>
  <si>
    <t>RAMILÂNDIA</t>
  </si>
  <si>
    <t>FINAL P. DUPLA ESMERALDA</t>
  </si>
  <si>
    <t>590|0017</t>
  </si>
  <si>
    <t>590S</t>
  </si>
  <si>
    <t>0017</t>
  </si>
  <si>
    <t>590</t>
  </si>
  <si>
    <t>590S0017</t>
  </si>
  <si>
    <t>590S0017EPR</t>
  </si>
  <si>
    <t>590|0013E</t>
  </si>
  <si>
    <t>590E</t>
  </si>
  <si>
    <t>0013</t>
  </si>
  <si>
    <t>590E0013</t>
  </si>
  <si>
    <t>590E0013EPR</t>
  </si>
  <si>
    <t>590|0013D</t>
  </si>
  <si>
    <t>590D</t>
  </si>
  <si>
    <t>590D0013</t>
  </si>
  <si>
    <t>590D0013EPR</t>
  </si>
  <si>
    <t>INÍCIO P. DUPLA ESMERALDA</t>
  </si>
  <si>
    <t>590|0010</t>
  </si>
  <si>
    <t>590S0010</t>
  </si>
  <si>
    <t>590S0010EPR</t>
  </si>
  <si>
    <t>MEMORIAL DO COLONIZADOR</t>
  </si>
  <si>
    <t>ENTR. PR-491 (NOVA SANTA ROSA)</t>
  </si>
  <si>
    <t>589|0015 B</t>
  </si>
  <si>
    <t>589M</t>
  </si>
  <si>
    <t>589</t>
  </si>
  <si>
    <t>589M0015</t>
  </si>
  <si>
    <t>589M0015MUN (B)</t>
  </si>
  <si>
    <t>589|0015 A</t>
  </si>
  <si>
    <t>589M0015MUN (A)</t>
  </si>
  <si>
    <t>NOVA SANTA ROSA (B)</t>
  </si>
  <si>
    <t>589|0015</t>
  </si>
  <si>
    <t>0012</t>
  </si>
  <si>
    <t>589M0012</t>
  </si>
  <si>
    <t>589M0012MUN</t>
  </si>
  <si>
    <t>NOVA SANTA ROSA (A)</t>
  </si>
  <si>
    <t>ENTR. PR-239 (NOVO SARANDI)</t>
  </si>
  <si>
    <t>589|0010</t>
  </si>
  <si>
    <t>589S</t>
  </si>
  <si>
    <t>589S0010</t>
  </si>
  <si>
    <t>589S0010EPR</t>
  </si>
  <si>
    <t>SÃO JORGE DO PATROCÍNIO</t>
  </si>
  <si>
    <t>ESPERANÇA NOVA (B)</t>
  </si>
  <si>
    <t>587|0030</t>
  </si>
  <si>
    <t>587S</t>
  </si>
  <si>
    <t>587</t>
  </si>
  <si>
    <t>587S0030</t>
  </si>
  <si>
    <t>587S0030EPR</t>
  </si>
  <si>
    <t>ESPERANÇA NOVA (A)</t>
  </si>
  <si>
    <t>587|0015</t>
  </si>
  <si>
    <t>587M</t>
  </si>
  <si>
    <t>587M0015</t>
  </si>
  <si>
    <t>587M0015MUN</t>
  </si>
  <si>
    <t>ENTR. PR-496 TRÊS VENDAS)</t>
  </si>
  <si>
    <t>587|0010</t>
  </si>
  <si>
    <t>587S0010</t>
  </si>
  <si>
    <t>587S0010EPR</t>
  </si>
  <si>
    <t>ENTR. BR-277 (STA. TEREZA DO OESTE)</t>
  </si>
  <si>
    <t>586|0010</t>
  </si>
  <si>
    <t>586S</t>
  </si>
  <si>
    <t>586</t>
  </si>
  <si>
    <t>586S0010</t>
  </si>
  <si>
    <t>586S0010EPR</t>
  </si>
  <si>
    <t>ENTR. PR-317 (TOLEDO)</t>
  </si>
  <si>
    <t>SÃO PEDRO DO IGUAÇU (B)</t>
  </si>
  <si>
    <t>585|0030</t>
  </si>
  <si>
    <t>585S</t>
  </si>
  <si>
    <t>585</t>
  </si>
  <si>
    <t>585S0030</t>
  </si>
  <si>
    <t>585S0030EPR</t>
  </si>
  <si>
    <t>SÃO PEDRO DO IGUAÇU (A)</t>
  </si>
  <si>
    <t>585|0015</t>
  </si>
  <si>
    <t>585M</t>
  </si>
  <si>
    <t>585M0015</t>
  </si>
  <si>
    <t>585M0015MUN</t>
  </si>
  <si>
    <t>VERA CRUZ DO OESTE (B)</t>
  </si>
  <si>
    <t>585|0010</t>
  </si>
  <si>
    <t>585S0010</t>
  </si>
  <si>
    <t>585S0010EPR</t>
  </si>
  <si>
    <t>ENTR. PR-488 (PLAN.) (VERA CRUZ DO OESTE) (A)</t>
  </si>
  <si>
    <t>585|0005</t>
  </si>
  <si>
    <t>585M0005</t>
  </si>
  <si>
    <t>585M0005MUN</t>
  </si>
  <si>
    <t>ENTR. PR-281 (SÃO VALÉRIO)</t>
  </si>
  <si>
    <t>ENTR.PR-881 (AC. A BELA VISTA DO CAROBA)</t>
  </si>
  <si>
    <t>583|0020</t>
  </si>
  <si>
    <t>583S</t>
  </si>
  <si>
    <t>583</t>
  </si>
  <si>
    <t>583S0020</t>
  </si>
  <si>
    <t>583S0020EPR</t>
  </si>
  <si>
    <t>PÉROLA DO OESTE</t>
  </si>
  <si>
    <t>583|0010</t>
  </si>
  <si>
    <t>583S0010</t>
  </si>
  <si>
    <t>583S0010EPR</t>
  </si>
  <si>
    <t>583|0005</t>
  </si>
  <si>
    <t>583S0005</t>
  </si>
  <si>
    <t>583S0005EPR</t>
  </si>
  <si>
    <t>ENTR. BR-163 (A) (CAPANEMA)</t>
  </si>
  <si>
    <t>ENTR. PR-281 (CAMBUÍ)</t>
  </si>
  <si>
    <t>582|0005</t>
  </si>
  <si>
    <t>582S</t>
  </si>
  <si>
    <t>582</t>
  </si>
  <si>
    <t>582S0005</t>
  </si>
  <si>
    <t>582S0005EPR</t>
  </si>
  <si>
    <t>ENTR. PR-575 (NÃO PAV.) /486(PLAN.) (JOTAESSE)</t>
  </si>
  <si>
    <t>TUPÃSSI (B)</t>
  </si>
  <si>
    <t>581|0030</t>
  </si>
  <si>
    <t>581S</t>
  </si>
  <si>
    <t>581</t>
  </si>
  <si>
    <t>581S0030</t>
  </si>
  <si>
    <t>581S0030EPR</t>
  </si>
  <si>
    <t>TUPÃSSI (A)</t>
  </si>
  <si>
    <t>581|0015</t>
  </si>
  <si>
    <t>581M</t>
  </si>
  <si>
    <t>581M0015</t>
  </si>
  <si>
    <t>581M0015MUN</t>
  </si>
  <si>
    <t>ENTR. PR-239 (BRAGANTINA)</t>
  </si>
  <si>
    <t>581|0010</t>
  </si>
  <si>
    <t>581S0010</t>
  </si>
  <si>
    <t>581S0010EPR</t>
  </si>
  <si>
    <t>ENTR. PR-682</t>
  </si>
  <si>
    <t>UMUARAMA (B)</t>
  </si>
  <si>
    <t>580|0015</t>
  </si>
  <si>
    <t>580S</t>
  </si>
  <si>
    <t>580</t>
  </si>
  <si>
    <t>580S0015</t>
  </si>
  <si>
    <t>580S0015EPR</t>
  </si>
  <si>
    <t>ENTR. PR-482 (UMUARAMA) (A)</t>
  </si>
  <si>
    <t>580|0013</t>
  </si>
  <si>
    <t>580M</t>
  </si>
  <si>
    <t>580M0013</t>
  </si>
  <si>
    <t>580M0013MUN</t>
  </si>
  <si>
    <t>-</t>
  </si>
  <si>
    <t>ENTR. PR-082 (IVATÉ)</t>
  </si>
  <si>
    <t>INÍCIO DO PAVIMENTO (HERCULÂNDIA)</t>
  </si>
  <si>
    <t>578|0050</t>
  </si>
  <si>
    <t>578S</t>
  </si>
  <si>
    <t>578</t>
  </si>
  <si>
    <t>578S0050</t>
  </si>
  <si>
    <t>578S0050EPR</t>
  </si>
  <si>
    <t>FINAL DO PAVIMENTO (STA. ESMERALDA</t>
  </si>
  <si>
    <t>IVAÍNA</t>
  </si>
  <si>
    <t>578|0020</t>
  </si>
  <si>
    <t>578S0020</t>
  </si>
  <si>
    <t>578S0020EPR</t>
  </si>
  <si>
    <t>STA. CRUZ DO MONTE CASTELO</t>
  </si>
  <si>
    <t>578|0010</t>
  </si>
  <si>
    <t>578S0010</t>
  </si>
  <si>
    <t>578S0010EPR</t>
  </si>
  <si>
    <t>CBUQ</t>
  </si>
  <si>
    <t>SANTA CRUZ DO MONTE CASTELO</t>
  </si>
  <si>
    <t>ENTR. PR-218 (PLAN.) (STA. CRUZ DO MONTE CASTELO)</t>
  </si>
  <si>
    <t>578|0005</t>
  </si>
  <si>
    <t>578M</t>
  </si>
  <si>
    <t>578M0005</t>
  </si>
  <si>
    <t>578M0005MUN</t>
  </si>
  <si>
    <t>ENTR. BR-376 (NOVA LONDRINA)</t>
  </si>
  <si>
    <t>577|0010</t>
  </si>
  <si>
    <t>577S</t>
  </si>
  <si>
    <t>577</t>
  </si>
  <si>
    <t>577S0010</t>
  </si>
  <si>
    <t>577S0010EPR</t>
  </si>
  <si>
    <t>TSD</t>
  </si>
  <si>
    <t>SANTA FELICIDADE</t>
  </si>
  <si>
    <t>ACESSO GLEBA IV</t>
  </si>
  <si>
    <t>576|0080</t>
  </si>
  <si>
    <t>576S</t>
  </si>
  <si>
    <t>0080</t>
  </si>
  <si>
    <t>576</t>
  </si>
  <si>
    <t>576S0080</t>
  </si>
  <si>
    <t>576S0080EPR</t>
  </si>
  <si>
    <t>TAPIRA (B)</t>
  </si>
  <si>
    <t>576|0070</t>
  </si>
  <si>
    <t>0070</t>
  </si>
  <si>
    <t>576S0070</t>
  </si>
  <si>
    <t>576S0070EPR</t>
  </si>
  <si>
    <t>TAPIRA (C)</t>
  </si>
  <si>
    <t>576|0068</t>
  </si>
  <si>
    <t>576M</t>
  </si>
  <si>
    <t>0068</t>
  </si>
  <si>
    <t>576M0068</t>
  </si>
  <si>
    <t>576M0068MUN</t>
  </si>
  <si>
    <t>ENTR. PR-805/ PR-576</t>
  </si>
  <si>
    <t>576|0066</t>
  </si>
  <si>
    <t>0066</t>
  </si>
  <si>
    <t>576M0066</t>
  </si>
  <si>
    <t>576M0066MUN</t>
  </si>
  <si>
    <t>576|0065</t>
  </si>
  <si>
    <t>0065</t>
  </si>
  <si>
    <t>576M0065</t>
  </si>
  <si>
    <t>576M0065MUN</t>
  </si>
  <si>
    <t>TAPIRA (A)</t>
  </si>
  <si>
    <t>RIO IVAÍ</t>
  </si>
  <si>
    <t>576|0060</t>
  </si>
  <si>
    <t>576S0060</t>
  </si>
  <si>
    <t>576S0060EPR</t>
  </si>
  <si>
    <t>APARECIDA DO IVAÍ (B)</t>
  </si>
  <si>
    <t>576|0057</t>
  </si>
  <si>
    <t>0057</t>
  </si>
  <si>
    <t>576S0057</t>
  </si>
  <si>
    <t>576S0057EPR</t>
  </si>
  <si>
    <t>APARECIDA DO IVAÍ (A)</t>
  </si>
  <si>
    <t>576|0056</t>
  </si>
  <si>
    <t>0056</t>
  </si>
  <si>
    <t>576M0056</t>
  </si>
  <si>
    <t>576M0056MUN</t>
  </si>
  <si>
    <t>SANTA MÔNICA (B)</t>
  </si>
  <si>
    <t>576|0055</t>
  </si>
  <si>
    <t>0055</t>
  </si>
  <si>
    <t>576S0055</t>
  </si>
  <si>
    <t>576S0055EPR</t>
  </si>
  <si>
    <t>SANTA MÔNICA (A)</t>
  </si>
  <si>
    <t>576|0054</t>
  </si>
  <si>
    <t>0054</t>
  </si>
  <si>
    <t>576M0054</t>
  </si>
  <si>
    <t>576M0054MUN</t>
  </si>
  <si>
    <t>AC. MUNIC. A S. JOSÉ DO IVAÍ</t>
  </si>
  <si>
    <t>576|0053</t>
  </si>
  <si>
    <t>0053</t>
  </si>
  <si>
    <t>576S0053</t>
  </si>
  <si>
    <t>576S0053EPR</t>
  </si>
  <si>
    <t>STA. IZABEL DO IVAÍ (B)</t>
  </si>
  <si>
    <t>576|0051</t>
  </si>
  <si>
    <t>0051</t>
  </si>
  <si>
    <t>576S0051</t>
  </si>
  <si>
    <t>576S0051EPR</t>
  </si>
  <si>
    <t>ENTR. PR-182/218 (STA. ISABEL DO IVAÍ)</t>
  </si>
  <si>
    <t>576|0035</t>
  </si>
  <si>
    <t>0035</t>
  </si>
  <si>
    <t>576M0035</t>
  </si>
  <si>
    <t>576M0035MUN</t>
  </si>
  <si>
    <t>STA. ISABEL DO IVAÍ (A)</t>
  </si>
  <si>
    <t>576|0033</t>
  </si>
  <si>
    <t>0033</t>
  </si>
  <si>
    <t>576M0033</t>
  </si>
  <si>
    <t>576M0033MUN</t>
  </si>
  <si>
    <t>ENTR. PR-218 (S. CRUZ DO M. CASTELO)</t>
  </si>
  <si>
    <t>576|0030</t>
  </si>
  <si>
    <t>576S0030</t>
  </si>
  <si>
    <t>576S0030EPR</t>
  </si>
  <si>
    <t>NÃO PAV</t>
  </si>
  <si>
    <t>ENTR. PR-478 (PORTO RICO)</t>
  </si>
  <si>
    <t>576|0010</t>
  </si>
  <si>
    <t>576S0010</t>
  </si>
  <si>
    <t>576S0010EPR</t>
  </si>
  <si>
    <t>ENTR. PR-574 (PALMITÓPOLIS) (B)</t>
  </si>
  <si>
    <t>PALMITÓPOLIS (A)</t>
  </si>
  <si>
    <t>575|0035</t>
  </si>
  <si>
    <t>575M</t>
  </si>
  <si>
    <t>575</t>
  </si>
  <si>
    <t>575M0035</t>
  </si>
  <si>
    <t>575M0035MUN</t>
  </si>
  <si>
    <t>NOVA AURORA (B)</t>
  </si>
  <si>
    <t>575|0030</t>
  </si>
  <si>
    <t>575S</t>
  </si>
  <si>
    <t>575S0030</t>
  </si>
  <si>
    <t>575S0030EPR</t>
  </si>
  <si>
    <t>ENTR. PR-239 (NOVA AURORA) (A)</t>
  </si>
  <si>
    <t>575|0025</t>
  </si>
  <si>
    <t>575M0025</t>
  </si>
  <si>
    <t>575M0025MUN</t>
  </si>
  <si>
    <t>ENTR. BR-369 (N. SENHORA DA PENHA)</t>
  </si>
  <si>
    <t>CAFELÂNDIA (B)</t>
  </si>
  <si>
    <t>574|0010</t>
  </si>
  <si>
    <t>574S</t>
  </si>
  <si>
    <t>574</t>
  </si>
  <si>
    <t>574S0010</t>
  </si>
  <si>
    <t>574S0010EPR</t>
  </si>
  <si>
    <t>ENTR. PR-180 (CAFELÂNDIA (A)</t>
  </si>
  <si>
    <t>574|0007</t>
  </si>
  <si>
    <t>574M</t>
  </si>
  <si>
    <t>0007</t>
  </si>
  <si>
    <t>574M0007</t>
  </si>
  <si>
    <t>574M0007MUN</t>
  </si>
  <si>
    <t>PALMITÓPOLIS (B)</t>
  </si>
  <si>
    <t>ENTR. PR-575 (PALMITÓPOLIS) (A)</t>
  </si>
  <si>
    <t>574|0003</t>
  </si>
  <si>
    <t>0003</t>
  </si>
  <si>
    <t>574M0003</t>
  </si>
  <si>
    <t>574M0003MUN</t>
  </si>
  <si>
    <t>ENTR. PR-474 (FINAL P. DUPLA) (BRAGANEY)</t>
  </si>
  <si>
    <t>INÍCIO PISTA DUPLA (BRAGANTINA)</t>
  </si>
  <si>
    <t>573|0020E</t>
  </si>
  <si>
    <t>573E</t>
  </si>
  <si>
    <t>573</t>
  </si>
  <si>
    <t>573E0020</t>
  </si>
  <si>
    <t>573E0020EPR</t>
  </si>
  <si>
    <t>573|0020D</t>
  </si>
  <si>
    <t>573D</t>
  </si>
  <si>
    <t>573D0020</t>
  </si>
  <si>
    <t>573D0020EPR</t>
  </si>
  <si>
    <t>ENTR. BR-369 (CORBÉLIA)</t>
  </si>
  <si>
    <t>573|0010</t>
  </si>
  <si>
    <t>573S</t>
  </si>
  <si>
    <t>573S0010</t>
  </si>
  <si>
    <t>573S0010EPR</t>
  </si>
  <si>
    <t>SULINA</t>
  </si>
  <si>
    <t>PRC-158</t>
  </si>
  <si>
    <t>570|0010</t>
  </si>
  <si>
    <t>570S</t>
  </si>
  <si>
    <t>570</t>
  </si>
  <si>
    <t>570S0010</t>
  </si>
  <si>
    <t>570S0010EPR</t>
  </si>
  <si>
    <t>MARILENA</t>
  </si>
  <si>
    <t>NOVA LONDRINA (B)</t>
  </si>
  <si>
    <t>569|0010</t>
  </si>
  <si>
    <t>569S</t>
  </si>
  <si>
    <t>569</t>
  </si>
  <si>
    <t>569S0010</t>
  </si>
  <si>
    <t>569S0010EPR</t>
  </si>
  <si>
    <t>PRAÇA SANTOS DUMONT</t>
  </si>
  <si>
    <t>PRAÇA IGREJA MATRIZ</t>
  </si>
  <si>
    <t xml:space="preserve">569|0005 </t>
  </si>
  <si>
    <t>569M</t>
  </si>
  <si>
    <t>569M0005</t>
  </si>
  <si>
    <t>569M0005MUN</t>
  </si>
  <si>
    <t xml:space="preserve">ENTR. PR-182 (NOVA LONDRINA) </t>
  </si>
  <si>
    <t>569|0002 B</t>
  </si>
  <si>
    <t>569M0002</t>
  </si>
  <si>
    <t>569M0002MUN (B)</t>
  </si>
  <si>
    <t>569|0002 A</t>
  </si>
  <si>
    <t>569M0002MUN (A)</t>
  </si>
  <si>
    <t>ENTR. PR-323 (CIANORTE)</t>
  </si>
  <si>
    <t>SÃO LOURENÇO</t>
  </si>
  <si>
    <t>567|0030</t>
  </si>
  <si>
    <t>567S</t>
  </si>
  <si>
    <t>567</t>
  </si>
  <si>
    <t>567S0030</t>
  </si>
  <si>
    <t>567S0030EPR</t>
  </si>
  <si>
    <t>ENTR. PR-465 (PLAN.) (AC. ARARUNA)</t>
  </si>
  <si>
    <t>567|0020</t>
  </si>
  <si>
    <t>567S0020</t>
  </si>
  <si>
    <t>567S0020EPR</t>
  </si>
  <si>
    <t>567|0010</t>
  </si>
  <si>
    <t>567S0010</t>
  </si>
  <si>
    <t>567S0010EPR</t>
  </si>
  <si>
    <t>ENTR. PR-180/475 (FRANC. BELTRÃO)</t>
  </si>
  <si>
    <t>BARRA GRANDE</t>
  </si>
  <si>
    <t>566|0040</t>
  </si>
  <si>
    <t>566S</t>
  </si>
  <si>
    <t>566</t>
  </si>
  <si>
    <t>566S0040</t>
  </si>
  <si>
    <t>566S0040EPR</t>
  </si>
  <si>
    <t>RIO SANTANA</t>
  </si>
  <si>
    <t>566|0030</t>
  </si>
  <si>
    <t>566S0030</t>
  </si>
  <si>
    <t>566S0030EPR</t>
  </si>
  <si>
    <t>ENTR. PR-493 (ITAPEJARA DO OESTE)</t>
  </si>
  <si>
    <t>566|0020</t>
  </si>
  <si>
    <t>566S0020</t>
  </si>
  <si>
    <t>566S0020EPR</t>
  </si>
  <si>
    <t>ENTR. PR-562 (VISTA ALEGRE)</t>
  </si>
  <si>
    <t>566|0010</t>
  </si>
  <si>
    <t>566S0010</t>
  </si>
  <si>
    <t>566S0010EPR</t>
  </si>
  <si>
    <t>PIR</t>
  </si>
  <si>
    <t>PORTO BARREIRO (B)</t>
  </si>
  <si>
    <t>PORTO BARREIRO (A)</t>
  </si>
  <si>
    <t>565|0025</t>
  </si>
  <si>
    <t>565M</t>
  </si>
  <si>
    <t>565</t>
  </si>
  <si>
    <t>565M0025</t>
  </si>
  <si>
    <t>565M0025MUN</t>
  </si>
  <si>
    <t>LARANJEIRAS DO SUL (B)</t>
  </si>
  <si>
    <t>565|0010</t>
  </si>
  <si>
    <t>565S</t>
  </si>
  <si>
    <t>565S0010</t>
  </si>
  <si>
    <t>565S0010EPR</t>
  </si>
  <si>
    <t>ENTR. BR-158 (LARANJEIRAS DO SUL) (A)</t>
  </si>
  <si>
    <t>565|0005</t>
  </si>
  <si>
    <t>565M0005</t>
  </si>
  <si>
    <t>565M0005MUN</t>
  </si>
  <si>
    <t>ENTR. PR-281/570(PLAN.)</t>
  </si>
  <si>
    <t>AC. LESTE SÃO JOÃO</t>
  </si>
  <si>
    <t>562|0050</t>
  </si>
  <si>
    <t>562S</t>
  </si>
  <si>
    <t>562</t>
  </si>
  <si>
    <t>562S0050</t>
  </si>
  <si>
    <t>562S0050EPR</t>
  </si>
  <si>
    <t>AC. SUL SÃO JOÃO</t>
  </si>
  <si>
    <t>562|0040</t>
  </si>
  <si>
    <t>562S0040</t>
  </si>
  <si>
    <t>562S0040EPR</t>
  </si>
  <si>
    <t>ENTR. PR-566 (VISTA ALEGRE)</t>
  </si>
  <si>
    <t>562|0030</t>
  </si>
  <si>
    <t>562S0030</t>
  </si>
  <si>
    <t>562S0030EPR</t>
  </si>
  <si>
    <t>FINAL PISTA DUPLA</t>
  </si>
  <si>
    <t>562|0020</t>
  </si>
  <si>
    <t>562S0020</t>
  </si>
  <si>
    <t>562S0020EPR</t>
  </si>
  <si>
    <t>INÍCIO PISTA DUPLA (V. ALEGRE)</t>
  </si>
  <si>
    <t>562|0015E</t>
  </si>
  <si>
    <t>562E</t>
  </si>
  <si>
    <t>562E0015</t>
  </si>
  <si>
    <t>562E0015EPR</t>
  </si>
  <si>
    <t>562|0015D</t>
  </si>
  <si>
    <t>562D</t>
  </si>
  <si>
    <t>562D0015</t>
  </si>
  <si>
    <t>562D0015EPR</t>
  </si>
  <si>
    <t>CORONEL VIVIDA (B)</t>
  </si>
  <si>
    <t>562|0010</t>
  </si>
  <si>
    <t>562S0010</t>
  </si>
  <si>
    <t>562S0010EPR</t>
  </si>
  <si>
    <t>ENTR. PRC-158 (PLAN.) (CEL. VIVIDA)</t>
  </si>
  <si>
    <t>562|0008</t>
  </si>
  <si>
    <t>562M</t>
  </si>
  <si>
    <t>0008</t>
  </si>
  <si>
    <t>562M0008</t>
  </si>
  <si>
    <t>562M0008MUN</t>
  </si>
  <si>
    <t>ENTR. BR-373 (P/ CORONEL VIVIDA)</t>
  </si>
  <si>
    <t>HONÓRIO SERPA (B)</t>
  </si>
  <si>
    <t>562|0005</t>
  </si>
  <si>
    <t>562S0005</t>
  </si>
  <si>
    <t>562S0005EPR</t>
  </si>
  <si>
    <t>HONÓRIO SERPA (A)</t>
  </si>
  <si>
    <t>562|0004</t>
  </si>
  <si>
    <t>0004</t>
  </si>
  <si>
    <t>562M0004</t>
  </si>
  <si>
    <t>562M0004MUN</t>
  </si>
  <si>
    <t>ENTR. PR-218 (PARANAVAÍ)</t>
  </si>
  <si>
    <t>NOVA ALIANÇA DO IVAÍ</t>
  </si>
  <si>
    <t>561|0030</t>
  </si>
  <si>
    <t>561S</t>
  </si>
  <si>
    <t>561</t>
  </si>
  <si>
    <t>561S0030</t>
  </si>
  <si>
    <t>561S0030EPR</t>
  </si>
  <si>
    <t>ÁGUA MINERAL SANTA CLARA</t>
  </si>
  <si>
    <t>ENTR. BR-373</t>
  </si>
  <si>
    <t>560|0010</t>
  </si>
  <si>
    <t>560S</t>
  </si>
  <si>
    <t>560</t>
  </si>
  <si>
    <t>560S0010</t>
  </si>
  <si>
    <t>560S0010EPR</t>
  </si>
  <si>
    <t>MIRADOR</t>
  </si>
  <si>
    <t>ENTR. PR-492 (PARAÍSO DO NORTE) (B)</t>
  </si>
  <si>
    <t>559|0030</t>
  </si>
  <si>
    <t>559S</t>
  </si>
  <si>
    <t>559</t>
  </si>
  <si>
    <t>559S0030</t>
  </si>
  <si>
    <t>559S0030EPR</t>
  </si>
  <si>
    <t>PARAÍSO DO NORTE (A)</t>
  </si>
  <si>
    <t>559|0025</t>
  </si>
  <si>
    <t>559M</t>
  </si>
  <si>
    <t>559M0025</t>
  </si>
  <si>
    <t>559M0025MUN</t>
  </si>
  <si>
    <t>ENTR. PR-685</t>
  </si>
  <si>
    <t>559|0020</t>
  </si>
  <si>
    <t>559S0020</t>
  </si>
  <si>
    <t>559S0020EPR</t>
  </si>
  <si>
    <t>ENTR. PR-498 BR-158(PLAN.) (SÃO CARLOS DO IVAÍ)</t>
  </si>
  <si>
    <t>559|0010</t>
  </si>
  <si>
    <t>559S0010</t>
  </si>
  <si>
    <t>559S0010EPR</t>
  </si>
  <si>
    <t>ENTR. PR-323</t>
  </si>
  <si>
    <t>MALU (B)</t>
  </si>
  <si>
    <t>558|0055</t>
  </si>
  <si>
    <t>558S</t>
  </si>
  <si>
    <t>558</t>
  </si>
  <si>
    <t>558S0055</t>
  </si>
  <si>
    <t>558S0055EPR</t>
  </si>
  <si>
    <t>MALU (A)</t>
  </si>
  <si>
    <t>558|0053</t>
  </si>
  <si>
    <t>558M</t>
  </si>
  <si>
    <t>558M0053</t>
  </si>
  <si>
    <t>558M0053MUN</t>
  </si>
  <si>
    <t>ENTR. PR-082 (TERRA BOA)</t>
  </si>
  <si>
    <t>558|0051</t>
  </si>
  <si>
    <t>558S0051</t>
  </si>
  <si>
    <t>558S0051EPR</t>
  </si>
  <si>
    <t>ENTR. PR-567 (ARARUNA)</t>
  </si>
  <si>
    <t>ENTR. PR-842 (ARARUNA)</t>
  </si>
  <si>
    <t>558|0025</t>
  </si>
  <si>
    <t>558S0025</t>
  </si>
  <si>
    <t>558S0025EPR</t>
  </si>
  <si>
    <t>ENTR. BR-272 (ANEL VIÁRIO C. MOURÃO PLANEJADO)</t>
  </si>
  <si>
    <t>558|0020</t>
  </si>
  <si>
    <t>558S0020</t>
  </si>
  <si>
    <t>558S0020EPR</t>
  </si>
  <si>
    <t>ENTR. BR-272 (ANEL VIÁRIO PLAN.)</t>
  </si>
  <si>
    <t>ENTR. PR-317 (AV. TANC. NEVES - C. MOURÃO)</t>
  </si>
  <si>
    <t>558|0010</t>
  </si>
  <si>
    <t>558S0010</t>
  </si>
  <si>
    <t>558S0010EPR</t>
  </si>
  <si>
    <t>ENTR. PR-182 (DIAMANTE DO NORTE) (B)</t>
  </si>
  <si>
    <t>DIAMANTE DO NORTE (A)</t>
  </si>
  <si>
    <t>557|0040</t>
  </si>
  <si>
    <t>557M</t>
  </si>
  <si>
    <t>557</t>
  </si>
  <si>
    <t>557M0040</t>
  </si>
  <si>
    <t>557M0040MUN</t>
  </si>
  <si>
    <t>AC. ADEMAR DE BARROS</t>
  </si>
  <si>
    <t>557|0033</t>
  </si>
  <si>
    <t>557S</t>
  </si>
  <si>
    <t>557S0033</t>
  </si>
  <si>
    <t>557S0033EPR</t>
  </si>
  <si>
    <t>ENTR. PR-180 (TERRA RICA)</t>
  </si>
  <si>
    <t>557|0031</t>
  </si>
  <si>
    <t>0031</t>
  </si>
  <si>
    <t>557S0031</t>
  </si>
  <si>
    <t>557S0031EPR</t>
  </si>
  <si>
    <t>ENTR. PR-180 (PLAN.) (B) (TERRA RICA)</t>
  </si>
  <si>
    <t>TERRA RICA (A)</t>
  </si>
  <si>
    <t>557|0015</t>
  </si>
  <si>
    <t>557M0015</t>
  </si>
  <si>
    <t>557M0015MUN</t>
  </si>
  <si>
    <t>SANTO ANTONIO DO CAIUÁ</t>
  </si>
  <si>
    <t>557|0010</t>
  </si>
  <si>
    <t>557S0010</t>
  </si>
  <si>
    <t>557S0010EPR</t>
  </si>
  <si>
    <t>ENTR. PRC-158/PR-494 (PLAN.) (S. JOÃO DO CAIUÁ) (B)</t>
  </si>
  <si>
    <t>SÃO JOÃO DO CAIUÁ (A)</t>
  </si>
  <si>
    <t>556|0035</t>
  </si>
  <si>
    <t>556M</t>
  </si>
  <si>
    <t>556</t>
  </si>
  <si>
    <t>556M0035</t>
  </si>
  <si>
    <t>556M0035MUN</t>
  </si>
  <si>
    <t>STO. ANTONIO DO CAIUÁ (B)</t>
  </si>
  <si>
    <t>556|0030</t>
  </si>
  <si>
    <t>556S</t>
  </si>
  <si>
    <t>556S0030</t>
  </si>
  <si>
    <t>556S0030EPR</t>
  </si>
  <si>
    <t>ENTR. PR-557 (STO. ANTONIO DO CAIUÁ) (B)</t>
  </si>
  <si>
    <t>STO. ANTONIO DO CAIUÁ (A)</t>
  </si>
  <si>
    <t>556|0015</t>
  </si>
  <si>
    <t>556M0015</t>
  </si>
  <si>
    <t>556M0015MUN</t>
  </si>
  <si>
    <t>ENTR. PR-498 (NOVA BILAC)</t>
  </si>
  <si>
    <t>BARÃO DE LUCENA (B)</t>
  </si>
  <si>
    <t>555|0013</t>
  </si>
  <si>
    <t>555S</t>
  </si>
  <si>
    <t>555</t>
  </si>
  <si>
    <t>555S0013</t>
  </si>
  <si>
    <t>555S0013EPR</t>
  </si>
  <si>
    <t>BARÃO DE LUCENA (A)</t>
  </si>
  <si>
    <t>555|0012</t>
  </si>
  <si>
    <t>555M</t>
  </si>
  <si>
    <t>555M0012</t>
  </si>
  <si>
    <t>555M0012MUN</t>
  </si>
  <si>
    <t>ENTR. BR-376 (NOVA ESPERANÇA)</t>
  </si>
  <si>
    <t>555|0011</t>
  </si>
  <si>
    <t>0011</t>
  </si>
  <si>
    <t>555S0011</t>
  </si>
  <si>
    <t>555S0011EPR</t>
  </si>
  <si>
    <t>ENTR. PR-498 (BOA VISTA)</t>
  </si>
  <si>
    <t>SÃO JORGE DO IVAÍ (B)</t>
  </si>
  <si>
    <t>554|0030</t>
  </si>
  <si>
    <t>554S</t>
  </si>
  <si>
    <t>554</t>
  </si>
  <si>
    <t>554S0030</t>
  </si>
  <si>
    <t>554S0030EPR</t>
  </si>
  <si>
    <t>SÃO JORGE DO IVAÍ (A)</t>
  </si>
  <si>
    <t>554|0020</t>
  </si>
  <si>
    <t>554M</t>
  </si>
  <si>
    <t>554M0020</t>
  </si>
  <si>
    <t>554M0020MUN</t>
  </si>
  <si>
    <t>ENTR. PR-323 (RIO IVAÍ)</t>
  </si>
  <si>
    <t>554|0010</t>
  </si>
  <si>
    <t>554S0010</t>
  </si>
  <si>
    <t>554S0010EPR</t>
  </si>
  <si>
    <t>LUIZIANA (B)</t>
  </si>
  <si>
    <t>LUIZIANA (A)</t>
  </si>
  <si>
    <t>553|0020</t>
  </si>
  <si>
    <t>553M</t>
  </si>
  <si>
    <t>553</t>
  </si>
  <si>
    <t>553M0020</t>
  </si>
  <si>
    <t>553M0020MUN</t>
  </si>
  <si>
    <t>ENTR. BR-487</t>
  </si>
  <si>
    <t>553|0010</t>
  </si>
  <si>
    <t>553S</t>
  </si>
  <si>
    <t>553S0010</t>
  </si>
  <si>
    <t>553S0010EPR</t>
  </si>
  <si>
    <t>ENTR. PR-554 (B)</t>
  </si>
  <si>
    <t>552|0035</t>
  </si>
  <si>
    <t>552M</t>
  </si>
  <si>
    <t>552</t>
  </si>
  <si>
    <t>552M0035</t>
  </si>
  <si>
    <t>552M0035MUN</t>
  </si>
  <si>
    <t>OURIZONA</t>
  </si>
  <si>
    <t>552|0030</t>
  </si>
  <si>
    <t>552S</t>
  </si>
  <si>
    <t>552S0030</t>
  </si>
  <si>
    <t>552S0030EPR</t>
  </si>
  <si>
    <t>ACESSO GUADIANA</t>
  </si>
  <si>
    <t>552|0020</t>
  </si>
  <si>
    <t>552S0020</t>
  </si>
  <si>
    <t>552S0020EPR</t>
  </si>
  <si>
    <t>ENTR. BR-376 (MANDAGUAÇU)</t>
  </si>
  <si>
    <t>552|0010</t>
  </si>
  <si>
    <t>552S0010</t>
  </si>
  <si>
    <t>552S0010EPR</t>
  </si>
  <si>
    <t>INÍCIO ÁREA URBANA DR. CAMARGO</t>
  </si>
  <si>
    <t>551|0040</t>
  </si>
  <si>
    <t>551S</t>
  </si>
  <si>
    <t>551</t>
  </si>
  <si>
    <t>551S0040</t>
  </si>
  <si>
    <t>551S0040EPR</t>
  </si>
  <si>
    <t>IVATUBA (B)</t>
  </si>
  <si>
    <t>551|0030</t>
  </si>
  <si>
    <t>551S0030</t>
  </si>
  <si>
    <t>551S0030EPR</t>
  </si>
  <si>
    <t>IVATUBA (A)</t>
  </si>
  <si>
    <t>551|0020</t>
  </si>
  <si>
    <t>551M</t>
  </si>
  <si>
    <t>551M0020</t>
  </si>
  <si>
    <t>551M0020MUN</t>
  </si>
  <si>
    <t>IVATUBA  (A)</t>
  </si>
  <si>
    <t>ENTR. PR-317 (P/ FLORESTA)</t>
  </si>
  <si>
    <t>551|0010</t>
  </si>
  <si>
    <t>551S0010</t>
  </si>
  <si>
    <t>551S0010EPR</t>
  </si>
  <si>
    <t>ENTR. PR-317</t>
  </si>
  <si>
    <t>MUNHOZ DE MELO (B)</t>
  </si>
  <si>
    <t>550|0030</t>
  </si>
  <si>
    <t>550S</t>
  </si>
  <si>
    <t>550</t>
  </si>
  <si>
    <t>550S0030</t>
  </si>
  <si>
    <t>550S0030EPR</t>
  </si>
  <si>
    <t>MUNHOZ DE MELO (A)</t>
  </si>
  <si>
    <t>550|0020</t>
  </si>
  <si>
    <t>550M</t>
  </si>
  <si>
    <t>550M0020</t>
  </si>
  <si>
    <t>550M0020MUN</t>
  </si>
  <si>
    <t>ENTR. PR-218</t>
  </si>
  <si>
    <t>550|0010</t>
  </si>
  <si>
    <t>550S0010</t>
  </si>
  <si>
    <t>550S0010EPR</t>
  </si>
  <si>
    <t>ACESSO A BOURBÔNIA</t>
  </si>
  <si>
    <t>549|0033</t>
  </si>
  <si>
    <t>549S</t>
  </si>
  <si>
    <t>549</t>
  </si>
  <si>
    <t>549S0033</t>
  </si>
  <si>
    <t>549S0033EPR</t>
  </si>
  <si>
    <t>CORUMBATAÍ DO SUL (B)</t>
  </si>
  <si>
    <t>549|0031</t>
  </si>
  <si>
    <t>549S0031</t>
  </si>
  <si>
    <t>549S0031EPR</t>
  </si>
  <si>
    <t>CORUMBATAÍ DO SUL (A)</t>
  </si>
  <si>
    <t>549|0020</t>
  </si>
  <si>
    <t>549M</t>
  </si>
  <si>
    <t>549M0020</t>
  </si>
  <si>
    <t>549M0020MUN</t>
  </si>
  <si>
    <t>BARBOSA FERRAZ</t>
  </si>
  <si>
    <t>549|0010</t>
  </si>
  <si>
    <t>549S0010</t>
  </si>
  <si>
    <t>549S0010EPR</t>
  </si>
  <si>
    <t>ENTR. PR-218 (P/ ASTORGA)</t>
  </si>
  <si>
    <t>PITANGUEIRAS (B)</t>
  </si>
  <si>
    <t>547|0030</t>
  </si>
  <si>
    <t>547S</t>
  </si>
  <si>
    <t>547</t>
  </si>
  <si>
    <t>547S0030</t>
  </si>
  <si>
    <t>547S0030EPR</t>
  </si>
  <si>
    <t>PITANGUEIRAS (A)</t>
  </si>
  <si>
    <t>547|0025</t>
  </si>
  <si>
    <t>547M</t>
  </si>
  <si>
    <t>547M0025</t>
  </si>
  <si>
    <t>547M0025MUN</t>
  </si>
  <si>
    <t>FINAL DO ASFALTO</t>
  </si>
  <si>
    <t>SÃO MARTINHO (B)</t>
  </si>
  <si>
    <t>547|0010</t>
  </si>
  <si>
    <t>547S0010</t>
  </si>
  <si>
    <t>547S0010EPR</t>
  </si>
  <si>
    <t>ENTR. PR-317 (FLORESTA) (B)</t>
  </si>
  <si>
    <t>FLORESTA (A)</t>
  </si>
  <si>
    <t>546|0045</t>
  </si>
  <si>
    <t>546M</t>
  </si>
  <si>
    <t>546</t>
  </si>
  <si>
    <t>546M0045</t>
  </si>
  <si>
    <t>546M0045MUN</t>
  </si>
  <si>
    <t>AC. PORTO FIGUEIRA</t>
  </si>
  <si>
    <t>546|0040</t>
  </si>
  <si>
    <t>546S</t>
  </si>
  <si>
    <t>546S0040</t>
  </si>
  <si>
    <t>546S0040EPR</t>
  </si>
  <si>
    <t>ITAMBÉ (B)</t>
  </si>
  <si>
    <t>546|0030</t>
  </si>
  <si>
    <t>546S0030</t>
  </si>
  <si>
    <t>546S0030EPR</t>
  </si>
  <si>
    <t>ITAMBÉ (A)</t>
  </si>
  <si>
    <t>546|0025</t>
  </si>
  <si>
    <t>546M0025</t>
  </si>
  <si>
    <t>546M0025MUN</t>
  </si>
  <si>
    <t>ENTR. PR-457 (ITAMBÉ)</t>
  </si>
  <si>
    <t>546|0020</t>
  </si>
  <si>
    <t>546S0020</t>
  </si>
  <si>
    <t>546S0020EPR</t>
  </si>
  <si>
    <t>BOM SUCESSO</t>
  </si>
  <si>
    <t>546|0010</t>
  </si>
  <si>
    <t>546S0010</t>
  </si>
  <si>
    <t>546S0010EPR</t>
  </si>
  <si>
    <t>TREVO I (LONDRINA)</t>
  </si>
  <si>
    <t>ENTR. PR-323/445 (WARTA)</t>
  </si>
  <si>
    <t>545|0010</t>
  </si>
  <si>
    <t>545S</t>
  </si>
  <si>
    <t>545</t>
  </si>
  <si>
    <t>545S0010</t>
  </si>
  <si>
    <t>545S0010EPR</t>
  </si>
  <si>
    <t>CAFEARA</t>
  </si>
  <si>
    <t>ENTR. PR-340</t>
  </si>
  <si>
    <t>543|0030</t>
  </si>
  <si>
    <t>543S</t>
  </si>
  <si>
    <t>543</t>
  </si>
  <si>
    <t>543S0030</t>
  </si>
  <si>
    <t>543S0030EPR</t>
  </si>
  <si>
    <t>LUPIONÓPOLIS</t>
  </si>
  <si>
    <t>543|0010</t>
  </si>
  <si>
    <t>543S0010</t>
  </si>
  <si>
    <t>543S0010EPR</t>
  </si>
  <si>
    <t>US. HIDREL. DE TAQUARUÇU (DIV.PR/SP)</t>
  </si>
  <si>
    <t>ITAGUAJÉ (B)</t>
  </si>
  <si>
    <t>542|0090</t>
  </si>
  <si>
    <t>542S</t>
  </si>
  <si>
    <t>542</t>
  </si>
  <si>
    <t>542S0090</t>
  </si>
  <si>
    <t>542S0090EPR</t>
  </si>
  <si>
    <t>ENTR. PR-340 (PLAN.) (B)</t>
  </si>
  <si>
    <t>542|0080</t>
  </si>
  <si>
    <t>542M</t>
  </si>
  <si>
    <t>542M0080</t>
  </si>
  <si>
    <t>542M0080MUN</t>
  </si>
  <si>
    <t>ENTR. PR-340 (PLAN.) (A)</t>
  </si>
  <si>
    <t>ITAGUAJÉ (A)</t>
  </si>
  <si>
    <t>542|0075</t>
  </si>
  <si>
    <t>0075</t>
  </si>
  <si>
    <t>542M0075</t>
  </si>
  <si>
    <t>542M0075MUN</t>
  </si>
  <si>
    <t>ENTR. PR-463 (B) (COLORADO)</t>
  </si>
  <si>
    <t>542|0070</t>
  </si>
  <si>
    <t>542S0070</t>
  </si>
  <si>
    <t>542S0070EPR</t>
  </si>
  <si>
    <t>ENTR. PR-463 (A) (COLORADO)</t>
  </si>
  <si>
    <t>ENTR. PR-933 (COLORADO)</t>
  </si>
  <si>
    <t>542|0065</t>
  </si>
  <si>
    <t>542S0065</t>
  </si>
  <si>
    <t>542S0065EPR</t>
  </si>
  <si>
    <t>FINAL PER. URB. ALTO ALEGRE</t>
  </si>
  <si>
    <t>542|0060</t>
  </si>
  <si>
    <t>542S0060</t>
  </si>
  <si>
    <t>542S0060EPR</t>
  </si>
  <si>
    <t>INÍCIO PERÍMETRO URBANO</t>
  </si>
  <si>
    <t>542|0055</t>
  </si>
  <si>
    <t>542S0055</t>
  </si>
  <si>
    <t>542S0055EPR</t>
  </si>
  <si>
    <t>INÍCIO PER. URBANO ALTO ALEGRE</t>
  </si>
  <si>
    <t>PR-317/542 (NOSSA SRA. DAS GRAÇAS) (B)</t>
  </si>
  <si>
    <t>542|0050</t>
  </si>
  <si>
    <t>542S0050</t>
  </si>
  <si>
    <t>542S0050EPR</t>
  </si>
  <si>
    <t>NOSSA SRA. DAS GRAÇAS (A)</t>
  </si>
  <si>
    <t>542|0020</t>
  </si>
  <si>
    <t>542M0020</t>
  </si>
  <si>
    <t>542M0020MUN</t>
  </si>
  <si>
    <t>ENTR. PR-340 (GUARACI)</t>
  </si>
  <si>
    <t>542|0010</t>
  </si>
  <si>
    <t>542S0010</t>
  </si>
  <si>
    <t>542S0010EPR</t>
  </si>
  <si>
    <t>ENTR. PR-170 (B) (COLÔNIAS ENTRE RIOS)</t>
  </si>
  <si>
    <t>ENTR. PR-170 (A) (COLÔNIAS ENTRE RIOS)</t>
  </si>
  <si>
    <t>540|0015</t>
  </si>
  <si>
    <t>540S</t>
  </si>
  <si>
    <t>540</t>
  </si>
  <si>
    <t>540S0015</t>
  </si>
  <si>
    <t>540S0015EPR</t>
  </si>
  <si>
    <t>RIO BOM (B)</t>
  </si>
  <si>
    <t>RIO BOM (A)</t>
  </si>
  <si>
    <t>539|0025</t>
  </si>
  <si>
    <t>539M</t>
  </si>
  <si>
    <t>539</t>
  </si>
  <si>
    <t>539M0025</t>
  </si>
  <si>
    <t>539M0025MUN</t>
  </si>
  <si>
    <t>ACESSO MARILÂNDIA DO SUL</t>
  </si>
  <si>
    <t>539|0020</t>
  </si>
  <si>
    <t>539S</t>
  </si>
  <si>
    <t>539S0020</t>
  </si>
  <si>
    <t>539S0020EPR</t>
  </si>
  <si>
    <t>539|0010</t>
  </si>
  <si>
    <t>539S0010</t>
  </si>
  <si>
    <t>539S0010EPR</t>
  </si>
  <si>
    <t>GUARAVERA (B)</t>
  </si>
  <si>
    <t>538|0050</t>
  </si>
  <si>
    <t>538S</t>
  </si>
  <si>
    <t>538</t>
  </si>
  <si>
    <t>538S0050</t>
  </si>
  <si>
    <t>538S0050EPR</t>
  </si>
  <si>
    <t>GUARAVERA (A)</t>
  </si>
  <si>
    <t>538|0045</t>
  </si>
  <si>
    <t>538M</t>
  </si>
  <si>
    <t>538M0045</t>
  </si>
  <si>
    <t>538M0045MUN</t>
  </si>
  <si>
    <t>ENTR. PR-532 (B) (P/ CORREIA DE FREITAS)</t>
  </si>
  <si>
    <t>538|0040</t>
  </si>
  <si>
    <t>538S0040</t>
  </si>
  <si>
    <t>538S0040EPR</t>
  </si>
  <si>
    <t>ENTR. PR-532 (A) (P/ IRERÊ)</t>
  </si>
  <si>
    <t>SÃO LUIZ (B)</t>
  </si>
  <si>
    <t>538|0020</t>
  </si>
  <si>
    <t>538S0020</t>
  </si>
  <si>
    <t>538S0020EPR</t>
  </si>
  <si>
    <t>SÃO LUIZ (A)</t>
  </si>
  <si>
    <t>538|0015</t>
  </si>
  <si>
    <t>538M0015</t>
  </si>
  <si>
    <t>538M0015MUN</t>
  </si>
  <si>
    <t>ENTR. PR-218(PLAN.) (VILA REGINA)</t>
  </si>
  <si>
    <t>538|0010</t>
  </si>
  <si>
    <t>538S0010</t>
  </si>
  <si>
    <t>538S0010EPR</t>
  </si>
  <si>
    <t>SCAL</t>
  </si>
  <si>
    <t>FLORESTÓPOLIS</t>
  </si>
  <si>
    <t>ENTR. PR-090/434(PLAN.) (S. MARGARIDA)</t>
  </si>
  <si>
    <t>537|0010</t>
  </si>
  <si>
    <t>537S</t>
  </si>
  <si>
    <t>537</t>
  </si>
  <si>
    <t>537S0010</t>
  </si>
  <si>
    <t>537S0010EPR</t>
  </si>
  <si>
    <t>ENTR. BR-369 (CAMBÉ) (B)</t>
  </si>
  <si>
    <t>CAMBÉ (A)</t>
  </si>
  <si>
    <t>536|0035</t>
  </si>
  <si>
    <t>536M</t>
  </si>
  <si>
    <t>536</t>
  </si>
  <si>
    <t>536M0035</t>
  </si>
  <si>
    <t>536M0035MUN</t>
  </si>
  <si>
    <t>TSS</t>
  </si>
  <si>
    <t>ENTR. PR-323 (PLAN.)</t>
  </si>
  <si>
    <t>536|0030</t>
  </si>
  <si>
    <t>536S</t>
  </si>
  <si>
    <t>536S0030</t>
  </si>
  <si>
    <t>536S0030EPR</t>
  </si>
  <si>
    <t>INÍCIO DO ASFALTO (P/ CAMBÉ)</t>
  </si>
  <si>
    <t>536|0020</t>
  </si>
  <si>
    <t>536S0020</t>
  </si>
  <si>
    <t>536S0020EPR</t>
  </si>
  <si>
    <t>PRADO FERREIRA (B)</t>
  </si>
  <si>
    <t>ENTR. PR-170 (PRADO FERREIRA) (A)</t>
  </si>
  <si>
    <t>536|0005</t>
  </si>
  <si>
    <t>536M0005</t>
  </si>
  <si>
    <t>536M0005MUN</t>
  </si>
  <si>
    <t>RIO BRANCO DO IVAÍ</t>
  </si>
  <si>
    <t>ENTR. PR-082 (P/ ROSÁRIO)</t>
  </si>
  <si>
    <t>535|0010</t>
  </si>
  <si>
    <t>535S</t>
  </si>
  <si>
    <t>535</t>
  </si>
  <si>
    <t>535S0010</t>
  </si>
  <si>
    <t>535S0010EPR</t>
  </si>
  <si>
    <t>CENTENÁRIO DO SUL (A)</t>
  </si>
  <si>
    <t>MIRASSELVA (B)</t>
  </si>
  <si>
    <t>534|0020</t>
  </si>
  <si>
    <t>534S</t>
  </si>
  <si>
    <t>534</t>
  </si>
  <si>
    <t>534S0020</t>
  </si>
  <si>
    <t>534S0020EPR</t>
  </si>
  <si>
    <t>MIRASSELVA (A)</t>
  </si>
  <si>
    <t>534|0015</t>
  </si>
  <si>
    <t>534M</t>
  </si>
  <si>
    <t>534M0015</t>
  </si>
  <si>
    <t>534M0015MUN</t>
  </si>
  <si>
    <t>ENTR. PR-170</t>
  </si>
  <si>
    <t>534|0010</t>
  </si>
  <si>
    <t>534S0010</t>
  </si>
  <si>
    <t>534S0010EPR</t>
  </si>
  <si>
    <t>AC. CORREIA DE FREITAS</t>
  </si>
  <si>
    <t>532|0050</t>
  </si>
  <si>
    <t>532S</t>
  </si>
  <si>
    <t>532</t>
  </si>
  <si>
    <t>532S0050</t>
  </si>
  <si>
    <t>532S0050EPR</t>
  </si>
  <si>
    <t>INÍCIO DO ASFALTO</t>
  </si>
  <si>
    <t>532|0040</t>
  </si>
  <si>
    <t>532S0040</t>
  </si>
  <si>
    <t>532S0040EPR</t>
  </si>
  <si>
    <t>ENTR. PR-538 (B) (P/ GUARAVERA)</t>
  </si>
  <si>
    <t>ENTR. PR-538 (A) (P/ S. LUIZ)</t>
  </si>
  <si>
    <t>532|0025</t>
  </si>
  <si>
    <t>532S0025</t>
  </si>
  <si>
    <t>532S0025EPR</t>
  </si>
  <si>
    <t>TAQUARUNA</t>
  </si>
  <si>
    <t>532|0020</t>
  </si>
  <si>
    <t>532S0020</t>
  </si>
  <si>
    <t>532S0020EPR</t>
  </si>
  <si>
    <t>ENTR. PR-525 (N. AMÉRICA DA COLINA)</t>
  </si>
  <si>
    <t>NOVA AMÉRICA DA COLINA</t>
  </si>
  <si>
    <t>526|0010</t>
  </si>
  <si>
    <t>526S</t>
  </si>
  <si>
    <t>526</t>
  </si>
  <si>
    <t>526S0010</t>
  </si>
  <si>
    <t>526S0010EPR</t>
  </si>
  <si>
    <t>ENTR. PR-218 (S. SEBAST. DA AMOREIRA)</t>
  </si>
  <si>
    <t>ENTR. PR-526 (N. AMÉRICA DA COLINA)</t>
  </si>
  <si>
    <t>525|0030</t>
  </si>
  <si>
    <t>525S</t>
  </si>
  <si>
    <t>525</t>
  </si>
  <si>
    <t>525S0030</t>
  </si>
  <si>
    <t>525S0030EPR</t>
  </si>
  <si>
    <t>525|0010</t>
  </si>
  <si>
    <t>525S0010</t>
  </si>
  <si>
    <t>525S0010EPR</t>
  </si>
  <si>
    <t>ENTR. PRC-487 (BOM JARDIM)</t>
  </si>
  <si>
    <t>522|0030</t>
  </si>
  <si>
    <t>522S</t>
  </si>
  <si>
    <t>522</t>
  </si>
  <si>
    <t>522S0030</t>
  </si>
  <si>
    <t>522S0030EPR</t>
  </si>
  <si>
    <t>ÁGUAS YARA</t>
  </si>
  <si>
    <t>BANDEIRANTES (B)</t>
  </si>
  <si>
    <t>519|0010</t>
  </si>
  <si>
    <t>519S</t>
  </si>
  <si>
    <t>519</t>
  </si>
  <si>
    <t>519S0010</t>
  </si>
  <si>
    <t>519S0010EPR</t>
  </si>
  <si>
    <t>ENTR. BR-369 (BANDEIRANTES) (A)</t>
  </si>
  <si>
    <t>519|0005</t>
  </si>
  <si>
    <t>519M</t>
  </si>
  <si>
    <t>519M0005</t>
  </si>
  <si>
    <t>519M0005MUN</t>
  </si>
  <si>
    <t>PORTO QUEBRA CANOA (DIVISA PR/SP)</t>
  </si>
  <si>
    <t>FINAL PISTA DUPLA  PANEMA</t>
  </si>
  <si>
    <t>518|0080</t>
  </si>
  <si>
    <t>518S</t>
  </si>
  <si>
    <t>518</t>
  </si>
  <si>
    <t>518S0080</t>
  </si>
  <si>
    <t>518S0080EPR</t>
  </si>
  <si>
    <t>INÍCIO P. DUPLA  PANEMA</t>
  </si>
  <si>
    <t>518|0070E</t>
  </si>
  <si>
    <t>518E</t>
  </si>
  <si>
    <t>518E0070</t>
  </si>
  <si>
    <t>518E0070EPR</t>
  </si>
  <si>
    <t>518|0070D</t>
  </si>
  <si>
    <t>518D</t>
  </si>
  <si>
    <t>518D0070</t>
  </si>
  <si>
    <t>518D0070EPR</t>
  </si>
  <si>
    <t>QUINZÓPOLIS</t>
  </si>
  <si>
    <t>518|0060</t>
  </si>
  <si>
    <t>518S0060</t>
  </si>
  <si>
    <t>518S0060EPR</t>
  </si>
  <si>
    <t>SANTA MARIANA (B)</t>
  </si>
  <si>
    <t>518|0050</t>
  </si>
  <si>
    <t>518S0050</t>
  </si>
  <si>
    <t>518S0050EPR</t>
  </si>
  <si>
    <t>ENTR. BR-369 (SANTA MARIANA) (A)</t>
  </si>
  <si>
    <t>518|0035</t>
  </si>
  <si>
    <t>518M</t>
  </si>
  <si>
    <t>518M0035</t>
  </si>
  <si>
    <t>518M0035MUN</t>
  </si>
  <si>
    <t>SANTA AMÉLIA</t>
  </si>
  <si>
    <t>ENTR. PR-436 (P/ ABATIÁ)</t>
  </si>
  <si>
    <t>518|0010</t>
  </si>
  <si>
    <t>518S0010</t>
  </si>
  <si>
    <t>518S0010EPR</t>
  </si>
  <si>
    <t>SÃO JOAQUIM DO PONTAL (B)</t>
  </si>
  <si>
    <t>SÃO JOAQUIM DO PONTAL (A)</t>
  </si>
  <si>
    <t>517|0035</t>
  </si>
  <si>
    <t>517M</t>
  </si>
  <si>
    <t>517</t>
  </si>
  <si>
    <t>517M0035</t>
  </si>
  <si>
    <t>517M0035MUN</t>
  </si>
  <si>
    <t>ITAMBARACÁ (B)</t>
  </si>
  <si>
    <t>517|0030</t>
  </si>
  <si>
    <t>517S</t>
  </si>
  <si>
    <t>517S0030</t>
  </si>
  <si>
    <t>517S0030EPR</t>
  </si>
  <si>
    <t>ENTR. PR-436(B) (ITAMBARACÁ) (A)</t>
  </si>
  <si>
    <t>517|0025</t>
  </si>
  <si>
    <t>517M0025</t>
  </si>
  <si>
    <t>517M0025MUN</t>
  </si>
  <si>
    <t>ENTR. PR-436(A) (ITAMBARACÁ) (P/ PORTO ALMEIDA)</t>
  </si>
  <si>
    <t>ENTR. PR-092 (ANDIRÁ)</t>
  </si>
  <si>
    <t>517|0010</t>
  </si>
  <si>
    <t>517S0010</t>
  </si>
  <si>
    <t>517S0010EPR</t>
  </si>
  <si>
    <t>TÉRMINO DO ASFALTO (P/ P. GROSSA)</t>
  </si>
  <si>
    <t>513|0040</t>
  </si>
  <si>
    <t>513S</t>
  </si>
  <si>
    <t>513</t>
  </si>
  <si>
    <t>513S0040</t>
  </si>
  <si>
    <t>513S0040EPR</t>
  </si>
  <si>
    <t>OURO FINO</t>
  </si>
  <si>
    <t>ENTR. PR-090(B)/509(PLAN.) (BATEIAS)</t>
  </si>
  <si>
    <t>510|0090</t>
  </si>
  <si>
    <t>510S</t>
  </si>
  <si>
    <t>510</t>
  </si>
  <si>
    <t>510S0090</t>
  </si>
  <si>
    <t>510S0090EPR</t>
  </si>
  <si>
    <t>ENTR. PR-090 (A) (BATEIAS)</t>
  </si>
  <si>
    <t>ENTR. BR-277 (B) (C. LARGO) (PISTA DIR.)</t>
  </si>
  <si>
    <t>510|0070</t>
  </si>
  <si>
    <t>510S0070</t>
  </si>
  <si>
    <t>510S0070EPR</t>
  </si>
  <si>
    <t>ENTR. PR-423 (ITAQUI)</t>
  </si>
  <si>
    <t>AC. BALSA NOVA</t>
  </si>
  <si>
    <t>510|0060</t>
  </si>
  <si>
    <t>510S0060</t>
  </si>
  <si>
    <t>510S0060EPR</t>
  </si>
  <si>
    <t>AC. BUGRE</t>
  </si>
  <si>
    <t>510|0055</t>
  </si>
  <si>
    <t>510S0055</t>
  </si>
  <si>
    <t>510S0055EPR</t>
  </si>
  <si>
    <t>INÍCIO DO PAVIMENTO (BALSA NOVA)</t>
  </si>
  <si>
    <t>510|0050</t>
  </si>
  <si>
    <t>510S0050</t>
  </si>
  <si>
    <t>510S0050EPR</t>
  </si>
  <si>
    <t>COLOMBO (B)</t>
  </si>
  <si>
    <t>COLOMBO (A)</t>
  </si>
  <si>
    <t>509|0035</t>
  </si>
  <si>
    <t>509M</t>
  </si>
  <si>
    <t>509</t>
  </si>
  <si>
    <t>509M0035</t>
  </si>
  <si>
    <t>509M0035MUN</t>
  </si>
  <si>
    <t>ENTR. PR-092 (ALMIRANTE TAMANDARÉ)</t>
  </si>
  <si>
    <t>509|0030</t>
  </si>
  <si>
    <t>509S</t>
  </si>
  <si>
    <t>509S0030</t>
  </si>
  <si>
    <t>509S0030EPR</t>
  </si>
  <si>
    <t>CAMPINA GRANDE DO SUL (IN. P. DUPLA)</t>
  </si>
  <si>
    <t>ENTR. BR-116 (QUATRO BARRAS) (B)</t>
  </si>
  <si>
    <t>506|0030</t>
  </si>
  <si>
    <t>506S</t>
  </si>
  <si>
    <t>506</t>
  </si>
  <si>
    <t>506S0030</t>
  </si>
  <si>
    <t>506S0030EPR</t>
  </si>
  <si>
    <t>QUATRO BARRAS (A)</t>
  </si>
  <si>
    <t>506|0020</t>
  </si>
  <si>
    <t>506M</t>
  </si>
  <si>
    <t>506M0020</t>
  </si>
  <si>
    <t>506M0020MUN</t>
  </si>
  <si>
    <t>ENTR. BR-116 (A) (CONT. LESTE)</t>
  </si>
  <si>
    <t>506|0015</t>
  </si>
  <si>
    <t>506S0015</t>
  </si>
  <si>
    <t>506S0015EPR</t>
  </si>
  <si>
    <t>PIRAQUARA (FINAL P. DUPLA) (B)</t>
  </si>
  <si>
    <t>506|0010</t>
  </si>
  <si>
    <t>506S0010</t>
  </si>
  <si>
    <t>506S0010EPR</t>
  </si>
  <si>
    <t>PIRAQUARA (FINAL P.DUPLA) (B)</t>
  </si>
  <si>
    <t>ENTR. PR-415 (FINAL DA DUPLICAÇÃO)</t>
  </si>
  <si>
    <t>506|0009 B</t>
  </si>
  <si>
    <t>0009</t>
  </si>
  <si>
    <t>506M0009</t>
  </si>
  <si>
    <t>506M0009MUN(B)</t>
  </si>
  <si>
    <t>ENTR. PR-415(B) (PIRAQ.- INÍCIO P. DUPLA) (A)</t>
  </si>
  <si>
    <t>506|0009 A</t>
  </si>
  <si>
    <t>506M0009MUN(A)</t>
  </si>
  <si>
    <t>ENTR. PR-415(A) (PIRAQUARA)</t>
  </si>
  <si>
    <t>506|0005</t>
  </si>
  <si>
    <t>506S0005</t>
  </si>
  <si>
    <t>506S0005EPR</t>
  </si>
  <si>
    <t>ENTR. PR-082</t>
  </si>
  <si>
    <t>SÃO TOMÉ (B)</t>
  </si>
  <si>
    <t>498|0110</t>
  </si>
  <si>
    <t>498S</t>
  </si>
  <si>
    <t>0110</t>
  </si>
  <si>
    <t>498</t>
  </si>
  <si>
    <t>498S0110</t>
  </si>
  <si>
    <t>498S0110EPR</t>
  </si>
  <si>
    <t>SÃO TOMÉ (A)</t>
  </si>
  <si>
    <t>498|0095</t>
  </si>
  <si>
    <t>498M</t>
  </si>
  <si>
    <t>0095</t>
  </si>
  <si>
    <t>498M0095</t>
  </si>
  <si>
    <t>498M0095MUN</t>
  </si>
  <si>
    <t>JAPURÁ (B)</t>
  </si>
  <si>
    <t>498|0090</t>
  </si>
  <si>
    <t>498S0090</t>
  </si>
  <si>
    <t>498S0090EPR</t>
  </si>
  <si>
    <t>JAPURÁ (A)</t>
  </si>
  <si>
    <t>498|0080</t>
  </si>
  <si>
    <t>498M0080</t>
  </si>
  <si>
    <t>498M0080MUN</t>
  </si>
  <si>
    <t>INÍCIO DO PAVIMENTO (RIO IVAÍ)</t>
  </si>
  <si>
    <t>498|0070</t>
  </si>
  <si>
    <t>498S0070</t>
  </si>
  <si>
    <t>498S0070EPR</t>
  </si>
  <si>
    <t>FINAL DO PAVIMENTO (RIO IVAÍ)</t>
  </si>
  <si>
    <t>SÃO CARLOS DO IVAÍ (B)</t>
  </si>
  <si>
    <t>498|0060</t>
  </si>
  <si>
    <t>498S0060</t>
  </si>
  <si>
    <t>498S0060EPR</t>
  </si>
  <si>
    <t>ENTR. PR-559 BR-158(PLAN.) (S. CARLOS DO IVAÍ (A))</t>
  </si>
  <si>
    <t>498|0058</t>
  </si>
  <si>
    <t>0058</t>
  </si>
  <si>
    <t>498M0058</t>
  </si>
  <si>
    <t>498M0058MUN</t>
  </si>
  <si>
    <t>ENTR. PR-555 (NOVA BILAC)</t>
  </si>
  <si>
    <t>498|0053</t>
  </si>
  <si>
    <t>498S0053</t>
  </si>
  <si>
    <t>498S0053EPR</t>
  </si>
  <si>
    <t>FLORAÍ (B)</t>
  </si>
  <si>
    <t>498|0051</t>
  </si>
  <si>
    <t>498S0051</t>
  </si>
  <si>
    <t>498S0051EPR</t>
  </si>
  <si>
    <t>FLORAÍ (A)</t>
  </si>
  <si>
    <t>498|0035</t>
  </si>
  <si>
    <t>498M0035</t>
  </si>
  <si>
    <t>498M0035MUN</t>
  </si>
  <si>
    <t>ENTR. PR-554</t>
  </si>
  <si>
    <t>498|0030</t>
  </si>
  <si>
    <t>498S0030</t>
  </si>
  <si>
    <t>498S0030EPR</t>
  </si>
  <si>
    <t>ENTR. BR-376 (PRES. CASTELO BRANCO)</t>
  </si>
  <si>
    <t>498|0010</t>
  </si>
  <si>
    <t>498S0010</t>
  </si>
  <si>
    <t>498S0010EPR</t>
  </si>
  <si>
    <t>ENTR. PR-495 (MISSAL)</t>
  </si>
  <si>
    <t>AC. ITAIPULÂNDIA</t>
  </si>
  <si>
    <t>497|0020</t>
  </si>
  <si>
    <t>497S</t>
  </si>
  <si>
    <t>497</t>
  </si>
  <si>
    <t>497S0020</t>
  </si>
  <si>
    <t>497S0020EPR</t>
  </si>
  <si>
    <t>SÃO MIGUEL DO IGUAÇU (B)</t>
  </si>
  <si>
    <t>497|0010</t>
  </si>
  <si>
    <t>497S0010</t>
  </si>
  <si>
    <t>497S0010EPR</t>
  </si>
  <si>
    <t>BR-277 (SÃO MIGUEL DO IGUAÇU) (A)</t>
  </si>
  <si>
    <t>497|0005</t>
  </si>
  <si>
    <t>497M</t>
  </si>
  <si>
    <t>497M0005</t>
  </si>
  <si>
    <t>497M0005MUN</t>
  </si>
  <si>
    <t>TERRA ROXA (B)</t>
  </si>
  <si>
    <t>TERRA ROXA (A)</t>
  </si>
  <si>
    <t>496|0045</t>
  </si>
  <si>
    <t>496M</t>
  </si>
  <si>
    <t>496</t>
  </si>
  <si>
    <t>496M0045</t>
  </si>
  <si>
    <t>496M0045MUN</t>
  </si>
  <si>
    <t>ENTR. BR-272</t>
  </si>
  <si>
    <t>496|0040</t>
  </si>
  <si>
    <t>496S</t>
  </si>
  <si>
    <t>496S0040</t>
  </si>
  <si>
    <t>496S0040EPR</t>
  </si>
  <si>
    <t>ALTÔNIA (A)</t>
  </si>
  <si>
    <t>FINAL PISTA DUPLA SÃO JOÃO</t>
  </si>
  <si>
    <t>496|0030</t>
  </si>
  <si>
    <t>496S0030</t>
  </si>
  <si>
    <t>496S0030EPR</t>
  </si>
  <si>
    <t>INÍCIO PISTA DUPLA SÃO JOÃO</t>
  </si>
  <si>
    <t>496|0025E</t>
  </si>
  <si>
    <t>496E</t>
  </si>
  <si>
    <t>496E0025</t>
  </si>
  <si>
    <t>496E0025EPR</t>
  </si>
  <si>
    <t>496|0025D</t>
  </si>
  <si>
    <t>496D</t>
  </si>
  <si>
    <t>496D0025</t>
  </si>
  <si>
    <t>496D0025EPR</t>
  </si>
  <si>
    <t>ENTR. PR-587 (TRÊS VENDAS)</t>
  </si>
  <si>
    <t>496|0020</t>
  </si>
  <si>
    <t>496S0020</t>
  </si>
  <si>
    <t>496S0020EPR</t>
  </si>
  <si>
    <t>PÉROLA</t>
  </si>
  <si>
    <t>496|0010</t>
  </si>
  <si>
    <t>496S0010</t>
  </si>
  <si>
    <t>496S0010EPR</t>
  </si>
  <si>
    <t>ENTR. PRC-467 (IGUIPORÃ)</t>
  </si>
  <si>
    <t>PATO BRAGADO</t>
  </si>
  <si>
    <t>495|0110</t>
  </si>
  <si>
    <t>495S</t>
  </si>
  <si>
    <t>495</t>
  </si>
  <si>
    <t>495S0110</t>
  </si>
  <si>
    <t>495S0110EPR</t>
  </si>
  <si>
    <t>ENTRE RIOS DO OESTE (B)</t>
  </si>
  <si>
    <t>495|0105</t>
  </si>
  <si>
    <t>0105</t>
  </si>
  <si>
    <t>495S0105</t>
  </si>
  <si>
    <t>495S0105EPR</t>
  </si>
  <si>
    <t>ENTRE RIOS DO OESTE (A)</t>
  </si>
  <si>
    <t>495|0100</t>
  </si>
  <si>
    <t>495M</t>
  </si>
  <si>
    <t>495M0100</t>
  </si>
  <si>
    <t>495M0100MUN</t>
  </si>
  <si>
    <t>ENTR. PR-317 (B) (SÃO CLEMENTE)</t>
  </si>
  <si>
    <t>495|0090</t>
  </si>
  <si>
    <t>495S0090</t>
  </si>
  <si>
    <t>495S0090EPR</t>
  </si>
  <si>
    <t>ENTR. PR-488 (ESQ. CÉU AZUL)</t>
  </si>
  <si>
    <t>FINAL P. DUPLA MORENINHA</t>
  </si>
  <si>
    <t>495|0068</t>
  </si>
  <si>
    <t>495S0068</t>
  </si>
  <si>
    <t>495S0068EPR</t>
  </si>
  <si>
    <t>INÍCIO P. DUPLA MORENINHA</t>
  </si>
  <si>
    <t>495|0065E</t>
  </si>
  <si>
    <t>495E</t>
  </si>
  <si>
    <t>495E0065</t>
  </si>
  <si>
    <t>495E0065EPR</t>
  </si>
  <si>
    <t>495|0065D</t>
  </si>
  <si>
    <t>495D</t>
  </si>
  <si>
    <t>495D0065</t>
  </si>
  <si>
    <t>495D0065EPR</t>
  </si>
  <si>
    <t>ENTR. ROD. MUN. P/ S. MIGUELZINHO</t>
  </si>
  <si>
    <t>495|0063</t>
  </si>
  <si>
    <t>0063</t>
  </si>
  <si>
    <t>495S0063</t>
  </si>
  <si>
    <t>495S0063EPR</t>
  </si>
  <si>
    <t>ENTR. ROD. MUN. P/ S. ROQUE</t>
  </si>
  <si>
    <t>495|0060</t>
  </si>
  <si>
    <t>495S0060</t>
  </si>
  <si>
    <t>495S0060EPR</t>
  </si>
  <si>
    <t>ENTR. ROD. MUN. P/ SÃO ROQUE</t>
  </si>
  <si>
    <t>FINAL P. DUPLA DOM ARMANDO</t>
  </si>
  <si>
    <t>495|0058</t>
  </si>
  <si>
    <t>495S0058</t>
  </si>
  <si>
    <t>495S0058EPR</t>
  </si>
  <si>
    <t>495|0055E</t>
  </si>
  <si>
    <t>495E0055</t>
  </si>
  <si>
    <t>495E0055EPR</t>
  </si>
  <si>
    <t>495|0055D</t>
  </si>
  <si>
    <t>495D0055</t>
  </si>
  <si>
    <t>495D0055EPR</t>
  </si>
  <si>
    <t>INÍCIO P. DUPLA DOM ARMANDO</t>
  </si>
  <si>
    <t>AC. MISSAL</t>
  </si>
  <si>
    <t>495|0053</t>
  </si>
  <si>
    <t>495S0053</t>
  </si>
  <si>
    <t>495S0053EPR</t>
  </si>
  <si>
    <t>ENTR. PR-497 (MISSAL) (B)</t>
  </si>
  <si>
    <t>495|0050</t>
  </si>
  <si>
    <t>495S0050</t>
  </si>
  <si>
    <t>495S0050EPR</t>
  </si>
  <si>
    <t>MISSAL (A)</t>
  </si>
  <si>
    <t>495|0040</t>
  </si>
  <si>
    <t>495M0040</t>
  </si>
  <si>
    <t>495M0040MUN</t>
  </si>
  <si>
    <t>MEDIANEIRA (B)</t>
  </si>
  <si>
    <t>495|0030</t>
  </si>
  <si>
    <t>495S0030</t>
  </si>
  <si>
    <t>495S0030EPR</t>
  </si>
  <si>
    <t>MEDIANEIRA (D)</t>
  </si>
  <si>
    <t>MEDIANEIRA (C)</t>
  </si>
  <si>
    <t>495|0029</t>
  </si>
  <si>
    <t>0029</t>
  </si>
  <si>
    <t>495M0029</t>
  </si>
  <si>
    <t>495M0029MUN</t>
  </si>
  <si>
    <t>MEDIANEIRA (A)</t>
  </si>
  <si>
    <t>495|0028</t>
  </si>
  <si>
    <t>0028</t>
  </si>
  <si>
    <t>495M0028</t>
  </si>
  <si>
    <t>495M0028MUN</t>
  </si>
  <si>
    <t>FIM P. DUPLA SERRANÓPOLIS DO IGUAÇU</t>
  </si>
  <si>
    <t>495|0026</t>
  </si>
  <si>
    <t>0026</t>
  </si>
  <si>
    <t>495S0026</t>
  </si>
  <si>
    <t>495S0026EPR</t>
  </si>
  <si>
    <t>IN. P. DUPLA SERRANÓPOLIS DO IGUAÇU</t>
  </si>
  <si>
    <t>495|0024E</t>
  </si>
  <si>
    <t>0024</t>
  </si>
  <si>
    <t>495E0024</t>
  </si>
  <si>
    <t>495E0024EPR</t>
  </si>
  <si>
    <t>495|0024D</t>
  </si>
  <si>
    <t>495D0024</t>
  </si>
  <si>
    <t>495D0024EPR</t>
  </si>
  <si>
    <t>DIV. NORTE PQUE. NAC. DO IGUAÇU</t>
  </si>
  <si>
    <t>495|0020</t>
  </si>
  <si>
    <t>495S0020</t>
  </si>
  <si>
    <t>495S0020EPR</t>
  </si>
  <si>
    <t>ENTR. PRC-158/PR-556 (PLAN.) (S. JOÃO DO CAIUÁ) (B)</t>
  </si>
  <si>
    <t>494|0015</t>
  </si>
  <si>
    <t>494M</t>
  </si>
  <si>
    <t>494</t>
  </si>
  <si>
    <t>494M0015</t>
  </si>
  <si>
    <t>494M0015MUN</t>
  </si>
  <si>
    <t>ENTR. PR-464 (PARANAREAL)</t>
  </si>
  <si>
    <t>494|0010</t>
  </si>
  <si>
    <t>494S</t>
  </si>
  <si>
    <t>494S0010</t>
  </si>
  <si>
    <t>494S0010EPR</t>
  </si>
  <si>
    <t>ENTR. PR-281 (DOIS VIZINHOS)</t>
  </si>
  <si>
    <t>VERÊ (B)</t>
  </si>
  <si>
    <t>493|0070</t>
  </si>
  <si>
    <t>493S</t>
  </si>
  <si>
    <t>493</t>
  </si>
  <si>
    <t>493S0070</t>
  </si>
  <si>
    <t>493S0070EPR</t>
  </si>
  <si>
    <t>VERÊ (C)</t>
  </si>
  <si>
    <t>493|0058</t>
  </si>
  <si>
    <t>493M</t>
  </si>
  <si>
    <t>493M0058</t>
  </si>
  <si>
    <t>493M0058MUN</t>
  </si>
  <si>
    <t>VERÊ (A)</t>
  </si>
  <si>
    <t>493|0055</t>
  </si>
  <si>
    <t>493M0055</t>
  </si>
  <si>
    <t>493M0055MUN</t>
  </si>
  <si>
    <t>ITAPEJARA DO OESTE (B)</t>
  </si>
  <si>
    <t>493|0050</t>
  </si>
  <si>
    <t>493S0050</t>
  </si>
  <si>
    <t>493S0050EPR</t>
  </si>
  <si>
    <t>ENTR. PR-566 (ITAPEJARA DO OESTE) (A)</t>
  </si>
  <si>
    <t>493|0040</t>
  </si>
  <si>
    <t>493M0040</t>
  </si>
  <si>
    <t>493M0040MUN</t>
  </si>
  <si>
    <t>ENTR. PR-918 (AC. B. SUCESSO DO SUL)</t>
  </si>
  <si>
    <t>493|0030</t>
  </si>
  <si>
    <t>493S0030</t>
  </si>
  <si>
    <t>493S0030EPR</t>
  </si>
  <si>
    <t>ENTR. PR-916 CONTORNO NOROESTE (PATO BRANCO)</t>
  </si>
  <si>
    <t>493|0025</t>
  </si>
  <si>
    <t>493S0025</t>
  </si>
  <si>
    <t>493S0025EPR</t>
  </si>
  <si>
    <t>493|0020</t>
  </si>
  <si>
    <t>493S0020</t>
  </si>
  <si>
    <t>493S0020EPR</t>
  </si>
  <si>
    <t>ENTR. BR-158 (PATO BRANCO)</t>
  </si>
  <si>
    <t>493|0012E</t>
  </si>
  <si>
    <t>493E</t>
  </si>
  <si>
    <t>493E0012</t>
  </si>
  <si>
    <t>493E0012EPR</t>
  </si>
  <si>
    <t>493|0012D</t>
  </si>
  <si>
    <t>493D</t>
  </si>
  <si>
    <t>493D0012</t>
  </si>
  <si>
    <t>493D0012EPR</t>
  </si>
  <si>
    <t>ENTR. PR-180 (RONDON)</t>
  </si>
  <si>
    <t>492|0060</t>
  </si>
  <si>
    <t>492S</t>
  </si>
  <si>
    <t>492</t>
  </si>
  <si>
    <t>492S0060</t>
  </si>
  <si>
    <t>492S0060EPR</t>
  </si>
  <si>
    <t>ENTR. PR-559 (P/ MIRADOR)</t>
  </si>
  <si>
    <t>492|0050</t>
  </si>
  <si>
    <t>492S0050</t>
  </si>
  <si>
    <t>492S0050EPR</t>
  </si>
  <si>
    <t>ENTR. PR-559 (P/MIRADOR)</t>
  </si>
  <si>
    <t>AC. PARAÍSO DO NORTE</t>
  </si>
  <si>
    <t>492|0045</t>
  </si>
  <si>
    <t>492S0045</t>
  </si>
  <si>
    <t>492S0045EPR</t>
  </si>
  <si>
    <t>492|0043</t>
  </si>
  <si>
    <t>0043</t>
  </si>
  <si>
    <t>492S0043</t>
  </si>
  <si>
    <t>492S0043EPR</t>
  </si>
  <si>
    <t>ACESSO A TAMBOARA</t>
  </si>
  <si>
    <t>492|0041</t>
  </si>
  <si>
    <t>0041</t>
  </si>
  <si>
    <t>492S0041</t>
  </si>
  <si>
    <t>492S0041EPR</t>
  </si>
  <si>
    <t>ENTR. PRC-158</t>
  </si>
  <si>
    <t>492|0030</t>
  </si>
  <si>
    <t>492S0030</t>
  </si>
  <si>
    <t>492S0030EPR</t>
  </si>
  <si>
    <t>PARANAVAÍ (B)</t>
  </si>
  <si>
    <t>492|0020</t>
  </si>
  <si>
    <t>492S0020</t>
  </si>
  <si>
    <t>492S0020EPR</t>
  </si>
  <si>
    <t>PARANAVAÍ (C)</t>
  </si>
  <si>
    <t>ENTR. PR-218 (PLAN.) (PARANAVAÍ) (B)</t>
  </si>
  <si>
    <t>492|0015</t>
  </si>
  <si>
    <t>492M</t>
  </si>
  <si>
    <t>492M0015</t>
  </si>
  <si>
    <t>492M0015MUN</t>
  </si>
  <si>
    <t>ENTR. PR-182 (MARIPÁ)</t>
  </si>
  <si>
    <t>491|0030</t>
  </si>
  <si>
    <t>491S</t>
  </si>
  <si>
    <t>491</t>
  </si>
  <si>
    <t>491S0030</t>
  </si>
  <si>
    <t>491S0030EPR</t>
  </si>
  <si>
    <t>NOVA SANTA ROSA (C)</t>
  </si>
  <si>
    <t>ENTR. PR-589 (A)</t>
  </si>
  <si>
    <t>491|0025</t>
  </si>
  <si>
    <t>491M</t>
  </si>
  <si>
    <t>491M0025</t>
  </si>
  <si>
    <t>491M0025MUN</t>
  </si>
  <si>
    <t>ENTR. PR-589 (B)</t>
  </si>
  <si>
    <t>491|0022</t>
  </si>
  <si>
    <t>0022</t>
  </si>
  <si>
    <t>491M0022</t>
  </si>
  <si>
    <t>491M0022MUN</t>
  </si>
  <si>
    <t>491|0020</t>
  </si>
  <si>
    <t>491M0020</t>
  </si>
  <si>
    <t>491M0020MUN</t>
  </si>
  <si>
    <t>ENTR. BR-163 (MAL. CÂND. RONDON)</t>
  </si>
  <si>
    <t>491|0010</t>
  </si>
  <si>
    <t>491S0010</t>
  </si>
  <si>
    <t>491S0010EPR</t>
  </si>
  <si>
    <t>ENTR. PR-587 (SÃO JORGE DO PATROCÍNIO) (B)</t>
  </si>
  <si>
    <t>SÃO JORGE DO PATROCÍNIO (A)</t>
  </si>
  <si>
    <t>490|0055</t>
  </si>
  <si>
    <t>490M</t>
  </si>
  <si>
    <t>490</t>
  </si>
  <si>
    <t>490M0055</t>
  </si>
  <si>
    <t>490M0055MUN</t>
  </si>
  <si>
    <t>ALTÔNIA (B)</t>
  </si>
  <si>
    <t>490|0050</t>
  </si>
  <si>
    <t>490S</t>
  </si>
  <si>
    <t>490S0050</t>
  </si>
  <si>
    <t>490S0050EPR</t>
  </si>
  <si>
    <t>ENTR. PR-496 (ALTÔNIA)</t>
  </si>
  <si>
    <t>490|0049</t>
  </si>
  <si>
    <t>0049</t>
  </si>
  <si>
    <t>490M0049</t>
  </si>
  <si>
    <t>490M0049MUN</t>
  </si>
  <si>
    <t>490|0048</t>
  </si>
  <si>
    <t>0048</t>
  </si>
  <si>
    <t>490M0048</t>
  </si>
  <si>
    <t>490M0048MUN</t>
  </si>
  <si>
    <t>ACESSO OURO VERDE</t>
  </si>
  <si>
    <t>490|0047</t>
  </si>
  <si>
    <t>0047</t>
  </si>
  <si>
    <t>490S0047</t>
  </si>
  <si>
    <t>490S0047EPR</t>
  </si>
  <si>
    <t>ACESSO VILA NILZA</t>
  </si>
  <si>
    <t>490|0045</t>
  </si>
  <si>
    <t>490S0045</t>
  </si>
  <si>
    <t>490S0045EPR</t>
  </si>
  <si>
    <t>AC. SECUND. IPORÃ</t>
  </si>
  <si>
    <t>490|0040</t>
  </si>
  <si>
    <t>490S0040</t>
  </si>
  <si>
    <t>490S0040EPR</t>
  </si>
  <si>
    <t>ENTR. PRC-272 (IPORÃ)</t>
  </si>
  <si>
    <t>490|0030</t>
  </si>
  <si>
    <t>490S0030</t>
  </si>
  <si>
    <t>490S0030EPR</t>
  </si>
  <si>
    <t>PORTO FIGUEIRA</t>
  </si>
  <si>
    <t>ENTR. PR-683</t>
  </si>
  <si>
    <t>489|0060</t>
  </si>
  <si>
    <t>489S</t>
  </si>
  <si>
    <t>489</t>
  </si>
  <si>
    <t>489S0060</t>
  </si>
  <si>
    <t>489S0060EPR</t>
  </si>
  <si>
    <t>ENTR. PR-485 (ALTO PARAÍSO)</t>
  </si>
  <si>
    <t>489|0050</t>
  </si>
  <si>
    <t>489S0050</t>
  </si>
  <si>
    <t>489S0050EPR</t>
  </si>
  <si>
    <t>XAMBRÊ</t>
  </si>
  <si>
    <t>UMUARAMA</t>
  </si>
  <si>
    <t>489|0010</t>
  </si>
  <si>
    <t>489S0010</t>
  </si>
  <si>
    <t>489S0010EPR</t>
  </si>
  <si>
    <t>ENTR. PR-323 (UMUARAMA) (A)</t>
  </si>
  <si>
    <t>489|0005</t>
  </si>
  <si>
    <t>489M</t>
  </si>
  <si>
    <t>489M0005</t>
  </si>
  <si>
    <t>489M0005MUN</t>
  </si>
  <si>
    <t>ENTR. PR-317 (STA. HELENA)</t>
  </si>
  <si>
    <t>ENTR. PR-495 (ESQ. CÉU AZUL)</t>
  </si>
  <si>
    <t>488|0050</t>
  </si>
  <si>
    <t>488S</t>
  </si>
  <si>
    <t>488</t>
  </si>
  <si>
    <t>488S0050</t>
  </si>
  <si>
    <t>488S0050EPR</t>
  </si>
  <si>
    <t>ENTR. PR-495 (ESQ.CÉU AZUL)</t>
  </si>
  <si>
    <t>DIAMANTE DO OESTE (B)</t>
  </si>
  <si>
    <t>488|0040</t>
  </si>
  <si>
    <t>488S0040</t>
  </si>
  <si>
    <t>488S0040EPR</t>
  </si>
  <si>
    <t>DIAMANTE DO OESTE (A)</t>
  </si>
  <si>
    <t>488|0035</t>
  </si>
  <si>
    <t>488M</t>
  </si>
  <si>
    <t>488M0035</t>
  </si>
  <si>
    <t>488M0035MUN</t>
  </si>
  <si>
    <t>488|0030</t>
  </si>
  <si>
    <t>488S0030</t>
  </si>
  <si>
    <t>488S0030EPR</t>
  </si>
  <si>
    <t>ENTR. PR-585 (VERA CRUZ DO OESTE)</t>
  </si>
  <si>
    <t>488|0018</t>
  </si>
  <si>
    <t>0018</t>
  </si>
  <si>
    <t>488M0018</t>
  </si>
  <si>
    <t>488M0018MUN</t>
  </si>
  <si>
    <t>VERA CRUZ DO OESTE (A)</t>
  </si>
  <si>
    <t>488|0015</t>
  </si>
  <si>
    <t>488M0015</t>
  </si>
  <si>
    <t>488M0015MUN</t>
  </si>
  <si>
    <t>ENTR. BR-277 (CÉU AZUL)</t>
  </si>
  <si>
    <t>488|0010</t>
  </si>
  <si>
    <t>488S0010</t>
  </si>
  <si>
    <t>488S0010EPR</t>
  </si>
  <si>
    <t>ENTR. BR-373 (UVAIA)</t>
  </si>
  <si>
    <t>IPIRANGA (B)</t>
  </si>
  <si>
    <t>487|0310</t>
  </si>
  <si>
    <t>487S</t>
  </si>
  <si>
    <t>0310</t>
  </si>
  <si>
    <t>487</t>
  </si>
  <si>
    <t>487S0310</t>
  </si>
  <si>
    <t>487S0310PRC</t>
  </si>
  <si>
    <t>ENTR. RUA XV DE NOVEMBRO</t>
  </si>
  <si>
    <t>487|0300 B</t>
  </si>
  <si>
    <t>487M</t>
  </si>
  <si>
    <t>0300</t>
  </si>
  <si>
    <t>487M0300</t>
  </si>
  <si>
    <t>487M0300MUN (B)</t>
  </si>
  <si>
    <t xml:space="preserve">ENTR. RUA OTAVIO SIRINO DE OLIVEIRA </t>
  </si>
  <si>
    <t>487|0300 A</t>
  </si>
  <si>
    <t>487M0300MUN (A)</t>
  </si>
  <si>
    <t>IPIRANGA (A)</t>
  </si>
  <si>
    <t>487|0300</t>
  </si>
  <si>
    <t>0297</t>
  </si>
  <si>
    <t>487M0297</t>
  </si>
  <si>
    <t>487M0297MUN</t>
  </si>
  <si>
    <t>FINAL DO PAVIMENTO (BOM JARDIM DO SUL)</t>
  </si>
  <si>
    <t>ENTR. PR-522 (BOM JARDIM DO SUL)</t>
  </si>
  <si>
    <t>487|0291</t>
  </si>
  <si>
    <t>0291</t>
  </si>
  <si>
    <t>487S0291</t>
  </si>
  <si>
    <t>487S0291PRC</t>
  </si>
  <si>
    <t>IVAÍ (B)</t>
  </si>
  <si>
    <t>487|0290</t>
  </si>
  <si>
    <t>0290</t>
  </si>
  <si>
    <t>487S0290</t>
  </si>
  <si>
    <t>487S0290PRC</t>
  </si>
  <si>
    <t>IVAÍ (A)</t>
  </si>
  <si>
    <t>487|0275</t>
  </si>
  <si>
    <t>0275</t>
  </si>
  <si>
    <t>487M0275</t>
  </si>
  <si>
    <t>487M0275MUN</t>
  </si>
  <si>
    <t>ENTR. PR-239</t>
  </si>
  <si>
    <t>AC. TRÊS BICOS</t>
  </si>
  <si>
    <t>487|0260</t>
  </si>
  <si>
    <t>0260</t>
  </si>
  <si>
    <t>487S0260</t>
  </si>
  <si>
    <t>487S0260PRC</t>
  </si>
  <si>
    <t>ENTR. PR-816 (AC. CÂNDIDO DE ABREU)</t>
  </si>
  <si>
    <t>487|0250</t>
  </si>
  <si>
    <t>0250</t>
  </si>
  <si>
    <t>487S0250</t>
  </si>
  <si>
    <t>487S0250PRC</t>
  </si>
  <si>
    <t>ENTR. PR-535 (P/ RIO DO TIGRE)</t>
  </si>
  <si>
    <t>487|0245</t>
  </si>
  <si>
    <t>0245</t>
  </si>
  <si>
    <t>487S0245</t>
  </si>
  <si>
    <t>487S0245PRC</t>
  </si>
  <si>
    <t>487|0240</t>
  </si>
  <si>
    <t>0240</t>
  </si>
  <si>
    <t>487S0240</t>
  </si>
  <si>
    <t>487S0240PRC</t>
  </si>
  <si>
    <t>AC. MANOEL RIBAS</t>
  </si>
  <si>
    <t>487|0231</t>
  </si>
  <si>
    <t>0231</t>
  </si>
  <si>
    <t>487S0231</t>
  </si>
  <si>
    <t>487S0231PRC</t>
  </si>
  <si>
    <t>487|0230</t>
  </si>
  <si>
    <t>0230</t>
  </si>
  <si>
    <t>487S0230</t>
  </si>
  <si>
    <t>487S0230PRC</t>
  </si>
  <si>
    <t>ENTR. PRC-466 (MANOEL RIBAS)</t>
  </si>
  <si>
    <t>ACESSO VILA NOVA</t>
  </si>
  <si>
    <t>487|0220</t>
  </si>
  <si>
    <t>0220</t>
  </si>
  <si>
    <t>487S0220</t>
  </si>
  <si>
    <t>487S0220PRC</t>
  </si>
  <si>
    <t>ENTR. PR-460 (BELA VISTA)</t>
  </si>
  <si>
    <t>487|0210</t>
  </si>
  <si>
    <t>0210</t>
  </si>
  <si>
    <t>487S0210</t>
  </si>
  <si>
    <t>487S0210PRC</t>
  </si>
  <si>
    <t>AC. CATUPORANGA</t>
  </si>
  <si>
    <t>487|0205</t>
  </si>
  <si>
    <t>0205</t>
  </si>
  <si>
    <t>487S0205</t>
  </si>
  <si>
    <t>487S0205PRC</t>
  </si>
  <si>
    <t>ENTR. PR-845 (AC. NOVA TEBAS)</t>
  </si>
  <si>
    <t>487|0200</t>
  </si>
  <si>
    <t>0200</t>
  </si>
  <si>
    <t>487S0200</t>
  </si>
  <si>
    <t>487S0200PRC</t>
  </si>
  <si>
    <t>RIO MUQUILÃO</t>
  </si>
  <si>
    <t>487|0195</t>
  </si>
  <si>
    <t>0195</t>
  </si>
  <si>
    <t>487S0195</t>
  </si>
  <si>
    <t>487S0195PRC</t>
  </si>
  <si>
    <t>ENTR. PR-462 (B) (P/IRETAMA)</t>
  </si>
  <si>
    <t>487|0190</t>
  </si>
  <si>
    <t>0190</t>
  </si>
  <si>
    <t>487S0190</t>
  </si>
  <si>
    <t>487S0190PRC</t>
  </si>
  <si>
    <t>ENTR. PR-462 (A)</t>
  </si>
  <si>
    <t>487|0185</t>
  </si>
  <si>
    <t>0185</t>
  </si>
  <si>
    <t>487S0185</t>
  </si>
  <si>
    <t>487S0185PRC</t>
  </si>
  <si>
    <t>ENTR PR-553/549 (P/LUIZIANA)</t>
  </si>
  <si>
    <t>487|0180</t>
  </si>
  <si>
    <t>0180</t>
  </si>
  <si>
    <t>487S0180</t>
  </si>
  <si>
    <t>487S0180PRC</t>
  </si>
  <si>
    <t>LAGO AZUL</t>
  </si>
  <si>
    <t>487|0175</t>
  </si>
  <si>
    <t>0175</t>
  </si>
  <si>
    <t>487S0175</t>
  </si>
  <si>
    <t>487S0175PRC</t>
  </si>
  <si>
    <t>ENTR BR-158/369 (ANEL VIÁRIO CAMPO MOURÃO)</t>
  </si>
  <si>
    <t>487|0170</t>
  </si>
  <si>
    <t>0170</t>
  </si>
  <si>
    <t>487S0170</t>
  </si>
  <si>
    <t>487S0170PRC</t>
  </si>
  <si>
    <t>ENTR. BR-369 (CAMPO MOURÃO)</t>
  </si>
  <si>
    <t>487|0165</t>
  </si>
  <si>
    <t>0165</t>
  </si>
  <si>
    <t>487S0165</t>
  </si>
  <si>
    <t>487S0165PRC</t>
  </si>
  <si>
    <t>ENTR. BR-272 (CAMPO MOURÃO)</t>
  </si>
  <si>
    <t>487|0160E</t>
  </si>
  <si>
    <t>487E</t>
  </si>
  <si>
    <t>0160</t>
  </si>
  <si>
    <t>487E0160</t>
  </si>
  <si>
    <t>487E0160PRC</t>
  </si>
  <si>
    <t>487|0160D</t>
  </si>
  <si>
    <t>487D</t>
  </si>
  <si>
    <t>487D0160</t>
  </si>
  <si>
    <t>487D0160PRC</t>
  </si>
  <si>
    <t>AC. PEROBAL</t>
  </si>
  <si>
    <t>ENTR. PR-681 (P/ ALTO PIQUIRI)</t>
  </si>
  <si>
    <t>486|0050</t>
  </si>
  <si>
    <t>486S</t>
  </si>
  <si>
    <t>486</t>
  </si>
  <si>
    <t>486S0050</t>
  </si>
  <si>
    <t>486S0050EPR</t>
  </si>
  <si>
    <t>ENTR. PR-490(PLAN.) (AC. BRASILÂNDIA DO SUL)</t>
  </si>
  <si>
    <t>486|0030</t>
  </si>
  <si>
    <t>486S0030</t>
  </si>
  <si>
    <t>486S0030EPR</t>
  </si>
  <si>
    <t>BC</t>
  </si>
  <si>
    <t>AC. ERCILÂNDIA</t>
  </si>
  <si>
    <t>486|0025</t>
  </si>
  <si>
    <t>486S0025</t>
  </si>
  <si>
    <t>486S0025EPR</t>
  </si>
  <si>
    <t>RIO PIQUIRI</t>
  </si>
  <si>
    <t>486|0020</t>
  </si>
  <si>
    <t>486S0020</t>
  </si>
  <si>
    <t>486S0020EPR</t>
  </si>
  <si>
    <t>AC. ASSIS CHATEAUBRIAND (CONTORNO)</t>
  </si>
  <si>
    <t>486|0010</t>
  </si>
  <si>
    <t>486S0010</t>
  </si>
  <si>
    <t>486S0010EPR</t>
  </si>
  <si>
    <t>ENTR. PR-239/364 (A. CHATEAUBRIAND)</t>
  </si>
  <si>
    <t>486|0005</t>
  </si>
  <si>
    <t>486S0005</t>
  </si>
  <si>
    <t>486S0005EPR</t>
  </si>
  <si>
    <t>ENTR. PR-575/581 (JOTAESSE) (B)</t>
  </si>
  <si>
    <t>JOTAESSE (A)</t>
  </si>
  <si>
    <t>486|0003</t>
  </si>
  <si>
    <t>486M</t>
  </si>
  <si>
    <t>486M0003</t>
  </si>
  <si>
    <t>486M0003MUN</t>
  </si>
  <si>
    <t>CASCAVEL (B)</t>
  </si>
  <si>
    <t>486|0002</t>
  </si>
  <si>
    <t>486S0002</t>
  </si>
  <si>
    <t>486S0002EPR</t>
  </si>
  <si>
    <t>ENTR. PR-486 (CASCAVEL)</t>
  </si>
  <si>
    <t>486|0001</t>
  </si>
  <si>
    <t>0001</t>
  </si>
  <si>
    <t>486M0001</t>
  </si>
  <si>
    <t>486M0001MUN</t>
  </si>
  <si>
    <t>ENTR. PR-082 (ICARAÍMA)</t>
  </si>
  <si>
    <t>485|0045</t>
  </si>
  <si>
    <t>485S</t>
  </si>
  <si>
    <t>485</t>
  </si>
  <si>
    <t>485S0045</t>
  </si>
  <si>
    <t>485S0045EPR</t>
  </si>
  <si>
    <t>FINAL P. DUPLA ALTO PARAÍSO</t>
  </si>
  <si>
    <t>485|0043</t>
  </si>
  <si>
    <t>485S0043</t>
  </si>
  <si>
    <t>485S0043EPR</t>
  </si>
  <si>
    <t>ENTR. PR-489(PLAN.) (IN. P. DUPLA ALTO PARAÍSO)</t>
  </si>
  <si>
    <t>485|0040E</t>
  </si>
  <si>
    <t>485E</t>
  </si>
  <si>
    <t>485E0040</t>
  </si>
  <si>
    <t>485E0040EPR</t>
  </si>
  <si>
    <t>485|0040D</t>
  </si>
  <si>
    <t>485D</t>
  </si>
  <si>
    <t>485D0040</t>
  </si>
  <si>
    <t>485D0040EPR</t>
  </si>
  <si>
    <t>ENTR. PR-182 (C) (VILA CASA BRANCA)</t>
  </si>
  <si>
    <t>485|0030</t>
  </si>
  <si>
    <t>485S0030</t>
  </si>
  <si>
    <t>485S0030EPR</t>
  </si>
  <si>
    <t>ENTR. PR-182 (B) (PÉROLA)</t>
  </si>
  <si>
    <t>PÉROLA (A)</t>
  </si>
  <si>
    <t>485|0015</t>
  </si>
  <si>
    <t>485M</t>
  </si>
  <si>
    <t>485M0015</t>
  </si>
  <si>
    <t>485M0015MUN</t>
  </si>
  <si>
    <t>ENTR. PR-323 (CAFEZAL DO SUL)</t>
  </si>
  <si>
    <t>485|0010</t>
  </si>
  <si>
    <t>485S0010</t>
  </si>
  <si>
    <t>485S0010EPR</t>
  </si>
  <si>
    <t>ENTR. BR-163 (CAP. LEÔN. MARQUES)</t>
  </si>
  <si>
    <t>ENTR. PR-592 (P/ USINA SALTO CAXIAS)</t>
  </si>
  <si>
    <t>484|0060</t>
  </si>
  <si>
    <t>484S</t>
  </si>
  <si>
    <t>484</t>
  </si>
  <si>
    <t>484S0060</t>
  </si>
  <si>
    <t>484S0060EPR</t>
  </si>
  <si>
    <t>ENTR. PR-592 (P/ USINA S. CAXIAS)</t>
  </si>
  <si>
    <t>FINAL P. DUPLA (ALTO ALEGRE DO IGUAÇU)</t>
  </si>
  <si>
    <t>484|0055</t>
  </si>
  <si>
    <t>484S0055</t>
  </si>
  <si>
    <t>484S0055EPR</t>
  </si>
  <si>
    <t>IN. PISTA DUPLA (ALTO ALEGRE DO IGUAÇU)</t>
  </si>
  <si>
    <t>484|0053E</t>
  </si>
  <si>
    <t>484E</t>
  </si>
  <si>
    <t>484E0053</t>
  </si>
  <si>
    <t>484E0053EPR</t>
  </si>
  <si>
    <t>484|0053D</t>
  </si>
  <si>
    <t>484D</t>
  </si>
  <si>
    <t>484D0053</t>
  </si>
  <si>
    <t>484D0053EPR</t>
  </si>
  <si>
    <t>BOA VISTA DA APARECIDA (B)</t>
  </si>
  <si>
    <t>484|0050</t>
  </si>
  <si>
    <t>484S0050</t>
  </si>
  <si>
    <t>484S0050EPR</t>
  </si>
  <si>
    <t>ENTR. PREFEITURA MUNICIPAL DE BELA VISTA APARECIDA</t>
  </si>
  <si>
    <t>484|0048</t>
  </si>
  <si>
    <t>484M</t>
  </si>
  <si>
    <t>484M0048</t>
  </si>
  <si>
    <t>484M0048MUN</t>
  </si>
  <si>
    <t>ENTR. AV. TANCREDO DE ALMEIDA NEVES</t>
  </si>
  <si>
    <t>484|0046 B</t>
  </si>
  <si>
    <t>0044</t>
  </si>
  <si>
    <t>484M0044</t>
  </si>
  <si>
    <t>484M0044MUN (B)</t>
  </si>
  <si>
    <t>ENTR. RUA ABANA</t>
  </si>
  <si>
    <t>484|0044 A</t>
  </si>
  <si>
    <t>484M0044MUN (A)</t>
  </si>
  <si>
    <t>BOA VISTA DA APARECIDA (A)</t>
  </si>
  <si>
    <t>484|0042</t>
  </si>
  <si>
    <t>0042</t>
  </si>
  <si>
    <t>484M0042</t>
  </si>
  <si>
    <t>484M0042MUN</t>
  </si>
  <si>
    <t>ENTR. PR-180(A) (BOA V. APARECIDA)</t>
  </si>
  <si>
    <t>ENTR. PR-471 (TRÊS BARRAS DO PR.)</t>
  </si>
  <si>
    <t>484|0040</t>
  </si>
  <si>
    <t>484S0040</t>
  </si>
  <si>
    <t>484S0040EPR</t>
  </si>
  <si>
    <t>RIO GUARANI</t>
  </si>
  <si>
    <t>484|0030</t>
  </si>
  <si>
    <t>484S0030</t>
  </si>
  <si>
    <t>484S0030EPR</t>
  </si>
  <si>
    <t>ENTR. PR-473 (QUEDAS DO IGUAÇU)</t>
  </si>
  <si>
    <t>484|0010</t>
  </si>
  <si>
    <t>484S0010</t>
  </si>
  <si>
    <t>484S0010EPR</t>
  </si>
  <si>
    <t>ENTR. PR-323 (UMUARAMA)</t>
  </si>
  <si>
    <t>AC. II UMUARAMA</t>
  </si>
  <si>
    <t>482|0150</t>
  </si>
  <si>
    <t>482S</t>
  </si>
  <si>
    <t>0150</t>
  </si>
  <si>
    <t>482</t>
  </si>
  <si>
    <t>482S0150</t>
  </si>
  <si>
    <t>482S0150EPR</t>
  </si>
  <si>
    <t>ENTR. AC. II UMUARAMA</t>
  </si>
  <si>
    <t>ENTR. AC. I UMUARAMA</t>
  </si>
  <si>
    <t>482|0145</t>
  </si>
  <si>
    <t>0145</t>
  </si>
  <si>
    <t>482S0145</t>
  </si>
  <si>
    <t>482S0145EPR</t>
  </si>
  <si>
    <t>ENTR. PR-682 (UMUARAMA)</t>
  </si>
  <si>
    <t>482|0135</t>
  </si>
  <si>
    <t>0135</t>
  </si>
  <si>
    <t>482S0135</t>
  </si>
  <si>
    <t>482S0135EPR</t>
  </si>
  <si>
    <t>MARIA HELENA (B)</t>
  </si>
  <si>
    <t>482|0110</t>
  </si>
  <si>
    <t>482S0110</t>
  </si>
  <si>
    <t>482S0110EPR</t>
  </si>
  <si>
    <t>MARIA HELENA (A)</t>
  </si>
  <si>
    <t>482|0105</t>
  </si>
  <si>
    <t>482M</t>
  </si>
  <si>
    <t>482M0105</t>
  </si>
  <si>
    <t>482M0105MUN</t>
  </si>
  <si>
    <t>ENTR. PR-680 (P/ DOURADINA)</t>
  </si>
  <si>
    <t>482|0100</t>
  </si>
  <si>
    <t>482S0100</t>
  </si>
  <si>
    <t>482S0100EPR</t>
  </si>
  <si>
    <t>NOVA OLÍMPIA (B)</t>
  </si>
  <si>
    <t>482|0090</t>
  </si>
  <si>
    <t>482S0090</t>
  </si>
  <si>
    <t>482S0090EPR</t>
  </si>
  <si>
    <t>ENTR. PR-082 (NOVA OLÍMPIA)</t>
  </si>
  <si>
    <t>482|0085</t>
  </si>
  <si>
    <t>0085</t>
  </si>
  <si>
    <t>482M0085</t>
  </si>
  <si>
    <t>482M0085MUN</t>
  </si>
  <si>
    <t>ENTR. PR-082 (B) (P/ NOVA OLÍMPIA)</t>
  </si>
  <si>
    <t>482|0070</t>
  </si>
  <si>
    <t>482S0070</t>
  </si>
  <si>
    <t>482S0070EPR</t>
  </si>
  <si>
    <t>ENTR. PR-482/ PR-806</t>
  </si>
  <si>
    <t>482|0065</t>
  </si>
  <si>
    <t>482M0065</t>
  </si>
  <si>
    <t>482M0065MUN</t>
  </si>
  <si>
    <t>ENTR. PR-482/PR-805</t>
  </si>
  <si>
    <t>482|0060</t>
  </si>
  <si>
    <t>482M0060</t>
  </si>
  <si>
    <t>482M0060MUN</t>
  </si>
  <si>
    <t>482|0055</t>
  </si>
  <si>
    <t>482M0055</t>
  </si>
  <si>
    <t>482M0055MUN</t>
  </si>
  <si>
    <t>ENTR. PR-082 (A) (CIDADE GAÚCHA)</t>
  </si>
  <si>
    <t>482|0050</t>
  </si>
  <si>
    <t>482S0050</t>
  </si>
  <si>
    <t>482S0050EPR</t>
  </si>
  <si>
    <t>ENTR. BR-163 (STO. ANT. DO SUDOESTE)</t>
  </si>
  <si>
    <t>ENTR. ROD. MUNICIPAL P/ PINHAL DE SÃO BENTO</t>
  </si>
  <si>
    <t>481|0040</t>
  </si>
  <si>
    <t>481S</t>
  </si>
  <si>
    <t>481</t>
  </si>
  <si>
    <t>481S0040</t>
  </si>
  <si>
    <t>481S0040EPR</t>
  </si>
  <si>
    <t>481|0030</t>
  </si>
  <si>
    <t>481S0030</t>
  </si>
  <si>
    <t>481S0030EPR</t>
  </si>
  <si>
    <t>AMPÉRE (C)</t>
  </si>
  <si>
    <t>481|0028</t>
  </si>
  <si>
    <t>481M</t>
  </si>
  <si>
    <t>481M0028</t>
  </si>
  <si>
    <t>481M0028MUN</t>
  </si>
  <si>
    <t>AMPÉRE (A)</t>
  </si>
  <si>
    <t>481|0025</t>
  </si>
  <si>
    <t>481M0025</t>
  </si>
  <si>
    <t>481M0025MUN</t>
  </si>
  <si>
    <t>AC. AMPÉRE</t>
  </si>
  <si>
    <t>481|0020</t>
  </si>
  <si>
    <t>481S0020</t>
  </si>
  <si>
    <t>481S0020EPR</t>
  </si>
  <si>
    <t>481|0010</t>
  </si>
  <si>
    <t>481S0010</t>
  </si>
  <si>
    <t>481S0010EPR</t>
  </si>
  <si>
    <t>ENTR. PR-468 (MOREIRA SALES) (B)</t>
  </si>
  <si>
    <t>MOREIRA SALES (A)</t>
  </si>
  <si>
    <t>479|0035</t>
  </si>
  <si>
    <t>479M</t>
  </si>
  <si>
    <t>479</t>
  </si>
  <si>
    <t>479M0035</t>
  </si>
  <si>
    <t>479M0035MUN</t>
  </si>
  <si>
    <t>TUNEIRAS DO OESTE (B)</t>
  </si>
  <si>
    <t>479|0030</t>
  </si>
  <si>
    <t>479S</t>
  </si>
  <si>
    <t>479S0030</t>
  </si>
  <si>
    <t>479S0030EPR</t>
  </si>
  <si>
    <t>ENTR. PR-487</t>
  </si>
  <si>
    <t>479|0020</t>
  </si>
  <si>
    <t>479M0020</t>
  </si>
  <si>
    <t>479M0020MUN</t>
  </si>
  <si>
    <t>TUNEIRAS DO OESTE (A)</t>
  </si>
  <si>
    <t>479|0015</t>
  </si>
  <si>
    <t>479M0015</t>
  </si>
  <si>
    <t>479M0015MUN</t>
  </si>
  <si>
    <t>ENTR. PR-323 (TAPEJARA)</t>
  </si>
  <si>
    <t>479|0010</t>
  </si>
  <si>
    <t>479S0010</t>
  </si>
  <si>
    <t>479S0010EPR</t>
  </si>
  <si>
    <t>INDIANÓPOLIS (B)</t>
  </si>
  <si>
    <t>INDIANÓPOLIS (A)</t>
  </si>
  <si>
    <t>479|0006</t>
  </si>
  <si>
    <t>0006</t>
  </si>
  <si>
    <t>479M0006</t>
  </si>
  <si>
    <t>479M0006MUN</t>
  </si>
  <si>
    <t>SÃO MANOEL</t>
  </si>
  <si>
    <t>479|0005</t>
  </si>
  <si>
    <t>479S0005</t>
  </si>
  <si>
    <t>479S0005EPR</t>
  </si>
  <si>
    <t>LOANDA (B)</t>
  </si>
  <si>
    <t>ENTR. PR-182 (PLAN.) (B)</t>
  </si>
  <si>
    <t>478|0065</t>
  </si>
  <si>
    <t>478M</t>
  </si>
  <si>
    <t>478</t>
  </si>
  <si>
    <t>478M0065</t>
  </si>
  <si>
    <t>478M0065MUN</t>
  </si>
  <si>
    <t>ENTR. PR-218 (A) (LOANDA)</t>
  </si>
  <si>
    <t>SÃO PEDRO DO PARANÁ (B)</t>
  </si>
  <si>
    <t>478|0030</t>
  </si>
  <si>
    <t>478S</t>
  </si>
  <si>
    <t>478S0030</t>
  </si>
  <si>
    <t>478S0030EPR</t>
  </si>
  <si>
    <t>SÃO PEDRO DO PARANÁ (A)</t>
  </si>
  <si>
    <t>478|0025</t>
  </si>
  <si>
    <t>478M0025</t>
  </si>
  <si>
    <t>478M0025MUN</t>
  </si>
  <si>
    <t>ENTR. PR-576</t>
  </si>
  <si>
    <t>478|0020</t>
  </si>
  <si>
    <t>478S0020</t>
  </si>
  <si>
    <t>478S0020EPR</t>
  </si>
  <si>
    <t>478|0010</t>
  </si>
  <si>
    <t>478S0010</t>
  </si>
  <si>
    <t>478S0010EPR</t>
  </si>
  <si>
    <t>PORTO RICO (B)</t>
  </si>
  <si>
    <t>ENTR. PR-691 PORTO RICO (A)</t>
  </si>
  <si>
    <t>478|0005</t>
  </si>
  <si>
    <t>478M0005</t>
  </si>
  <si>
    <t>478M0005MUN</t>
  </si>
  <si>
    <t>ENTR. PR-482 (NOVA OLÍMPIA) (B)</t>
  </si>
  <si>
    <t>NOVA OLÍMPIA (A)</t>
  </si>
  <si>
    <t>477|0015</t>
  </si>
  <si>
    <t>477M</t>
  </si>
  <si>
    <t>477</t>
  </si>
  <si>
    <t>477M0015</t>
  </si>
  <si>
    <t>477M0015MUN</t>
  </si>
  <si>
    <t>ENTR. PR-323 (CRUZ. DO OESTE)</t>
  </si>
  <si>
    <t>477|0010</t>
  </si>
  <si>
    <t>477S</t>
  </si>
  <si>
    <t>477S0010</t>
  </si>
  <si>
    <t>477S0010EPR</t>
  </si>
  <si>
    <t>UNIÃO DA VITÓRIA (FINAL DA PONTE)</t>
  </si>
  <si>
    <t>ENTR PRC-476 (PONTE MANOEL RIBAS)</t>
  </si>
  <si>
    <t>476|0160</t>
  </si>
  <si>
    <t>476S</t>
  </si>
  <si>
    <t>476</t>
  </si>
  <si>
    <t>476S0160</t>
  </si>
  <si>
    <t>476S0160PRC</t>
  </si>
  <si>
    <t>ENTR. PR-835 (AC. PONTE DOMICIO SCARAMELLA)</t>
  </si>
  <si>
    <t>476|0157</t>
  </si>
  <si>
    <t>0157</t>
  </si>
  <si>
    <t>476S0157</t>
  </si>
  <si>
    <t>476S0157PRC</t>
  </si>
  <si>
    <t>ENTR. BR-153 (B)</t>
  </si>
  <si>
    <t>476|0153</t>
  </si>
  <si>
    <t>0153</t>
  </si>
  <si>
    <t>476S0153</t>
  </si>
  <si>
    <t>476S0153PRC</t>
  </si>
  <si>
    <t>CONTORNO NOROESTE  DE FCO.</t>
  </si>
  <si>
    <t>CONTORNO NOROESTE  DE FCO. BELTRÃO:  ENTR. PR-180 (B)</t>
  </si>
  <si>
    <t>475|0160</t>
  </si>
  <si>
    <t>475O</t>
  </si>
  <si>
    <t>475</t>
  </si>
  <si>
    <t>475O0160</t>
  </si>
  <si>
    <t>475O0160EPR</t>
  </si>
  <si>
    <t>ENTR. PR-180 (A) (FCO. BELTRÃO)</t>
  </si>
  <si>
    <t>FINAL PISTA DUPLA (N. CONCÓRDIA)</t>
  </si>
  <si>
    <t>475|0140</t>
  </si>
  <si>
    <t>475S</t>
  </si>
  <si>
    <t>0140</t>
  </si>
  <si>
    <t>475S0140</t>
  </si>
  <si>
    <t>475S0140EPR</t>
  </si>
  <si>
    <t>INÍCIO PISTA DUPLA (NOVA CONCÓRDIA)</t>
  </si>
  <si>
    <t>475|0130E</t>
  </si>
  <si>
    <t>475E</t>
  </si>
  <si>
    <t>0130</t>
  </si>
  <si>
    <t>475E0130</t>
  </si>
  <si>
    <t>475E0130EPR</t>
  </si>
  <si>
    <t>475|0130D</t>
  </si>
  <si>
    <t>475D</t>
  </si>
  <si>
    <t>475D0130</t>
  </si>
  <si>
    <t>475D0130EPR</t>
  </si>
  <si>
    <t>RIO DO RASO</t>
  </si>
  <si>
    <t>475|0120</t>
  </si>
  <si>
    <t>0120</t>
  </si>
  <si>
    <t>475S0120</t>
  </si>
  <si>
    <t>475S0120EPR</t>
  </si>
  <si>
    <t>475|0110</t>
  </si>
  <si>
    <t>475S0110</t>
  </si>
  <si>
    <t>475S0110EPR</t>
  </si>
  <si>
    <t>475|0097</t>
  </si>
  <si>
    <t>475M</t>
  </si>
  <si>
    <t>0097</t>
  </si>
  <si>
    <t>475M0097</t>
  </si>
  <si>
    <t>475M0097MUN</t>
  </si>
  <si>
    <t>PRESIDENTE KENNEDY</t>
  </si>
  <si>
    <t>475|0095</t>
  </si>
  <si>
    <t>475S0095</t>
  </si>
  <si>
    <t>475S0095EPR</t>
  </si>
  <si>
    <t>INÍCIO PAVIMENTO (HOTEL ÁGUAS DO VERÊ)</t>
  </si>
  <si>
    <t>475|0090</t>
  </si>
  <si>
    <t>475S0090</t>
  </si>
  <si>
    <t>475S0090EPR</t>
  </si>
  <si>
    <t>SÃO JORGE DO OESTE (B)</t>
  </si>
  <si>
    <t>475|0050</t>
  </si>
  <si>
    <t>475S0050</t>
  </si>
  <si>
    <t>475S0050EPR</t>
  </si>
  <si>
    <t>SÃO JORGE DO OESTE (A)</t>
  </si>
  <si>
    <t>475|0047</t>
  </si>
  <si>
    <t>475M0047</t>
  </si>
  <si>
    <t>475M0047MUN</t>
  </si>
  <si>
    <t>AC. DR. ANTONIO PARANHOS</t>
  </si>
  <si>
    <t>475|0045</t>
  </si>
  <si>
    <t>475S0045</t>
  </si>
  <si>
    <t>475S0045EPR</t>
  </si>
  <si>
    <t>USINA HIDR. SALTO OSÓRIO (B)</t>
  </si>
  <si>
    <t>475|0040</t>
  </si>
  <si>
    <t>475S0040</t>
  </si>
  <si>
    <t>475S0040EPR</t>
  </si>
  <si>
    <t>USINA HIDR. SALTO OSÓRIO (A)</t>
  </si>
  <si>
    <t>475|0030</t>
  </si>
  <si>
    <t>475S0030</t>
  </si>
  <si>
    <t>475S0030EPR</t>
  </si>
  <si>
    <t>ANAHY</t>
  </si>
  <si>
    <t>474|0020</t>
  </si>
  <si>
    <t>474S</t>
  </si>
  <si>
    <t>474</t>
  </si>
  <si>
    <t>474S0020</t>
  </si>
  <si>
    <t>474S0020EPR</t>
  </si>
  <si>
    <t>IGUATU</t>
  </si>
  <si>
    <t>ENTR. PR-573 (BRAGANEY)</t>
  </si>
  <si>
    <t>474|0014</t>
  </si>
  <si>
    <t>0014</t>
  </si>
  <si>
    <t>474S0014</t>
  </si>
  <si>
    <t>474S0014EPR</t>
  </si>
  <si>
    <t>CAMPO BONITO</t>
  </si>
  <si>
    <t>474|0010</t>
  </si>
  <si>
    <t>474S0010</t>
  </si>
  <si>
    <t>474S0010EPR</t>
  </si>
  <si>
    <t>AC. DOIS VIZINHOS</t>
  </si>
  <si>
    <t>473|0085</t>
  </si>
  <si>
    <t>473S</t>
  </si>
  <si>
    <t>473</t>
  </si>
  <si>
    <t>473S0085</t>
  </si>
  <si>
    <t>473S0085EPR</t>
  </si>
  <si>
    <t>CRUZEIRO DO IGUAÇU</t>
  </si>
  <si>
    <t>473|0083</t>
  </si>
  <si>
    <t>0083</t>
  </si>
  <si>
    <t>473S0083</t>
  </si>
  <si>
    <t>473S0083EPR</t>
  </si>
  <si>
    <t>ENTR. PR-879 (CRUZEIRO DO IGUAÇU)</t>
  </si>
  <si>
    <t>473|0080</t>
  </si>
  <si>
    <t>473S0080</t>
  </si>
  <si>
    <t>473S0080EPR</t>
  </si>
  <si>
    <t>FOZ DO CHOPIM</t>
  </si>
  <si>
    <t>473|0075</t>
  </si>
  <si>
    <t>473S0075</t>
  </si>
  <si>
    <t>473S0075EPR</t>
  </si>
  <si>
    <t>RIO IGUAÇU (BALSA) (B)</t>
  </si>
  <si>
    <t>473|0070</t>
  </si>
  <si>
    <t>473S0070</t>
  </si>
  <si>
    <t>473S0070EPR</t>
  </si>
  <si>
    <t>RIO IGUAÇU (BALSA) (A)</t>
  </si>
  <si>
    <t>ENTR. PR-475</t>
  </si>
  <si>
    <t>473|0050</t>
  </si>
  <si>
    <t>473S0050</t>
  </si>
  <si>
    <t>473S0050EPR</t>
  </si>
  <si>
    <t>ENTR. PR-484 (QUEDAS DO IGUAÇU)</t>
  </si>
  <si>
    <t>473|0030</t>
  </si>
  <si>
    <t>473S0030</t>
  </si>
  <si>
    <t>473S0030EPR</t>
  </si>
  <si>
    <t>AC. ESPIGÃO ALTO DO IGUAÇU</t>
  </si>
  <si>
    <t>473|0020</t>
  </si>
  <si>
    <t>473S0020</t>
  </si>
  <si>
    <t>473S0020EPR</t>
  </si>
  <si>
    <t>473|0010</t>
  </si>
  <si>
    <t>473S0010</t>
  </si>
  <si>
    <t>473S0010EPR</t>
  </si>
  <si>
    <t>ENTR. BR-369 (JURANDA) (B)</t>
  </si>
  <si>
    <t>JURANDA (A)</t>
  </si>
  <si>
    <t>472|0020</t>
  </si>
  <si>
    <t>472M</t>
  </si>
  <si>
    <t>472</t>
  </si>
  <si>
    <t>472M0020</t>
  </si>
  <si>
    <t>472M0020MUN</t>
  </si>
  <si>
    <t>FINAL P. DUPLA PRIMAVERA</t>
  </si>
  <si>
    <t>472|0017</t>
  </si>
  <si>
    <t>472S</t>
  </si>
  <si>
    <t>472S0017</t>
  </si>
  <si>
    <t>472S0017EPR</t>
  </si>
  <si>
    <t>472|0015E</t>
  </si>
  <si>
    <t>472E</t>
  </si>
  <si>
    <t>472E0015</t>
  </si>
  <si>
    <t>472E0015EPR</t>
  </si>
  <si>
    <t>472|0015D</t>
  </si>
  <si>
    <t>472D</t>
  </si>
  <si>
    <t>472D0015</t>
  </si>
  <si>
    <t>472D0015EPR</t>
  </si>
  <si>
    <t>INÍCIO P. DUPLA PRIMAVERA</t>
  </si>
  <si>
    <t>AC. RANCHO ALEGRE DO OESTE</t>
  </si>
  <si>
    <t>472|0013</t>
  </si>
  <si>
    <t>472S0013</t>
  </si>
  <si>
    <t>472S0013EPR</t>
  </si>
  <si>
    <t>GOIOERÊ (B)</t>
  </si>
  <si>
    <t>472|0011</t>
  </si>
  <si>
    <t>472S0011</t>
  </si>
  <si>
    <t>472S0011EPR</t>
  </si>
  <si>
    <t>ENTR. PR-180 (GOIOERÊ) (A)</t>
  </si>
  <si>
    <t>472|0010</t>
  </si>
  <si>
    <t>472M0010</t>
  </si>
  <si>
    <t>472M0010MUN</t>
  </si>
  <si>
    <t>GOIOERÊ  (B)</t>
  </si>
  <si>
    <t>ENTR. BR-272 (GOIOERÊ)</t>
  </si>
  <si>
    <t>472|0009</t>
  </si>
  <si>
    <t>472M0009</t>
  </si>
  <si>
    <t>472M0009MUN</t>
  </si>
  <si>
    <t>ENTR. PR-180 (VISTA ALEGRE)</t>
  </si>
  <si>
    <t>ENÉAS MARQUES (B)</t>
  </si>
  <si>
    <t>471|0170</t>
  </si>
  <si>
    <t>471S</t>
  </si>
  <si>
    <t>471</t>
  </si>
  <si>
    <t>471S0170</t>
  </si>
  <si>
    <t>471S0170EPR</t>
  </si>
  <si>
    <t>ENÉAS MARQUES (RIO MATA FOME) (A)</t>
  </si>
  <si>
    <t>471|0160</t>
  </si>
  <si>
    <t>471M</t>
  </si>
  <si>
    <t>471M0160</t>
  </si>
  <si>
    <t>471M0160MUN</t>
  </si>
  <si>
    <t>NOVA ESPERANÇA DO SUDOESTE</t>
  </si>
  <si>
    <t>471|0150</t>
  </si>
  <si>
    <t>471S0150</t>
  </si>
  <si>
    <t>471S0150EPR</t>
  </si>
  <si>
    <t>471|0140</t>
  </si>
  <si>
    <t>471S0140</t>
  </si>
  <si>
    <t>471S0140EPR</t>
  </si>
  <si>
    <t>ENTR. PR-281 (PLAN.) (SALTO DO LONTRA)</t>
  </si>
  <si>
    <t>SALTO DO LONTRA (A)</t>
  </si>
  <si>
    <t>471|0133</t>
  </si>
  <si>
    <t>0133</t>
  </si>
  <si>
    <t>471M0133</t>
  </si>
  <si>
    <t>471M0133MUN</t>
  </si>
  <si>
    <t>471|0130</t>
  </si>
  <si>
    <t>471S0130</t>
  </si>
  <si>
    <t>471S0130EPR</t>
  </si>
  <si>
    <t>NOVA PRATA DO IGUAÇU (A)</t>
  </si>
  <si>
    <t>471|0125</t>
  </si>
  <si>
    <t>0125</t>
  </si>
  <si>
    <t>471M0125</t>
  </si>
  <si>
    <t>471M0125MUN</t>
  </si>
  <si>
    <t>FINAL PISTA DUPLA STO. IZIDORO</t>
  </si>
  <si>
    <t>IN. PISTA DUPLA STO. IZIDORO</t>
  </si>
  <si>
    <t>471|0114E</t>
  </si>
  <si>
    <t>471E</t>
  </si>
  <si>
    <t>0114</t>
  </si>
  <si>
    <t>471E0114</t>
  </si>
  <si>
    <t>471E0114EPR</t>
  </si>
  <si>
    <t>471|0114D</t>
  </si>
  <si>
    <t>471D</t>
  </si>
  <si>
    <t>471D0114</t>
  </si>
  <si>
    <t>471D0114EPR</t>
  </si>
  <si>
    <t>INÍCIO PISTA DUPLA STO. IZIDORO</t>
  </si>
  <si>
    <t>ENTR. ROD. MUNICIPAL P/ BARRA BONITA</t>
  </si>
  <si>
    <t>471|0113</t>
  </si>
  <si>
    <t>0113</t>
  </si>
  <si>
    <t>471S0113</t>
  </si>
  <si>
    <t>471S0113EPR</t>
  </si>
  <si>
    <t>TRÊS BARRAS DO PARANÁ (B)</t>
  </si>
  <si>
    <t>471|0112</t>
  </si>
  <si>
    <t>0112</t>
  </si>
  <si>
    <t>471S0112</t>
  </si>
  <si>
    <t>471S0112EPR</t>
  </si>
  <si>
    <t>ENTR. PR-484 (TRÊS BARRAS DO PARANÁ)</t>
  </si>
  <si>
    <t>471|0110</t>
  </si>
  <si>
    <t>471M0110</t>
  </si>
  <si>
    <t>471M0110MUN</t>
  </si>
  <si>
    <t>AC. PENITENCIÁRIA FEDERAL</t>
  </si>
  <si>
    <t>471|0095</t>
  </si>
  <si>
    <t>471S0095</t>
  </si>
  <si>
    <t>471S0095EPR</t>
  </si>
  <si>
    <t>CATANDUVAS</t>
  </si>
  <si>
    <t>471|0090</t>
  </si>
  <si>
    <t>471S0090</t>
  </si>
  <si>
    <t>471S0090EPR</t>
  </si>
  <si>
    <t>ENTR. BR-277 (B)</t>
  </si>
  <si>
    <t>471|0070</t>
  </si>
  <si>
    <t>471S0070</t>
  </si>
  <si>
    <t>471S0070EPR</t>
  </si>
  <si>
    <t>CAMPINA DA LAGOA (C)</t>
  </si>
  <si>
    <t>ENTR. MUNICIPAL (471)</t>
  </si>
  <si>
    <t>471|0025</t>
  </si>
  <si>
    <t>471M0025</t>
  </si>
  <si>
    <t>471M0025MUN</t>
  </si>
  <si>
    <t>ENTR. PR-553 (MAMBORÊ) (B)</t>
  </si>
  <si>
    <t>MAMBORÊ (A)</t>
  </si>
  <si>
    <t>471|0015</t>
  </si>
  <si>
    <t>471M0015</t>
  </si>
  <si>
    <t>471M0015MUN</t>
  </si>
  <si>
    <t>471|0010</t>
  </si>
  <si>
    <t>471S0010</t>
  </si>
  <si>
    <t>471S0010EPR</t>
  </si>
  <si>
    <t>ACESSO MARILUZ</t>
  </si>
  <si>
    <t>468|0130</t>
  </si>
  <si>
    <t>468S</t>
  </si>
  <si>
    <t>468</t>
  </si>
  <si>
    <t>468S0130</t>
  </si>
  <si>
    <t>468S0130EPR</t>
  </si>
  <si>
    <t>ENTR. PR-180 (B) (P/ MARILUZ)</t>
  </si>
  <si>
    <t>468|0110</t>
  </si>
  <si>
    <t>468S0110</t>
  </si>
  <si>
    <t>468S0110EPR</t>
  </si>
  <si>
    <t>ENTR. PR-180 (A)</t>
  </si>
  <si>
    <t>MOREIRA SALES (B)</t>
  </si>
  <si>
    <t>468|0090</t>
  </si>
  <si>
    <t>468S0090</t>
  </si>
  <si>
    <t>468S0090EPR</t>
  </si>
  <si>
    <t>MOREIRA SALES (C)</t>
  </si>
  <si>
    <t>468|0085</t>
  </si>
  <si>
    <t>468M</t>
  </si>
  <si>
    <t>468M0085</t>
  </si>
  <si>
    <t>468M0085MUN</t>
  </si>
  <si>
    <t>AC. PARANÁ DO OESTE</t>
  </si>
  <si>
    <t>468|0080</t>
  </si>
  <si>
    <t>468S0080</t>
  </si>
  <si>
    <t>468S0080EPR</t>
  </si>
  <si>
    <t>ENTR. BR-272 (B)</t>
  </si>
  <si>
    <t>468|0070</t>
  </si>
  <si>
    <t>468S0070</t>
  </si>
  <si>
    <t>468S0070EPR</t>
  </si>
  <si>
    <t>ENTR. BR-272 (A) (JANIÓPOLIS)</t>
  </si>
  <si>
    <t>JANIÓPOLIS (B)</t>
  </si>
  <si>
    <t>468|0050</t>
  </si>
  <si>
    <t>468S0050</t>
  </si>
  <si>
    <t>468S0050EPR</t>
  </si>
  <si>
    <t>JANIÓPOLIS (A)</t>
  </si>
  <si>
    <t>468|0040</t>
  </si>
  <si>
    <t>468M0040</t>
  </si>
  <si>
    <t>468M0040MUN</t>
  </si>
  <si>
    <t>BOA ESPERANÇA (B)</t>
  </si>
  <si>
    <t>468|0030</t>
  </si>
  <si>
    <t>468S0030</t>
  </si>
  <si>
    <t>468S0030EPR</t>
  </si>
  <si>
    <t>BOA ESPERANÇA (A)</t>
  </si>
  <si>
    <t>468|0020</t>
  </si>
  <si>
    <t>468M0020</t>
  </si>
  <si>
    <t>468M0020MUN</t>
  </si>
  <si>
    <t>468|0010</t>
  </si>
  <si>
    <t>468S0010</t>
  </si>
  <si>
    <t>468S0010EPR</t>
  </si>
  <si>
    <t>&lt;&lt;&lt;&lt; exceção trecho de concessão incluso na área</t>
  </si>
  <si>
    <t>ENTR BR-277/369 (CASCAVEL - TREVO DAS CATARATAS) (PTO. 2028 ANTES DA INTERSEÇÃO)</t>
  </si>
  <si>
    <t>ENTR. PR-180 (PLAN.) / AC. CASCAVEL (AV. PIQUIRI)</t>
  </si>
  <si>
    <t>467|0240E</t>
  </si>
  <si>
    <t>467E</t>
  </si>
  <si>
    <t>467</t>
  </si>
  <si>
    <t>467E0240</t>
  </si>
  <si>
    <t>467E0240PRC</t>
  </si>
  <si>
    <t>467|0240D</t>
  </si>
  <si>
    <t>467D</t>
  </si>
  <si>
    <t>467D0240</t>
  </si>
  <si>
    <t>467D0240PRC</t>
  </si>
  <si>
    <t>ENTR PR-486 / BR-467 (CASCAVEL)</t>
  </si>
  <si>
    <t>467|0230E</t>
  </si>
  <si>
    <t>467E0230</t>
  </si>
  <si>
    <t>467E0230PRC</t>
  </si>
  <si>
    <t>467|0230D</t>
  </si>
  <si>
    <t>467D0230</t>
  </si>
  <si>
    <t>467D0230PRC</t>
  </si>
  <si>
    <t>ENTR. BR-163 (MAL. CÂNDIDO RONDON) (B)</t>
  </si>
  <si>
    <t>MAL. CÂNDIDO RONDON (A)</t>
  </si>
  <si>
    <t>467|0225</t>
  </si>
  <si>
    <t>467M</t>
  </si>
  <si>
    <t>0225</t>
  </si>
  <si>
    <t>467M0225</t>
  </si>
  <si>
    <t>467M0225MUN</t>
  </si>
  <si>
    <t>PR-970 MAL. CÂNDIDO RONDON</t>
  </si>
  <si>
    <t>467|0222</t>
  </si>
  <si>
    <t>467S</t>
  </si>
  <si>
    <t>0222</t>
  </si>
  <si>
    <t>467S0222</t>
  </si>
  <si>
    <t>467S0222PRC</t>
  </si>
  <si>
    <t>VILA CURVADO</t>
  </si>
  <si>
    <t>467|0220</t>
  </si>
  <si>
    <t>467S0220</t>
  </si>
  <si>
    <t>467S0220PRC</t>
  </si>
  <si>
    <t>ENTR. PR-495 (IGUIPORÃ)</t>
  </si>
  <si>
    <t>467|0210</t>
  </si>
  <si>
    <t>467S0210</t>
  </si>
  <si>
    <t>467S0210PRC</t>
  </si>
  <si>
    <t>FINAL P.U. IGUIPORÃ</t>
  </si>
  <si>
    <t>467|0208</t>
  </si>
  <si>
    <t>0208</t>
  </si>
  <si>
    <t>467S0208</t>
  </si>
  <si>
    <t>467S0208PRC</t>
  </si>
  <si>
    <t>INÍCIO P.U. IGUIPORÃ</t>
  </si>
  <si>
    <t>467|0206</t>
  </si>
  <si>
    <t>0206</t>
  </si>
  <si>
    <t>467S0206</t>
  </si>
  <si>
    <t>467S0206PRC</t>
  </si>
  <si>
    <t>INÍCIO P. U. IGUIPORÃ</t>
  </si>
  <si>
    <t>BOM JARDIM</t>
  </si>
  <si>
    <t>467|0203</t>
  </si>
  <si>
    <t>0203</t>
  </si>
  <si>
    <t>467S0203</t>
  </si>
  <si>
    <t>467S0203PRC</t>
  </si>
  <si>
    <t>PORTO MENDES</t>
  </si>
  <si>
    <t>467|0200</t>
  </si>
  <si>
    <t>467S0200</t>
  </si>
  <si>
    <t>467S0200PRC</t>
  </si>
  <si>
    <t>RIO IGUAÇU (PONTE M. RIBAS) (UNIÃO DA VITÓRIA)</t>
  </si>
  <si>
    <t>466|1700</t>
  </si>
  <si>
    <t>466S</t>
  </si>
  <si>
    <t>1700</t>
  </si>
  <si>
    <t>466</t>
  </si>
  <si>
    <t>466S1700</t>
  </si>
  <si>
    <t>466S1700PRC</t>
  </si>
  <si>
    <t>ENTR. BR-277 (A)  (GUARAPUAVA)</t>
  </si>
  <si>
    <t>INICIO PISTA DUPLA (GUARAPUAVA)</t>
  </si>
  <si>
    <t>466|1410E</t>
  </si>
  <si>
    <t>466E</t>
  </si>
  <si>
    <t>1410</t>
  </si>
  <si>
    <t>466E1410</t>
  </si>
  <si>
    <t>466E1410PRC</t>
  </si>
  <si>
    <t>466|1410D</t>
  </si>
  <si>
    <t>466D</t>
  </si>
  <si>
    <t>466D1410</t>
  </si>
  <si>
    <t>466D1410PRC</t>
  </si>
  <si>
    <t>ENTR. ROD. MUNIC. (PALMEIRINHA)</t>
  </si>
  <si>
    <t>466|1400</t>
  </si>
  <si>
    <t>1400</t>
  </si>
  <si>
    <t>466S1400</t>
  </si>
  <si>
    <t>466S1400PRC</t>
  </si>
  <si>
    <t>AC. II TURVO</t>
  </si>
  <si>
    <t>466|1300</t>
  </si>
  <si>
    <t>1300</t>
  </si>
  <si>
    <t>466S1300</t>
  </si>
  <si>
    <t>466S1300PRC</t>
  </si>
  <si>
    <t>AC. I TURVO</t>
  </si>
  <si>
    <t>466|1200</t>
  </si>
  <si>
    <t>1200</t>
  </si>
  <si>
    <t>466S1200</t>
  </si>
  <si>
    <t>466S1200PRC</t>
  </si>
  <si>
    <t>ENTR. PR-452(PLAN.) (PONTE RIO BONITO)</t>
  </si>
  <si>
    <t>466|1100</t>
  </si>
  <si>
    <t>1100</t>
  </si>
  <si>
    <t>466S1100</t>
  </si>
  <si>
    <t>466S1100PRC</t>
  </si>
  <si>
    <t>ENTR. PR-452(PLAN.)(PONTE RIO BONITO)</t>
  </si>
  <si>
    <t>ENTR. PR-820 (P/ B. VENT. DE S. ROQUE)</t>
  </si>
  <si>
    <t>466|1070</t>
  </si>
  <si>
    <t>1070</t>
  </si>
  <si>
    <t>466S1070</t>
  </si>
  <si>
    <t>466S1070PRC</t>
  </si>
  <si>
    <t>ENTR. PR-820 (P/ B. VENTURA DE S. ROQUE)</t>
  </si>
  <si>
    <t>ENTR. PR-456 (P/ STA. MARIA  OESTE)</t>
  </si>
  <si>
    <t>466|1050</t>
  </si>
  <si>
    <t>1050</t>
  </si>
  <si>
    <t>466S1050</t>
  </si>
  <si>
    <t>466S1050PRC</t>
  </si>
  <si>
    <t>ENTR. PR-456 (P/ STA. MARIA DO OESTE)</t>
  </si>
  <si>
    <t>AC. III PITANGA</t>
  </si>
  <si>
    <t>466|1040</t>
  </si>
  <si>
    <t>1040</t>
  </si>
  <si>
    <t>466S1040</t>
  </si>
  <si>
    <t>466S1040PRC</t>
  </si>
  <si>
    <t>AC. II PITANGA</t>
  </si>
  <si>
    <t>466|1020</t>
  </si>
  <si>
    <t>1020</t>
  </si>
  <si>
    <t>466S1020</t>
  </si>
  <si>
    <t>466S1020PRC</t>
  </si>
  <si>
    <t>ENTR. PR-239 (P/ MATO RICO)</t>
  </si>
  <si>
    <t>466|1015</t>
  </si>
  <si>
    <t>1015</t>
  </si>
  <si>
    <t>466S1015</t>
  </si>
  <si>
    <t>466S1015PRC</t>
  </si>
  <si>
    <t>ENTR. PR-460</t>
  </si>
  <si>
    <t>466|1010</t>
  </si>
  <si>
    <t>1010</t>
  </si>
  <si>
    <t>466S1010</t>
  </si>
  <si>
    <t>466S1010PRC</t>
  </si>
  <si>
    <t>AC. I PITANGA</t>
  </si>
  <si>
    <t>466|0950</t>
  </si>
  <si>
    <t>0950</t>
  </si>
  <si>
    <t>466S0950</t>
  </si>
  <si>
    <t>466S0950PRC</t>
  </si>
  <si>
    <t>AC. I  PITANGA</t>
  </si>
  <si>
    <t>ENTR. PRC-487 (MANOEL RIBAS)</t>
  </si>
  <si>
    <t>466|0900</t>
  </si>
  <si>
    <t>0900</t>
  </si>
  <si>
    <t>466S0900</t>
  </si>
  <si>
    <t>466S0900PRC</t>
  </si>
  <si>
    <t>ENTR. PRC-487 (MANOEL RIBAS )</t>
  </si>
  <si>
    <t>466|0860</t>
  </si>
  <si>
    <t>0860</t>
  </si>
  <si>
    <t>466S0860</t>
  </si>
  <si>
    <t>466S0860PRC</t>
  </si>
  <si>
    <t>AC. SUBESTAÇÃO DE IVAIPORÃ</t>
  </si>
  <si>
    <t>466|0840</t>
  </si>
  <si>
    <t>0840</t>
  </si>
  <si>
    <t>466S0840</t>
  </si>
  <si>
    <t>466S0840PRC</t>
  </si>
  <si>
    <t>ACESSO A FURNAS</t>
  </si>
  <si>
    <t>466|0800</t>
  </si>
  <si>
    <t>0800</t>
  </si>
  <si>
    <t>466S0800</t>
  </si>
  <si>
    <t>466S0800PRC</t>
  </si>
  <si>
    <t>ENTR. PR-848 (P/ ARIRANHA DO IVAÍ)</t>
  </si>
  <si>
    <t>466|0790</t>
  </si>
  <si>
    <t>0790</t>
  </si>
  <si>
    <t>466S0790</t>
  </si>
  <si>
    <t>466S0790PRC</t>
  </si>
  <si>
    <t>ENTR. PR-850 (P/ ARAPUÃ)</t>
  </si>
  <si>
    <t>466|0780</t>
  </si>
  <si>
    <t>0780</t>
  </si>
  <si>
    <t>466S0780</t>
  </si>
  <si>
    <t>466S0780PRC</t>
  </si>
  <si>
    <t>AC. PRINC. IVAIPORÃ</t>
  </si>
  <si>
    <t>466|0770</t>
  </si>
  <si>
    <t>0770</t>
  </si>
  <si>
    <t>466S0770</t>
  </si>
  <si>
    <t>466S0770PRC</t>
  </si>
  <si>
    <t>AC. SECUND. A IVAIPORÃ</t>
  </si>
  <si>
    <t>466|0750</t>
  </si>
  <si>
    <t>0750</t>
  </si>
  <si>
    <t>466S0750</t>
  </si>
  <si>
    <t>466S0750PRC</t>
  </si>
  <si>
    <t>AC. SECUND. JARDIM ALEGRE</t>
  </si>
  <si>
    <t>466|0720</t>
  </si>
  <si>
    <t>0720</t>
  </si>
  <si>
    <t>466S0720</t>
  </si>
  <si>
    <t>466S0720PRC</t>
  </si>
  <si>
    <t>ACESSO  JARDIM ALEGRE</t>
  </si>
  <si>
    <t>466|0700</t>
  </si>
  <si>
    <t>0700</t>
  </si>
  <si>
    <t>466S0700</t>
  </si>
  <si>
    <t>466S0700PRC</t>
  </si>
  <si>
    <t>ENTR. PR-082 (PLACA LUAR)</t>
  </si>
  <si>
    <t>466|0620</t>
  </si>
  <si>
    <t>0620</t>
  </si>
  <si>
    <t>466S0620</t>
  </si>
  <si>
    <t>466S0620PRC</t>
  </si>
  <si>
    <t>AC. LIDIANÓPOLIS</t>
  </si>
  <si>
    <t>466|0610</t>
  </si>
  <si>
    <t>0610</t>
  </si>
  <si>
    <t>466S0610</t>
  </si>
  <si>
    <t>466S0610PRC</t>
  </si>
  <si>
    <t>466|0605</t>
  </si>
  <si>
    <t>0605</t>
  </si>
  <si>
    <t>466S0605</t>
  </si>
  <si>
    <t>466S0605PRC</t>
  </si>
  <si>
    <t>ENTR. PRC-272 (PORTO UBÁ)</t>
  </si>
  <si>
    <t>466|0600</t>
  </si>
  <si>
    <t>0600</t>
  </si>
  <si>
    <t>466S0600</t>
  </si>
  <si>
    <t>466S0600PRC</t>
  </si>
  <si>
    <t>BORRAZÓPOLIS (B)</t>
  </si>
  <si>
    <t>ENTR. PR-170 (BORRAZÓPOLIS)</t>
  </si>
  <si>
    <t>466|0497</t>
  </si>
  <si>
    <t>466M</t>
  </si>
  <si>
    <t>0497</t>
  </si>
  <si>
    <t>466M0497</t>
  </si>
  <si>
    <t>466M0497MUN</t>
  </si>
  <si>
    <t>BORRAZÓPOLIS (A)</t>
  </si>
  <si>
    <t>466|0495</t>
  </si>
  <si>
    <t>0495</t>
  </si>
  <si>
    <t>466M0495</t>
  </si>
  <si>
    <t>466M0495MUN</t>
  </si>
  <si>
    <t>PONTE S/ RIO BOM</t>
  </si>
  <si>
    <t>466|0490</t>
  </si>
  <si>
    <t>0490</t>
  </si>
  <si>
    <t>466S0490</t>
  </si>
  <si>
    <t>466S0490PRC</t>
  </si>
  <si>
    <t>KALORÉ (B)</t>
  </si>
  <si>
    <t>466|0470</t>
  </si>
  <si>
    <t>0470</t>
  </si>
  <si>
    <t>466S0470</t>
  </si>
  <si>
    <t>466S0470PRC</t>
  </si>
  <si>
    <t>KALORÉ (A)</t>
  </si>
  <si>
    <t>466|0450</t>
  </si>
  <si>
    <t>0450</t>
  </si>
  <si>
    <t>466M0450</t>
  </si>
  <si>
    <t>466M0450MUN</t>
  </si>
  <si>
    <t>AC. MARUMBI</t>
  </si>
  <si>
    <t>466|0400</t>
  </si>
  <si>
    <t>0400</t>
  </si>
  <si>
    <t>466S0400</t>
  </si>
  <si>
    <t>466S0400PRC</t>
  </si>
  <si>
    <t>ENTR. BR-369  (SÃO JOSÉ)</t>
  </si>
  <si>
    <t>466|0350</t>
  </si>
  <si>
    <t>0350</t>
  </si>
  <si>
    <t>466S0350</t>
  </si>
  <si>
    <t>466S0350PRC</t>
  </si>
  <si>
    <t>ENTR. PR-567 (ARARUNA) (B)</t>
  </si>
  <si>
    <t>ARARUNA (A)</t>
  </si>
  <si>
    <t>465|0040</t>
  </si>
  <si>
    <t>465M</t>
  </si>
  <si>
    <t>465</t>
  </si>
  <si>
    <t>465M0040</t>
  </si>
  <si>
    <t>465M0040MUN</t>
  </si>
  <si>
    <t>PEABIRÚ (B)</t>
  </si>
  <si>
    <t>465|0030</t>
  </si>
  <si>
    <t>465S</t>
  </si>
  <si>
    <t>465S0030</t>
  </si>
  <si>
    <t>465S0030EPR</t>
  </si>
  <si>
    <t>PEABIRÚ (A)</t>
  </si>
  <si>
    <t>465|0020</t>
  </si>
  <si>
    <t>465M0020</t>
  </si>
  <si>
    <t>465M0020MUN</t>
  </si>
  <si>
    <t>ENTR. PR-317 BR-158 (PEABIRÚ)</t>
  </si>
  <si>
    <t>465|0010</t>
  </si>
  <si>
    <t>465S0010</t>
  </si>
  <si>
    <t>465S0010EPR</t>
  </si>
  <si>
    <t>PARANAPOEMA (B)</t>
  </si>
  <si>
    <t>464|0070</t>
  </si>
  <si>
    <t>464S</t>
  </si>
  <si>
    <t>464</t>
  </si>
  <si>
    <t>464S0070</t>
  </si>
  <si>
    <t>464S0070EPR</t>
  </si>
  <si>
    <t>PARANAPOEMA (A)</t>
  </si>
  <si>
    <t>464|0065</t>
  </si>
  <si>
    <t>464M</t>
  </si>
  <si>
    <t>464M0065</t>
  </si>
  <si>
    <t>464M0065MUN</t>
  </si>
  <si>
    <t>TREVO PRÓX. A FLORÓPOLIS</t>
  </si>
  <si>
    <t>464|0053</t>
  </si>
  <si>
    <t>464S0053</t>
  </si>
  <si>
    <t>464S0053EPR</t>
  </si>
  <si>
    <t>INAJÁ (B)</t>
  </si>
  <si>
    <t>464|0051</t>
  </si>
  <si>
    <t>464S0051</t>
  </si>
  <si>
    <t>464S0051EPR</t>
  </si>
  <si>
    <t>INAJÁ (A)</t>
  </si>
  <si>
    <t>464|0035</t>
  </si>
  <si>
    <t>464M0035</t>
  </si>
  <si>
    <t>464M0035MUN</t>
  </si>
  <si>
    <t>ENTR. PR-494 (PARANAREAL</t>
  </si>
  <si>
    <t>464|0030</t>
  </si>
  <si>
    <t>464S0030</t>
  </si>
  <si>
    <t>464S0030EPR</t>
  </si>
  <si>
    <t>ENTR. PR-494 (PARANAREAL)</t>
  </si>
  <si>
    <t>PARANACITY (B)</t>
  </si>
  <si>
    <t>464|0010</t>
  </si>
  <si>
    <t>464S0010</t>
  </si>
  <si>
    <t>464S0010EPR</t>
  </si>
  <si>
    <t>464|0009</t>
  </si>
  <si>
    <t>464M0009</t>
  </si>
  <si>
    <t>464M0009MUN</t>
  </si>
  <si>
    <t>464|0008</t>
  </si>
  <si>
    <t>464M0008</t>
  </si>
  <si>
    <t>464M0008MUN</t>
  </si>
  <si>
    <t>CRUZEIRO DO SUL (B)</t>
  </si>
  <si>
    <t>464|0007</t>
  </si>
  <si>
    <t>464S0007</t>
  </si>
  <si>
    <t>464S0007EPR</t>
  </si>
  <si>
    <t>ENTR. PR-463 (CRUZEIRO DO SUL) (A)</t>
  </si>
  <si>
    <t>464|0005</t>
  </si>
  <si>
    <t>464M0005</t>
  </si>
  <si>
    <t>464M0005MUN</t>
  </si>
  <si>
    <t>ENTR. PR-317 (SANTO INÁCIO)</t>
  </si>
  <si>
    <t>ENTR. PR-542 (B) (COLORADO)</t>
  </si>
  <si>
    <t>463|0120</t>
  </si>
  <si>
    <t>463S</t>
  </si>
  <si>
    <t>463</t>
  </si>
  <si>
    <t>463S0120</t>
  </si>
  <si>
    <t>463S0120EPR</t>
  </si>
  <si>
    <t>ENTR. PR-542 (A) (ACESSO A COLORADO)</t>
  </si>
  <si>
    <t>463|0110</t>
  </si>
  <si>
    <t>463S0110</t>
  </si>
  <si>
    <t>463S0110EPR</t>
  </si>
  <si>
    <t>ENTR. PR-542 (AC. COLORADO)</t>
  </si>
  <si>
    <t>AC. SECUND. COLORADO</t>
  </si>
  <si>
    <t>463|0100</t>
  </si>
  <si>
    <t>463S0100</t>
  </si>
  <si>
    <t>463S0100EPR</t>
  </si>
  <si>
    <t>AC. USINA ALTO ALEGRE</t>
  </si>
  <si>
    <t>463|0095</t>
  </si>
  <si>
    <t>463S0095</t>
  </si>
  <si>
    <t>463S0095EPR</t>
  </si>
  <si>
    <t>ENTR. PR-461 (P/ LOBATO)</t>
  </si>
  <si>
    <t>463|0090</t>
  </si>
  <si>
    <t>463S0090</t>
  </si>
  <si>
    <t>463S0090EPR</t>
  </si>
  <si>
    <t>ENTR. PR-940 (ACESSO A PARANACITY)</t>
  </si>
  <si>
    <t>463|0070</t>
  </si>
  <si>
    <t>463S0070</t>
  </si>
  <si>
    <t>463S0070EPR</t>
  </si>
  <si>
    <t>ACESSO  CRUZEIRO DO SUL</t>
  </si>
  <si>
    <t>463|0050</t>
  </si>
  <si>
    <t>463S0050</t>
  </si>
  <si>
    <t>463S0050EPR</t>
  </si>
  <si>
    <t>ACESSO  UNIFLOR</t>
  </si>
  <si>
    <t>463|0033</t>
  </si>
  <si>
    <t>463S0033</t>
  </si>
  <si>
    <t>463S0033EPR</t>
  </si>
  <si>
    <t>ACESSO UNIFLOR</t>
  </si>
  <si>
    <t>AC. SECUND. UNIFLOR</t>
  </si>
  <si>
    <t>463|0020</t>
  </si>
  <si>
    <t>463S0020</t>
  </si>
  <si>
    <t>463S0020EPR</t>
  </si>
  <si>
    <t>ENTR. PR-935 (AC. NOVA ESPERANÇA)</t>
  </si>
  <si>
    <t>463|0013</t>
  </si>
  <si>
    <t>463S0013</t>
  </si>
  <si>
    <t>463S0013EPR</t>
  </si>
  <si>
    <t>AC. SECUND. NOVA ESPERANÇA</t>
  </si>
  <si>
    <t>463|0012</t>
  </si>
  <si>
    <t>463S0012</t>
  </si>
  <si>
    <t>463S0012EPR</t>
  </si>
  <si>
    <t>463|0011</t>
  </si>
  <si>
    <t>463S0011</t>
  </si>
  <si>
    <t>463S0011EPR</t>
  </si>
  <si>
    <t>ENTR. PR-239 (PLAN.) (RONCADOR) (B)</t>
  </si>
  <si>
    <t>RONCADOR (A)</t>
  </si>
  <si>
    <t>462|0055</t>
  </si>
  <si>
    <t>462M</t>
  </si>
  <si>
    <t>462</t>
  </si>
  <si>
    <t>462M0055</t>
  </si>
  <si>
    <t>462M0055MUN</t>
  </si>
  <si>
    <t>IRETAMA (B)</t>
  </si>
  <si>
    <t>462|0050</t>
  </si>
  <si>
    <t>462S</t>
  </si>
  <si>
    <t>462S0050</t>
  </si>
  <si>
    <t>462S0050EPR</t>
  </si>
  <si>
    <t>IRETAMA (A)</t>
  </si>
  <si>
    <t>462|0035</t>
  </si>
  <si>
    <t>462M0035</t>
  </si>
  <si>
    <t>462M0035MUN</t>
  </si>
  <si>
    <t>ENTR. BR-487 (B) (IRETAMA)</t>
  </si>
  <si>
    <t>462|0030</t>
  </si>
  <si>
    <t>462S0030</t>
  </si>
  <si>
    <t>462S0030EPR</t>
  </si>
  <si>
    <t>ENTR. BR-487(A)</t>
  </si>
  <si>
    <t>AC. II TERMAS JUREMA (PAV.)</t>
  </si>
  <si>
    <t>462|0019</t>
  </si>
  <si>
    <t>0019</t>
  </si>
  <si>
    <t>462S0019</t>
  </si>
  <si>
    <t>462S0019EPR</t>
  </si>
  <si>
    <t>RIO DO ÓLEO</t>
  </si>
  <si>
    <t>FINAL P. DUPLA (BARBOSA FERRAZ)</t>
  </si>
  <si>
    <t>462|0012</t>
  </si>
  <si>
    <t>462S0012</t>
  </si>
  <si>
    <t>462S0012EPR</t>
  </si>
  <si>
    <t>ENTR. PRC-369 (BARBOSA FERRAZ)</t>
  </si>
  <si>
    <t>462|0010E</t>
  </si>
  <si>
    <t>462E</t>
  </si>
  <si>
    <t>462E0010</t>
  </si>
  <si>
    <t>462E0010EPR</t>
  </si>
  <si>
    <t>462|0010D</t>
  </si>
  <si>
    <t>462D</t>
  </si>
  <si>
    <t>462D0010</t>
  </si>
  <si>
    <t>462D0010EPR</t>
  </si>
  <si>
    <t>ENTR. PR-463 (PARANACITY)</t>
  </si>
  <si>
    <t>LOBATO (B)</t>
  </si>
  <si>
    <t>461|0070</t>
  </si>
  <si>
    <t>461S</t>
  </si>
  <si>
    <t>461</t>
  </si>
  <si>
    <t>461S0070</t>
  </si>
  <si>
    <t>461S0070EPR</t>
  </si>
  <si>
    <t>ENTR. RUA CASTRO ALVES</t>
  </si>
  <si>
    <t>461|0055B</t>
  </si>
  <si>
    <t>461M</t>
  </si>
  <si>
    <t>461M0055</t>
  </si>
  <si>
    <t>461M0055MUN(B)</t>
  </si>
  <si>
    <t>ENTR. RUA OLIVIO SIVIEIRO</t>
  </si>
  <si>
    <t>461|0055A</t>
  </si>
  <si>
    <t>461M0055MUN(A)</t>
  </si>
  <si>
    <t>LOBATO (A)</t>
  </si>
  <si>
    <t>461|0052</t>
  </si>
  <si>
    <t>0052</t>
  </si>
  <si>
    <t>461M0052</t>
  </si>
  <si>
    <t>461M0052MUN</t>
  </si>
  <si>
    <t>ENTR. PR-458</t>
  </si>
  <si>
    <t>461|0050</t>
  </si>
  <si>
    <t>461S0050</t>
  </si>
  <si>
    <t>461S0050EPR</t>
  </si>
  <si>
    <t>ENTR. PR-458/461</t>
  </si>
  <si>
    <t>FLÓRIDA (A)</t>
  </si>
  <si>
    <t>461|0025</t>
  </si>
  <si>
    <t>461M0025</t>
  </si>
  <si>
    <t>461M0025MUN</t>
  </si>
  <si>
    <t>ÂNGULO (B)</t>
  </si>
  <si>
    <t>461|0021</t>
  </si>
  <si>
    <t>0021</t>
  </si>
  <si>
    <t>461S0021</t>
  </si>
  <si>
    <t>461S0021EPR</t>
  </si>
  <si>
    <t>ENTR. PR-218 (ÂNGULO) (A)</t>
  </si>
  <si>
    <t>461|0020B</t>
  </si>
  <si>
    <t>461M0020</t>
  </si>
  <si>
    <t>461M0020MUN (B)</t>
  </si>
  <si>
    <t>461|0020A</t>
  </si>
  <si>
    <t>461M0020MUN (A)</t>
  </si>
  <si>
    <t>ENTR. PRC-487 (BELA VISTA)</t>
  </si>
  <si>
    <t>ENTR. ROD. MUN. (P/ RONCADOR)</t>
  </si>
  <si>
    <t>460|0010</t>
  </si>
  <si>
    <t>460S</t>
  </si>
  <si>
    <t>460</t>
  </si>
  <si>
    <t>460S0010</t>
  </si>
  <si>
    <t>460S0010EPR</t>
  </si>
  <si>
    <t>ENTR. PRC-466 (PITANGA)</t>
  </si>
  <si>
    <t>460|0005</t>
  </si>
  <si>
    <t>460S0005</t>
  </si>
  <si>
    <t>460S0005EPR</t>
  </si>
  <si>
    <t>ENTR. PRC-280</t>
  </si>
  <si>
    <t>CLEVELÂNDIA</t>
  </si>
  <si>
    <t>459|0090</t>
  </si>
  <si>
    <t>459S</t>
  </si>
  <si>
    <t>459</t>
  </si>
  <si>
    <t>459S0090</t>
  </si>
  <si>
    <t>459S0090EPR</t>
  </si>
  <si>
    <t>INÍCIO DO PAVIMENTO (CLEVELÂNDIA)</t>
  </si>
  <si>
    <t>459|0085</t>
  </si>
  <si>
    <t>459S0085</t>
  </si>
  <si>
    <t>459S0085EPR</t>
  </si>
  <si>
    <t>ENTR. PR-449 (SÃO PEDRO)</t>
  </si>
  <si>
    <t>459|0050</t>
  </si>
  <si>
    <t>459S0050</t>
  </si>
  <si>
    <t>459S0050EPR</t>
  </si>
  <si>
    <t>MANGUEIRINHA (B)</t>
  </si>
  <si>
    <t>MANGUEIRINHA (A)</t>
  </si>
  <si>
    <t>459|0038</t>
  </si>
  <si>
    <t>459M</t>
  </si>
  <si>
    <t>0038</t>
  </si>
  <si>
    <t>459M0038</t>
  </si>
  <si>
    <t>459M0038MUN</t>
  </si>
  <si>
    <t>FINAL BARRAGEM SALTO SEGREDO (B)</t>
  </si>
  <si>
    <t>459|0036</t>
  </si>
  <si>
    <t>0036</t>
  </si>
  <si>
    <t>459S0036</t>
  </si>
  <si>
    <t>459S0036EPR</t>
  </si>
  <si>
    <t>INÍCIO BARRAGEM SALTO SEGREDO (A)</t>
  </si>
  <si>
    <t>ENTR. PR-662 (P/ FOZ DO JORDÃO)</t>
  </si>
  <si>
    <t>459|0032</t>
  </si>
  <si>
    <t>0032</t>
  </si>
  <si>
    <t>459S0032</t>
  </si>
  <si>
    <t>459S0032EPR</t>
  </si>
  <si>
    <t>ENTR. AC. À BARRAGEM DO RIO JORDÃO</t>
  </si>
  <si>
    <t>459|0030</t>
  </si>
  <si>
    <t>459S0030</t>
  </si>
  <si>
    <t>459S0030EPR</t>
  </si>
  <si>
    <t>ENTR. AC. AO MUSEU REGIONAL DO IGUAÇU</t>
  </si>
  <si>
    <t>459|0028</t>
  </si>
  <si>
    <t>459S0028</t>
  </si>
  <si>
    <t>459S0028EPR</t>
  </si>
  <si>
    <t>ENTR. AC. À VILA DE SALTO SEGREDO (COPEL)</t>
  </si>
  <si>
    <t>459|0026</t>
  </si>
  <si>
    <t>459S0026</t>
  </si>
  <si>
    <t>459S0026EPR</t>
  </si>
  <si>
    <t>RESERVA DO IGUAÇU (B)</t>
  </si>
  <si>
    <t>459|0024</t>
  </si>
  <si>
    <t>459S0024</t>
  </si>
  <si>
    <t>459S0024EPR</t>
  </si>
  <si>
    <t>RESERVA DO IGUAÇU (A)</t>
  </si>
  <si>
    <t>459|0022</t>
  </si>
  <si>
    <t>459M0022</t>
  </si>
  <si>
    <t>459M0022MUN</t>
  </si>
  <si>
    <t>DOIS PINHEIROS</t>
  </si>
  <si>
    <t>459|0020</t>
  </si>
  <si>
    <t>459S0020</t>
  </si>
  <si>
    <t>459S0020EPR</t>
  </si>
  <si>
    <t>FIM PERÍMETRO URBANO (PINHÃO)</t>
  </si>
  <si>
    <t>459|0010</t>
  </si>
  <si>
    <t>459S0010</t>
  </si>
  <si>
    <t>459S0010EPR</t>
  </si>
  <si>
    <t>459|0008</t>
  </si>
  <si>
    <t>459S0008</t>
  </si>
  <si>
    <t>459S0008EPR</t>
  </si>
  <si>
    <t>FINAL PISTA DUPLA (PINHÃO)</t>
  </si>
  <si>
    <t>459|0007E</t>
  </si>
  <si>
    <t>459E</t>
  </si>
  <si>
    <t>459E0007</t>
  </si>
  <si>
    <t>459E0007EPR</t>
  </si>
  <si>
    <t>459|0007D</t>
  </si>
  <si>
    <t>459D</t>
  </si>
  <si>
    <t>459D0007</t>
  </si>
  <si>
    <t>459D0007EPR</t>
  </si>
  <si>
    <t>INÍCIO PISTA DUPLA (PINHÃO)</t>
  </si>
  <si>
    <t>459|0005</t>
  </si>
  <si>
    <t>459S0005</t>
  </si>
  <si>
    <t>459S0005EPR</t>
  </si>
  <si>
    <t>ENTR. PR-218 (ATALAIA) (B)</t>
  </si>
  <si>
    <t>ATALAIA (A)</t>
  </si>
  <si>
    <t>458|0085</t>
  </si>
  <si>
    <t>458M</t>
  </si>
  <si>
    <t>458</t>
  </si>
  <si>
    <t>458M0085</t>
  </si>
  <si>
    <t>458M0085MUN</t>
  </si>
  <si>
    <t>FLÓRIDA (B)</t>
  </si>
  <si>
    <t>458|0080</t>
  </si>
  <si>
    <t>458S</t>
  </si>
  <si>
    <t>458S0080</t>
  </si>
  <si>
    <t>458S0080EPR</t>
  </si>
  <si>
    <t>458|0065</t>
  </si>
  <si>
    <t>458M0065</t>
  </si>
  <si>
    <t>458M0065MUN</t>
  </si>
  <si>
    <t>458|0060</t>
  </si>
  <si>
    <t>458S0060</t>
  </si>
  <si>
    <t>458S0060EPR</t>
  </si>
  <si>
    <t>ENTR. PR-317 (B) (P/ N. SRA. DAS GRAÇAS)</t>
  </si>
  <si>
    <t>458|0050</t>
  </si>
  <si>
    <t>458S0050</t>
  </si>
  <si>
    <t>458S0050EPR</t>
  </si>
  <si>
    <t>ENTR. PR-317 (A)</t>
  </si>
  <si>
    <t>SANTA FÉ (B)</t>
  </si>
  <si>
    <t>458|0040</t>
  </si>
  <si>
    <t>458S0040</t>
  </si>
  <si>
    <t>458S0040EPR</t>
  </si>
  <si>
    <t>SANTA FÉ (A)</t>
  </si>
  <si>
    <t>458|0025</t>
  </si>
  <si>
    <t>458M0025</t>
  </si>
  <si>
    <t>458M0025MUN</t>
  </si>
  <si>
    <t>GUARACI (B)</t>
  </si>
  <si>
    <t>458|0020</t>
  </si>
  <si>
    <t>458S0020</t>
  </si>
  <si>
    <t>458S0020EPR</t>
  </si>
  <si>
    <t>ENTR. PR-340 (GUARACI) (A)</t>
  </si>
  <si>
    <t>458|0015</t>
  </si>
  <si>
    <t>458M0015</t>
  </si>
  <si>
    <t>458M0015MUN</t>
  </si>
  <si>
    <t>ENTR. PR-082 (P/ FÊNIX)</t>
  </si>
  <si>
    <t>457|0090</t>
  </si>
  <si>
    <t>457S</t>
  </si>
  <si>
    <t>457</t>
  </si>
  <si>
    <t>457S0090</t>
  </si>
  <si>
    <t>457S0090EPR</t>
  </si>
  <si>
    <t>FINAL P. DUPLA (S. PEDRO DO IVAÍ)</t>
  </si>
  <si>
    <t>457|0080</t>
  </si>
  <si>
    <t>457S0080</t>
  </si>
  <si>
    <t>457S0080EPR</t>
  </si>
  <si>
    <t>457|0075E</t>
  </si>
  <si>
    <t>457E</t>
  </si>
  <si>
    <t>457E0075</t>
  </si>
  <si>
    <t>457E0075EPR</t>
  </si>
  <si>
    <t>457|0075D</t>
  </si>
  <si>
    <t>457D</t>
  </si>
  <si>
    <t>457D0075</t>
  </si>
  <si>
    <t>457D0075EPR</t>
  </si>
  <si>
    <t>INÍCIO PISTA DUPLA (S. PEDRO DO IVAÍ)</t>
  </si>
  <si>
    <t>ENTR. PRC-369</t>
  </si>
  <si>
    <t>457|0070</t>
  </si>
  <si>
    <t>457S0070</t>
  </si>
  <si>
    <t>457S0070EPR</t>
  </si>
  <si>
    <t>ENTR. PRC-369 (S. PEDRO DO IVAÍ)</t>
  </si>
  <si>
    <t>AC. SÃO PEDRO DO IVAÍ</t>
  </si>
  <si>
    <t>457|0055</t>
  </si>
  <si>
    <t>457S0055</t>
  </si>
  <si>
    <t>457S0055EPR</t>
  </si>
  <si>
    <t>AC. MARISA</t>
  </si>
  <si>
    <t>457|0050</t>
  </si>
  <si>
    <t>457S0050</t>
  </si>
  <si>
    <t>457S0050EPR</t>
  </si>
  <si>
    <t>CASCALHO</t>
  </si>
  <si>
    <t>ENTR. PR-546 (ITAMBÉ)</t>
  </si>
  <si>
    <t>457|0030</t>
  </si>
  <si>
    <t>457S0030</t>
  </si>
  <si>
    <t>457S0030EPR</t>
  </si>
  <si>
    <t>ENTR. BR-158 (P/ MARQUINHO) / PR-364 (P/ LARANJAL)</t>
  </si>
  <si>
    <t>PALMITAL (B)</t>
  </si>
  <si>
    <t>456|0040</t>
  </si>
  <si>
    <t>456S</t>
  </si>
  <si>
    <t>456</t>
  </si>
  <si>
    <t>456S0040</t>
  </si>
  <si>
    <t>456S0040EPR</t>
  </si>
  <si>
    <t>PALMITAL (A)</t>
  </si>
  <si>
    <t>456|0037</t>
  </si>
  <si>
    <t>456M</t>
  </si>
  <si>
    <t>0037</t>
  </si>
  <si>
    <t>456M0037</t>
  </si>
  <si>
    <t>456M0037MUN</t>
  </si>
  <si>
    <t>AC. SANTA MARIA DO OESTE</t>
  </si>
  <si>
    <t>456|0030</t>
  </si>
  <si>
    <t>456S0030</t>
  </si>
  <si>
    <t>456S0030EPR</t>
  </si>
  <si>
    <t>456|0010</t>
  </si>
  <si>
    <t>456S0010</t>
  </si>
  <si>
    <t>456S0010EPR</t>
  </si>
  <si>
    <t>AQUIDABÃ</t>
  </si>
  <si>
    <t>AC. JAÇANÃ E REFINARIA</t>
  </si>
  <si>
    <t>455|0027</t>
  </si>
  <si>
    <t>455S</t>
  </si>
  <si>
    <t>0027</t>
  </si>
  <si>
    <t>455</t>
  </si>
  <si>
    <t>455S0027</t>
  </si>
  <si>
    <t>455S0027EPR</t>
  </si>
  <si>
    <t>ENTR. PR-897 (CONTORNO MARIALVA)</t>
  </si>
  <si>
    <t>455|0025</t>
  </si>
  <si>
    <t>455S0025</t>
  </si>
  <si>
    <t>455S0025EPR</t>
  </si>
  <si>
    <t>MARIALVA</t>
  </si>
  <si>
    <t>455|0020</t>
  </si>
  <si>
    <t>455S0020</t>
  </si>
  <si>
    <t>455S0020EPR</t>
  </si>
  <si>
    <t>ENTR. PR-317 (MARINGÁ)</t>
  </si>
  <si>
    <t>INICIO PAV. (BIOTEC / UNICESUMAR)</t>
  </si>
  <si>
    <t>454S0060EPR</t>
  </si>
  <si>
    <t>TUPINAMBÁ (A)</t>
  </si>
  <si>
    <t>ENTR. PR-218 (B) (GRANADA)</t>
  </si>
  <si>
    <t>454|0040</t>
  </si>
  <si>
    <t>454S</t>
  </si>
  <si>
    <t>454</t>
  </si>
  <si>
    <t>454S0040</t>
  </si>
  <si>
    <t>454S0040EPR</t>
  </si>
  <si>
    <t>ENTR. PR-218(A) (ASTORGA)</t>
  </si>
  <si>
    <t>ENTR. ROD. MUN. P/ STA. ZÉLIA</t>
  </si>
  <si>
    <t>454|0017</t>
  </si>
  <si>
    <t>454S0017</t>
  </si>
  <si>
    <t>454S0017EPR</t>
  </si>
  <si>
    <t>ACESSO V ASTORGA</t>
  </si>
  <si>
    <t>454|0014</t>
  </si>
  <si>
    <t>454S0014</t>
  </si>
  <si>
    <t>454S0014EPR</t>
  </si>
  <si>
    <t>ENTR. PR-937 (CONT. DE JAGUAPITÃ)</t>
  </si>
  <si>
    <t>454|0012</t>
  </si>
  <si>
    <t>454S0012</t>
  </si>
  <si>
    <t>454S0012EPR</t>
  </si>
  <si>
    <t>JAGUAPITÃ</t>
  </si>
  <si>
    <t>454|0010</t>
  </si>
  <si>
    <t>454S0010</t>
  </si>
  <si>
    <t>454S0010EPR</t>
  </si>
  <si>
    <t>ENTR. PRC-272 (SÃO DOMINGOS)</t>
  </si>
  <si>
    <t>453|0070</t>
  </si>
  <si>
    <t>453S</t>
  </si>
  <si>
    <t>453</t>
  </si>
  <si>
    <t>453S0070</t>
  </si>
  <si>
    <t>453S0070EPR</t>
  </si>
  <si>
    <t>ENTR. PR-082 (GRANDES RIOS)</t>
  </si>
  <si>
    <t>451|0010</t>
  </si>
  <si>
    <t>451S</t>
  </si>
  <si>
    <t>451</t>
  </si>
  <si>
    <t>451S0010</t>
  </si>
  <si>
    <t>451S0010EPR</t>
  </si>
  <si>
    <t>ENTR. PR-340 (CENTENÁRIO DO SUL) (B)</t>
  </si>
  <si>
    <t>ENTR. PR-534 (CENT. DO SUL)</t>
  </si>
  <si>
    <t>450|0035</t>
  </si>
  <si>
    <t>450M</t>
  </si>
  <si>
    <t>450</t>
  </si>
  <si>
    <t>450M0035</t>
  </si>
  <si>
    <t>450M0035MUN</t>
  </si>
  <si>
    <t>450|0030</t>
  </si>
  <si>
    <t>450M0030</t>
  </si>
  <si>
    <t>450M0030MUN</t>
  </si>
  <si>
    <t>AC. USINA</t>
  </si>
  <si>
    <t>450|0020</t>
  </si>
  <si>
    <t>450S</t>
  </si>
  <si>
    <t>450S0020</t>
  </si>
  <si>
    <t>450S0020EPR</t>
  </si>
  <si>
    <t>ENTR. PR-170 (PORECATU)</t>
  </si>
  <si>
    <t>450|0010</t>
  </si>
  <si>
    <t>450S0010</t>
  </si>
  <si>
    <t>450S0010EPR</t>
  </si>
  <si>
    <t>ENTR. PR-459 (NÃO PAV.)</t>
  </si>
  <si>
    <t>ENTR. ROD. MUNIC. (P/ CEL. D. SOARES)</t>
  </si>
  <si>
    <t>449|0040</t>
  </si>
  <si>
    <t>449S</t>
  </si>
  <si>
    <t>449</t>
  </si>
  <si>
    <t>449S0040</t>
  </si>
  <si>
    <t>449S0040EPR</t>
  </si>
  <si>
    <t>ENTR. PR-912 (P/ CEL. DOM. SOARES)</t>
  </si>
  <si>
    <t>449|0035</t>
  </si>
  <si>
    <t>449S0035</t>
  </si>
  <si>
    <t>449S0035EPR</t>
  </si>
  <si>
    <t>ENTR. PRC-280 (PALMAS)</t>
  </si>
  <si>
    <t>449|0030</t>
  </si>
  <si>
    <t>449S0030</t>
  </si>
  <si>
    <t>449S0030EPR</t>
  </si>
  <si>
    <t>5</t>
  </si>
  <si>
    <t>CRUZ MACHADO</t>
  </si>
  <si>
    <t>ENTR. BR-153 (B) (UNIÃO DA VITÓRIA)</t>
  </si>
  <si>
    <t>447|0030</t>
  </si>
  <si>
    <t>447S</t>
  </si>
  <si>
    <t>447</t>
  </si>
  <si>
    <t>447S0030</t>
  </si>
  <si>
    <t>447S0030EPR</t>
  </si>
  <si>
    <t>ENTR. PR-170 (BITURUNA)</t>
  </si>
  <si>
    <t>SANTO ANTÔNIO DO IRATIM</t>
  </si>
  <si>
    <t>446|0070</t>
  </si>
  <si>
    <t>446S</t>
  </si>
  <si>
    <t>446</t>
  </si>
  <si>
    <t>446S0070</t>
  </si>
  <si>
    <t>446S0070EPR</t>
  </si>
  <si>
    <t>PORTO VITÓRIA (B)</t>
  </si>
  <si>
    <t>PORTO VITÓRIA (A)</t>
  </si>
  <si>
    <t>446|0035</t>
  </si>
  <si>
    <t>446M</t>
  </si>
  <si>
    <t>446M0035</t>
  </si>
  <si>
    <t>446M0035MUN</t>
  </si>
  <si>
    <t>446|0030</t>
  </si>
  <si>
    <t>446S0030</t>
  </si>
  <si>
    <t>446S0030EPR</t>
  </si>
  <si>
    <t>ENTR. PR-437 (PRIMEIRO DE MAIO)</t>
  </si>
  <si>
    <t>FINAL P. DUPLA VILA GANDHI</t>
  </si>
  <si>
    <t>445|0120</t>
  </si>
  <si>
    <t>445S</t>
  </si>
  <si>
    <t>445</t>
  </si>
  <si>
    <t>445S0120</t>
  </si>
  <si>
    <t>445S0120EPR</t>
  </si>
  <si>
    <t>445|0115E</t>
  </si>
  <si>
    <t>445E</t>
  </si>
  <si>
    <t>0115</t>
  </si>
  <si>
    <t>445E0115</t>
  </si>
  <si>
    <t>445E0115EPR</t>
  </si>
  <si>
    <t>445|0115D</t>
  </si>
  <si>
    <t>445D</t>
  </si>
  <si>
    <t>445D0115</t>
  </si>
  <si>
    <t>445D0115EPR</t>
  </si>
  <si>
    <t>INÍCIO P. DUPLA VILA GANDHI</t>
  </si>
  <si>
    <t>BELA VISTA DO PARAÍSO (B)</t>
  </si>
  <si>
    <t>445|0110</t>
  </si>
  <si>
    <t>445S0110</t>
  </si>
  <si>
    <t>445S0110EPR</t>
  </si>
  <si>
    <t>ENTR. PR-090 (PLAN.) (B. VISTA DO PARAÍSO)</t>
  </si>
  <si>
    <t>445|0095</t>
  </si>
  <si>
    <t>445M</t>
  </si>
  <si>
    <t>445M0095</t>
  </si>
  <si>
    <t>445M0095MUN</t>
  </si>
  <si>
    <t>ENTR. PR-090 (BELA VISTA DO PARAÍSO) (A)</t>
  </si>
  <si>
    <t>ENTR. PR-323/545 (WARTA)</t>
  </si>
  <si>
    <t>445|0090</t>
  </si>
  <si>
    <t>445S0090</t>
  </si>
  <si>
    <t>445S0090EPR</t>
  </si>
  <si>
    <t>ENTR. PR-160 (P/ SERTANEJA)</t>
  </si>
  <si>
    <t>RANCHO ALEGRE (B)</t>
  </si>
  <si>
    <t>443|0050</t>
  </si>
  <si>
    <t>443S</t>
  </si>
  <si>
    <t>443</t>
  </si>
  <si>
    <t>443S0050</t>
  </si>
  <si>
    <t>443S0050EPR</t>
  </si>
  <si>
    <t>RANCHO ALEGRE (A)</t>
  </si>
  <si>
    <t>443|0040</t>
  </si>
  <si>
    <t>443M</t>
  </si>
  <si>
    <t>443M0040</t>
  </si>
  <si>
    <t>443M0040MUN</t>
  </si>
  <si>
    <t>ENTR. PR-442 (TAQUARI)</t>
  </si>
  <si>
    <t>443|0030</t>
  </si>
  <si>
    <t>443S0030</t>
  </si>
  <si>
    <t>443S0030EPR</t>
  </si>
  <si>
    <t>ENTR. PR-443 (TAQUARI)</t>
  </si>
  <si>
    <t>URAÍ (B)</t>
  </si>
  <si>
    <t>442|0070</t>
  </si>
  <si>
    <t>442S</t>
  </si>
  <si>
    <t>442</t>
  </si>
  <si>
    <t>442S0070</t>
  </si>
  <si>
    <t>442S0070EPR</t>
  </si>
  <si>
    <t>URAÍ (A)</t>
  </si>
  <si>
    <t>442|0055</t>
  </si>
  <si>
    <t>442M</t>
  </si>
  <si>
    <t>442M0055</t>
  </si>
  <si>
    <t>442M0055MUN</t>
  </si>
  <si>
    <t>ENTR. BR-369 (B) (P/ URAÍ)</t>
  </si>
  <si>
    <t>442|0050</t>
  </si>
  <si>
    <t>442S0050</t>
  </si>
  <si>
    <t>442S0050EPR</t>
  </si>
  <si>
    <t>ASSAÍ (B)</t>
  </si>
  <si>
    <t>ENTR. PR-090 (ASSAÍ) (A)</t>
  </si>
  <si>
    <t>442|0005</t>
  </si>
  <si>
    <t>442M0005</t>
  </si>
  <si>
    <t>442M0005MUN</t>
  </si>
  <si>
    <t>ENTR. PR-239 (FINAL ÁREA URB. DE RESERVA)</t>
  </si>
  <si>
    <t>INÍCIO ÁREA URBANA DE RESERVA</t>
  </si>
  <si>
    <t>441|0020</t>
  </si>
  <si>
    <t>441S</t>
  </si>
  <si>
    <t>441</t>
  </si>
  <si>
    <t>441S0020</t>
  </si>
  <si>
    <t>441S0020EPR</t>
  </si>
  <si>
    <t>441|0010</t>
  </si>
  <si>
    <t>441S0010</t>
  </si>
  <si>
    <t>441S0010EPR</t>
  </si>
  <si>
    <t>PLATINA</t>
  </si>
  <si>
    <t>ENTR. BR-153 (B) (S.ANT. DA PLATINA)</t>
  </si>
  <si>
    <t>439|0090</t>
  </si>
  <si>
    <t>439S</t>
  </si>
  <si>
    <t>439</t>
  </si>
  <si>
    <t>439S0090</t>
  </si>
  <si>
    <t>439S0090EPR</t>
  </si>
  <si>
    <t>ENTR. BR-153 (A)</t>
  </si>
  <si>
    <t>AC. STO. ANTONIO DA PLATINA</t>
  </si>
  <si>
    <t>439|0060</t>
  </si>
  <si>
    <t>439S0060</t>
  </si>
  <si>
    <t>439S0060EPR</t>
  </si>
  <si>
    <t>439|0050</t>
  </si>
  <si>
    <t>439S0050</t>
  </si>
  <si>
    <t>439S0050EPR</t>
  </si>
  <si>
    <t>ENTR. PR-151 (PONTA GROSSA)</t>
  </si>
  <si>
    <t>GUARAGI</t>
  </si>
  <si>
    <t>438|0050</t>
  </si>
  <si>
    <t>438S</t>
  </si>
  <si>
    <t>438</t>
  </si>
  <si>
    <t>438S0050</t>
  </si>
  <si>
    <t>438S0050EPR</t>
  </si>
  <si>
    <t>TEIXEIRA SOARES (B)</t>
  </si>
  <si>
    <t>438|0030</t>
  </si>
  <si>
    <t>438S0030</t>
  </si>
  <si>
    <t>438S0030EPR</t>
  </si>
  <si>
    <t>TEIXEIRA SOARES (A)</t>
  </si>
  <si>
    <t>438|0025</t>
  </si>
  <si>
    <t>438M</t>
  </si>
  <si>
    <t>438M0025</t>
  </si>
  <si>
    <t>438M0025MUN</t>
  </si>
  <si>
    <t>ACESSO FERNANDES PINHEIRO</t>
  </si>
  <si>
    <t>438|0020</t>
  </si>
  <si>
    <t>438S0020</t>
  </si>
  <si>
    <t>438S0020EPR</t>
  </si>
  <si>
    <t>ENTR. BR-277 (IRATI)</t>
  </si>
  <si>
    <t>438|0010</t>
  </si>
  <si>
    <t>438S0010</t>
  </si>
  <si>
    <t>438S0010EPR</t>
  </si>
  <si>
    <t>ALVORADA DO SUL (B)</t>
  </si>
  <si>
    <t>ALVORADA DO SUL (A)</t>
  </si>
  <si>
    <t>437|0035</t>
  </si>
  <si>
    <t>437M</t>
  </si>
  <si>
    <t>437</t>
  </si>
  <si>
    <t>437M0035</t>
  </si>
  <si>
    <t>437M0035MUN</t>
  </si>
  <si>
    <t>ENTR. PR-445 (PRIMEIRO DE MAIO)</t>
  </si>
  <si>
    <t>437|0030</t>
  </si>
  <si>
    <t>437S</t>
  </si>
  <si>
    <t>437S0030</t>
  </si>
  <si>
    <t>437S0030EPR</t>
  </si>
  <si>
    <t>ENTR. PR-323 (SERTANÓPOLIS)</t>
  </si>
  <si>
    <t>437|0010</t>
  </si>
  <si>
    <t>437S0010</t>
  </si>
  <si>
    <t>437S0010EPR</t>
  </si>
  <si>
    <t>PORTO ALMEIDA (DIVISA PR/SP)</t>
  </si>
  <si>
    <t>ENTR. PR-517 (ITAMBARACÁ)</t>
  </si>
  <si>
    <t>436|0150</t>
  </si>
  <si>
    <t>436S</t>
  </si>
  <si>
    <t>436</t>
  </si>
  <si>
    <t>436S0150</t>
  </si>
  <si>
    <t>436S0150EPR</t>
  </si>
  <si>
    <t>ITAMBARACÁ</t>
  </si>
  <si>
    <t>436|0140</t>
  </si>
  <si>
    <t>436S0140</t>
  </si>
  <si>
    <t>436S0140EPR</t>
  </si>
  <si>
    <t>436|0130</t>
  </si>
  <si>
    <t>436S0130</t>
  </si>
  <si>
    <t>436S0130EPR</t>
  </si>
  <si>
    <t>ENTR. PR-369 (BANDEIRANTES)</t>
  </si>
  <si>
    <t>436|0127</t>
  </si>
  <si>
    <t>436M</t>
  </si>
  <si>
    <t>0127</t>
  </si>
  <si>
    <t>436M0127</t>
  </si>
  <si>
    <t>436M0127MUN</t>
  </si>
  <si>
    <t>BANDEIRANTES (A)</t>
  </si>
  <si>
    <t>436|0125</t>
  </si>
  <si>
    <t>436M0125</t>
  </si>
  <si>
    <t>436M0125MUN</t>
  </si>
  <si>
    <t>ENTR. PR-855 (CONT. DE BANDEIRANTES)</t>
  </si>
  <si>
    <t>436|0120</t>
  </si>
  <si>
    <t>436S0120</t>
  </si>
  <si>
    <t>436S0120EPR</t>
  </si>
  <si>
    <t>ENTR. PR-518</t>
  </si>
  <si>
    <t>436|0110</t>
  </si>
  <si>
    <t>436S0110</t>
  </si>
  <si>
    <t>436S0110EPR</t>
  </si>
  <si>
    <t>ABATIÁ (B)</t>
  </si>
  <si>
    <t>436|0090</t>
  </si>
  <si>
    <t>436S0090</t>
  </si>
  <si>
    <t>436S0090EPR</t>
  </si>
  <si>
    <t>ABATIÁ (A)</t>
  </si>
  <si>
    <t>436|0075</t>
  </si>
  <si>
    <t>436M0075</t>
  </si>
  <si>
    <t>436M0075MUN</t>
  </si>
  <si>
    <t>ENTR. PR-439</t>
  </si>
  <si>
    <t>436|0070</t>
  </si>
  <si>
    <t>436S0070</t>
  </si>
  <si>
    <t>436S0070EPR</t>
  </si>
  <si>
    <t>ACESSO RIBEIRÃO DO PINHAL</t>
  </si>
  <si>
    <t>436|0060</t>
  </si>
  <si>
    <t>436S0060</t>
  </si>
  <si>
    <t>436S0060EPR</t>
  </si>
  <si>
    <t>ENTR. PR-218 (B) (RIBEIRÃO DO PINHAL (B)</t>
  </si>
  <si>
    <t>436|0050</t>
  </si>
  <si>
    <t>436S0050</t>
  </si>
  <si>
    <t>436S0050EPR</t>
  </si>
  <si>
    <t>ENTR. PRC-272 (IBAITI)</t>
  </si>
  <si>
    <t>ENTR. PR-963 (P/  VILA GUAÍ)</t>
  </si>
  <si>
    <t>435|0020</t>
  </si>
  <si>
    <t>435S</t>
  </si>
  <si>
    <t>435</t>
  </si>
  <si>
    <t>435S0020</t>
  </si>
  <si>
    <t>435S0020EPR</t>
  </si>
  <si>
    <t>ENTR. PR-963 (P/ VILA GUAÍ)</t>
  </si>
  <si>
    <t>ENTR. PR-160/439(PLAN.) (AC. A CONGONHINHAS)</t>
  </si>
  <si>
    <t>435|0010</t>
  </si>
  <si>
    <t>435S0010</t>
  </si>
  <si>
    <t>435S0010EPR</t>
  </si>
  <si>
    <t>FINAL DO PAVIMENTO (P/ PR-427)</t>
  </si>
  <si>
    <t>INÍCIO DO PAVIMENTO (CAPOEIRINHA)</t>
  </si>
  <si>
    <t>433|0020</t>
  </si>
  <si>
    <t>433S</t>
  </si>
  <si>
    <t>433</t>
  </si>
  <si>
    <t>433S0020</t>
  </si>
  <si>
    <t>433S0020EPR</t>
  </si>
  <si>
    <t>ACESSO CAMBARÁ</t>
  </si>
  <si>
    <t>431|0080</t>
  </si>
  <si>
    <t>431S</t>
  </si>
  <si>
    <t>431</t>
  </si>
  <si>
    <t>431S0080</t>
  </si>
  <si>
    <t>431S0080EPR</t>
  </si>
  <si>
    <t>ENTR. PR-515 (P/ BARRA DO JACARÉ)</t>
  </si>
  <si>
    <t>431|0070</t>
  </si>
  <si>
    <t>431S0070</t>
  </si>
  <si>
    <t>431S0070EPR</t>
  </si>
  <si>
    <t>AC. JACAREZINHO</t>
  </si>
  <si>
    <t>431|0065</t>
  </si>
  <si>
    <t>431S0065</t>
  </si>
  <si>
    <t>431S0065EPR</t>
  </si>
  <si>
    <t>431|0060</t>
  </si>
  <si>
    <t>431S0060</t>
  </si>
  <si>
    <t>431S0060EPR</t>
  </si>
  <si>
    <t>ENTR. BR-153 (A) (JACAREZINHO)</t>
  </si>
  <si>
    <t>ENTR. PR-151 (RIBEIRÃO CLARO)</t>
  </si>
  <si>
    <t>431|0030</t>
  </si>
  <si>
    <t>431S0030</t>
  </si>
  <si>
    <t>431S0030EPR</t>
  </si>
  <si>
    <t>ENTR. PR-151 (PIRAÍ DO SUL)</t>
  </si>
  <si>
    <t>AC. CASTRO</t>
  </si>
  <si>
    <t>429|0020</t>
  </si>
  <si>
    <t>429O</t>
  </si>
  <si>
    <t>429</t>
  </si>
  <si>
    <t>429O0020</t>
  </si>
  <si>
    <t>429O0020EPR</t>
  </si>
  <si>
    <t>ENTR. PR-090</t>
  </si>
  <si>
    <t>429|0010</t>
  </si>
  <si>
    <t>429O0010</t>
  </si>
  <si>
    <t>429O0010EPR</t>
  </si>
  <si>
    <t>ENTR. BR-476(A) (LAPA)</t>
  </si>
  <si>
    <t>ACESSO LAPA</t>
  </si>
  <si>
    <t>427|0020</t>
  </si>
  <si>
    <t>427S</t>
  </si>
  <si>
    <t>427</t>
  </si>
  <si>
    <t>427S0020</t>
  </si>
  <si>
    <t>427S0020EPR</t>
  </si>
  <si>
    <t>CAMPO DO TENENTE</t>
  </si>
  <si>
    <t>427|0015</t>
  </si>
  <si>
    <t>427S0015</t>
  </si>
  <si>
    <t>427S0015EPR</t>
  </si>
  <si>
    <t>427|0010</t>
  </si>
  <si>
    <t>427S0010</t>
  </si>
  <si>
    <t>427S0010EPR</t>
  </si>
  <si>
    <t>ENTR. PR-092 (SIQUEIRA CAMPOS)</t>
  </si>
  <si>
    <t>AC. ALECRIM / ALEMOA</t>
  </si>
  <si>
    <t>424|0040</t>
  </si>
  <si>
    <t>424S</t>
  </si>
  <si>
    <t>424</t>
  </si>
  <si>
    <t>424S0040</t>
  </si>
  <si>
    <t>424S0040EPR</t>
  </si>
  <si>
    <t>ENTR. PR-151(B) (AC. SALTO DO ITARARÉ)</t>
  </si>
  <si>
    <t>424|0030</t>
  </si>
  <si>
    <t>424S0030</t>
  </si>
  <si>
    <t>424S0030EPR</t>
  </si>
  <si>
    <t>ENTR. PR-151(A) (NÃO PAV.) (P/ CARLÓPOLIS)</t>
  </si>
  <si>
    <t>DIV. PR/SP (PONTE RIO ITARARÉ)</t>
  </si>
  <si>
    <t>424|0010</t>
  </si>
  <si>
    <t>424S0010</t>
  </si>
  <si>
    <t>424S0010EPR</t>
  </si>
  <si>
    <t>ENTR. PRC-272 (TOMAZINA)</t>
  </si>
  <si>
    <t>ENTR. PR-092 (B) (P/ CALÓGERAS)</t>
  </si>
  <si>
    <t>422|0090</t>
  </si>
  <si>
    <t>422S</t>
  </si>
  <si>
    <t>422</t>
  </si>
  <si>
    <t>422S0090</t>
  </si>
  <si>
    <t>422S0090EPR</t>
  </si>
  <si>
    <t>ENTR. PR-092 (A) (AC. I W. BRAZ) (B)</t>
  </si>
  <si>
    <t>WENCESLAU BRAZ (A)</t>
  </si>
  <si>
    <t>422|0055</t>
  </si>
  <si>
    <t>422M</t>
  </si>
  <si>
    <t>422M0055</t>
  </si>
  <si>
    <t>422M0055MUN</t>
  </si>
  <si>
    <t>CONTORNO SUL DE WENCESLAU BRAZ: ENTR. PR-092</t>
  </si>
  <si>
    <t>422S0055</t>
  </si>
  <si>
    <t>422S0055EPR</t>
  </si>
  <si>
    <t>ENTR. PR-151 (C)</t>
  </si>
  <si>
    <t>422|0050</t>
  </si>
  <si>
    <t>422S0050</t>
  </si>
  <si>
    <t>422S0050EPR</t>
  </si>
  <si>
    <t>FINAL PISTA DUPLA - AV. DAS ARAUCÁRIAS</t>
  </si>
  <si>
    <t>421|0018</t>
  </si>
  <si>
    <t>421S</t>
  </si>
  <si>
    <t>421</t>
  </si>
  <si>
    <t>421S0018</t>
  </si>
  <si>
    <t>421S0018EPR(MUN)</t>
  </si>
  <si>
    <t>INÍCIO PISTA DUPLA - AV. DAS ARAUCÁRIAS</t>
  </si>
  <si>
    <t>421|0015E</t>
  </si>
  <si>
    <t>421E</t>
  </si>
  <si>
    <t>421E0015</t>
  </si>
  <si>
    <t>421E0015EPR(MUN)</t>
  </si>
  <si>
    <t>421|0015D</t>
  </si>
  <si>
    <t>421D</t>
  </si>
  <si>
    <t>421D0015</t>
  </si>
  <si>
    <t>421D0015EPR(MUN)</t>
  </si>
  <si>
    <t>DIVISA MUNICÍPIO CURITIBA/ARAUCÁRIA</t>
  </si>
  <si>
    <t>421|0012</t>
  </si>
  <si>
    <t>421S0012</t>
  </si>
  <si>
    <t>421S0012EPR(MUN)</t>
  </si>
  <si>
    <t>FINAL PISTA DUPLA - AV. VICENTE MICHELOTTO</t>
  </si>
  <si>
    <t>421|0011</t>
  </si>
  <si>
    <t>421S0011</t>
  </si>
  <si>
    <t>421S0011EPR(MUN)</t>
  </si>
  <si>
    <t>ENTR BR-376-AV. VICENTE MICHELOTTO</t>
  </si>
  <si>
    <t>421|0010E</t>
  </si>
  <si>
    <t>421E0010</t>
  </si>
  <si>
    <t>421E0010EPR(MUN)</t>
  </si>
  <si>
    <t>421|0010D</t>
  </si>
  <si>
    <t>421D0010</t>
  </si>
  <si>
    <t>421D0010EPR(MUN)</t>
  </si>
  <si>
    <t>DIVISA PR/SC (FRAGOSOS)</t>
  </si>
  <si>
    <t>ENTR. PR-281 (ACESSO A PIEN)</t>
  </si>
  <si>
    <t>420|0010</t>
  </si>
  <si>
    <t>420S</t>
  </si>
  <si>
    <t>420</t>
  </si>
  <si>
    <t>420S0010</t>
  </si>
  <si>
    <t>420S0010EPR</t>
  </si>
  <si>
    <t>AC. AGUDOS DO SUL</t>
  </si>
  <si>
    <t>ENTR. BR-116 (AREIA BRANCA)</t>
  </si>
  <si>
    <t>419|0010</t>
  </si>
  <si>
    <t>419S</t>
  </si>
  <si>
    <t>419</t>
  </si>
  <si>
    <t>419S0010</t>
  </si>
  <si>
    <t>419S0010EPR</t>
  </si>
  <si>
    <t>BACAETAVA</t>
  </si>
  <si>
    <t>FINAL DA PISTA DUPLA (COLOMBO)</t>
  </si>
  <si>
    <t>417|0030</t>
  </si>
  <si>
    <t>417S</t>
  </si>
  <si>
    <t>417</t>
  </si>
  <si>
    <t>417S0030</t>
  </si>
  <si>
    <t>417S0030EPR</t>
  </si>
  <si>
    <t>FINAL DUPLICAÇÃO (COLOMBO)</t>
  </si>
  <si>
    <t>COLOMBO</t>
  </si>
  <si>
    <t>417|0025E</t>
  </si>
  <si>
    <t>417E</t>
  </si>
  <si>
    <t>417E0025</t>
  </si>
  <si>
    <t>417E0025EPR</t>
  </si>
  <si>
    <t>417|0025D</t>
  </si>
  <si>
    <t>417D</t>
  </si>
  <si>
    <t>417D0025</t>
  </si>
  <si>
    <t>417D0025EPR</t>
  </si>
  <si>
    <t>ENTR. PR-418 (P/ ALM. TAMANDARÉ)</t>
  </si>
  <si>
    <t>417|0020</t>
  </si>
  <si>
    <t>417S0020</t>
  </si>
  <si>
    <t>417S0020EPR</t>
  </si>
  <si>
    <t>CURITIBA (STA. CÂNDIDA)</t>
  </si>
  <si>
    <t>417|0010</t>
  </si>
  <si>
    <t>417S0010</t>
  </si>
  <si>
    <t>417S0010EPR</t>
  </si>
  <si>
    <t>PIRAQUARA</t>
  </si>
  <si>
    <t>FINAL DE DUPLICAÇÃO (PIRAQUARA)</t>
  </si>
  <si>
    <t>415|0040</t>
  </si>
  <si>
    <t>415S</t>
  </si>
  <si>
    <t>415</t>
  </si>
  <si>
    <t>415S0040</t>
  </si>
  <si>
    <t>415S0040EPR</t>
  </si>
  <si>
    <t>FINAL DA DUPLICAÇÃO</t>
  </si>
  <si>
    <t>ENTR. PR-506 (A) (PIRAQUARA)</t>
  </si>
  <si>
    <t>415|0030E</t>
  </si>
  <si>
    <t>415E</t>
  </si>
  <si>
    <t>415E0030</t>
  </si>
  <si>
    <t>415E0030EPR</t>
  </si>
  <si>
    <t>415|0030D</t>
  </si>
  <si>
    <t>415D</t>
  </si>
  <si>
    <t>415D0030</t>
  </si>
  <si>
    <t>415D0030EPR</t>
  </si>
  <si>
    <t>ENTR. BR-116 (CONT. LESTE)</t>
  </si>
  <si>
    <t>415|0025E</t>
  </si>
  <si>
    <t>415E0025</t>
  </si>
  <si>
    <t>415E0025EPR</t>
  </si>
  <si>
    <t>415|0025D</t>
  </si>
  <si>
    <t>415D0025</t>
  </si>
  <si>
    <t>415D0025EPR</t>
  </si>
  <si>
    <t>PONTE SOBRE O RIO PALMITAL</t>
  </si>
  <si>
    <t>415|0020E</t>
  </si>
  <si>
    <t>415E0020</t>
  </si>
  <si>
    <t>415E0020EPR</t>
  </si>
  <si>
    <t>415|0020D</t>
  </si>
  <si>
    <t>415D0020</t>
  </si>
  <si>
    <t>415D0020EPR</t>
  </si>
  <si>
    <t>PONTA DO POÇO</t>
  </si>
  <si>
    <t>PONTAL DO SUL</t>
  </si>
  <si>
    <t>412|0070</t>
  </si>
  <si>
    <t>412S</t>
  </si>
  <si>
    <t>412</t>
  </si>
  <si>
    <t>412S0070</t>
  </si>
  <si>
    <t>412S0070EPR</t>
  </si>
  <si>
    <t>ENTR. PR-407 (PRAIA DE LESTE)</t>
  </si>
  <si>
    <t>412|0050</t>
  </si>
  <si>
    <t>412S0050</t>
  </si>
  <si>
    <t>412S0050EPR</t>
  </si>
  <si>
    <t>ACESSO PARA PR-508 (MATINHOS)</t>
  </si>
  <si>
    <t>412|0045</t>
  </si>
  <si>
    <t>412S0045</t>
  </si>
  <si>
    <t>412S0045EPR</t>
  </si>
  <si>
    <t>MATINHOS (B)</t>
  </si>
  <si>
    <t>412|0040</t>
  </si>
  <si>
    <t>412S0040</t>
  </si>
  <si>
    <t>412S0040EPR</t>
  </si>
  <si>
    <t>ENTR. RUA DO SOSSEGO (MATINHOS)</t>
  </si>
  <si>
    <t>412|0035B</t>
  </si>
  <si>
    <t>412M</t>
  </si>
  <si>
    <t>412M0035</t>
  </si>
  <si>
    <t>412M0035MUN(B)</t>
  </si>
  <si>
    <t>412|0035A</t>
  </si>
  <si>
    <t>412M0035MUN(A)</t>
  </si>
  <si>
    <t>EOD</t>
  </si>
  <si>
    <t>ENTR. PR-508 (MATINHOS) (A)</t>
  </si>
  <si>
    <t>ENTR. RUA ALVORADA (INÍCIO DUPLICAÇÃO)</t>
  </si>
  <si>
    <t>412|0033</t>
  </si>
  <si>
    <t>412O</t>
  </si>
  <si>
    <t>412O0033</t>
  </si>
  <si>
    <t>412O0033EPR</t>
  </si>
  <si>
    <t>412|0032</t>
  </si>
  <si>
    <t>412M0032</t>
  </si>
  <si>
    <t>412M0032MUN</t>
  </si>
  <si>
    <t>PORTO PASS. CAIOBÁ (FERRY BOAT)</t>
  </si>
  <si>
    <t>412|0030</t>
  </si>
  <si>
    <t>412S0030</t>
  </si>
  <si>
    <t>412S0030EPR</t>
  </si>
  <si>
    <t>PORTO PASSAGEM GUARATUBA (F. BOAT)</t>
  </si>
  <si>
    <t>ENTR. PR-807</t>
  </si>
  <si>
    <t>412|0027</t>
  </si>
  <si>
    <t>412S0027</t>
  </si>
  <si>
    <t>412S0027EPR</t>
  </si>
  <si>
    <t>GUARATUBA (B) (CORPO DE BOMBEIROS)</t>
  </si>
  <si>
    <t>412|0025</t>
  </si>
  <si>
    <t>412S0025</t>
  </si>
  <si>
    <t>412S0025EPR</t>
  </si>
  <si>
    <t>GUARATUBA (A) (AV. PARANÁ x R. ANTONIO A. CORREIA)</t>
  </si>
  <si>
    <t>412|0020</t>
  </si>
  <si>
    <t>412M0020</t>
  </si>
  <si>
    <t>412M0020MUN</t>
  </si>
  <si>
    <t>INTERS. AC. BALN. COROADOS (AV. PARANÁ)</t>
  </si>
  <si>
    <t>412|0018</t>
  </si>
  <si>
    <t>412S0018</t>
  </si>
  <si>
    <t>412S0018EPR</t>
  </si>
  <si>
    <t>INTERS. AC. BALNEÁRIO COROADOS</t>
  </si>
  <si>
    <t>ENTR. PR-808 (P/ ITAPOÁ)</t>
  </si>
  <si>
    <t>412|0012</t>
  </si>
  <si>
    <t>412S0012</t>
  </si>
  <si>
    <t>412S0012EPR</t>
  </si>
  <si>
    <t>DIVISA PR/SC (P/ GARUVA)</t>
  </si>
  <si>
    <t>412|0010</t>
  </si>
  <si>
    <t>412S0010</t>
  </si>
  <si>
    <t>412S0010EPR</t>
  </si>
  <si>
    <t>ENTR. PR-408 (P/ ANTONINA)</t>
  </si>
  <si>
    <t>ENTR. PR-411 (S. JOÃO DA GRACIOSA)</t>
  </si>
  <si>
    <t>410|0020</t>
  </si>
  <si>
    <t>410S</t>
  </si>
  <si>
    <t>410</t>
  </si>
  <si>
    <t>410S0020</t>
  </si>
  <si>
    <t>410S0020EPR</t>
  </si>
  <si>
    <t>ENTR. PR-411 (S.JOÃO DA GRACIOSA)</t>
  </si>
  <si>
    <t>FINAL PAVIMENTO POLIÉDRICO</t>
  </si>
  <si>
    <t>410|0016</t>
  </si>
  <si>
    <t>0016</t>
  </si>
  <si>
    <t>410S0016</t>
  </si>
  <si>
    <t>410S0016EPR</t>
  </si>
  <si>
    <t>INÍCIO PAVIMENTO POLIÉDRICO</t>
  </si>
  <si>
    <t>410|0010</t>
  </si>
  <si>
    <t>410S0010</t>
  </si>
  <si>
    <t>410S0010EPR</t>
  </si>
  <si>
    <t>Trechos Concessionados</t>
  </si>
  <si>
    <t>ENTR. BR-376 (PONTA GROSSA)</t>
  </si>
  <si>
    <t>ENTR. PR-151</t>
  </si>
  <si>
    <t>373|0310E</t>
  </si>
  <si>
    <t>373E</t>
  </si>
  <si>
    <t>373</t>
  </si>
  <si>
    <t>373E0310</t>
  </si>
  <si>
    <t>373E0310PRC</t>
  </si>
  <si>
    <t>373|0310D</t>
  </si>
  <si>
    <t>373D</t>
  </si>
  <si>
    <t>373D0310</t>
  </si>
  <si>
    <t>373D0310PRC</t>
  </si>
  <si>
    <t>BARBOSA FERRAZ (B)</t>
  </si>
  <si>
    <t>ENTR. PRC-369/PR-462 (BARBOSA FERRAZ) (A)</t>
  </si>
  <si>
    <t>369|0550</t>
  </si>
  <si>
    <t>369M</t>
  </si>
  <si>
    <t>0550</t>
  </si>
  <si>
    <t>369</t>
  </si>
  <si>
    <t>369M0550</t>
  </si>
  <si>
    <t>369M0550MUN</t>
  </si>
  <si>
    <t>ENTR. PR-462 (BARBOSA FERRAZ)</t>
  </si>
  <si>
    <t>ENTR. PR-082 (FÊNIX)</t>
  </si>
  <si>
    <t>369|0530</t>
  </si>
  <si>
    <t>369S</t>
  </si>
  <si>
    <t>0530</t>
  </si>
  <si>
    <t>369S0530</t>
  </si>
  <si>
    <t>369S0530PRC</t>
  </si>
  <si>
    <t>ENTR. PR-457 (SÃO PEDRO DO IVAÍ)</t>
  </si>
  <si>
    <t>BOM SUCESSO (B)</t>
  </si>
  <si>
    <t>369|0490</t>
  </si>
  <si>
    <t>369S0490</t>
  </si>
  <si>
    <t>369S0490PRC</t>
  </si>
  <si>
    <t>ENTR. BR-369/PR-546 (BOM SUCESSO) (A)</t>
  </si>
  <si>
    <t>369|0480</t>
  </si>
  <si>
    <t>0480</t>
  </si>
  <si>
    <t>369M0480</t>
  </si>
  <si>
    <t>369M0480MUN</t>
  </si>
  <si>
    <t>TERRA ROXA</t>
  </si>
  <si>
    <t>ENTR. ROD. MUNICIPAL</t>
  </si>
  <si>
    <t>364|0220</t>
  </si>
  <si>
    <t>364S</t>
  </si>
  <si>
    <t>364</t>
  </si>
  <si>
    <t>364S0220</t>
  </si>
  <si>
    <t>364S0220EPR</t>
  </si>
  <si>
    <t>AC. CONTORNO LESTE (D) PALOTINA</t>
  </si>
  <si>
    <t>364|0215</t>
  </si>
  <si>
    <t>0215</t>
  </si>
  <si>
    <t>364S0215</t>
  </si>
  <si>
    <t>364S0215EPR</t>
  </si>
  <si>
    <t>PALOTINA (D)</t>
  </si>
  <si>
    <t>364|0210</t>
  </si>
  <si>
    <t>364S0210</t>
  </si>
  <si>
    <t>364S0210EPR</t>
  </si>
  <si>
    <t>PALOTINA (F)</t>
  </si>
  <si>
    <t>364|0205</t>
  </si>
  <si>
    <t>364M</t>
  </si>
  <si>
    <t>364M0205</t>
  </si>
  <si>
    <t>364M0205MUN</t>
  </si>
  <si>
    <t>PALOTINA (G)</t>
  </si>
  <si>
    <t>PALOTINA (C)</t>
  </si>
  <si>
    <t>364|0204</t>
  </si>
  <si>
    <t>0204</t>
  </si>
  <si>
    <t>364M0204</t>
  </si>
  <si>
    <t>364M0204MUN</t>
  </si>
  <si>
    <t>ENTR. PR-975 CONTORNO LESTE (C) PALOTINA</t>
  </si>
  <si>
    <t>364|0203</t>
  </si>
  <si>
    <t>364S0203</t>
  </si>
  <si>
    <t>364S0203EPR</t>
  </si>
  <si>
    <t>FINAL DA P. DUPLA (ENCANTADO DO OESTE)</t>
  </si>
  <si>
    <t>364|0200</t>
  </si>
  <si>
    <t>364S0200</t>
  </si>
  <si>
    <t>364S0200EPR</t>
  </si>
  <si>
    <t>INÍCIO DA PISTA DUPLA</t>
  </si>
  <si>
    <t>364|0195E</t>
  </si>
  <si>
    <t>364E</t>
  </si>
  <si>
    <t>364E0195</t>
  </si>
  <si>
    <t>364E0195EPR</t>
  </si>
  <si>
    <t>364|0195D</t>
  </si>
  <si>
    <t>364D</t>
  </si>
  <si>
    <t>364D0195</t>
  </si>
  <si>
    <t>364D0195EPR</t>
  </si>
  <si>
    <t>INÍCIO  P. DUPLA (ENCANT. DO OESTE)</t>
  </si>
  <si>
    <t>ENTR. PR-239/486 (A. CHATEAUBRIAND) (B)</t>
  </si>
  <si>
    <t>364|0190</t>
  </si>
  <si>
    <t>364S0190</t>
  </si>
  <si>
    <t>364S0190EPR</t>
  </si>
  <si>
    <t>ENTR. PR-239 (CAMPINA DA LAGOA)</t>
  </si>
  <si>
    <t>RIO CANTU</t>
  </si>
  <si>
    <t>364|0170</t>
  </si>
  <si>
    <t>364S0170</t>
  </si>
  <si>
    <t>364S0170EPR</t>
  </si>
  <si>
    <t>ALTAMIRA DO PARANÁ</t>
  </si>
  <si>
    <t>364|0160</t>
  </si>
  <si>
    <t>364S0160</t>
  </si>
  <si>
    <t>364S0160EPR</t>
  </si>
  <si>
    <t>FINAL PISTA DUPLA (LARANJAL)</t>
  </si>
  <si>
    <t>INÍCIO PISTA DUPLA (LARANJAL)</t>
  </si>
  <si>
    <t>364|0138E</t>
  </si>
  <si>
    <t>0138</t>
  </si>
  <si>
    <t>364E0138</t>
  </si>
  <si>
    <t>364E0138EPR</t>
  </si>
  <si>
    <t>364|0138D</t>
  </si>
  <si>
    <t>364D0138</t>
  </si>
  <si>
    <t>364D0138EPR</t>
  </si>
  <si>
    <t>ENTR. PR-456 (P/ PALMITAL) / BR-158 (A)</t>
  </si>
  <si>
    <t>364|0136</t>
  </si>
  <si>
    <t>0136</t>
  </si>
  <si>
    <t>364S0136</t>
  </si>
  <si>
    <t>364S0136EPR</t>
  </si>
  <si>
    <t>FINAL PAV. (VIADUTO RFFSA)</t>
  </si>
  <si>
    <t>GOIOXIM</t>
  </si>
  <si>
    <t>364|0120</t>
  </si>
  <si>
    <t>364S0120</t>
  </si>
  <si>
    <t>364S0120EPR</t>
  </si>
  <si>
    <t>ENTR. PR-825 (P/ CAMPINA DO SIMÃO)</t>
  </si>
  <si>
    <t>364|0115</t>
  </si>
  <si>
    <t>364S0115</t>
  </si>
  <si>
    <t>364S0115EPR</t>
  </si>
  <si>
    <t>ENTR. BR-277 (B) (TRÊS CAPÕES)</t>
  </si>
  <si>
    <t>364|0108</t>
  </si>
  <si>
    <t>0108</t>
  </si>
  <si>
    <t>364S0108</t>
  </si>
  <si>
    <t>364S0108EPR</t>
  </si>
  <si>
    <t>ENTR. BR-277(A) (GUARÁ)</t>
  </si>
  <si>
    <t>GOES ARTIGAS</t>
  </si>
  <si>
    <t>364|0100</t>
  </si>
  <si>
    <t>364S0100</t>
  </si>
  <si>
    <t>364S0100EPR</t>
  </si>
  <si>
    <t>364|0098</t>
  </si>
  <si>
    <t>0098</t>
  </si>
  <si>
    <t>364S0098</t>
  </si>
  <si>
    <t>364S0098EPR</t>
  </si>
  <si>
    <t>INÁCIO MARTINS (B)</t>
  </si>
  <si>
    <t>INÁCIO MARTINS (A)</t>
  </si>
  <si>
    <t>364|0095</t>
  </si>
  <si>
    <t>364M0095</t>
  </si>
  <si>
    <t>364M0095MUN</t>
  </si>
  <si>
    <t>FINAL P. DUPLA GUAMIRIM</t>
  </si>
  <si>
    <t>364|0093</t>
  </si>
  <si>
    <t>0093</t>
  </si>
  <si>
    <t>364S0093</t>
  </si>
  <si>
    <t>364S0093EPR</t>
  </si>
  <si>
    <t>ENTR. PR-160(PLAN.) (INÍCIO P. DUPLA)</t>
  </si>
  <si>
    <t>364|0090E</t>
  </si>
  <si>
    <t>364E0090</t>
  </si>
  <si>
    <t>364E0090EPR</t>
  </si>
  <si>
    <t>364|0090D</t>
  </si>
  <si>
    <t>364D0090</t>
  </si>
  <si>
    <t>364D0090EPR</t>
  </si>
  <si>
    <t>ENTR. PR-160(PLAN.) (IN. P. DUPLA GUAMIRIM)</t>
  </si>
  <si>
    <t>IRATI (B)</t>
  </si>
  <si>
    <t>364|0070</t>
  </si>
  <si>
    <t>364S0070</t>
  </si>
  <si>
    <t>364S0070EPR</t>
  </si>
  <si>
    <t>ENTR. BR-153 (B) (IRATI (A))</t>
  </si>
  <si>
    <t>364|0060</t>
  </si>
  <si>
    <t>364M0060</t>
  </si>
  <si>
    <t>364M0060MUN</t>
  </si>
  <si>
    <t>Em Obras</t>
  </si>
  <si>
    <t>RIOZINHO</t>
  </si>
  <si>
    <t>364|0053</t>
  </si>
  <si>
    <t>364O</t>
  </si>
  <si>
    <t>364O0053</t>
  </si>
  <si>
    <t>364O0053EPR</t>
  </si>
  <si>
    <t>ENTR. PR-990 (Rebouças)</t>
  </si>
  <si>
    <t>364|0050</t>
  </si>
  <si>
    <t>364S0050</t>
  </si>
  <si>
    <t>364S0050EPR</t>
  </si>
  <si>
    <t>RIO TURVO</t>
  </si>
  <si>
    <t>364|0040</t>
  </si>
  <si>
    <t>364S0040</t>
  </si>
  <si>
    <t>364S0040EPR</t>
  </si>
  <si>
    <t>SÃO MATEUS DO SUL</t>
  </si>
  <si>
    <t>364|0030</t>
  </si>
  <si>
    <t>364O0030</t>
  </si>
  <si>
    <t>364O0030EPR</t>
  </si>
  <si>
    <t>AC. S. MATEUS DO SUL</t>
  </si>
  <si>
    <t>364|0025</t>
  </si>
  <si>
    <t>364O0025</t>
  </si>
  <si>
    <t>364O0025EPR</t>
  </si>
  <si>
    <t>JARDIM OLINDA</t>
  </si>
  <si>
    <t>ENTR. PR-464 (P/ PARANAPOEMA)</t>
  </si>
  <si>
    <t>340|0450</t>
  </si>
  <si>
    <t>340S</t>
  </si>
  <si>
    <t>340</t>
  </si>
  <si>
    <t>340S0450</t>
  </si>
  <si>
    <t>340S0450EPR</t>
  </si>
  <si>
    <t>340|0430</t>
  </si>
  <si>
    <t>0430</t>
  </si>
  <si>
    <t>340S0430</t>
  </si>
  <si>
    <t>340S0430EPR</t>
  </si>
  <si>
    <t>ENTR. PR-542 (PLAN.) (B)</t>
  </si>
  <si>
    <t>340|0425</t>
  </si>
  <si>
    <t>340M</t>
  </si>
  <si>
    <t>0425</t>
  </si>
  <si>
    <t>340M0425</t>
  </si>
  <si>
    <t>340M0425MUN</t>
  </si>
  <si>
    <t>ENTR. PR-542 (PLAN.) (A)</t>
  </si>
  <si>
    <t>340|0417</t>
  </si>
  <si>
    <t>0417</t>
  </si>
  <si>
    <t>340M0417</t>
  </si>
  <si>
    <t>340M0417MUN</t>
  </si>
  <si>
    <t>340|0415</t>
  </si>
  <si>
    <t>0415</t>
  </si>
  <si>
    <t>340M0415</t>
  </si>
  <si>
    <t>340M0415MUN</t>
  </si>
  <si>
    <t>SANTA INÊS (B)</t>
  </si>
  <si>
    <t>340|0410</t>
  </si>
  <si>
    <t>0410</t>
  </si>
  <si>
    <t>340S0410</t>
  </si>
  <si>
    <t>340S0410EPR</t>
  </si>
  <si>
    <t>SANTA INÊS (A)</t>
  </si>
  <si>
    <t>340|0395</t>
  </si>
  <si>
    <t>0395</t>
  </si>
  <si>
    <t>340M0395</t>
  </si>
  <si>
    <t>340M0395MUN</t>
  </si>
  <si>
    <t>SANTO INÁCIO (B)</t>
  </si>
  <si>
    <t>340|0390</t>
  </si>
  <si>
    <t>0390</t>
  </si>
  <si>
    <t>340S0390</t>
  </si>
  <si>
    <t>340S0390EPR</t>
  </si>
  <si>
    <t>SANTO INÁCIO (A)</t>
  </si>
  <si>
    <t>340|0385</t>
  </si>
  <si>
    <t>0385</t>
  </si>
  <si>
    <t>340M0385</t>
  </si>
  <si>
    <t>340M0385MUN</t>
  </si>
  <si>
    <t>ENTR. PR-317 (STO. INÁCIO)</t>
  </si>
  <si>
    <t>340|0380E</t>
  </si>
  <si>
    <t>340E</t>
  </si>
  <si>
    <t>0380</t>
  </si>
  <si>
    <t>340E0380</t>
  </si>
  <si>
    <t>340E0380EPR</t>
  </si>
  <si>
    <t>340|0380D</t>
  </si>
  <si>
    <t>340D</t>
  </si>
  <si>
    <t>340D0380</t>
  </si>
  <si>
    <t>340D0380EPR</t>
  </si>
  <si>
    <t>ENTR. PR-543 (P/ LUPIONÓPOLIS E  P/ CAFEARA)</t>
  </si>
  <si>
    <t>340|0370</t>
  </si>
  <si>
    <t>0370</t>
  </si>
  <si>
    <t>340S0370</t>
  </si>
  <si>
    <t>340S0370EPR</t>
  </si>
  <si>
    <t>AC. SECUND. LUPIONÓPOLIS</t>
  </si>
  <si>
    <t>340|0360</t>
  </si>
  <si>
    <t>0360</t>
  </si>
  <si>
    <t>340S0360</t>
  </si>
  <si>
    <t>340S0360EPR</t>
  </si>
  <si>
    <t>AC. CENTENÁRIO DO SUL</t>
  </si>
  <si>
    <t>340|0350</t>
  </si>
  <si>
    <t>340S0350</t>
  </si>
  <si>
    <t>340S0350EPR</t>
  </si>
  <si>
    <t>ENTR. PR-542 (GUARACI)</t>
  </si>
  <si>
    <t>340|0340</t>
  </si>
  <si>
    <t>0340</t>
  </si>
  <si>
    <t>340S0340</t>
  </si>
  <si>
    <t>340S0340EPR</t>
  </si>
  <si>
    <t>ACESSO GUARACI</t>
  </si>
  <si>
    <t>340|0330</t>
  </si>
  <si>
    <t>0330</t>
  </si>
  <si>
    <t>340S0330</t>
  </si>
  <si>
    <t>340S0330EPR</t>
  </si>
  <si>
    <t>JAGUAPITÃ (B)</t>
  </si>
  <si>
    <t>340|0310</t>
  </si>
  <si>
    <t>340S0310</t>
  </si>
  <si>
    <t>340S0310EPR</t>
  </si>
  <si>
    <t>JAGUAPITÃ (A)</t>
  </si>
  <si>
    <t>340|0305</t>
  </si>
  <si>
    <t>0305</t>
  </si>
  <si>
    <t>340M0305</t>
  </si>
  <si>
    <t>340M0305MUN</t>
  </si>
  <si>
    <t>INÍCIO PISTA DUPLA (JAGUAPITÃ)</t>
  </si>
  <si>
    <t>340|0300E</t>
  </si>
  <si>
    <t>340E0300</t>
  </si>
  <si>
    <t>340E0300EPR</t>
  </si>
  <si>
    <t>340|0300D</t>
  </si>
  <si>
    <t>340D0300</t>
  </si>
  <si>
    <t>340D0300EPR</t>
  </si>
  <si>
    <t>ENTR. PR-170 (B)</t>
  </si>
  <si>
    <t>340|0290</t>
  </si>
  <si>
    <t>340S0290</t>
  </si>
  <si>
    <t>340S0290EPR</t>
  </si>
  <si>
    <t>ENTR. BR-376(A)</t>
  </si>
  <si>
    <t>ENTR. ROD. MUNICIPAL (P/ ORTIGUEIRA)</t>
  </si>
  <si>
    <t>340|0218</t>
  </si>
  <si>
    <t>0218</t>
  </si>
  <si>
    <t>340S0218</t>
  </si>
  <si>
    <t>340S0218EPR</t>
  </si>
  <si>
    <t>ENTR. ROD. MUNICIPAL (P/ TELÊMACO BORBA)</t>
  </si>
  <si>
    <t>340|0216</t>
  </si>
  <si>
    <t>0216</t>
  </si>
  <si>
    <t>340S0216</t>
  </si>
  <si>
    <t>340S0216EPR</t>
  </si>
  <si>
    <t>AC. FÁBRICA KLABIN (ROTATÓRIA)</t>
  </si>
  <si>
    <t>340|0212</t>
  </si>
  <si>
    <t>0212</t>
  </si>
  <si>
    <t>340S0212</t>
  </si>
  <si>
    <t>340S0212EPR</t>
  </si>
  <si>
    <t>AC. SECUND. FÁBRICA KLABIN</t>
  </si>
  <si>
    <t>340|0205</t>
  </si>
  <si>
    <t>340S0205</t>
  </si>
  <si>
    <t>340S0205EPR</t>
  </si>
  <si>
    <t>CABECEIRA INICIAL PONTE RIO IMBAUZINHO</t>
  </si>
  <si>
    <t>340|0200</t>
  </si>
  <si>
    <t>340S0200</t>
  </si>
  <si>
    <t>340S0200EPR</t>
  </si>
  <si>
    <t>ENTR. PR-160 (B) (P/ TELÊMACO BORBA)</t>
  </si>
  <si>
    <t>340|0190</t>
  </si>
  <si>
    <t>340S0190</t>
  </si>
  <si>
    <t>340S0190EPR</t>
  </si>
  <si>
    <t>ENTR. PR-160 (A) (P/ IMBAÚ)</t>
  </si>
  <si>
    <t>340|0170</t>
  </si>
  <si>
    <t>340S0170</t>
  </si>
  <si>
    <t>340S0170EPR</t>
  </si>
  <si>
    <t>FINAL ÁREA URBANA TIBAGI</t>
  </si>
  <si>
    <t>340|0150</t>
  </si>
  <si>
    <t>340S0150</t>
  </si>
  <si>
    <t>340S0150EPR</t>
  </si>
  <si>
    <t>340|0145</t>
  </si>
  <si>
    <t>340S0145</t>
  </si>
  <si>
    <t>340S0145EPR</t>
  </si>
  <si>
    <t>TIBAGI (INÍCIO ÁREA URBANA)</t>
  </si>
  <si>
    <t>340|0140E</t>
  </si>
  <si>
    <t>340E0140</t>
  </si>
  <si>
    <t>340E0140EPR</t>
  </si>
  <si>
    <t>340|0140D</t>
  </si>
  <si>
    <t>340D0140</t>
  </si>
  <si>
    <t>340D0140EPR</t>
  </si>
  <si>
    <t>AC. PARQUE ESTADUAL DO GUARTELÁ</t>
  </si>
  <si>
    <t>340|0135</t>
  </si>
  <si>
    <t>340S0135</t>
  </si>
  <si>
    <t>340S0135EPR</t>
  </si>
  <si>
    <t>ENTR. PR-151 (B) (CASTRO)</t>
  </si>
  <si>
    <t>340|0132</t>
  </si>
  <si>
    <t>0132</t>
  </si>
  <si>
    <t>340S0132</t>
  </si>
  <si>
    <t>340S0132EPR</t>
  </si>
  <si>
    <t>ENTR. PR-151 (A) (CASTRO)</t>
  </si>
  <si>
    <t>FINAL PISTA DUPLA (CASTRO)</t>
  </si>
  <si>
    <t>340|0120</t>
  </si>
  <si>
    <t>340S0120</t>
  </si>
  <si>
    <t>340S0120EPR</t>
  </si>
  <si>
    <t>340|0115E</t>
  </si>
  <si>
    <t>340E0115</t>
  </si>
  <si>
    <t>340E0115EPR</t>
  </si>
  <si>
    <t>340|0115D</t>
  </si>
  <si>
    <t>340D0115</t>
  </si>
  <si>
    <t>340D0115EPR</t>
  </si>
  <si>
    <t>ACESSO A CASTROLANDA</t>
  </si>
  <si>
    <t>340|0110</t>
  </si>
  <si>
    <t>340S0110</t>
  </si>
  <si>
    <t>340S0110EPR</t>
  </si>
  <si>
    <t>ENTR. PR-090 (P/ CASTROLANDA)</t>
  </si>
  <si>
    <t>340|0090</t>
  </si>
  <si>
    <t>340S0090</t>
  </si>
  <si>
    <t>340S0090EPR</t>
  </si>
  <si>
    <t>FINAL DO PAVIM. (CACHOEIRA DE CIMA)</t>
  </si>
  <si>
    <t>AC. USINA PARIGOT DE SOUZA</t>
  </si>
  <si>
    <t>340|0052</t>
  </si>
  <si>
    <t>340S0052</t>
  </si>
  <si>
    <t>340S0052EPR</t>
  </si>
  <si>
    <t>ENTR. PR-405  (CACATU)</t>
  </si>
  <si>
    <t>340|0050</t>
  </si>
  <si>
    <t>340S0050</t>
  </si>
  <si>
    <t>340S0050EPR</t>
  </si>
  <si>
    <t>ENTR. PR-405 (CACATU)</t>
  </si>
  <si>
    <t>ENTR. PR-408 (ANTONINA)</t>
  </si>
  <si>
    <t>340|0030</t>
  </si>
  <si>
    <t>340S0030</t>
  </si>
  <si>
    <t>340S0030EPR</t>
  </si>
  <si>
    <t>ENTR. PR-170 (ROLÂNDIA)</t>
  </si>
  <si>
    <t>ENTR. BR-369 (ROLÂNDIA)</t>
  </si>
  <si>
    <t>323|0100</t>
  </si>
  <si>
    <t>323S</t>
  </si>
  <si>
    <t>323</t>
  </si>
  <si>
    <t>323S0100</t>
  </si>
  <si>
    <t>323S0100EPR</t>
  </si>
  <si>
    <t>ENTR. PR-488 (STA. HELENA)</t>
  </si>
  <si>
    <t>FINAL P. DUPLA SUB-SEDE S. FRANCISCO</t>
  </si>
  <si>
    <t>317|0450</t>
  </si>
  <si>
    <t>317S</t>
  </si>
  <si>
    <t>317</t>
  </si>
  <si>
    <t>317S0450</t>
  </si>
  <si>
    <t>317S0450EPR</t>
  </si>
  <si>
    <t>INÍCIO P. DUPLA SUB-SEDE S. FRANCISCO</t>
  </si>
  <si>
    <t>317|0440E</t>
  </si>
  <si>
    <t>317E</t>
  </si>
  <si>
    <t>0440</t>
  </si>
  <si>
    <t>317E0440</t>
  </si>
  <si>
    <t>317E0440EPR</t>
  </si>
  <si>
    <t>317|0440D</t>
  </si>
  <si>
    <t>317D</t>
  </si>
  <si>
    <t>317D0440</t>
  </si>
  <si>
    <t>317D0440EPR</t>
  </si>
  <si>
    <t>ENTR. PR-495 (SÃO CLEMENTE)</t>
  </si>
  <si>
    <t>317|0430</t>
  </si>
  <si>
    <t>317S0430</t>
  </si>
  <si>
    <t>317S0430EPR</t>
  </si>
  <si>
    <t>SÃO JOSÉ DAS PALMEIRAS (B)</t>
  </si>
  <si>
    <t>317|0410</t>
  </si>
  <si>
    <t>317S0410</t>
  </si>
  <si>
    <t>317S0410EPR</t>
  </si>
  <si>
    <t>SÃO JOSÉ DAS PALMEIRAS (A)</t>
  </si>
  <si>
    <t>317|0408</t>
  </si>
  <si>
    <t>317M</t>
  </si>
  <si>
    <t>0408</t>
  </si>
  <si>
    <t>317M0408</t>
  </si>
  <si>
    <t>317M0408MUN</t>
  </si>
  <si>
    <t>FINAL P. DUPLA OURO VERDE DO OESTE</t>
  </si>
  <si>
    <t>317|0405</t>
  </si>
  <si>
    <t>0405</t>
  </si>
  <si>
    <t>317S0405</t>
  </si>
  <si>
    <t>317S0405EPR</t>
  </si>
  <si>
    <t>INÍCIO P. DUPLA OURO VERDE DO OESTE</t>
  </si>
  <si>
    <t>317|0400E</t>
  </si>
  <si>
    <t>317E0400</t>
  </si>
  <si>
    <t>317E0400EPR</t>
  </si>
  <si>
    <t>317|0400D</t>
  </si>
  <si>
    <t>317D0400</t>
  </si>
  <si>
    <t>317D0400EPR</t>
  </si>
  <si>
    <t>AC. I TOLEDO</t>
  </si>
  <si>
    <t>317|0395</t>
  </si>
  <si>
    <t>317S0395</t>
  </si>
  <si>
    <t>317S0395EPR</t>
  </si>
  <si>
    <t>ENTR. PR-585 (P/ S. PEDRO DO IGUAÇU)</t>
  </si>
  <si>
    <t>317|0390</t>
  </si>
  <si>
    <t>317S0390</t>
  </si>
  <si>
    <t>317S0390EPR</t>
  </si>
  <si>
    <t>AC. II TOLEDO</t>
  </si>
  <si>
    <t>317|0388</t>
  </si>
  <si>
    <t>0388</t>
  </si>
  <si>
    <t>317S0388</t>
  </si>
  <si>
    <t>317S0388EPR</t>
  </si>
  <si>
    <t>AC. III TOLEDO (SADIA)</t>
  </si>
  <si>
    <t>317|0386E</t>
  </si>
  <si>
    <t>0386</t>
  </si>
  <si>
    <t>317E0386</t>
  </si>
  <si>
    <t>317E0386EPR</t>
  </si>
  <si>
    <t>317|0386D</t>
  </si>
  <si>
    <t>317D0386</t>
  </si>
  <si>
    <t>317D0386EPR</t>
  </si>
  <si>
    <t>ENTR. BR-163(B)</t>
  </si>
  <si>
    <t>317|0384</t>
  </si>
  <si>
    <t>0384</t>
  </si>
  <si>
    <t>317S0384</t>
  </si>
  <si>
    <t>317S0384EPR</t>
  </si>
  <si>
    <t>ENTR. PR-182  (TOLEDO)</t>
  </si>
  <si>
    <t>ENTR. PR-239 (B) (NÃO PAV.)</t>
  </si>
  <si>
    <t>317|0370</t>
  </si>
  <si>
    <t>317S0370</t>
  </si>
  <si>
    <t>317S0370EPR</t>
  </si>
  <si>
    <t>ENTR. PR-239 (A) (JESUÍTAS) (B)</t>
  </si>
  <si>
    <t>AC. II JESUÍTAS (A)</t>
  </si>
  <si>
    <t>317|0333</t>
  </si>
  <si>
    <t>0333</t>
  </si>
  <si>
    <t>317M0333</t>
  </si>
  <si>
    <t>317M0333MUN</t>
  </si>
  <si>
    <t>AC. II FORMOSA DO OESTE</t>
  </si>
  <si>
    <t>317|0330</t>
  </si>
  <si>
    <t>317S0330</t>
  </si>
  <si>
    <t>317S0330EPR</t>
  </si>
  <si>
    <t>AC. I FORMOSA DO OESTE</t>
  </si>
  <si>
    <t>317|0327</t>
  </si>
  <si>
    <t>0327</t>
  </si>
  <si>
    <t>317S0327</t>
  </si>
  <si>
    <t>317S0327EPR</t>
  </si>
  <si>
    <t>AC. CONSOLATA</t>
  </si>
  <si>
    <t>317|0325</t>
  </si>
  <si>
    <t>0325</t>
  </si>
  <si>
    <t>317S0325</t>
  </si>
  <si>
    <t>317S0325EPR</t>
  </si>
  <si>
    <t>317|0320</t>
  </si>
  <si>
    <t>0320</t>
  </si>
  <si>
    <t>317S0320</t>
  </si>
  <si>
    <t>317S0320EPR</t>
  </si>
  <si>
    <t>BANDEIRANTES DO OESTE</t>
  </si>
  <si>
    <t>317|0315</t>
  </si>
  <si>
    <t>0315</t>
  </si>
  <si>
    <t>317S0315</t>
  </si>
  <si>
    <t>317S0315EPR</t>
  </si>
  <si>
    <t>ENTR. PR-180 (B) (IV CENTENÁRIO)</t>
  </si>
  <si>
    <t>317|0310</t>
  </si>
  <si>
    <t>317S0310</t>
  </si>
  <si>
    <t>317S0310EPR</t>
  </si>
  <si>
    <t>ENTR. BR-487 (INTERS. P/ GOIOERÊ) (C. MOURÃO)</t>
  </si>
  <si>
    <t>ENTR. PR-558 (P/ ARARUNA)</t>
  </si>
  <si>
    <t>317|0253E</t>
  </si>
  <si>
    <t>0253</t>
  </si>
  <si>
    <t>317E0253</t>
  </si>
  <si>
    <t>317E0253EPR</t>
  </si>
  <si>
    <t>317|0253D</t>
  </si>
  <si>
    <t>317D0253</t>
  </si>
  <si>
    <t>317D0253EPR</t>
  </si>
  <si>
    <t>ENTR. PR-558 (P/ ARARUNA) (C. MOURÃO)</t>
  </si>
  <si>
    <t>ENTR. PR-317 (P/ PEABIRÚ)</t>
  </si>
  <si>
    <t>317|0250E</t>
  </si>
  <si>
    <t>317E0250</t>
  </si>
  <si>
    <t>317E0250EPR</t>
  </si>
  <si>
    <t>317|0250D</t>
  </si>
  <si>
    <t>317D0250</t>
  </si>
  <si>
    <t>317D0250EPR</t>
  </si>
  <si>
    <t>ENTR. AV. TANCREDO NEVES (CAMPO MOURÃO)</t>
  </si>
  <si>
    <t>317|0248</t>
  </si>
  <si>
    <t>0248</t>
  </si>
  <si>
    <t>317S0248</t>
  </si>
  <si>
    <t>317S0248EPR</t>
  </si>
  <si>
    <t>ENTR PRC-158 (ANEL VIÁRIO CAMPO MOURÃO)</t>
  </si>
  <si>
    <t>317|0247E</t>
  </si>
  <si>
    <t>0247</t>
  </si>
  <si>
    <t>317E0247</t>
  </si>
  <si>
    <t>317E0247EPR</t>
  </si>
  <si>
    <t>317|0247D</t>
  </si>
  <si>
    <t>317D0247</t>
  </si>
  <si>
    <t>317D0247EPR</t>
  </si>
  <si>
    <t>MARINGÁ (A) (INÍCIO P. DUPLA)</t>
  </si>
  <si>
    <t>ENTR. PR-454 (NÃO PAV.)</t>
  </si>
  <si>
    <t>317|0100</t>
  </si>
  <si>
    <t>317O</t>
  </si>
  <si>
    <t>317O0100</t>
  </si>
  <si>
    <t>317O0100EPR</t>
  </si>
  <si>
    <t>ENTR. PR-218 (IGUARAÇU)</t>
  </si>
  <si>
    <t>317|0090</t>
  </si>
  <si>
    <t>317O0090</t>
  </si>
  <si>
    <t>317O0090EPR</t>
  </si>
  <si>
    <t>ENTR. PR-550 (P/ MUNHOZ DE MELO)</t>
  </si>
  <si>
    <t>317|0073</t>
  </si>
  <si>
    <t>0073</t>
  </si>
  <si>
    <t>317S0073</t>
  </si>
  <si>
    <t>317S0073EPR</t>
  </si>
  <si>
    <t>ENTR. PR-458 (B) (P/ SANTA FÉ)</t>
  </si>
  <si>
    <t>317|0071</t>
  </si>
  <si>
    <t>0071</t>
  </si>
  <si>
    <t>317S0071</t>
  </si>
  <si>
    <t>317S0071EPR</t>
  </si>
  <si>
    <t>ENTR. PR-458 (A) (P/ LOBATO)</t>
  </si>
  <si>
    <t>317|0053</t>
  </si>
  <si>
    <t>317S0053</t>
  </si>
  <si>
    <t>317S0053EPR</t>
  </si>
  <si>
    <t>ENTR. PR-542 (N. SRA. DAS GRAÇAS)</t>
  </si>
  <si>
    <t>317|0051</t>
  </si>
  <si>
    <t>317S0051</t>
  </si>
  <si>
    <t>317S0051EPR</t>
  </si>
  <si>
    <t>ENTR. PR-463 (P/ COLORADO)</t>
  </si>
  <si>
    <t>317|0030</t>
  </si>
  <si>
    <t>317S0030</t>
  </si>
  <si>
    <t>317S0030EPR</t>
  </si>
  <si>
    <t>ENTR. PR-340 (STO. INÁCIO)</t>
  </si>
  <si>
    <t>317|0020</t>
  </si>
  <si>
    <t>317S0020</t>
  </si>
  <si>
    <t>317S0020EPR</t>
  </si>
  <si>
    <t>AC. STO. INÁCIO</t>
  </si>
  <si>
    <t>317|0015</t>
  </si>
  <si>
    <t>317S0015</t>
  </si>
  <si>
    <t>317S0015EPR</t>
  </si>
  <si>
    <t>PONTE S/ R. PARANAPANEMA (DIV. PR/SP)</t>
  </si>
  <si>
    <t>317|0011</t>
  </si>
  <si>
    <t>317S0011</t>
  </si>
  <si>
    <t>317S0011EPR</t>
  </si>
  <si>
    <t>RIO IGUAÇU (PORTO MOISÉS LUPION)</t>
  </si>
  <si>
    <t>ENTR.PR-889 (AC. PONTE INTERNAC.)</t>
  </si>
  <si>
    <t>281|0540</t>
  </si>
  <si>
    <t>281S</t>
  </si>
  <si>
    <t>0540</t>
  </si>
  <si>
    <t>281</t>
  </si>
  <si>
    <t>281S0540</t>
  </si>
  <si>
    <t>281S0540EPR</t>
  </si>
  <si>
    <t>ENTR. PR-582 (CAMBUÍ)</t>
  </si>
  <si>
    <t>281|0535</t>
  </si>
  <si>
    <t>0535</t>
  </si>
  <si>
    <t>281S0535</t>
  </si>
  <si>
    <t>281S0535EPR</t>
  </si>
  <si>
    <t>ENTR. BR-163 (B)</t>
  </si>
  <si>
    <t>281|0530</t>
  </si>
  <si>
    <t>281S0530</t>
  </si>
  <si>
    <t>281S0530EPR</t>
  </si>
  <si>
    <t>ENTR. BR-163 (A)</t>
  </si>
  <si>
    <t>PLANALTO</t>
  </si>
  <si>
    <t>281|0495</t>
  </si>
  <si>
    <t>281S0495</t>
  </si>
  <si>
    <t>281S0495EPR</t>
  </si>
  <si>
    <t>ENTR. PR-583 (SÃO VALÉRIO)</t>
  </si>
  <si>
    <t>281|0490</t>
  </si>
  <si>
    <t>281S0490</t>
  </si>
  <si>
    <t>281S0490EPR</t>
  </si>
  <si>
    <t>ENTR. PR-182 (B) P/ MARMELÂNDIA)</t>
  </si>
  <si>
    <t>281|0470</t>
  </si>
  <si>
    <t>281S0470</t>
  </si>
  <si>
    <t>281S0470EPR</t>
  </si>
  <si>
    <t>ENTR. PR-182 (A)</t>
  </si>
  <si>
    <t>ENTR. PR-880 (AC. A REALEZA)</t>
  </si>
  <si>
    <t>281|0430</t>
  </si>
  <si>
    <t>281S0430</t>
  </si>
  <si>
    <t>281S0430EPR</t>
  </si>
  <si>
    <t>STA. IZABEL DO OESTE (B)</t>
  </si>
  <si>
    <t>281|0410</t>
  </si>
  <si>
    <t>281S0410</t>
  </si>
  <si>
    <t>281S0410EPR</t>
  </si>
  <si>
    <t>STA. IZABEL DO OESTE (A)</t>
  </si>
  <si>
    <t>281|0400</t>
  </si>
  <si>
    <t>281M</t>
  </si>
  <si>
    <t>281M0400</t>
  </si>
  <si>
    <t>281M0400MUN</t>
  </si>
  <si>
    <t>ENTR. PR-471</t>
  </si>
  <si>
    <t>281|0390</t>
  </si>
  <si>
    <t>281S0390</t>
  </si>
  <si>
    <t>281S0390EPR</t>
  </si>
  <si>
    <t>SALTO DO LONTRA (B)</t>
  </si>
  <si>
    <t>281|0380</t>
  </si>
  <si>
    <t>281S0380</t>
  </si>
  <si>
    <t>281S0380EPR</t>
  </si>
  <si>
    <t>ENTR. PR-471 (PLAN.) (SALTO DO LONTRA)</t>
  </si>
  <si>
    <t>281|0375</t>
  </si>
  <si>
    <t>0375</t>
  </si>
  <si>
    <t>281M0375</t>
  </si>
  <si>
    <t>281M0375MUN</t>
  </si>
  <si>
    <t>ENTR. PR-180 (ALTO DA BELA VISTA)</t>
  </si>
  <si>
    <t>281|0370</t>
  </si>
  <si>
    <t>281S0370</t>
  </si>
  <si>
    <t>281S0370EPR</t>
  </si>
  <si>
    <t>ENTR. PR-473 (P/ CRUZ. DO IGUAÇU)</t>
  </si>
  <si>
    <t>281|0340</t>
  </si>
  <si>
    <t>281S0340</t>
  </si>
  <si>
    <t>281S0340EPR</t>
  </si>
  <si>
    <t>DOIS VIZINHOS (B)</t>
  </si>
  <si>
    <t>281|0330</t>
  </si>
  <si>
    <t>281S0330</t>
  </si>
  <si>
    <t>281S0330EPR</t>
  </si>
  <si>
    <t>DOIS VIZINHOS (A)</t>
  </si>
  <si>
    <t>281|0325</t>
  </si>
  <si>
    <t>281M0325</t>
  </si>
  <si>
    <t>281M0325MUN</t>
  </si>
  <si>
    <t>ENTR. PR-493 (DOIS VIZINHOS)</t>
  </si>
  <si>
    <t>281|0320</t>
  </si>
  <si>
    <t>281S0320</t>
  </si>
  <si>
    <t>281S0320EPR</t>
  </si>
  <si>
    <t>ENTR. PR-475 (P/ SÃO JORGE DO OESTE)</t>
  </si>
  <si>
    <t>281|0310</t>
  </si>
  <si>
    <t>281S0310</t>
  </si>
  <si>
    <t>281S0310EPR</t>
  </si>
  <si>
    <t>AC. OURO VERDE</t>
  </si>
  <si>
    <t>281|0306</t>
  </si>
  <si>
    <t>0306</t>
  </si>
  <si>
    <t>281S0306</t>
  </si>
  <si>
    <t>281S0306EPR</t>
  </si>
  <si>
    <t>ENTR. ROD. MUN. P/ SULINA (VILA PARAÍSO)</t>
  </si>
  <si>
    <t>281|0304</t>
  </si>
  <si>
    <t>0304</t>
  </si>
  <si>
    <t>281S0304</t>
  </si>
  <si>
    <t>281S0304EPR</t>
  </si>
  <si>
    <t>AC. NORTE SÃO JOÃO</t>
  </si>
  <si>
    <t>281|0300</t>
  </si>
  <si>
    <t>281S0300</t>
  </si>
  <si>
    <t>281S0300EPR</t>
  </si>
  <si>
    <t>ENTR. PR-562/570(PLAN.) (SÃO JOÃO)</t>
  </si>
  <si>
    <t>281|0290</t>
  </si>
  <si>
    <t>281S0290</t>
  </si>
  <si>
    <t>281S0290EPR</t>
  </si>
  <si>
    <t>ENTR. BR-158 (P/ SAUDADE DO IGUAÇU)</t>
  </si>
  <si>
    <t>281|0270</t>
  </si>
  <si>
    <t>0270</t>
  </si>
  <si>
    <t>281S0270</t>
  </si>
  <si>
    <t>281S0270EPR</t>
  </si>
  <si>
    <t>ENTR. PRC-158 (A) (CHOPINZINHO) (A)</t>
  </si>
  <si>
    <t>ENTR. BR-373 (B)</t>
  </si>
  <si>
    <t>281|0230</t>
  </si>
  <si>
    <t>281S0230</t>
  </si>
  <si>
    <t>281S0230EPR</t>
  </si>
  <si>
    <t>ENTR. BR-373 (A) (P/ CEL. VIVIDA)</t>
  </si>
  <si>
    <t>ENTR. PR-459 (P/ PALMAS)</t>
  </si>
  <si>
    <t>281|0190</t>
  </si>
  <si>
    <t>281S0190</t>
  </si>
  <si>
    <t>281S0190EPR</t>
  </si>
  <si>
    <t>MANGUEIRINHA</t>
  </si>
  <si>
    <t>281|0170</t>
  </si>
  <si>
    <t>281S0170</t>
  </si>
  <si>
    <t>281S0170EPR</t>
  </si>
  <si>
    <t>ENTR. BR-476 (A)</t>
  </si>
  <si>
    <t>ANTONIO OLINTO (B)</t>
  </si>
  <si>
    <t>281|0090</t>
  </si>
  <si>
    <t>281S0090</t>
  </si>
  <si>
    <t>281S0090EPR</t>
  </si>
  <si>
    <t>PIÊN (A)</t>
  </si>
  <si>
    <t>ENTR. PR-420</t>
  </si>
  <si>
    <t>281|0060</t>
  </si>
  <si>
    <t>281S0060</t>
  </si>
  <si>
    <t>281S0060EPR</t>
  </si>
  <si>
    <t>AC. SECUND. NÃO PAV. AGUDOS DO SUL</t>
  </si>
  <si>
    <t>281|0055</t>
  </si>
  <si>
    <t>281S0055</t>
  </si>
  <si>
    <t>281S0055EPR</t>
  </si>
  <si>
    <t>AC. PRINCIPAL AGUDOS DO SUL</t>
  </si>
  <si>
    <t>281|0050</t>
  </si>
  <si>
    <t>281S0050</t>
  </si>
  <si>
    <t>281S0050EPR</t>
  </si>
  <si>
    <t>ENTR. PR-419</t>
  </si>
  <si>
    <t>281|0040</t>
  </si>
  <si>
    <t>281S0040</t>
  </si>
  <si>
    <t>281S0040EPR</t>
  </si>
  <si>
    <t>AGUDOS DO SUL</t>
  </si>
  <si>
    <t>281|0035</t>
  </si>
  <si>
    <t>281S0035</t>
  </si>
  <si>
    <t>281S0035EPR</t>
  </si>
  <si>
    <t>LAGOINHA</t>
  </si>
  <si>
    <t>281|0030</t>
  </si>
  <si>
    <t>281S0030</t>
  </si>
  <si>
    <t>281S0030EPR</t>
  </si>
  <si>
    <t>TIJUCAS DO SUL (B)</t>
  </si>
  <si>
    <t>281|0020</t>
  </si>
  <si>
    <t>281S0020</t>
  </si>
  <si>
    <t>281S0020EPR</t>
  </si>
  <si>
    <t>TIJUCAS DO SUL (A)</t>
  </si>
  <si>
    <t>281|0015</t>
  </si>
  <si>
    <t>281M0015</t>
  </si>
  <si>
    <t>281M0015MUN</t>
  </si>
  <si>
    <t>281|0010</t>
  </si>
  <si>
    <t>281S0010</t>
  </si>
  <si>
    <t>281S0010EPR</t>
  </si>
  <si>
    <t>ACESSO AO PARQUE MUNICIPAL LAGO AZUL</t>
  </si>
  <si>
    <t>ACESSO A MARIÓPOLIS</t>
  </si>
  <si>
    <t>280|0150</t>
  </si>
  <si>
    <t>280S</t>
  </si>
  <si>
    <t>280</t>
  </si>
  <si>
    <t>280S0150</t>
  </si>
  <si>
    <t>280S0150PRC</t>
  </si>
  <si>
    <t>ACESSO A CLEVELÂNDIA</t>
  </si>
  <si>
    <t>280|0130</t>
  </si>
  <si>
    <t>280S0130</t>
  </si>
  <si>
    <t>280S0130PRC</t>
  </si>
  <si>
    <t>ENTR. PR-459</t>
  </si>
  <si>
    <t>280|0120</t>
  </si>
  <si>
    <t>280S0120</t>
  </si>
  <si>
    <t>280S0120PRC</t>
  </si>
  <si>
    <t>ACESSO A ABELARDO LUZ</t>
  </si>
  <si>
    <t>280|0110</t>
  </si>
  <si>
    <t>280S0110</t>
  </si>
  <si>
    <t>280S0110PRC</t>
  </si>
  <si>
    <t>280|0100</t>
  </si>
  <si>
    <t>280S0100</t>
  </si>
  <si>
    <t>280S0100PRC</t>
  </si>
  <si>
    <t>ACESSO OESTE A PALMAS</t>
  </si>
  <si>
    <t>280|0095</t>
  </si>
  <si>
    <t>280S0095</t>
  </si>
  <si>
    <t>280S0095PRC</t>
  </si>
  <si>
    <t>ACESSO LESTE A PALMAS</t>
  </si>
  <si>
    <t>280|0093</t>
  </si>
  <si>
    <t>280S0093</t>
  </si>
  <si>
    <t>280S0093PRC</t>
  </si>
  <si>
    <t>INÍCIO DO PAVIMENTO DE CONCRETO</t>
  </si>
  <si>
    <t>280|0080</t>
  </si>
  <si>
    <t>280S0080PRC</t>
  </si>
  <si>
    <t>ENTR. BR-153 (A) PR-446</t>
  </si>
  <si>
    <t>DIVISA PR/SC (UNIÃO DA VITÓRIA/PORTO UNIÃO)</t>
  </si>
  <si>
    <t>280|0010</t>
  </si>
  <si>
    <t>280S0010</t>
  </si>
  <si>
    <t>280S0010PRC</t>
  </si>
  <si>
    <t>ENTR. PRC-466 (PORTO UBÁ)</t>
  </si>
  <si>
    <t>AC. SÃO DOMINGOS</t>
  </si>
  <si>
    <t>272|0320</t>
  </si>
  <si>
    <t>272S</t>
  </si>
  <si>
    <t>272</t>
  </si>
  <si>
    <t>272S0320</t>
  </si>
  <si>
    <t>272S0320PRC</t>
  </si>
  <si>
    <t>ENTR. PR-453 (P/ BORRAZÓPOLIS)</t>
  </si>
  <si>
    <t>272|0310</t>
  </si>
  <si>
    <t>272S0310</t>
  </si>
  <si>
    <t>272S0310PRC</t>
  </si>
  <si>
    <t>ACESSO CRUZMALTINA</t>
  </si>
  <si>
    <t>272|0300</t>
  </si>
  <si>
    <t>272S0300</t>
  </si>
  <si>
    <t>272S0300PRC</t>
  </si>
  <si>
    <t>ENTR. PR-451 (P/ GRANDES RIOS)</t>
  </si>
  <si>
    <t>272|0290</t>
  </si>
  <si>
    <t>272S0290</t>
  </si>
  <si>
    <t>272S0290PRC</t>
  </si>
  <si>
    <t>AC. II FAXINAL</t>
  </si>
  <si>
    <t>272|0280</t>
  </si>
  <si>
    <t>0280</t>
  </si>
  <si>
    <t>272S0280</t>
  </si>
  <si>
    <t>272S0280PRC</t>
  </si>
  <si>
    <t>AC. I FAXINAL</t>
  </si>
  <si>
    <t>272|0270</t>
  </si>
  <si>
    <t>272S0270</t>
  </si>
  <si>
    <t>272S0270PRC</t>
  </si>
  <si>
    <t>ENTR. BR-376 PR-445 BR-272(PLAN.) (MAUÁ)</t>
  </si>
  <si>
    <t>272|0250</t>
  </si>
  <si>
    <t>272S0250</t>
  </si>
  <si>
    <t>272S0250PRC</t>
  </si>
  <si>
    <t>ENTR. PR-160 (FIGUEIRA)</t>
  </si>
  <si>
    <t>ENTR. PR-435</t>
  </si>
  <si>
    <t>272|0190</t>
  </si>
  <si>
    <t>272S0190</t>
  </si>
  <si>
    <t>272S0190PRC</t>
  </si>
  <si>
    <t>ENTR. BR-153(B) PRC-153 (IBAITI)</t>
  </si>
  <si>
    <t>272|0170</t>
  </si>
  <si>
    <t>272S0170</t>
  </si>
  <si>
    <t>272S0170PRC</t>
  </si>
  <si>
    <t>ACESSO SECUND. JAPIRA</t>
  </si>
  <si>
    <t>272|0140</t>
  </si>
  <si>
    <t>272S0140</t>
  </si>
  <si>
    <t>272S0140PRC</t>
  </si>
  <si>
    <t>272|0135</t>
  </si>
  <si>
    <t>272S0135</t>
  </si>
  <si>
    <t>272S0135PRC</t>
  </si>
  <si>
    <t>ACESSO A JAPIRA</t>
  </si>
  <si>
    <t>272|0130E</t>
  </si>
  <si>
    <t>272E</t>
  </si>
  <si>
    <t>272E0130</t>
  </si>
  <si>
    <t>272E0130PRC</t>
  </si>
  <si>
    <t>272|0130D</t>
  </si>
  <si>
    <t>272D</t>
  </si>
  <si>
    <t>272D0130</t>
  </si>
  <si>
    <t>272D0130PRC</t>
  </si>
  <si>
    <t>ENTR. PR-960 (AC. A JABOTI)</t>
  </si>
  <si>
    <t>272|0110</t>
  </si>
  <si>
    <t>272S0110</t>
  </si>
  <si>
    <t>272S0110PRC</t>
  </si>
  <si>
    <t>PINHALÃO (B)</t>
  </si>
  <si>
    <t>272|0100</t>
  </si>
  <si>
    <t>272S0100</t>
  </si>
  <si>
    <t>272S0100PRC</t>
  </si>
  <si>
    <t>PINHALÃO (A)</t>
  </si>
  <si>
    <t>272|0095</t>
  </si>
  <si>
    <t>272M</t>
  </si>
  <si>
    <t>272M0095</t>
  </si>
  <si>
    <t>272M0095MUN</t>
  </si>
  <si>
    <t>ACESSO I PINHALÃO</t>
  </si>
  <si>
    <t>272|0090</t>
  </si>
  <si>
    <t>272S0090</t>
  </si>
  <si>
    <t>272S0090PRC</t>
  </si>
  <si>
    <t>RIO DAS CINZAS (TOMAZINA)</t>
  </si>
  <si>
    <t>272|0080</t>
  </si>
  <si>
    <t>272S0080</t>
  </si>
  <si>
    <t>272S0080PRC</t>
  </si>
  <si>
    <t>ENTR. PR-422 (TOMAZINA)</t>
  </si>
  <si>
    <t>272|0070</t>
  </si>
  <si>
    <t>272S0070</t>
  </si>
  <si>
    <t>272S0070PRC</t>
  </si>
  <si>
    <t>AC. III SIQUEIRA CAMPOS</t>
  </si>
  <si>
    <t>272|0060</t>
  </si>
  <si>
    <t>272S0060</t>
  </si>
  <si>
    <t>272S0060PRC</t>
  </si>
  <si>
    <t>ENTR. PR-092 (B)</t>
  </si>
  <si>
    <t>272|0050</t>
  </si>
  <si>
    <t>272S0050</t>
  </si>
  <si>
    <t>272S0050PRC</t>
  </si>
  <si>
    <t>SANTANA DO ITARARÉ (B)</t>
  </si>
  <si>
    <t>ENTR. PR-151 (B) (SANT. ITARARÉ) (A)</t>
  </si>
  <si>
    <t>272|0014</t>
  </si>
  <si>
    <t>272M0014</t>
  </si>
  <si>
    <t>272M0014MUN</t>
  </si>
  <si>
    <t>ENTR.PR-151(A)(NÃO PAV.) (P/ SALTO DO ITARARÉ)</t>
  </si>
  <si>
    <t>272|0013</t>
  </si>
  <si>
    <t>272S0013</t>
  </si>
  <si>
    <t>272S0013PRC</t>
  </si>
  <si>
    <t>ENTR. PR-151 (A) (NÃO PAV.) (P/ SALTO DO ITARARÉ)</t>
  </si>
  <si>
    <t>DIVISA PR/SP</t>
  </si>
  <si>
    <t>272|0010</t>
  </si>
  <si>
    <t>272S0010</t>
  </si>
  <si>
    <t>272S0010PRC</t>
  </si>
  <si>
    <t>QUATRO PONTES (B)</t>
  </si>
  <si>
    <t>239|0475</t>
  </si>
  <si>
    <t>239S</t>
  </si>
  <si>
    <t>0475</t>
  </si>
  <si>
    <t>239</t>
  </si>
  <si>
    <t>239S0475</t>
  </si>
  <si>
    <t>239S0475EPR</t>
  </si>
  <si>
    <t>QUATRO PONTES (A)</t>
  </si>
  <si>
    <t>239|0473</t>
  </si>
  <si>
    <t>239M</t>
  </si>
  <si>
    <t>0473</t>
  </si>
  <si>
    <t>239M0473</t>
  </si>
  <si>
    <t>239M0473MUN</t>
  </si>
  <si>
    <t>ENTR. PR-589 (NOVO SARANDI)</t>
  </si>
  <si>
    <t>239|0470</t>
  </si>
  <si>
    <t>239S0470</t>
  </si>
  <si>
    <t>239S0470EPR</t>
  </si>
  <si>
    <t>INÍCIO P. URBANO NOVO SARANDI</t>
  </si>
  <si>
    <t>239|0465</t>
  </si>
  <si>
    <t>0465</t>
  </si>
  <si>
    <t>239S0465</t>
  </si>
  <si>
    <t>239S0465EPR</t>
  </si>
  <si>
    <t>FINAL P. DUPLA VILA NOVA</t>
  </si>
  <si>
    <t>239|0460</t>
  </si>
  <si>
    <t>0460</t>
  </si>
  <si>
    <t>239S0460</t>
  </si>
  <si>
    <t>239S0460EPR</t>
  </si>
  <si>
    <t>INÍCIO P. DUPLA (V. NOVA)</t>
  </si>
  <si>
    <t>239|0455E</t>
  </si>
  <si>
    <t>239E</t>
  </si>
  <si>
    <t>0455</t>
  </si>
  <si>
    <t>239E0455</t>
  </si>
  <si>
    <t>239E0455EPR</t>
  </si>
  <si>
    <t>239|0455D</t>
  </si>
  <si>
    <t>239D</t>
  </si>
  <si>
    <t>239D0455</t>
  </si>
  <si>
    <t>239D0455EPR</t>
  </si>
  <si>
    <t>INÍCIO P. DUPLA VILA NOVA</t>
  </si>
  <si>
    <t>ENTR. PR-182 (B) (P/ MARIPÁ)</t>
  </si>
  <si>
    <t>239|0450</t>
  </si>
  <si>
    <t>239S0450</t>
  </si>
  <si>
    <t>239S0450EPR</t>
  </si>
  <si>
    <t>ENTR. PR-182 (A) (P/ TOLEDO)</t>
  </si>
  <si>
    <t>ENTR. PR-317(B) (BRAGANTINA)</t>
  </si>
  <si>
    <t>239|0430</t>
  </si>
  <si>
    <t>239O</t>
  </si>
  <si>
    <t>239O0430</t>
  </si>
  <si>
    <t>239O0430EPR</t>
  </si>
  <si>
    <t>ENTR. PR-317 (B) (BRAGANTINA)</t>
  </si>
  <si>
    <t>ENTR. PR-581 (P/ TUPÃSSI)</t>
  </si>
  <si>
    <t>239|0420</t>
  </si>
  <si>
    <t>0420</t>
  </si>
  <si>
    <t>239S0420</t>
  </si>
  <si>
    <t>239S0420EPR</t>
  </si>
  <si>
    <t>AC. SECUND. ASSIS CHATEAUBRIAND</t>
  </si>
  <si>
    <t>239|0415</t>
  </si>
  <si>
    <t>239S0415</t>
  </si>
  <si>
    <t>239S0415EPR</t>
  </si>
  <si>
    <t>AC. SECUND. A. CHATEAUBRIAND</t>
  </si>
  <si>
    <t>ENTR. PR-364/486 (ASSIS CHATEAUBRIAND (B))</t>
  </si>
  <si>
    <t>239|0410</t>
  </si>
  <si>
    <t>239S0410</t>
  </si>
  <si>
    <t>239S0410EPR</t>
  </si>
  <si>
    <t>ASSIS CHATEAUBRIAND (A)</t>
  </si>
  <si>
    <t>239|0395</t>
  </si>
  <si>
    <t>239M0395</t>
  </si>
  <si>
    <t>239M0395MUN</t>
  </si>
  <si>
    <t>ENTR. PR-317 (A) (JESUÍTAS)</t>
  </si>
  <si>
    <t>239|0390</t>
  </si>
  <si>
    <t>239S0390</t>
  </si>
  <si>
    <t>239S0390EPR</t>
  </si>
  <si>
    <t>ACESSO I JESUÍTAS</t>
  </si>
  <si>
    <t>239|0385</t>
  </si>
  <si>
    <t>239S0385</t>
  </si>
  <si>
    <t>239S0385EPR</t>
  </si>
  <si>
    <t>ACESSO IRACEMA DO OESTE</t>
  </si>
  <si>
    <t>239|0380</t>
  </si>
  <si>
    <t>239S0380</t>
  </si>
  <si>
    <t>239S0380EPR</t>
  </si>
  <si>
    <t>AC. NOVA AURORA</t>
  </si>
  <si>
    <t>239|0375</t>
  </si>
  <si>
    <t>239S0375</t>
  </si>
  <si>
    <t>239S0375EPR</t>
  </si>
  <si>
    <t>ENTR. PR-180 (NOVA AURORA)</t>
  </si>
  <si>
    <t>239|0370</t>
  </si>
  <si>
    <t>239S0370</t>
  </si>
  <si>
    <t>239S0370EPR</t>
  </si>
  <si>
    <t>ENTR. BR-369 (B) (P/CORBÉLIA)</t>
  </si>
  <si>
    <t>239|0350</t>
  </si>
  <si>
    <t>239S0350</t>
  </si>
  <si>
    <t>239S0350EPR</t>
  </si>
  <si>
    <t>ENTR. BR-369 (A)</t>
  </si>
  <si>
    <t>CAMPINA DA LAGOA (B)</t>
  </si>
  <si>
    <t>239|0310</t>
  </si>
  <si>
    <t>239S0310</t>
  </si>
  <si>
    <t>239S0310EPR</t>
  </si>
  <si>
    <t>239|0305</t>
  </si>
  <si>
    <t>239M0305</t>
  </si>
  <si>
    <t>239M0305MUN</t>
  </si>
  <si>
    <t>CAMPINA DA LAGOA (A)</t>
  </si>
  <si>
    <t>239|0302</t>
  </si>
  <si>
    <t>0302</t>
  </si>
  <si>
    <t>239M0302</t>
  </si>
  <si>
    <t>239M0302MUN</t>
  </si>
  <si>
    <t>ENTR. PR-364 (P/ ALTAMIRA DO PR)</t>
  </si>
  <si>
    <t>239|0300</t>
  </si>
  <si>
    <t>239S0300</t>
  </si>
  <si>
    <t>239S0300EPR</t>
  </si>
  <si>
    <t>NOVA CANTU (B)</t>
  </si>
  <si>
    <t>239|0290</t>
  </si>
  <si>
    <t>239S0290</t>
  </si>
  <si>
    <t>239S0290EPR</t>
  </si>
  <si>
    <t>NOVA CANTU (A)</t>
  </si>
  <si>
    <t>239|0285</t>
  </si>
  <si>
    <t>0285</t>
  </si>
  <si>
    <t>239M0285</t>
  </si>
  <si>
    <t>239M0285MUN</t>
  </si>
  <si>
    <t>ENTR. BR-158 (P/ C. MOURÃO)</t>
  </si>
  <si>
    <t>239|0280</t>
  </si>
  <si>
    <t>239S0280</t>
  </si>
  <si>
    <t>239S0280EPR</t>
  </si>
  <si>
    <t>RONCADOR (B)</t>
  </si>
  <si>
    <t>239|0270</t>
  </si>
  <si>
    <t>239S0270</t>
  </si>
  <si>
    <t>239S0270EPR</t>
  </si>
  <si>
    <t>ENTR. PR-462</t>
  </si>
  <si>
    <t>239|0268</t>
  </si>
  <si>
    <t>0268</t>
  </si>
  <si>
    <t>239M0268</t>
  </si>
  <si>
    <t>239M0268MUN</t>
  </si>
  <si>
    <t>239|0267</t>
  </si>
  <si>
    <t>0267</t>
  </si>
  <si>
    <t>239M0267</t>
  </si>
  <si>
    <t>239M0267MUN</t>
  </si>
  <si>
    <t>FINAL PISTA DUPLA MATO RICO</t>
  </si>
  <si>
    <t>INÍCIO EM PISTA DUPLA (MATO RICO)</t>
  </si>
  <si>
    <t>239|0245E</t>
  </si>
  <si>
    <t>239E0245</t>
  </si>
  <si>
    <t>239E0245EPR</t>
  </si>
  <si>
    <t>239|0245D</t>
  </si>
  <si>
    <t>239D0245</t>
  </si>
  <si>
    <t>239D0245EPR</t>
  </si>
  <si>
    <t>239|0235</t>
  </si>
  <si>
    <t>0235</t>
  </si>
  <si>
    <t>239O0235</t>
  </si>
  <si>
    <t>239O0235EPR</t>
  </si>
  <si>
    <t>ENTR. PRC-487 (TRÊS BICOS)</t>
  </si>
  <si>
    <t>ENTR. PR-441 (RESERVA (B))</t>
  </si>
  <si>
    <t>239|0210</t>
  </si>
  <si>
    <t>239S0210</t>
  </si>
  <si>
    <t>239S0210EPR</t>
  </si>
  <si>
    <t>ENTR. PR-090 (A) (P/ VENTANIA)</t>
  </si>
  <si>
    <t>ARAPOTI (B)</t>
  </si>
  <si>
    <t>239|0070</t>
  </si>
  <si>
    <t>239S0070</t>
  </si>
  <si>
    <t>239S0070EPR</t>
  </si>
  <si>
    <t>ENTR. PR-092 (ARAPOTI) (A)</t>
  </si>
  <si>
    <t>239|0050</t>
  </si>
  <si>
    <t>239M0050</t>
  </si>
  <si>
    <t>239M0050MUN</t>
  </si>
  <si>
    <t>QUERÊNCIA DO NORTE (B)</t>
  </si>
  <si>
    <t>QUERÊNCIA DO NORTE (A)</t>
  </si>
  <si>
    <t>218|0660</t>
  </si>
  <si>
    <t>218M</t>
  </si>
  <si>
    <t>0660</t>
  </si>
  <si>
    <t>218</t>
  </si>
  <si>
    <t>218M0660</t>
  </si>
  <si>
    <t>218M0660MUN</t>
  </si>
  <si>
    <t>STA. CRUZ DO MTE. CASTELO (B)</t>
  </si>
  <si>
    <t>218|0650</t>
  </si>
  <si>
    <t>218S</t>
  </si>
  <si>
    <t>0650</t>
  </si>
  <si>
    <t>218S0650</t>
  </si>
  <si>
    <t>218S0650EPR</t>
  </si>
  <si>
    <t>ENTR. MUNICIPAL (578)</t>
  </si>
  <si>
    <t>218|0640</t>
  </si>
  <si>
    <t>0640</t>
  </si>
  <si>
    <t>218M0640</t>
  </si>
  <si>
    <t>218M0640MUN</t>
  </si>
  <si>
    <t>STA. CRUZ DO M. CASTELO (A)</t>
  </si>
  <si>
    <t>218|0635</t>
  </si>
  <si>
    <t>0635</t>
  </si>
  <si>
    <t>218M0635</t>
  </si>
  <si>
    <t>218M0635MUN</t>
  </si>
  <si>
    <t>ENTR. PR-576 (STA. C. DO M. CASTELO)</t>
  </si>
  <si>
    <t>218|0633</t>
  </si>
  <si>
    <t>0633</t>
  </si>
  <si>
    <t>218S0633</t>
  </si>
  <si>
    <t>218S0633EPR</t>
  </si>
  <si>
    <t>ENTR. PR-478 (B) (P/ S. PEDRO DO PR.)</t>
  </si>
  <si>
    <t>218|0631</t>
  </si>
  <si>
    <t>0631</t>
  </si>
  <si>
    <t>218S0631</t>
  </si>
  <si>
    <t>218S0631EPR</t>
  </si>
  <si>
    <t>218|0610</t>
  </si>
  <si>
    <t>218S0610</t>
  </si>
  <si>
    <t>218S0610EPR</t>
  </si>
  <si>
    <t>ENTR. PR-182 (PLAN.) (LOANDA)</t>
  </si>
  <si>
    <t>218|0605</t>
  </si>
  <si>
    <t>218M0605</t>
  </si>
  <si>
    <t>218M0605MUN</t>
  </si>
  <si>
    <t>ENTR. PR-182 (STA. ISABEL DO IVAÍ)</t>
  </si>
  <si>
    <t>AC.SANTA ISABEL DO IVA</t>
  </si>
  <si>
    <t>218|0575</t>
  </si>
  <si>
    <t>0575</t>
  </si>
  <si>
    <t>218S0575</t>
  </si>
  <si>
    <t>218S0575EPR</t>
  </si>
  <si>
    <t>AC. SANTA ISABEL DO IVAÍ</t>
  </si>
  <si>
    <t>ENTR. PR-478 (A) (NÃO PAV.)</t>
  </si>
  <si>
    <t>218|0573</t>
  </si>
  <si>
    <t>0573</t>
  </si>
  <si>
    <t>218S0573</t>
  </si>
  <si>
    <t>218S0573EPR</t>
  </si>
  <si>
    <t>PLANALTINA DO PARANÁ (B)</t>
  </si>
  <si>
    <t>218|0571</t>
  </si>
  <si>
    <t>0571</t>
  </si>
  <si>
    <t>218S0571</t>
  </si>
  <si>
    <t>218S0571EPR</t>
  </si>
  <si>
    <t>PLANALTINA DO PARANÁ (A)</t>
  </si>
  <si>
    <t>218|0555</t>
  </si>
  <si>
    <t>0555</t>
  </si>
  <si>
    <t>218M0555</t>
  </si>
  <si>
    <t>218M0555MUN</t>
  </si>
  <si>
    <t>AMAPORÃ (B)</t>
  </si>
  <si>
    <t>218|0550</t>
  </si>
  <si>
    <t>218S0550</t>
  </si>
  <si>
    <t>218S0550EPR</t>
  </si>
  <si>
    <t>AMAPORÃ (A)</t>
  </si>
  <si>
    <t>218|0545</t>
  </si>
  <si>
    <t>0545</t>
  </si>
  <si>
    <t>218M0545</t>
  </si>
  <si>
    <t>218M0545MUN</t>
  </si>
  <si>
    <t>GRACIOSA</t>
  </si>
  <si>
    <t>218|0540</t>
  </si>
  <si>
    <t>218S0540</t>
  </si>
  <si>
    <t>218S0540EPR</t>
  </si>
  <si>
    <t>ENTR. PR-561 (PARANAVAÍ) (B)</t>
  </si>
  <si>
    <t>218|0530</t>
  </si>
  <si>
    <t>218S0530</t>
  </si>
  <si>
    <t>218S0530EPR</t>
  </si>
  <si>
    <t>ENTR. BR-376 (A)</t>
  </si>
  <si>
    <t>ENTR. PR-458 (ATALAIA)</t>
  </si>
  <si>
    <t>218|0470</t>
  </si>
  <si>
    <t>218S0470</t>
  </si>
  <si>
    <t>218S0470EPR</t>
  </si>
  <si>
    <t>ENTR. PR-461 (NÃO PAV.) (ÂNGULO)</t>
  </si>
  <si>
    <t>218|0450</t>
  </si>
  <si>
    <t>218S0450</t>
  </si>
  <si>
    <t>218S0450EPR</t>
  </si>
  <si>
    <t>ACESSO  ÂNGULO</t>
  </si>
  <si>
    <t>218|0440</t>
  </si>
  <si>
    <t>218S0440</t>
  </si>
  <si>
    <t>218S0440EPR</t>
  </si>
  <si>
    <t>ACESSO ÂNGULO</t>
  </si>
  <si>
    <t>ENTR. PR-317 (IGUARAÇU)</t>
  </si>
  <si>
    <t>218|0430</t>
  </si>
  <si>
    <t>218S0430</t>
  </si>
  <si>
    <t>218S0430EPR</t>
  </si>
  <si>
    <t>IGUARAÇU (B)</t>
  </si>
  <si>
    <t>218|0420</t>
  </si>
  <si>
    <t>218S0420</t>
  </si>
  <si>
    <t>218S0420EPR</t>
  </si>
  <si>
    <t>IGUARAÇU (A)</t>
  </si>
  <si>
    <t>218|0415 B</t>
  </si>
  <si>
    <t>218M0415</t>
  </si>
  <si>
    <t>218M0415MUN(B)</t>
  </si>
  <si>
    <t>218|0415 A</t>
  </si>
  <si>
    <t>218M0415MUN(A)</t>
  </si>
  <si>
    <t>218|0410</t>
  </si>
  <si>
    <t>218S0410</t>
  </si>
  <si>
    <t>218S0410EPR</t>
  </si>
  <si>
    <t>ENTR. PR-454 (B) (GRANADA)</t>
  </si>
  <si>
    <t>218|0390</t>
  </si>
  <si>
    <t>218S0390</t>
  </si>
  <si>
    <t>218S0390EPR</t>
  </si>
  <si>
    <t>ENTR. PR-454 (A) (P/ JAGUAPITÃ)</t>
  </si>
  <si>
    <t>218|0370</t>
  </si>
  <si>
    <t>218S0370</t>
  </si>
  <si>
    <t>218S0370EPR</t>
  </si>
  <si>
    <t>ENTR. PR-454(A) (P/ JAGUAPITÃ)</t>
  </si>
  <si>
    <t>ACESSO III ASTORGA</t>
  </si>
  <si>
    <t>218|0366</t>
  </si>
  <si>
    <t>0366</t>
  </si>
  <si>
    <t>218S0366</t>
  </si>
  <si>
    <t>218S0366EPR</t>
  </si>
  <si>
    <t>ACESSO II ASTORGA</t>
  </si>
  <si>
    <t>218|0364</t>
  </si>
  <si>
    <t>0364</t>
  </si>
  <si>
    <t>218S0364</t>
  </si>
  <si>
    <t>218S0364EPR</t>
  </si>
  <si>
    <t>ACESSO I  ASTORGA</t>
  </si>
  <si>
    <t>218|0360</t>
  </si>
  <si>
    <t>218S0360</t>
  </si>
  <si>
    <t>218S0360EPR</t>
  </si>
  <si>
    <t>INÍCIO PISTA DUPLA (ASTORGA)</t>
  </si>
  <si>
    <t>218|0355E</t>
  </si>
  <si>
    <t>218E</t>
  </si>
  <si>
    <t>0355</t>
  </si>
  <si>
    <t>218E0355</t>
  </si>
  <si>
    <t>218E0355EPR</t>
  </si>
  <si>
    <t>218|0355D</t>
  </si>
  <si>
    <t>218D</t>
  </si>
  <si>
    <t>218D0355</t>
  </si>
  <si>
    <t>218D0355EPR</t>
  </si>
  <si>
    <t>INÍCIO P. DUPLA (ASTORGA)</t>
  </si>
  <si>
    <t>ENTR. PR-547 (P/ PITANGUEIRAS)</t>
  </si>
  <si>
    <t>218|0350</t>
  </si>
  <si>
    <t>218S0350</t>
  </si>
  <si>
    <t>218S0350EPR</t>
  </si>
  <si>
    <t>ACESSO A SABÁUDIA</t>
  </si>
  <si>
    <t>218|0330</t>
  </si>
  <si>
    <t>218S0330</t>
  </si>
  <si>
    <t>218S0330EPR</t>
  </si>
  <si>
    <t>218|0327</t>
  </si>
  <si>
    <t>218S0327</t>
  </si>
  <si>
    <t>218S0327EPR</t>
  </si>
  <si>
    <t>ENTR. PR-444 (ARAPONGAS)</t>
  </si>
  <si>
    <t>218|0325E</t>
  </si>
  <si>
    <t>218E0325</t>
  </si>
  <si>
    <t>218E0325EPR</t>
  </si>
  <si>
    <t>218|0325D</t>
  </si>
  <si>
    <t>218D0325</t>
  </si>
  <si>
    <t>218D0325EPR</t>
  </si>
  <si>
    <t>ENTR. PR-445 (TRÊS MARCOS - LONDRINA) (B)</t>
  </si>
  <si>
    <t>TRÊS MARCOS - LONDRINA) (A)</t>
  </si>
  <si>
    <t>218|0312</t>
  </si>
  <si>
    <t>0312</t>
  </si>
  <si>
    <t>218M0312</t>
  </si>
  <si>
    <t>218M0312MUN</t>
  </si>
  <si>
    <t>TRÊS MARCOS (LONDRINA) (A)</t>
  </si>
  <si>
    <t>MARAVILHA (B)</t>
  </si>
  <si>
    <t>218|0310</t>
  </si>
  <si>
    <t>218S0310</t>
  </si>
  <si>
    <t>218S0310EPR</t>
  </si>
  <si>
    <t>ENTR. PR-525 (P/ NOVA AMÉRICA DA COLINA)</t>
  </si>
  <si>
    <t>218|0295</t>
  </si>
  <si>
    <t>0295</t>
  </si>
  <si>
    <t>218S0295</t>
  </si>
  <si>
    <t>218S0295EPR</t>
  </si>
  <si>
    <t>SÃO SEBASTIÃO DA AMOREIRA (B)</t>
  </si>
  <si>
    <t>218|0290</t>
  </si>
  <si>
    <t>218S0290</t>
  </si>
  <si>
    <t>218S0290EPR</t>
  </si>
  <si>
    <t>SÃO SEBASTIÃO DA AMOREIRA (A)</t>
  </si>
  <si>
    <t>218|0275</t>
  </si>
  <si>
    <t>218M0275</t>
  </si>
  <si>
    <t>218M0275MUN</t>
  </si>
  <si>
    <t>SANTO ANTONIO DO PARAÍSO (B)</t>
  </si>
  <si>
    <t>218|0270</t>
  </si>
  <si>
    <t>218S0270</t>
  </si>
  <si>
    <t>218S0270EPR</t>
  </si>
  <si>
    <t>SANTO ANTONIO DO PARAÍSO (A)</t>
  </si>
  <si>
    <t>218|0255</t>
  </si>
  <si>
    <t>0255</t>
  </si>
  <si>
    <t>218M0255</t>
  </si>
  <si>
    <t>218M0255MUN</t>
  </si>
  <si>
    <t>RIO CONGONHAS</t>
  </si>
  <si>
    <t>218|0250</t>
  </si>
  <si>
    <t>218S0250</t>
  </si>
  <si>
    <t>218S0250EPR</t>
  </si>
  <si>
    <t>ENTR. PR-160 (B) (P/ CONGONHINHAS)</t>
  </si>
  <si>
    <t>218|0230</t>
  </si>
  <si>
    <t>218S0230</t>
  </si>
  <si>
    <t>218S0230EPR</t>
  </si>
  <si>
    <t>ENTR. PR-160 (A) (N. FÁTIMA)</t>
  </si>
  <si>
    <t>ENTR. PR-436 (B) (RIBEIRÃO DO PINHAL) (B)</t>
  </si>
  <si>
    <t>218|0210</t>
  </si>
  <si>
    <t>218S0210</t>
  </si>
  <si>
    <t>218S0210EPR</t>
  </si>
  <si>
    <t>RIBEIRÃO DO PINHAL (A)</t>
  </si>
  <si>
    <t>218|0185</t>
  </si>
  <si>
    <t>218M0185</t>
  </si>
  <si>
    <t>218M0185MUN</t>
  </si>
  <si>
    <t>ENTR. PR-436 (A) (RIBEIRÃO DO PINHAL)</t>
  </si>
  <si>
    <t>218|0180</t>
  </si>
  <si>
    <t>218S0180</t>
  </si>
  <si>
    <t>218S0180EPR</t>
  </si>
  <si>
    <t>AC. II JUNDIAÍ DO SUL</t>
  </si>
  <si>
    <t>218|0170</t>
  </si>
  <si>
    <t>218S0170</t>
  </si>
  <si>
    <t>218S0170EPR</t>
  </si>
  <si>
    <t>AC. I JUNDIAÍ DO SUL</t>
  </si>
  <si>
    <t>218|0160</t>
  </si>
  <si>
    <t>218S0160</t>
  </si>
  <si>
    <t>218S0160EPR</t>
  </si>
  <si>
    <t>AC.I JUNDIAÍ DO SUL</t>
  </si>
  <si>
    <t>ENTR. BR-153 (B) (P/ CONS. MAIRINCK)</t>
  </si>
  <si>
    <t>218|0150</t>
  </si>
  <si>
    <t>218S0150</t>
  </si>
  <si>
    <t>218S0150EPR</t>
  </si>
  <si>
    <t>ENTR. BR-153 (A) (P/ STO. A. DA PLATINA)</t>
  </si>
  <si>
    <t>AC. GUAPIRAMA</t>
  </si>
  <si>
    <t>218|0110</t>
  </si>
  <si>
    <t>218S0110</t>
  </si>
  <si>
    <t>218S0110EPR</t>
  </si>
  <si>
    <t>218|0090</t>
  </si>
  <si>
    <t>218S0090</t>
  </si>
  <si>
    <t>218S0090EPR</t>
  </si>
  <si>
    <t>ENTR. PR-092 (A) (JOAQUIM TÁVORA) (B)</t>
  </si>
  <si>
    <t>JOAQUIM TÁVORA (A)</t>
  </si>
  <si>
    <t>218|0035</t>
  </si>
  <si>
    <t>218M0035</t>
  </si>
  <si>
    <t>218M0035MUN</t>
  </si>
  <si>
    <t>ENTR. PR-151 (NÃO PAV.)</t>
  </si>
  <si>
    <t>218|0030</t>
  </si>
  <si>
    <t>218S0030</t>
  </si>
  <si>
    <t>218S0030EPR</t>
  </si>
  <si>
    <t>CARLÓPOLIS (B)</t>
  </si>
  <si>
    <t>218|0020</t>
  </si>
  <si>
    <t>218S0020</t>
  </si>
  <si>
    <t>218S0020EPR</t>
  </si>
  <si>
    <t>ENTR. PR-151 (PLAN.) (CARLÓPOLIS)</t>
  </si>
  <si>
    <t>218|0017</t>
  </si>
  <si>
    <t>218M0017</t>
  </si>
  <si>
    <t>218M0017MUN</t>
  </si>
  <si>
    <t>CARLÓPOLIS (A)</t>
  </si>
  <si>
    <t>218|0015</t>
  </si>
  <si>
    <t>218M0015</t>
  </si>
  <si>
    <t>218M0015MUN</t>
  </si>
  <si>
    <t>218|0010</t>
  </si>
  <si>
    <t>218S0010</t>
  </si>
  <si>
    <t>218S0010EPR</t>
  </si>
  <si>
    <t>ENTR. BR-280 (DIVISA PR/SC)</t>
  </si>
  <si>
    <t>SALGADO FILHO (B)</t>
  </si>
  <si>
    <t>182|0510</t>
  </si>
  <si>
    <t>182S</t>
  </si>
  <si>
    <t>0510</t>
  </si>
  <si>
    <t>182</t>
  </si>
  <si>
    <t>182S0510</t>
  </si>
  <si>
    <t>182S0510EPR</t>
  </si>
  <si>
    <t>SALGADO FILHO (A)</t>
  </si>
  <si>
    <t>182|0505</t>
  </si>
  <si>
    <t>182M</t>
  </si>
  <si>
    <t>0505</t>
  </si>
  <si>
    <t>182M0505</t>
  </si>
  <si>
    <t>182M0505MUN</t>
  </si>
  <si>
    <t>FINAL PER. URBANO DE MANFRINÓPOLIS</t>
  </si>
  <si>
    <t>182|0500</t>
  </si>
  <si>
    <t>0500</t>
  </si>
  <si>
    <t>182S0500</t>
  </si>
  <si>
    <t>182S0500EPR</t>
  </si>
  <si>
    <t>IN. PER. URBANO DE MANFRINÓPOLIS</t>
  </si>
  <si>
    <t>182|0495</t>
  </si>
  <si>
    <t>182S0495</t>
  </si>
  <si>
    <t>182S0495EPR</t>
  </si>
  <si>
    <t>ENTR. PR-483 (JACUTINGA)</t>
  </si>
  <si>
    <t>182|0490</t>
  </si>
  <si>
    <t>182S0490</t>
  </si>
  <si>
    <t>182S0490EPR</t>
  </si>
  <si>
    <t>ENTR. BR-163(A) (TOLEDO)</t>
  </si>
  <si>
    <t>ENTR. PR-182 (A) (TOLEDO)</t>
  </si>
  <si>
    <t>182|0312</t>
  </si>
  <si>
    <t>182M0312</t>
  </si>
  <si>
    <t>182M0312MUN</t>
  </si>
  <si>
    <t>ENTR. PR-182 (A)  (TOLEDO)</t>
  </si>
  <si>
    <t>ENTR. PR-317 (A) (TOLEDO)</t>
  </si>
  <si>
    <t>182|0310E</t>
  </si>
  <si>
    <t>182E</t>
  </si>
  <si>
    <t>182E0310</t>
  </si>
  <si>
    <t>182E0310EPR</t>
  </si>
  <si>
    <t>182|0310D</t>
  </si>
  <si>
    <t>182D</t>
  </si>
  <si>
    <t>182D0310</t>
  </si>
  <si>
    <t>182D0310EPR</t>
  </si>
  <si>
    <t>182|0290</t>
  </si>
  <si>
    <t>182S0290</t>
  </si>
  <si>
    <t>182S0290EPR</t>
  </si>
  <si>
    <t>ENTR. PR-239 (A) (P/ NOVO SARANDI)</t>
  </si>
  <si>
    <t>182|0280</t>
  </si>
  <si>
    <t>182S0280</t>
  </si>
  <si>
    <t>182S0280EPR</t>
  </si>
  <si>
    <t>AC. PÉROLA INDEPENDENTE</t>
  </si>
  <si>
    <t>182|0275</t>
  </si>
  <si>
    <t>182S0275</t>
  </si>
  <si>
    <t>182S0275EPR</t>
  </si>
  <si>
    <t>ENTR. PR-491/873 (AC. A MARIPÁ)</t>
  </si>
  <si>
    <t>182|0270</t>
  </si>
  <si>
    <t>182S0270</t>
  </si>
  <si>
    <t>182S0270EPR</t>
  </si>
  <si>
    <t>182|0265</t>
  </si>
  <si>
    <t>0265</t>
  </si>
  <si>
    <t>182S0265</t>
  </si>
  <si>
    <t>182S0265EPR</t>
  </si>
  <si>
    <t>ENTR. PR-975 (OBRAS)</t>
  </si>
  <si>
    <t>AC. CONTORNO LESTE (B) PALOTINA</t>
  </si>
  <si>
    <t>182|0263</t>
  </si>
  <si>
    <t>0263</t>
  </si>
  <si>
    <t>182S0263</t>
  </si>
  <si>
    <t>182S0263EPR</t>
  </si>
  <si>
    <t>PALOTINA (B)</t>
  </si>
  <si>
    <t>182|0260</t>
  </si>
  <si>
    <t>182S0260</t>
  </si>
  <si>
    <t>182S0260EPR</t>
  </si>
  <si>
    <t>PALOTINA (H)</t>
  </si>
  <si>
    <t>182|0251</t>
  </si>
  <si>
    <t>0251</t>
  </si>
  <si>
    <t>182M0251</t>
  </si>
  <si>
    <t>182M0251MUN</t>
  </si>
  <si>
    <t>182|0250</t>
  </si>
  <si>
    <t>182M0250</t>
  </si>
  <si>
    <t>182M0250MUN</t>
  </si>
  <si>
    <t>PALOTINA (E)</t>
  </si>
  <si>
    <t>182|0249</t>
  </si>
  <si>
    <t>0249</t>
  </si>
  <si>
    <t>182M0249</t>
  </si>
  <si>
    <t>182M0249MUN</t>
  </si>
  <si>
    <t>182|0248</t>
  </si>
  <si>
    <t>182M0248</t>
  </si>
  <si>
    <t>182M0248MUN</t>
  </si>
  <si>
    <t>182|0247</t>
  </si>
  <si>
    <t>182M0247</t>
  </si>
  <si>
    <t>182M0247MUN</t>
  </si>
  <si>
    <t>PALOTINA (A)</t>
  </si>
  <si>
    <t>182|0246</t>
  </si>
  <si>
    <t>0246</t>
  </si>
  <si>
    <t>182M0246</t>
  </si>
  <si>
    <t>182M0246MUN</t>
  </si>
  <si>
    <t>ENTR. PR-975 CONTORNO LESTE (A) PALOTINA</t>
  </si>
  <si>
    <t>182|0245</t>
  </si>
  <si>
    <t>182S0245</t>
  </si>
  <si>
    <t>182S0245EPR</t>
  </si>
  <si>
    <t>182|0240</t>
  </si>
  <si>
    <t>182S0240</t>
  </si>
  <si>
    <t>182S0240EPR</t>
  </si>
  <si>
    <t>FRANCISCO ALVES (B)</t>
  </si>
  <si>
    <t>182|0230</t>
  </si>
  <si>
    <t>182S0230</t>
  </si>
  <si>
    <t>182S0230EPR</t>
  </si>
  <si>
    <t>AC. FRANCISCO ALVES (A)</t>
  </si>
  <si>
    <t>182|0225</t>
  </si>
  <si>
    <t>182M0225</t>
  </si>
  <si>
    <t>182M0225MUN</t>
  </si>
  <si>
    <t>PÉROLA (B)</t>
  </si>
  <si>
    <t>ENTR. PR-485/ PR-182</t>
  </si>
  <si>
    <t>182|0197</t>
  </si>
  <si>
    <t>0197</t>
  </si>
  <si>
    <t>182M0197</t>
  </si>
  <si>
    <t>182M0197MUN</t>
  </si>
  <si>
    <t>(PÉROLA) (A)</t>
  </si>
  <si>
    <t>ELISA</t>
  </si>
  <si>
    <t>182|0195</t>
  </si>
  <si>
    <t>182S0195</t>
  </si>
  <si>
    <t>182S0195EPR</t>
  </si>
  <si>
    <t>ENTR. PR-485(A) (VILA CASA BRANCA)</t>
  </si>
  <si>
    <t>182|0193</t>
  </si>
  <si>
    <t>0193</t>
  </si>
  <si>
    <t>182S0193</t>
  </si>
  <si>
    <t>182S0193EPR</t>
  </si>
  <si>
    <t>ENTR. PR-485 (A) (VILA CASA BRANCA)</t>
  </si>
  <si>
    <t>XAMBRÊ (B)</t>
  </si>
  <si>
    <t>182|0191</t>
  </si>
  <si>
    <t>0191</t>
  </si>
  <si>
    <t>182S0191</t>
  </si>
  <si>
    <t>182S0191EPR</t>
  </si>
  <si>
    <t>XAMBRÊ (A)</t>
  </si>
  <si>
    <t>182|0175</t>
  </si>
  <si>
    <t>182M0175</t>
  </si>
  <si>
    <t>182M0175MUN</t>
  </si>
  <si>
    <t>INÍCIO P. U. S. DOS DOURADOS</t>
  </si>
  <si>
    <t>ENTR. PR-682 (SERRA DOS DOURADOS)</t>
  </si>
  <si>
    <t>182|0165</t>
  </si>
  <si>
    <t>182S0165</t>
  </si>
  <si>
    <t>182S0165EPR</t>
  </si>
  <si>
    <t>ENTR. PR-969 (AC. A SANTA ELISA)</t>
  </si>
  <si>
    <t>182|0163</t>
  </si>
  <si>
    <t>0163</t>
  </si>
  <si>
    <t>182S0163</t>
  </si>
  <si>
    <t>182S0163EPR</t>
  </si>
  <si>
    <t>IVATÉ (B)</t>
  </si>
  <si>
    <t>182|0160</t>
  </si>
  <si>
    <t>182S0160</t>
  </si>
  <si>
    <t>182S0160EPR</t>
  </si>
  <si>
    <t>IVATÉ (C)</t>
  </si>
  <si>
    <t>ENTR. PR-182 (PLA) (IVATÉ)</t>
  </si>
  <si>
    <t>182|0155</t>
  </si>
  <si>
    <t>0155</t>
  </si>
  <si>
    <t>182M0155</t>
  </si>
  <si>
    <t>182M0155MUN</t>
  </si>
  <si>
    <t>ENTR. PR-218 (STA. IZABEL DO IVAÍ) (A)</t>
  </si>
  <si>
    <t>182|0130</t>
  </si>
  <si>
    <t>182S0130</t>
  </si>
  <si>
    <t>182S0130EPR</t>
  </si>
  <si>
    <t>ENTR. PR-218 (PLAN.) (LOANDA)</t>
  </si>
  <si>
    <t>182|0125</t>
  </si>
  <si>
    <t>182M0125</t>
  </si>
  <si>
    <t>182M0125MUN</t>
  </si>
  <si>
    <t>ENTR. PR-478 (PLAN.) (LOANDA)</t>
  </si>
  <si>
    <t>182|0120</t>
  </si>
  <si>
    <t>182M0120</t>
  </si>
  <si>
    <t>182M0120MUN</t>
  </si>
  <si>
    <t>LOANDA (A)</t>
  </si>
  <si>
    <t>182|0115</t>
  </si>
  <si>
    <t>182M0115</t>
  </si>
  <si>
    <t>182M0115MUN</t>
  </si>
  <si>
    <t>182|0110</t>
  </si>
  <si>
    <t>182S0110</t>
  </si>
  <si>
    <t>182S0110EPR</t>
  </si>
  <si>
    <t>CAMPO ERÊ (DIVISA PR/SC)</t>
  </si>
  <si>
    <t>ENTR. PR-884 (AC. A RENASCENÇA)</t>
  </si>
  <si>
    <t>180|0440</t>
  </si>
  <si>
    <t>180S</t>
  </si>
  <si>
    <t>180</t>
  </si>
  <si>
    <t>180S0440</t>
  </si>
  <si>
    <t>180S0440EPR</t>
  </si>
  <si>
    <t>ENTR. PRC-280 (MARMELEIRO)</t>
  </si>
  <si>
    <t>180|0430</t>
  </si>
  <si>
    <t>180S0430</t>
  </si>
  <si>
    <t>180S0430EPR</t>
  </si>
  <si>
    <t>ENTR.PR-483/892 (FCO. BELTRÃO)</t>
  </si>
  <si>
    <t>ENTR. PR-566 (P/ ITAPEJARA DO OESTE)</t>
  </si>
  <si>
    <t>180|0391</t>
  </si>
  <si>
    <t>0391</t>
  </si>
  <si>
    <t>180S0391</t>
  </si>
  <si>
    <t>180S0391EPR</t>
  </si>
  <si>
    <t>ACESSO FCO. BELTRÃO (B)</t>
  </si>
  <si>
    <t>RIO STA. ROSA (FRANCISCO BELTRÃO) (A)</t>
  </si>
  <si>
    <t>180|0375</t>
  </si>
  <si>
    <t>180M</t>
  </si>
  <si>
    <t>180M0375</t>
  </si>
  <si>
    <t>180M0375MUN</t>
  </si>
  <si>
    <t>CONTORNO NOROESTE  DE FCO. BELTRÃO(A)</t>
  </si>
  <si>
    <t>180|0373</t>
  </si>
  <si>
    <t>0373</t>
  </si>
  <si>
    <t>180S0373</t>
  </si>
  <si>
    <t>180S0373EPR</t>
  </si>
  <si>
    <t>ENTR. PR-475 (FCO. BELTRÃO)</t>
  </si>
  <si>
    <t>180|0371</t>
  </si>
  <si>
    <t>0371</t>
  </si>
  <si>
    <t>180S0371</t>
  </si>
  <si>
    <t>180S0371EPR</t>
  </si>
  <si>
    <t>ENTR. PR-471 (VISTA ALEGRE)</t>
  </si>
  <si>
    <t>180|0370</t>
  </si>
  <si>
    <t>180S0370</t>
  </si>
  <si>
    <t>180S0370EPR</t>
  </si>
  <si>
    <t>ENTR. PR-281 (ALTO DA BELA VISTA)</t>
  </si>
  <si>
    <t>180|0350</t>
  </si>
  <si>
    <t>180S0350</t>
  </si>
  <si>
    <t>180S0350EPR</t>
  </si>
  <si>
    <t>BOA VISTA DA APARECIDA</t>
  </si>
  <si>
    <t>INTERS. AC. P/ SÃO CRISTÓVÃO</t>
  </si>
  <si>
    <t>180|0344</t>
  </si>
  <si>
    <t>0344</t>
  </si>
  <si>
    <t>180S0344</t>
  </si>
  <si>
    <t>180S0344EPR</t>
  </si>
  <si>
    <t>ENTR. PR-484 (P/ TRÊS BARRAS)</t>
  </si>
  <si>
    <t>180|0342</t>
  </si>
  <si>
    <t>0342</t>
  </si>
  <si>
    <t>180S0342</t>
  </si>
  <si>
    <t>180S0342EPR</t>
  </si>
  <si>
    <t>JUVINÓPOLIS</t>
  </si>
  <si>
    <t>180|0340</t>
  </si>
  <si>
    <t>180S0340</t>
  </si>
  <si>
    <t>180S0340EPR</t>
  </si>
  <si>
    <t>ENTR. BR-277 (B) (POSTO FISCAL)</t>
  </si>
  <si>
    <t>180|0330</t>
  </si>
  <si>
    <t>180S0330</t>
  </si>
  <si>
    <t>180S0330EPR</t>
  </si>
  <si>
    <t>ENTR. BR-467</t>
  </si>
  <si>
    <t>CASCAVEL (A)</t>
  </si>
  <si>
    <t>180|0323</t>
  </si>
  <si>
    <t>0323</t>
  </si>
  <si>
    <t>180M0323</t>
  </si>
  <si>
    <t>180M0323MUN</t>
  </si>
  <si>
    <t>INÍCIO DO PAVIMENTO (COL. MELISSA)</t>
  </si>
  <si>
    <t>180|0322</t>
  </si>
  <si>
    <t>0322</t>
  </si>
  <si>
    <t>180S0322</t>
  </si>
  <si>
    <t>180S0322EPR</t>
  </si>
  <si>
    <t>FIM DO PAVIMENTO (STA. CRUZ)</t>
  </si>
  <si>
    <t>ENTR. AC. IV A CAFELÂNDIA</t>
  </si>
  <si>
    <t>180|0320</t>
  </si>
  <si>
    <t>180S0320</t>
  </si>
  <si>
    <t>180S0320EPR</t>
  </si>
  <si>
    <t>ENTR. AC. III A CAFELÂNDIA</t>
  </si>
  <si>
    <t>180|0317E</t>
  </si>
  <si>
    <t>180E</t>
  </si>
  <si>
    <t>0317</t>
  </si>
  <si>
    <t>180E0317</t>
  </si>
  <si>
    <t>180E0317EPR</t>
  </si>
  <si>
    <t>180|0317D</t>
  </si>
  <si>
    <t>180D</t>
  </si>
  <si>
    <t>180D0317</t>
  </si>
  <si>
    <t>180D0317EPR</t>
  </si>
  <si>
    <t>ENTR. PR-574 (NÃO PAV.) E AC. II A CAFELÂNDIA</t>
  </si>
  <si>
    <t>180|0315E</t>
  </si>
  <si>
    <t>180E0315</t>
  </si>
  <si>
    <t>180E0315EPR</t>
  </si>
  <si>
    <t>180|0315D</t>
  </si>
  <si>
    <t>180D0315</t>
  </si>
  <si>
    <t>180D0315EPR</t>
  </si>
  <si>
    <t>ENTR. AC. I A CAFELÂNDIA</t>
  </si>
  <si>
    <t>180|0313</t>
  </si>
  <si>
    <t>0313</t>
  </si>
  <si>
    <t>180S0313</t>
  </si>
  <si>
    <t>180S0313EPR</t>
  </si>
  <si>
    <t>180|0310</t>
  </si>
  <si>
    <t>180S0310</t>
  </si>
  <si>
    <t>180S0310EPR</t>
  </si>
  <si>
    <t>180|0307</t>
  </si>
  <si>
    <t>0307</t>
  </si>
  <si>
    <t>180M0307</t>
  </si>
  <si>
    <t>180M0307MUN</t>
  </si>
  <si>
    <t>PALMITAL</t>
  </si>
  <si>
    <t>180|0305</t>
  </si>
  <si>
    <t>180S0305</t>
  </si>
  <si>
    <t>180S0305EPR</t>
  </si>
  <si>
    <t>180|0300</t>
  </si>
  <si>
    <t>180S0300</t>
  </si>
  <si>
    <t>180S0300EPR</t>
  </si>
  <si>
    <t>ENTR. PR-317 (IV CENTENÁRIO)</t>
  </si>
  <si>
    <t>180|0290</t>
  </si>
  <si>
    <t>180S0290</t>
  </si>
  <si>
    <t>180S0290EPR</t>
  </si>
  <si>
    <t>ENTR. PR-317 (IV CENT.)</t>
  </si>
  <si>
    <t>IV CENTENÁRIO (B)</t>
  </si>
  <si>
    <t>180|0280</t>
  </si>
  <si>
    <t>180S0280</t>
  </si>
  <si>
    <t>180S0280EPR</t>
  </si>
  <si>
    <t>IV CENTENÁRIO (A)</t>
  </si>
  <si>
    <t>180|0277</t>
  </si>
  <si>
    <t>0277</t>
  </si>
  <si>
    <t>180M0277</t>
  </si>
  <si>
    <t>180M0277MUN</t>
  </si>
  <si>
    <t>AC. SECUND. GOIOERÊ</t>
  </si>
  <si>
    <t>180|0275</t>
  </si>
  <si>
    <t>180S0275</t>
  </si>
  <si>
    <t>180S0275EPR</t>
  </si>
  <si>
    <t>ENTR. BR-272(PLAN.) (AC. PRINCIPAL GOIOERÊ)</t>
  </si>
  <si>
    <t>180|0270</t>
  </si>
  <si>
    <t>180S0270</t>
  </si>
  <si>
    <t>180S0270EPR</t>
  </si>
  <si>
    <t>RIO ÁGUA BRANCA</t>
  </si>
  <si>
    <t>180|0260</t>
  </si>
  <si>
    <t>180S0260</t>
  </si>
  <si>
    <t>180S0260EPR</t>
  </si>
  <si>
    <t>ENTR.PR-468 (B) (P/ MOREIRA SALES)</t>
  </si>
  <si>
    <t>180|0250</t>
  </si>
  <si>
    <t>180S0250</t>
  </si>
  <si>
    <t>180S0250EPR</t>
  </si>
  <si>
    <t>ENTR. PR-468 (A) (P/ MARILUZ)</t>
  </si>
  <si>
    <t>180|0230</t>
  </si>
  <si>
    <t>180S0230</t>
  </si>
  <si>
    <t>180S0230EPR</t>
  </si>
  <si>
    <t>ENTR. PRC-487 (CRUZEIRO OESTE)</t>
  </si>
  <si>
    <t>180|0210</t>
  </si>
  <si>
    <t>180S0210</t>
  </si>
  <si>
    <t>180S0210EPR</t>
  </si>
  <si>
    <t>ENTR. PR-082 (RONDON)</t>
  </si>
  <si>
    <t>ENTR. PR-492 (RONDON)</t>
  </si>
  <si>
    <t>180|0150</t>
  </si>
  <si>
    <t>180S0150</t>
  </si>
  <si>
    <t>180S0150EPR</t>
  </si>
  <si>
    <t>GUAPOREMA</t>
  </si>
  <si>
    <t>180|0130</t>
  </si>
  <si>
    <t>180S0130</t>
  </si>
  <si>
    <t>180S0130EPR</t>
  </si>
  <si>
    <t>GUAIRAÇÁ (B)</t>
  </si>
  <si>
    <t>180|0050</t>
  </si>
  <si>
    <t>180S0050</t>
  </si>
  <si>
    <t>180S0050EPR</t>
  </si>
  <si>
    <t>GUAIRAÇÁ (A)</t>
  </si>
  <si>
    <t>180|0035</t>
  </si>
  <si>
    <t>180M0035</t>
  </si>
  <si>
    <t>180M0035MUN</t>
  </si>
  <si>
    <t>TERRA RICA (B)</t>
  </si>
  <si>
    <t>180|0030</t>
  </si>
  <si>
    <t>180S0030</t>
  </si>
  <si>
    <t>180S0030EPR</t>
  </si>
  <si>
    <t>ENTR. PR-557 (PLAN.) (TERRA RICA)</t>
  </si>
  <si>
    <t>180|0017</t>
  </si>
  <si>
    <t>180M0017</t>
  </si>
  <si>
    <t>180M0017MUN</t>
  </si>
  <si>
    <t>180|0015</t>
  </si>
  <si>
    <t>180M0015</t>
  </si>
  <si>
    <t>180M0015MUN</t>
  </si>
  <si>
    <t>ENTR. PR-557 (P/ ADEMAR DE BARROS)</t>
  </si>
  <si>
    <t>180|0013</t>
  </si>
  <si>
    <t>180S0013</t>
  </si>
  <si>
    <t>180S0013EPR</t>
  </si>
  <si>
    <t>ENTR.BR-153 (JANGADA DO SUL)</t>
  </si>
  <si>
    <t>ENTR. PR-446 (BITURUNA)</t>
  </si>
  <si>
    <t>170|0600</t>
  </si>
  <si>
    <t>170S</t>
  </si>
  <si>
    <t>170</t>
  </si>
  <si>
    <t>170S0600</t>
  </si>
  <si>
    <t>170S0600EPR</t>
  </si>
  <si>
    <t>ENTR. PR-281 (PLAN.)</t>
  </si>
  <si>
    <t>170|0590</t>
  </si>
  <si>
    <t>0590</t>
  </si>
  <si>
    <t>170S0590</t>
  </si>
  <si>
    <t>170S0590EPR</t>
  </si>
  <si>
    <t>BARRAGEM FOZ DO AREIA (B)</t>
  </si>
  <si>
    <t>170|0580</t>
  </si>
  <si>
    <t>0580</t>
  </si>
  <si>
    <t>170S0580</t>
  </si>
  <si>
    <t>170S0580EPR</t>
  </si>
  <si>
    <t>BARRAGEM FOZ DO AREIA (A)</t>
  </si>
  <si>
    <t>AC. PINHÃO</t>
  </si>
  <si>
    <t>170|0570</t>
  </si>
  <si>
    <t>0570</t>
  </si>
  <si>
    <t>170S0570</t>
  </si>
  <si>
    <t>170S0570EPR</t>
  </si>
  <si>
    <t>ENTR. PR-459 (PINHÃO)</t>
  </si>
  <si>
    <t>170|0560</t>
  </si>
  <si>
    <t>0560</t>
  </si>
  <si>
    <t>170S0560</t>
  </si>
  <si>
    <t>170S0560EPR</t>
  </si>
  <si>
    <t>ENTR. PR-540 (B) (COLÔNIAS ENTRE RIOS)</t>
  </si>
  <si>
    <t>170|0550</t>
  </si>
  <si>
    <t>170S0550</t>
  </si>
  <si>
    <t>170S0550EPR</t>
  </si>
  <si>
    <t>ENTR. PR-540 (A) (COLÔNIAS ENTRE RIOS)</t>
  </si>
  <si>
    <t>170|0540</t>
  </si>
  <si>
    <t>170S0540</t>
  </si>
  <si>
    <t>170S0540EPR</t>
  </si>
  <si>
    <t>AC. III  GUARAPUAVA</t>
  </si>
  <si>
    <t>170|0530</t>
  </si>
  <si>
    <t>170S0530</t>
  </si>
  <si>
    <t>170S0530EPR</t>
  </si>
  <si>
    <t>AC. III GUARAPUAVA</t>
  </si>
  <si>
    <t>AC. II GUARAPUAVA</t>
  </si>
  <si>
    <t>170|0520</t>
  </si>
  <si>
    <t>0520</t>
  </si>
  <si>
    <t>170S0520</t>
  </si>
  <si>
    <t>170S0520EPR</t>
  </si>
  <si>
    <t>AC. I GUARAPUAVA</t>
  </si>
  <si>
    <t>170|0510</t>
  </si>
  <si>
    <t>170S0510</t>
  </si>
  <si>
    <t>170S0510EPR</t>
  </si>
  <si>
    <t>ENTR. BR-277(B) (GUARAPUAVA)</t>
  </si>
  <si>
    <t>170|0500</t>
  </si>
  <si>
    <t>170S0500</t>
  </si>
  <si>
    <t>170S0500EPR</t>
  </si>
  <si>
    <t>ENTR. PRC-466(PLAN.)</t>
  </si>
  <si>
    <t>170|0223</t>
  </si>
  <si>
    <t>170M</t>
  </si>
  <si>
    <t>0223</t>
  </si>
  <si>
    <t>170M0223</t>
  </si>
  <si>
    <t>170M0223MUN</t>
  </si>
  <si>
    <t>ENTR. PR-453</t>
  </si>
  <si>
    <t>170|0220</t>
  </si>
  <si>
    <t>170S0220</t>
  </si>
  <si>
    <t>170S0220EPR</t>
  </si>
  <si>
    <t>170|0210</t>
  </si>
  <si>
    <t>170S0210</t>
  </si>
  <si>
    <t>170S0210EPR</t>
  </si>
  <si>
    <t>NOVO ITACOLOMI</t>
  </si>
  <si>
    <t>170|0200</t>
  </si>
  <si>
    <t>170S0200</t>
  </si>
  <si>
    <t>170S0200EPR</t>
  </si>
  <si>
    <t>AC. SETE DE MAIO</t>
  </si>
  <si>
    <t>170|0190</t>
  </si>
  <si>
    <t>170S0190</t>
  </si>
  <si>
    <t>170S0190EPR</t>
  </si>
  <si>
    <t>ACESSO CAMBIRA</t>
  </si>
  <si>
    <t>170|0185</t>
  </si>
  <si>
    <t>170S0185</t>
  </si>
  <si>
    <t>170S0185EPR</t>
  </si>
  <si>
    <t>ENTR. BR-369(D) (P/ PIRAPÓ)</t>
  </si>
  <si>
    <t>170|0180</t>
  </si>
  <si>
    <t>170S0180</t>
  </si>
  <si>
    <t>170S0180EPR</t>
  </si>
  <si>
    <t>ENTR. PR-323 (ROLÂNDIA)</t>
  </si>
  <si>
    <t>170|0120</t>
  </si>
  <si>
    <t>170S0120</t>
  </si>
  <si>
    <t>170S0120EPR</t>
  </si>
  <si>
    <t>SÃO MARTINHO (P/ PR-547)</t>
  </si>
  <si>
    <t>170|0115</t>
  </si>
  <si>
    <t>170M0115</t>
  </si>
  <si>
    <t>170M0115MUN</t>
  </si>
  <si>
    <t>SÃO MARTINHO (A)</t>
  </si>
  <si>
    <t>170|0112</t>
  </si>
  <si>
    <t>170M0112</t>
  </si>
  <si>
    <t>170M0112MUN</t>
  </si>
  <si>
    <t>ENTR. PR-340 (P/ JAGUAPITÃ)</t>
  </si>
  <si>
    <t>170|0110</t>
  </si>
  <si>
    <t>170S0110</t>
  </si>
  <si>
    <t>170S0110EPR</t>
  </si>
  <si>
    <t>ENTR. PR-536 (AC. PRADO FERREIRA)</t>
  </si>
  <si>
    <t>170|0105</t>
  </si>
  <si>
    <t>170S0105</t>
  </si>
  <si>
    <t>170S0105EPR</t>
  </si>
  <si>
    <t>ENTR. PR-534 (ACESSO A MIRASSELVA)</t>
  </si>
  <si>
    <t>170|0100</t>
  </si>
  <si>
    <t>170S0100</t>
  </si>
  <si>
    <t>170S0100EPR</t>
  </si>
  <si>
    <t>ENTR. PR-534 (AC. A  MIRASSELVA)</t>
  </si>
  <si>
    <t>ENTR. PR-537 (FLORESTÓPOLIS)</t>
  </si>
  <si>
    <t>170|0090</t>
  </si>
  <si>
    <t>170S0090</t>
  </si>
  <si>
    <t>170S0090EPR</t>
  </si>
  <si>
    <t>ENTR. PR-450</t>
  </si>
  <si>
    <t>170|0070</t>
  </si>
  <si>
    <t>170S0070</t>
  </si>
  <si>
    <t>170S0070EPR</t>
  </si>
  <si>
    <t>ACESSO PRINC. PORECATU</t>
  </si>
  <si>
    <t>170|0050</t>
  </si>
  <si>
    <t>170S0050</t>
  </si>
  <si>
    <t>170S0050EPR</t>
  </si>
  <si>
    <t>AC. SECUND. PORECATU</t>
  </si>
  <si>
    <t>170|0040</t>
  </si>
  <si>
    <t>170S0040</t>
  </si>
  <si>
    <t>170S0040EPR</t>
  </si>
  <si>
    <t>170|0030</t>
  </si>
  <si>
    <t>170S0030</t>
  </si>
  <si>
    <t>170S0030EPR</t>
  </si>
  <si>
    <t>DIVISA PR/SP (PORTO CAPIM)</t>
  </si>
  <si>
    <t>170|0010</t>
  </si>
  <si>
    <t>170S0010</t>
  </si>
  <si>
    <t>170S0010EPR</t>
  </si>
  <si>
    <t>PRUDENTÓPOLIS (B)</t>
  </si>
  <si>
    <t>160|0450</t>
  </si>
  <si>
    <t>160S</t>
  </si>
  <si>
    <t>160</t>
  </si>
  <si>
    <t>160S0450</t>
  </si>
  <si>
    <t>160S0450EPR</t>
  </si>
  <si>
    <t>ENTR. AV. SÃO JOÃO</t>
  </si>
  <si>
    <t>ENTR. RUA VISCONDE DE GUARAPUAVA</t>
  </si>
  <si>
    <t>160|0415 B</t>
  </si>
  <si>
    <t>160M</t>
  </si>
  <si>
    <t>160M0415</t>
  </si>
  <si>
    <t>160M0415MUN(B)</t>
  </si>
  <si>
    <t>ENTR. RUA PADRE JOÃO ROGA</t>
  </si>
  <si>
    <t>ENTR. RUA QUINTINO BOCAIÚVA</t>
  </si>
  <si>
    <t>160|0415 A</t>
  </si>
  <si>
    <t>160M0415MUN(A)</t>
  </si>
  <si>
    <t>ENTR. BR-373 (PRUDENTÓPOLIS) (A)</t>
  </si>
  <si>
    <t>160|0412</t>
  </si>
  <si>
    <t>0412</t>
  </si>
  <si>
    <t>160M0412</t>
  </si>
  <si>
    <t>160M0412MUN</t>
  </si>
  <si>
    <t>RESERVA (B)</t>
  </si>
  <si>
    <t>RESERVA (A)</t>
  </si>
  <si>
    <t>160|0395</t>
  </si>
  <si>
    <t>160M0395</t>
  </si>
  <si>
    <t>160M0395MUN</t>
  </si>
  <si>
    <t>IMBAÚ (B)</t>
  </si>
  <si>
    <t>160|0390</t>
  </si>
  <si>
    <t>160O</t>
  </si>
  <si>
    <t>160O0390</t>
  </si>
  <si>
    <t>160O0390EPR</t>
  </si>
  <si>
    <t>ENTR. BR-376 PR-082 (PLAN.) (IMBAÚ) (A)</t>
  </si>
  <si>
    <t>160|0380</t>
  </si>
  <si>
    <t>160M0380</t>
  </si>
  <si>
    <t>160M0380MUN</t>
  </si>
  <si>
    <t>ENTR. ROD. MUNICIPAL (P/ ORTIGUEIRA) (NÃO PAV.)</t>
  </si>
  <si>
    <t>160|0370</t>
  </si>
  <si>
    <t>160S0370</t>
  </si>
  <si>
    <t>160S0370EPR</t>
  </si>
  <si>
    <t>ENTR. PR-340 (B) (P/ TIBAGI)</t>
  </si>
  <si>
    <t>160|0350</t>
  </si>
  <si>
    <t>160S0350</t>
  </si>
  <si>
    <t>160S0350EPR</t>
  </si>
  <si>
    <t>ENTR. PR-340 (A)</t>
  </si>
  <si>
    <t>160|0340</t>
  </si>
  <si>
    <t>160S0340</t>
  </si>
  <si>
    <t>160S0340EPR</t>
  </si>
  <si>
    <t>VIADUTO (TELÊMACO BORBA)</t>
  </si>
  <si>
    <t>160|0330</t>
  </si>
  <si>
    <t>160S0330</t>
  </si>
  <si>
    <t>160S0330EPR</t>
  </si>
  <si>
    <t>RIO TIBAGI (TEL. BORBA)</t>
  </si>
  <si>
    <t>160|0320</t>
  </si>
  <si>
    <t>160S0320</t>
  </si>
  <si>
    <t>160S0320EPR</t>
  </si>
  <si>
    <t>AC. II FÁBRICA KLABIN</t>
  </si>
  <si>
    <t>160|0317</t>
  </si>
  <si>
    <t>160S0317</t>
  </si>
  <si>
    <t>160S0317EPR</t>
  </si>
  <si>
    <t>AC. I FÁBRICA KLABIN (HARMONIA)</t>
  </si>
  <si>
    <t>160|0313</t>
  </si>
  <si>
    <t>160S0313</t>
  </si>
  <si>
    <t>160S0313EPR</t>
  </si>
  <si>
    <t>AC. HARMONIA</t>
  </si>
  <si>
    <t>160|0310</t>
  </si>
  <si>
    <t>160S0310</t>
  </si>
  <si>
    <t>160S0310EPR</t>
  </si>
  <si>
    <t>AC. AEROPORTO</t>
  </si>
  <si>
    <t>160|0300</t>
  </si>
  <si>
    <t>160S0300</t>
  </si>
  <si>
    <t>160S0300EPR</t>
  </si>
  <si>
    <t>ENTR. PR-239(PLAN.) (LAGOA)</t>
  </si>
  <si>
    <t>160|0290</t>
  </si>
  <si>
    <t>160S0290</t>
  </si>
  <si>
    <t>160S0290EPR</t>
  </si>
  <si>
    <t>RIO DAS ANTAS</t>
  </si>
  <si>
    <t>160|0280</t>
  </si>
  <si>
    <t>160S0280</t>
  </si>
  <si>
    <t>160S0280EPR</t>
  </si>
  <si>
    <t>ENTR. PR-962 (ACESSO A CURIÚVA)</t>
  </si>
  <si>
    <t>160|0270</t>
  </si>
  <si>
    <t>160S0270</t>
  </si>
  <si>
    <t>160S0270EPR</t>
  </si>
  <si>
    <t>ENTR. PR-090(B)</t>
  </si>
  <si>
    <t>160|0250</t>
  </si>
  <si>
    <t>160S0250</t>
  </si>
  <si>
    <t>160S0250EPR</t>
  </si>
  <si>
    <t>ENTR. PR-090(A) (CURIÚVA)</t>
  </si>
  <si>
    <t>ENTR. PRC-272 (FIGUEIRA)</t>
  </si>
  <si>
    <t>160|0230</t>
  </si>
  <si>
    <t>160S0230</t>
  </si>
  <si>
    <t>160S0230EPR</t>
  </si>
  <si>
    <t>ENTR. PR-435 (AC. A CONGONHINHAS)</t>
  </si>
  <si>
    <t>AC. SECUND. CONGONHINHAS</t>
  </si>
  <si>
    <t>160|0195</t>
  </si>
  <si>
    <t>160S0195</t>
  </si>
  <si>
    <t>160S0195EPR</t>
  </si>
  <si>
    <t>ENTR. PR-218 (B) (P/ STO. ANT. DO PARAÍSO)</t>
  </si>
  <si>
    <t>160|0190</t>
  </si>
  <si>
    <t>160S0190</t>
  </si>
  <si>
    <t>160S0190EPR</t>
  </si>
  <si>
    <t>ENTR. PR-218 (A) (NOVA FÁTIMA)</t>
  </si>
  <si>
    <t>160|0170</t>
  </si>
  <si>
    <t>160S0170</t>
  </si>
  <si>
    <t>160S0170EPR</t>
  </si>
  <si>
    <t>ACESSO NOVA FÁTIMA</t>
  </si>
  <si>
    <t>160|0160</t>
  </si>
  <si>
    <t>160S0160</t>
  </si>
  <si>
    <t>160S0160EPR</t>
  </si>
  <si>
    <t>CORNÉLIO PROCÓPIO (B)</t>
  </si>
  <si>
    <t>160|0150</t>
  </si>
  <si>
    <t>160S0150</t>
  </si>
  <si>
    <t>160S0150EPR</t>
  </si>
  <si>
    <t>ENTR. BR-369 (B) (CORN. PROC.) (A)</t>
  </si>
  <si>
    <t>160|0130</t>
  </si>
  <si>
    <t>160M0130</t>
  </si>
  <si>
    <t>160M0130MUN</t>
  </si>
  <si>
    <t>AC. CORNÉLIO PROCÓPIO</t>
  </si>
  <si>
    <t>160|0100</t>
  </si>
  <si>
    <t>160S0100</t>
  </si>
  <si>
    <t>160S0100EPR</t>
  </si>
  <si>
    <t>AC. SECUNDÁRIO LEÓPOLIS</t>
  </si>
  <si>
    <t>160|0095</t>
  </si>
  <si>
    <t>160S0095</t>
  </si>
  <si>
    <t>160S0095EPR</t>
  </si>
  <si>
    <t>ACESSO LEÓPOLIS</t>
  </si>
  <si>
    <t>160|0090</t>
  </si>
  <si>
    <t>160S0090</t>
  </si>
  <si>
    <t>160S0090EPR</t>
  </si>
  <si>
    <t>ACESSO SERTANEJA</t>
  </si>
  <si>
    <t>160|0070</t>
  </si>
  <si>
    <t>160S0070</t>
  </si>
  <si>
    <t>160S0070EPR</t>
  </si>
  <si>
    <t>ENTR. PR-443</t>
  </si>
  <si>
    <t>160|0050</t>
  </si>
  <si>
    <t>160S0050</t>
  </si>
  <si>
    <t>160S0050EPR</t>
  </si>
  <si>
    <t>ENTR. PR-323 (MAIRIPORÃ)</t>
  </si>
  <si>
    <t>160|0030</t>
  </si>
  <si>
    <t>160S0030</t>
  </si>
  <si>
    <t>160S0030EPR</t>
  </si>
  <si>
    <t>PARANAGI</t>
  </si>
  <si>
    <t>160|0020</t>
  </si>
  <si>
    <t>160S0020</t>
  </si>
  <si>
    <t>160S0020EPR</t>
  </si>
  <si>
    <t>DIV. PR/SC (S. LOURENÇO DO OESTE)</t>
  </si>
  <si>
    <t>AC. OESTE VITORINO</t>
  </si>
  <si>
    <t>158|0430</t>
  </si>
  <si>
    <t>158S</t>
  </si>
  <si>
    <t>158</t>
  </si>
  <si>
    <t>158S0430</t>
  </si>
  <si>
    <t>158S0430PRC</t>
  </si>
  <si>
    <t>ENTR. PRC-280 (B)</t>
  </si>
  <si>
    <t>158|0420</t>
  </si>
  <si>
    <t>158S0420</t>
  </si>
  <si>
    <t>158S0420PRC</t>
  </si>
  <si>
    <t>AC. SECUND. CEL. VIVIDA (B)</t>
  </si>
  <si>
    <t>ENTR. PR-562 (PLAN.) (CORONEL VIVIDA)</t>
  </si>
  <si>
    <t>158|0357</t>
  </si>
  <si>
    <t>158M</t>
  </si>
  <si>
    <t>0357</t>
  </si>
  <si>
    <t>158M0357</t>
  </si>
  <si>
    <t>158M0357MUN</t>
  </si>
  <si>
    <t>CORONEL VIVIDA (A)</t>
  </si>
  <si>
    <t>158|0353</t>
  </si>
  <si>
    <t>0353</t>
  </si>
  <si>
    <t>158M0353</t>
  </si>
  <si>
    <t>158M0353MUN</t>
  </si>
  <si>
    <t>ENTR. PR-281 (B) (CHOPINZINHO)</t>
  </si>
  <si>
    <t>158|0350</t>
  </si>
  <si>
    <t>158S0350</t>
  </si>
  <si>
    <t>158S0350PRC</t>
  </si>
  <si>
    <t>ENTR. PR-281 (CHOPINZINHO) (B)</t>
  </si>
  <si>
    <t>CHOPINZINHO (A)</t>
  </si>
  <si>
    <t>158|0337</t>
  </si>
  <si>
    <t>0337</t>
  </si>
  <si>
    <t>158M0337</t>
  </si>
  <si>
    <t>158M0337MUN</t>
  </si>
  <si>
    <t>ENTR. PR-281(A)  (P/ SÃO JOÃO)</t>
  </si>
  <si>
    <t>158|0330</t>
  </si>
  <si>
    <t>158S0330</t>
  </si>
  <si>
    <t>158S0330PRC</t>
  </si>
  <si>
    <t>ENTR. PR-570 (P/ SULINA)</t>
  </si>
  <si>
    <t>158|0250</t>
  </si>
  <si>
    <t>158S0250</t>
  </si>
  <si>
    <t>158S0250PRC</t>
  </si>
  <si>
    <t>FINAL PISTA DUPLA (SAUDADE DO IGUAÇU)</t>
  </si>
  <si>
    <t>158|0240</t>
  </si>
  <si>
    <t>158S0240</t>
  </si>
  <si>
    <t>158S0240PRC</t>
  </si>
  <si>
    <t>INÍCIO PISTA DUPLA (SAUDADE DO IGUAÇU)</t>
  </si>
  <si>
    <t>158|0235E</t>
  </si>
  <si>
    <t>158M0235</t>
  </si>
  <si>
    <t>158M0235MUN(E)</t>
  </si>
  <si>
    <t>158|0235D</t>
  </si>
  <si>
    <t>158M0235MUN(D)</t>
  </si>
  <si>
    <t>AC. USINA SALTO SANTIAGO</t>
  </si>
  <si>
    <t>158|0230</t>
  </si>
  <si>
    <t>158S0230</t>
  </si>
  <si>
    <t>158S0230PRC</t>
  </si>
  <si>
    <t>ENTR. PR-484(PLAN) (AC. RIO BONITO DO IGUAÇU)</t>
  </si>
  <si>
    <t>158|0220</t>
  </si>
  <si>
    <t>158S0220</t>
  </si>
  <si>
    <t>158S0220PRC</t>
  </si>
  <si>
    <t>AC. LARANJEIRAS DO SUL</t>
  </si>
  <si>
    <t>158|0210</t>
  </si>
  <si>
    <t>158S0210</t>
  </si>
  <si>
    <t>158S0210PRC</t>
  </si>
  <si>
    <t>ENTR BR-277 (LARANJEIRAS DO SUL)</t>
  </si>
  <si>
    <t>158|0200</t>
  </si>
  <si>
    <t>158S0200</t>
  </si>
  <si>
    <t>158S0200PRC</t>
  </si>
  <si>
    <t>AC. PEABIRU (AV. VILA RICA)</t>
  </si>
  <si>
    <t>158|0110</t>
  </si>
  <si>
    <t>158S0110</t>
  </si>
  <si>
    <t>158S0110PRC</t>
  </si>
  <si>
    <t>ENTR PR-317/465 (PEABIRÚ)</t>
  </si>
  <si>
    <t>158|0100</t>
  </si>
  <si>
    <t>158S0100</t>
  </si>
  <si>
    <t>158S0100PRC</t>
  </si>
  <si>
    <t>ENTR. BR-376 (B)</t>
  </si>
  <si>
    <t>158|0070</t>
  </si>
  <si>
    <t>158S0070</t>
  </si>
  <si>
    <t>158S0070PRC</t>
  </si>
  <si>
    <t>ENTR. BR-376 (A) (SUMARÉ)</t>
  </si>
  <si>
    <t>SUMARÉ</t>
  </si>
  <si>
    <t>158|0055</t>
  </si>
  <si>
    <t>158S0055</t>
  </si>
  <si>
    <t>158S0055PRC</t>
  </si>
  <si>
    <t>SÃO JOÃO DO CAIUÁ (B)</t>
  </si>
  <si>
    <t>158|0050</t>
  </si>
  <si>
    <t>158S0050</t>
  </si>
  <si>
    <t>158S0050PRC</t>
  </si>
  <si>
    <t>ENTR. PR-494/556 (PLAN.) (S. JOÃO DO CAIUÁ) (A)</t>
  </si>
  <si>
    <t>158|0045</t>
  </si>
  <si>
    <t>158M0045</t>
  </si>
  <si>
    <t>158M0045MUN</t>
  </si>
  <si>
    <t>DIVISA PR/SC (TRÊS BARRAS)</t>
  </si>
  <si>
    <t>OLHO D'ÁGUA</t>
  </si>
  <si>
    <t>151|0450</t>
  </si>
  <si>
    <t>151S</t>
  </si>
  <si>
    <t>151</t>
  </si>
  <si>
    <t>151S0450</t>
  </si>
  <si>
    <t>151S0450EPR</t>
  </si>
  <si>
    <t>LAJEADO</t>
  </si>
  <si>
    <t>151|0440</t>
  </si>
  <si>
    <t>151S0440</t>
  </si>
  <si>
    <t>151S0440EPR</t>
  </si>
  <si>
    <t>ENTR. BR-476 (B)</t>
  </si>
  <si>
    <t>151|0430</t>
  </si>
  <si>
    <t>151S0430</t>
  </si>
  <si>
    <t>151S0430EPR</t>
  </si>
  <si>
    <t>ENTR. PR-364 (S. MATEUS DO SUL) (B)</t>
  </si>
  <si>
    <t>151|0400</t>
  </si>
  <si>
    <t>151S0400</t>
  </si>
  <si>
    <t>151S0400EPR</t>
  </si>
  <si>
    <t>SÃO MATEUS DO SUL (A)</t>
  </si>
  <si>
    <t>151|0395</t>
  </si>
  <si>
    <t>151M</t>
  </si>
  <si>
    <t>151M0395</t>
  </si>
  <si>
    <t>151M0395MUN</t>
  </si>
  <si>
    <t>4</t>
  </si>
  <si>
    <t>AC. SÃO JOÃO DO TRIUNFO</t>
  </si>
  <si>
    <t>151|0390</t>
  </si>
  <si>
    <t>151S0390</t>
  </si>
  <si>
    <t>151S0390EPR</t>
  </si>
  <si>
    <t>151|0370</t>
  </si>
  <si>
    <t>151S0370</t>
  </si>
  <si>
    <t>151S0370EPR</t>
  </si>
  <si>
    <t>AC. PALMEIRA</t>
  </si>
  <si>
    <t>151|0350</t>
  </si>
  <si>
    <t>151S0350</t>
  </si>
  <si>
    <t>151S0350EPR</t>
  </si>
  <si>
    <t>RIO CANIÚ</t>
  </si>
  <si>
    <t>151|0330</t>
  </si>
  <si>
    <t>151S0330</t>
  </si>
  <si>
    <t>151S0330EPR</t>
  </si>
  <si>
    <t>ENTR. PR-438 (P/ TEIXEIRA SOARES)</t>
  </si>
  <si>
    <t>151|0320</t>
  </si>
  <si>
    <t>151S0320</t>
  </si>
  <si>
    <t>151S0320EPR</t>
  </si>
  <si>
    <t>AC. AEROPORTO P. GROSSA</t>
  </si>
  <si>
    <t>151|0315</t>
  </si>
  <si>
    <t>151S0315</t>
  </si>
  <si>
    <t>151S0315EPR</t>
  </si>
  <si>
    <t>ENTR. BR-376 (PONTA GROSSA) (B)</t>
  </si>
  <si>
    <t>151|0310</t>
  </si>
  <si>
    <t>151S0310</t>
  </si>
  <si>
    <t>151S0310EPR</t>
  </si>
  <si>
    <t>P. GROSSA (ARROIO F. ROCHA) (A)</t>
  </si>
  <si>
    <t>ENTR. PRC-373 (A) (P. GROSSA)</t>
  </si>
  <si>
    <t>151|0270</t>
  </si>
  <si>
    <t>151S0270</t>
  </si>
  <si>
    <t>151S0270EPR</t>
  </si>
  <si>
    <t>SÃO JOSÉ DA BOA VISTA (A)</t>
  </si>
  <si>
    <t>ENTR. PR-422</t>
  </si>
  <si>
    <t>151|0090</t>
  </si>
  <si>
    <t>151S0090</t>
  </si>
  <si>
    <t>151S0090EPR</t>
  </si>
  <si>
    <t>AC. II SANTANA DO ITARARÉ</t>
  </si>
  <si>
    <t>151|0080</t>
  </si>
  <si>
    <t>151S0080</t>
  </si>
  <si>
    <t>151S0080EPR</t>
  </si>
  <si>
    <t>AC. I SANT. DO ITARARÉ</t>
  </si>
  <si>
    <t>151|0075</t>
  </si>
  <si>
    <t>151S0075</t>
  </si>
  <si>
    <t>151S0075EPR</t>
  </si>
  <si>
    <t>ENTR. PR-424 (B) (AC. SALTO  ITARARÉ)</t>
  </si>
  <si>
    <t>ENTR. PR-424 (A) (SALTO DO ITARARÉ)</t>
  </si>
  <si>
    <t>151|0047</t>
  </si>
  <si>
    <t>151S0047</t>
  </si>
  <si>
    <t>151S0047EPR</t>
  </si>
  <si>
    <t>ALEMOA (FINAL ASFALTO)</t>
  </si>
  <si>
    <t>INÍCIO ASFALTO</t>
  </si>
  <si>
    <t>151|0044</t>
  </si>
  <si>
    <t>151S0044</t>
  </si>
  <si>
    <t>151S0044EPR</t>
  </si>
  <si>
    <t>ENTR. PR-218 (PLAN.) (CARLÓPOLIS)</t>
  </si>
  <si>
    <t>151|0037</t>
  </si>
  <si>
    <t>151M0037</t>
  </si>
  <si>
    <t>151M0037MUN</t>
  </si>
  <si>
    <t>AC. CACHOEIRA DO ESPÍRITO SANTO</t>
  </si>
  <si>
    <t>151|0035</t>
  </si>
  <si>
    <t>151S0035</t>
  </si>
  <si>
    <t>151S0035EPR</t>
  </si>
  <si>
    <t>RIBEIRÃO CLARO (B)</t>
  </si>
  <si>
    <t>151|0030</t>
  </si>
  <si>
    <t>151S0030</t>
  </si>
  <si>
    <t>151S0030EPR</t>
  </si>
  <si>
    <t>ENTR. RIBEIRÃO CLARO (B)</t>
  </si>
  <si>
    <t xml:space="preserve">ENTR. RUA CEL. EMILIO GOMES </t>
  </si>
  <si>
    <t>151|0028</t>
  </si>
  <si>
    <t>151M0028</t>
  </si>
  <si>
    <t>151M0028MUN</t>
  </si>
  <si>
    <t>ENTR. RUA GUERINO ZANETI</t>
  </si>
  <si>
    <t>ENTR. RUA WILSON RODRIGUES DE OLIVEIRA</t>
  </si>
  <si>
    <t>151|0025 B</t>
  </si>
  <si>
    <t>151M0025</t>
  </si>
  <si>
    <t>151M0025MUN(B)</t>
  </si>
  <si>
    <t>151|0025 A</t>
  </si>
  <si>
    <t>151M0025MUN(A)</t>
  </si>
  <si>
    <t>ENTR. PR-431 (RIBEIRÃO CLARO) (A)</t>
  </si>
  <si>
    <t>151|0022</t>
  </si>
  <si>
    <t>151M0022</t>
  </si>
  <si>
    <t>151M0022MUN</t>
  </si>
  <si>
    <t>ACESSO PONTE NOVA</t>
  </si>
  <si>
    <t>151|0020</t>
  </si>
  <si>
    <t>151S0020</t>
  </si>
  <si>
    <t>151S0020EPR</t>
  </si>
  <si>
    <t>PORTO EMIGDÃO (DIVISA PR/SP)</t>
  </si>
  <si>
    <t>151|0010</t>
  </si>
  <si>
    <t>151S0010</t>
  </si>
  <si>
    <t>151S0010EPR</t>
  </si>
  <si>
    <t>PORTO LEOPOLDINA</t>
  </si>
  <si>
    <t>ENTR. PR-517</t>
  </si>
  <si>
    <t>092|0370</t>
  </si>
  <si>
    <t>092S</t>
  </si>
  <si>
    <t>092</t>
  </si>
  <si>
    <t>092S0370</t>
  </si>
  <si>
    <t>092S0370EPR</t>
  </si>
  <si>
    <t>ENTR. BR-369 (B) (ANDIRÁ)</t>
  </si>
  <si>
    <t>092|0350</t>
  </si>
  <si>
    <t>092S0350</t>
  </si>
  <si>
    <t>092S0350EPR</t>
  </si>
  <si>
    <t>ENTR. BR-369 (A) (ANDIRÁ)</t>
  </si>
  <si>
    <t>ACESSO ANDIRÁ</t>
  </si>
  <si>
    <t>092|0340</t>
  </si>
  <si>
    <t>092S0340</t>
  </si>
  <si>
    <t>092S0340EPR</t>
  </si>
  <si>
    <t>ENTR. PR-515 (BARRA DO JACARÉ)</t>
  </si>
  <si>
    <t>092|0330</t>
  </si>
  <si>
    <t>092S0330</t>
  </si>
  <si>
    <t>092S0330EPR</t>
  </si>
  <si>
    <t>ENTR. BR-153(B) (S.A.PLATINA)</t>
  </si>
  <si>
    <t>092|0310</t>
  </si>
  <si>
    <t>092S0310</t>
  </si>
  <si>
    <t>092S0310EPR</t>
  </si>
  <si>
    <t>CERRO AZUL (B)</t>
  </si>
  <si>
    <t>CERRO AZUL (A)</t>
  </si>
  <si>
    <t>092|0065</t>
  </si>
  <si>
    <t>092M</t>
  </si>
  <si>
    <t>092M0065</t>
  </si>
  <si>
    <t>092M0065MUN</t>
  </si>
  <si>
    <t>2</t>
  </si>
  <si>
    <t>R. BRANCO DO SUL (R. 7 DE ABRIL)</t>
  </si>
  <si>
    <t>092|0060</t>
  </si>
  <si>
    <t>092S0060</t>
  </si>
  <si>
    <t>092S0060EPR</t>
  </si>
  <si>
    <t>RIO BRANCO SUL (B) (FÁB. VOTORAN)</t>
  </si>
  <si>
    <t>092|0050</t>
  </si>
  <si>
    <t>092S0050</t>
  </si>
  <si>
    <t>092S0050EPR</t>
  </si>
  <si>
    <t>RIO BRANCO DO SUL (A) (VIADUTO LINHA FÉRREA)</t>
  </si>
  <si>
    <t>ENTR. PR-800 (AC. ITAPERUÇU)</t>
  </si>
  <si>
    <t>092|0040</t>
  </si>
  <si>
    <t>092S0040</t>
  </si>
  <si>
    <t>092S0040EPR</t>
  </si>
  <si>
    <t>ACESSO TRANQUEIRA</t>
  </si>
  <si>
    <t>092|0035</t>
  </si>
  <si>
    <t>092S0035</t>
  </si>
  <si>
    <t>092S0035EPR</t>
  </si>
  <si>
    <t>ENTR. PR-509 (ALMIRANTE TAMANDARÉ)</t>
  </si>
  <si>
    <t>092|0030</t>
  </si>
  <si>
    <t>092S0030</t>
  </si>
  <si>
    <t>092S0030EPR</t>
  </si>
  <si>
    <t>AC. PRINCIPAL ALM. TAMANDARÉ</t>
  </si>
  <si>
    <t>092|0020</t>
  </si>
  <si>
    <t>092S0020</t>
  </si>
  <si>
    <t>092S0020EPR</t>
  </si>
  <si>
    <t>ENTR. PR-418 (CONT. NORTE CURITIBA)</t>
  </si>
  <si>
    <t>092|0015</t>
  </si>
  <si>
    <t>092O</t>
  </si>
  <si>
    <t>092O0015</t>
  </si>
  <si>
    <t>092O0015EPR</t>
  </si>
  <si>
    <t>PONTE RIO BARIGUI (CURITIBA)</t>
  </si>
  <si>
    <t>092|0010</t>
  </si>
  <si>
    <t>092S0010</t>
  </si>
  <si>
    <t>092S0010EPR</t>
  </si>
  <si>
    <t>CEMITÉRIO ABRANCHES (CURITIBA)</t>
  </si>
  <si>
    <t>092|0005</t>
  </si>
  <si>
    <t>092S0005</t>
  </si>
  <si>
    <t>092S0005EPR</t>
  </si>
  <si>
    <t>ENTR. PR-170 (PORTO CAPIM)</t>
  </si>
  <si>
    <t>ACESSO ALVORADA DO SUL</t>
  </si>
  <si>
    <t>090|0450</t>
  </si>
  <si>
    <t>090S</t>
  </si>
  <si>
    <t>090</t>
  </si>
  <si>
    <t>090S0450</t>
  </si>
  <si>
    <t>090S0450EPR</t>
  </si>
  <si>
    <t>ENTR. PR-537 (P/ FLORESTÓPOLIS) / 534(PLAN.)</t>
  </si>
  <si>
    <t>090|0430</t>
  </si>
  <si>
    <t>090S0430</t>
  </si>
  <si>
    <t>090S0430EPR</t>
  </si>
  <si>
    <t>090|0420</t>
  </si>
  <si>
    <t>090S0420</t>
  </si>
  <si>
    <t>090S0420EPR</t>
  </si>
  <si>
    <t>ENTR. PR-445 (PLAN.) (B. VISTA DO PARAÍSO)</t>
  </si>
  <si>
    <t>090|0417</t>
  </si>
  <si>
    <t>090M</t>
  </si>
  <si>
    <t>090M0417</t>
  </si>
  <si>
    <t>090M0417MUN</t>
  </si>
  <si>
    <t>ENTR. PR-445 (BELA VISTA DO PARAÍSO) (A)</t>
  </si>
  <si>
    <t>090|0413</t>
  </si>
  <si>
    <t>0413</t>
  </si>
  <si>
    <t>090M0413</t>
  </si>
  <si>
    <t>090M0413MUN</t>
  </si>
  <si>
    <t>ENTR. PR-323 (B) (SERTANÓPOLIS)</t>
  </si>
  <si>
    <t>090|0410</t>
  </si>
  <si>
    <t>090S0410</t>
  </si>
  <si>
    <t>090S0410EPR</t>
  </si>
  <si>
    <t>ENTR. PR-862 (B) (CONTORNO IBIPORÃ)</t>
  </si>
  <si>
    <t>ENTR. BR-369 (B) (IBIPORÃ)</t>
  </si>
  <si>
    <t>090|0390</t>
  </si>
  <si>
    <t>090S0390</t>
  </si>
  <si>
    <t>090S0390EPR</t>
  </si>
  <si>
    <t>AC. NORTE  ASSAÍ</t>
  </si>
  <si>
    <t>090|0350</t>
  </si>
  <si>
    <t>090S0350</t>
  </si>
  <si>
    <t>090S0350EPR</t>
  </si>
  <si>
    <t>AC. NORTE ASSAÍ</t>
  </si>
  <si>
    <t>AC. II ASSAÍ</t>
  </si>
  <si>
    <t>090|0345</t>
  </si>
  <si>
    <t>0345</t>
  </si>
  <si>
    <t>090S0345</t>
  </si>
  <si>
    <t>090S0345EPR</t>
  </si>
  <si>
    <t>AC. I ASSAÍ</t>
  </si>
  <si>
    <t>090|0340</t>
  </si>
  <si>
    <t>090S0340</t>
  </si>
  <si>
    <t>090S0340EPR</t>
  </si>
  <si>
    <t>ACESSO CEBOLÃO</t>
  </si>
  <si>
    <t>090|0335</t>
  </si>
  <si>
    <t>0335</t>
  </si>
  <si>
    <t>090S0335</t>
  </si>
  <si>
    <t>090S0335EPR</t>
  </si>
  <si>
    <t>ENTR. PR-218 (P/ S. SEB. DA AMOREIRA)</t>
  </si>
  <si>
    <t>090|0330</t>
  </si>
  <si>
    <t>090S0330</t>
  </si>
  <si>
    <t>090S0330EPR</t>
  </si>
  <si>
    <t>AC. SECUND. STA. CECÍLIA DO PAVÃO</t>
  </si>
  <si>
    <t>090|0320</t>
  </si>
  <si>
    <t>090S0320</t>
  </si>
  <si>
    <t>090S0320EPR</t>
  </si>
  <si>
    <t>AC. SANTA CECÍLIA DO PAVÃO</t>
  </si>
  <si>
    <t>090|0310</t>
  </si>
  <si>
    <t>090S0310</t>
  </si>
  <si>
    <t>090S0310EPR</t>
  </si>
  <si>
    <t>AC. NOVA STA. BÁRBARA</t>
  </si>
  <si>
    <t>090|0300</t>
  </si>
  <si>
    <t>090S0300</t>
  </si>
  <si>
    <t>090S0300EPR</t>
  </si>
  <si>
    <t>ENTR. ROD. MUN. P/ CONGONHINHAS (NÃO PAV.)</t>
  </si>
  <si>
    <t>090|0295</t>
  </si>
  <si>
    <t>090S0295</t>
  </si>
  <si>
    <t>090S0295EPR</t>
  </si>
  <si>
    <t>AC. SÃO JERÔNIMO DA SERRA</t>
  </si>
  <si>
    <t>090|0290</t>
  </si>
  <si>
    <t>090S0290</t>
  </si>
  <si>
    <t>090S0290EPR</t>
  </si>
  <si>
    <t>ENTR. BR-272(PLAN.) AC. A SAPOPEMA</t>
  </si>
  <si>
    <t>090|0270</t>
  </si>
  <si>
    <t>090S0270</t>
  </si>
  <si>
    <t>090S0270EPR</t>
  </si>
  <si>
    <t>ENTR. PR-160(B) (CURIÚVA)</t>
  </si>
  <si>
    <t>090|0250</t>
  </si>
  <si>
    <t>090S0250</t>
  </si>
  <si>
    <t>090S0250EPR</t>
  </si>
  <si>
    <t>ENTR. PR-160(A) (CURIÚVA)</t>
  </si>
  <si>
    <t>090|0230</t>
  </si>
  <si>
    <t>090S0230</t>
  </si>
  <si>
    <t>090S0230EPR</t>
  </si>
  <si>
    <t>ENTR. PR-160 (A) (CURIÚVA)</t>
  </si>
  <si>
    <t>ALECRIM</t>
  </si>
  <si>
    <t>090|0220</t>
  </si>
  <si>
    <t>090S0220</t>
  </si>
  <si>
    <t>090S0220EPR</t>
  </si>
  <si>
    <t>ACESSO À BARRO PRETO</t>
  </si>
  <si>
    <t>090|0215</t>
  </si>
  <si>
    <t>090S0215</t>
  </si>
  <si>
    <t>090S0215EPR</t>
  </si>
  <si>
    <t>ENTR. PRC-153 (P/ IBAITI) / ENTR. BR-153 (P/ TIBAGI)</t>
  </si>
  <si>
    <t>090|0210</t>
  </si>
  <si>
    <t>090S0210</t>
  </si>
  <si>
    <t>090S0210EPR</t>
  </si>
  <si>
    <t>ENTR. PRC-153 (P/ IBAITI)/BR-153 (P/ TIBAGI)</t>
  </si>
  <si>
    <t>ENTR. PR-239(B)(PLAN.) (VENTANIA)</t>
  </si>
  <si>
    <t>090|0200</t>
  </si>
  <si>
    <t>090S0200</t>
  </si>
  <si>
    <t>090S0200EPR</t>
  </si>
  <si>
    <t>ENTR. PR-531 (NÃO PAV.)</t>
  </si>
  <si>
    <t>090|0190</t>
  </si>
  <si>
    <t>090S0190</t>
  </si>
  <si>
    <t>090S0190EPR</t>
  </si>
  <si>
    <t>ENTR. PR-239 (A) (P/ ARAPOTI)</t>
  </si>
  <si>
    <t>090|0170</t>
  </si>
  <si>
    <t>090S0170</t>
  </si>
  <si>
    <t>090S0170EPR</t>
  </si>
  <si>
    <t>FIM TRECHO OFERTADO</t>
  </si>
  <si>
    <t>090|0160</t>
  </si>
  <si>
    <t>090S0160</t>
  </si>
  <si>
    <t>090S0160EPR</t>
  </si>
  <si>
    <t>ACESSO II PIRAÍ DO SUL</t>
  </si>
  <si>
    <t>090|0156</t>
  </si>
  <si>
    <t>0156</t>
  </si>
  <si>
    <t>090S0156</t>
  </si>
  <si>
    <t>090S0156EPR</t>
  </si>
  <si>
    <t>ACESSO I PIRAÍ DO SUL</t>
  </si>
  <si>
    <t>090|0153</t>
  </si>
  <si>
    <t>090S0153</t>
  </si>
  <si>
    <t>090S0153EPR</t>
  </si>
  <si>
    <t>ACESSO I PIRAÍ DO SUL.</t>
  </si>
  <si>
    <t>ENTR. PR-151 (B) (PIRAÍ DO SUL)</t>
  </si>
  <si>
    <t>090|0150</t>
  </si>
  <si>
    <t>090S0150</t>
  </si>
  <si>
    <t>090S0150EPR</t>
  </si>
  <si>
    <t>ENTR. PR-429 Contorno de Castro</t>
  </si>
  <si>
    <t>ENTR. PR-340 (P/ CASTROLANDA)</t>
  </si>
  <si>
    <t>090|0080</t>
  </si>
  <si>
    <t>090S0080</t>
  </si>
  <si>
    <t>090S0080EPR</t>
  </si>
  <si>
    <t>INÍCIO DO PAVIMENTO (ABAPÃ)</t>
  </si>
  <si>
    <t>090|0075</t>
  </si>
  <si>
    <t>090S0075</t>
  </si>
  <si>
    <t>090S0075EPR</t>
  </si>
  <si>
    <t>FINAL DO PAVIMENTO (2ª PONTE RIO DO CERNE)</t>
  </si>
  <si>
    <t>ENTR. PR-510 (B)/509(PLAN.) (BATEIAS)</t>
  </si>
  <si>
    <t>090|0030</t>
  </si>
  <si>
    <t>090S0030</t>
  </si>
  <si>
    <t>090S0030EPR</t>
  </si>
  <si>
    <t>ENTR. PR-510 (B) / 509(PLAN.) (BATEIAS)</t>
  </si>
  <si>
    <t>ENTR. PR-510 (A) (BATEIAS)</t>
  </si>
  <si>
    <t>090|0014</t>
  </si>
  <si>
    <t>090S0014</t>
  </si>
  <si>
    <t>090S0014EPR</t>
  </si>
  <si>
    <t>CAMPO MAGRO</t>
  </si>
  <si>
    <t>090|0012</t>
  </si>
  <si>
    <t>090S0012</t>
  </si>
  <si>
    <t>090S0012EPR</t>
  </si>
  <si>
    <t>090|0011</t>
  </si>
  <si>
    <t>090S0011</t>
  </si>
  <si>
    <t>090S0011EPR</t>
  </si>
  <si>
    <t>ENTR. PR-418 (CURITIBA)</t>
  </si>
  <si>
    <t>090|0010E</t>
  </si>
  <si>
    <t>090E</t>
  </si>
  <si>
    <t>090E0010</t>
  </si>
  <si>
    <t>090E0010EPR</t>
  </si>
  <si>
    <t>090|0010D</t>
  </si>
  <si>
    <t>090D</t>
  </si>
  <si>
    <t>090D0010</t>
  </si>
  <si>
    <t>090D0010EPR</t>
  </si>
  <si>
    <t>ENTR. BR-487 (AC. PONTE S/ RIO PARANÁ)</t>
  </si>
  <si>
    <t>(ICARAÍMA) (C)</t>
  </si>
  <si>
    <t>082|0470</t>
  </si>
  <si>
    <t>082S</t>
  </si>
  <si>
    <t>082</t>
  </si>
  <si>
    <t>082S0470</t>
  </si>
  <si>
    <t>082S0470EPR</t>
  </si>
  <si>
    <t>ENTR. PR-485 (ICARAÍMA) (B)</t>
  </si>
  <si>
    <t>082|0460</t>
  </si>
  <si>
    <t>082S0460</t>
  </si>
  <si>
    <t>082S0460EPR</t>
  </si>
  <si>
    <t>082|0455</t>
  </si>
  <si>
    <t>082M</t>
  </si>
  <si>
    <t>082M0455</t>
  </si>
  <si>
    <t>082M0455MUN</t>
  </si>
  <si>
    <t>ENTR. PR-682 (ICARAÍMA)</t>
  </si>
  <si>
    <t>082|0453</t>
  </si>
  <si>
    <t>0453</t>
  </si>
  <si>
    <t>082S0453</t>
  </si>
  <si>
    <t>082S0453EPR</t>
  </si>
  <si>
    <t>AC. HERCULÂNDIA</t>
  </si>
  <si>
    <t>082|0452</t>
  </si>
  <si>
    <t>0452</t>
  </si>
  <si>
    <t>082S0452</t>
  </si>
  <si>
    <t>082S0452EPR</t>
  </si>
  <si>
    <t>082|0451</t>
  </si>
  <si>
    <t>0451</t>
  </si>
  <si>
    <t>082S0451</t>
  </si>
  <si>
    <t>082S0451EPR</t>
  </si>
  <si>
    <t>082|0437</t>
  </si>
  <si>
    <t>0437</t>
  </si>
  <si>
    <t>082M0437</t>
  </si>
  <si>
    <t>082M0437MUN</t>
  </si>
  <si>
    <t>IVATÉ (A)</t>
  </si>
  <si>
    <t>082|0436</t>
  </si>
  <si>
    <t>0436</t>
  </si>
  <si>
    <t>082M0436</t>
  </si>
  <si>
    <t>082M0436MUN</t>
  </si>
  <si>
    <t>DOURADINA (B)</t>
  </si>
  <si>
    <t>082|0435</t>
  </si>
  <si>
    <t>0435</t>
  </si>
  <si>
    <t>082S0435</t>
  </si>
  <si>
    <t>082S0435EPR</t>
  </si>
  <si>
    <t>DOURADINA (C)</t>
  </si>
  <si>
    <t>082|0434</t>
  </si>
  <si>
    <t>0434</t>
  </si>
  <si>
    <t>082M0434</t>
  </si>
  <si>
    <t>082M0434MUN</t>
  </si>
  <si>
    <t>SANTA FELICIDADE (B)</t>
  </si>
  <si>
    <t>082|0433</t>
  </si>
  <si>
    <t>0433</t>
  </si>
  <si>
    <t>082S0433</t>
  </si>
  <si>
    <t>082S0433EPR</t>
  </si>
  <si>
    <t>ENT. PR576 - TAPIRA</t>
  </si>
  <si>
    <t>SANTA FELICIDADE (A)</t>
  </si>
  <si>
    <t>082|0431</t>
  </si>
  <si>
    <t>0431</t>
  </si>
  <si>
    <t>082M0431</t>
  </si>
  <si>
    <t>082M0431MUN</t>
  </si>
  <si>
    <t>ENTR. PR-482 (B) (NOVA OLÍMPIA)</t>
  </si>
  <si>
    <t>082|0430</t>
  </si>
  <si>
    <t>082S0430</t>
  </si>
  <si>
    <t>082S0430EPR</t>
  </si>
  <si>
    <t>082|0420</t>
  </si>
  <si>
    <t>082S0420</t>
  </si>
  <si>
    <t>082S0420EPR</t>
  </si>
  <si>
    <t>082|0415</t>
  </si>
  <si>
    <t>082M0415</t>
  </si>
  <si>
    <t>082M0415MUN</t>
  </si>
  <si>
    <t>CIDADE GAÚCHA (B)</t>
  </si>
  <si>
    <t>082|0410</t>
  </si>
  <si>
    <t>082S0410</t>
  </si>
  <si>
    <t>082S0410EPR</t>
  </si>
  <si>
    <t>CIDADE GAÚCHA (A)</t>
  </si>
  <si>
    <t>082|0400</t>
  </si>
  <si>
    <t>082M0400</t>
  </si>
  <si>
    <t>082M0400MUN</t>
  </si>
  <si>
    <t>ENTR. PR-482 (A) (CIDADE GAÚCHA)</t>
  </si>
  <si>
    <t>082|0395</t>
  </si>
  <si>
    <t>082S0395</t>
  </si>
  <si>
    <t>082S0395EPR</t>
  </si>
  <si>
    <t>FINAL PISTA DUPLA (USINA ÁLCOOL)</t>
  </si>
  <si>
    <t>082|0393</t>
  </si>
  <si>
    <t>0393</t>
  </si>
  <si>
    <t>082S0393</t>
  </si>
  <si>
    <t>082S0393EPR</t>
  </si>
  <si>
    <t>082|0392E</t>
  </si>
  <si>
    <t>082E</t>
  </si>
  <si>
    <t>0392</t>
  </si>
  <si>
    <t>082E0392</t>
  </si>
  <si>
    <t>082E0392EPR</t>
  </si>
  <si>
    <t>082|0392D</t>
  </si>
  <si>
    <t>082D</t>
  </si>
  <si>
    <t>082D0392</t>
  </si>
  <si>
    <t>082D0392EPR</t>
  </si>
  <si>
    <t>INÍCIO PISTA DUPLA USINA ÁLCOOL</t>
  </si>
  <si>
    <t>RIBEIRÃO DO RATO</t>
  </si>
  <si>
    <t>082|0390</t>
  </si>
  <si>
    <t>082S0390</t>
  </si>
  <si>
    <t>082S0390EPR</t>
  </si>
  <si>
    <t>082|0370</t>
  </si>
  <si>
    <t>082S0370</t>
  </si>
  <si>
    <t>082S0370EPR</t>
  </si>
  <si>
    <t>AC. II INDIANÓPOLIS</t>
  </si>
  <si>
    <t>082|0360</t>
  </si>
  <si>
    <t>082S0360</t>
  </si>
  <si>
    <t>082S0360EPR</t>
  </si>
  <si>
    <t>AC. II  INDIANÓPOLIS</t>
  </si>
  <si>
    <t>AC. I INDIANÓPOLIS</t>
  </si>
  <si>
    <t>082|0353</t>
  </si>
  <si>
    <t>082S0353</t>
  </si>
  <si>
    <t>082S0353EPR</t>
  </si>
  <si>
    <t>RIO DOS ÍNDIOS</t>
  </si>
  <si>
    <t>082|0351</t>
  </si>
  <si>
    <t>0351</t>
  </si>
  <si>
    <t>082S0351</t>
  </si>
  <si>
    <t>082S0351EPR</t>
  </si>
  <si>
    <t>ENTR. PR-498 (P/ SÃO TOMÉ)</t>
  </si>
  <si>
    <t>082|0330</t>
  </si>
  <si>
    <t>082S0330</t>
  </si>
  <si>
    <t>082S0330EPR</t>
  </si>
  <si>
    <t>CIANORTE (B)</t>
  </si>
  <si>
    <t>082|0320</t>
  </si>
  <si>
    <t>082S0320</t>
  </si>
  <si>
    <t>082S0320EPR</t>
  </si>
  <si>
    <t>ENTR. PR-323 (CIANORTE) (A)</t>
  </si>
  <si>
    <t>082|0310</t>
  </si>
  <si>
    <t>082M0310</t>
  </si>
  <si>
    <t>082M0310MUN</t>
  </si>
  <si>
    <t>AC. TERRA BOA</t>
  </si>
  <si>
    <t>082|0300</t>
  </si>
  <si>
    <t>082S0300</t>
  </si>
  <si>
    <t>082S0300EPR</t>
  </si>
  <si>
    <t>ENTR. PR-558</t>
  </si>
  <si>
    <t>082|0290</t>
  </si>
  <si>
    <t>082S0290</t>
  </si>
  <si>
    <t>082S0290EPR</t>
  </si>
  <si>
    <t>ENTR. PR-317 (B) (ENG. BELTRÃO)</t>
  </si>
  <si>
    <t>082|0270</t>
  </si>
  <si>
    <t>082S0270</t>
  </si>
  <si>
    <t>082S0270EPR</t>
  </si>
  <si>
    <t>ENTR. PR-317(A) (ENG. BELTRÃO)</t>
  </si>
  <si>
    <t>ENTR. PR-465(PLAN.) (AC. QUINTA DO SOL)</t>
  </si>
  <si>
    <t>082|0230</t>
  </si>
  <si>
    <t>082S0230</t>
  </si>
  <si>
    <t>082S0230EPR</t>
  </si>
  <si>
    <t>AC. SECUND. QUINTA DO SOL</t>
  </si>
  <si>
    <t>082|0220</t>
  </si>
  <si>
    <t>082S0220</t>
  </si>
  <si>
    <t>082S0220EPR</t>
  </si>
  <si>
    <t>ACESSO A FÊNIX</t>
  </si>
  <si>
    <t>082|0210</t>
  </si>
  <si>
    <t>082S0210</t>
  </si>
  <si>
    <t>082S0210EPR</t>
  </si>
  <si>
    <t>ENTR. PRC-369 (FÊNIX)</t>
  </si>
  <si>
    <t>082|0205</t>
  </si>
  <si>
    <t>082S0205</t>
  </si>
  <si>
    <t>082S0205EPR</t>
  </si>
  <si>
    <t>RIO CORUMBATAÍ</t>
  </si>
  <si>
    <t>082|0200</t>
  </si>
  <si>
    <t>082S0200</t>
  </si>
  <si>
    <t>082S0200EPR</t>
  </si>
  <si>
    <t>ACESSO A LUAR</t>
  </si>
  <si>
    <t>082|0195</t>
  </si>
  <si>
    <t>082S0195</t>
  </si>
  <si>
    <t>082S0195EPR</t>
  </si>
  <si>
    <t>ENTR. PR-457 (P/ S. PEDRO DO IVAÍ)</t>
  </si>
  <si>
    <t>082|0190</t>
  </si>
  <si>
    <t>082S0190</t>
  </si>
  <si>
    <t>082S0190EPR</t>
  </si>
  <si>
    <t>ENTR. PR-650 (SÃO JOÃO DO IVAÍ)</t>
  </si>
  <si>
    <t>082|0170</t>
  </si>
  <si>
    <t>082S0170</t>
  </si>
  <si>
    <t>082S0170EPR</t>
  </si>
  <si>
    <t>AC. LUNARDELLI</t>
  </si>
  <si>
    <t>082|0160</t>
  </si>
  <si>
    <t>082S0160</t>
  </si>
  <si>
    <t>082S0160EPR</t>
  </si>
  <si>
    <t>ENTR. PRC-466 (PLACA LUAR)</t>
  </si>
  <si>
    <t>082|0150</t>
  </si>
  <si>
    <t>082S0150</t>
  </si>
  <si>
    <t>082S0150EPR</t>
  </si>
  <si>
    <t>ENTR. PR-451 (GRANDES RIOS)</t>
  </si>
  <si>
    <t>RIBEIRÃO BONITO (B)</t>
  </si>
  <si>
    <t>082|0110</t>
  </si>
  <si>
    <t>082S0110</t>
  </si>
  <si>
    <t>082S0110EPR</t>
  </si>
  <si>
    <t>RIBEIRÃO BONITO (A)</t>
  </si>
  <si>
    <t>082|0105</t>
  </si>
  <si>
    <t>082M0105</t>
  </si>
  <si>
    <t>082M0105MUN</t>
  </si>
  <si>
    <t>ENTR. PR-535 (P/ RIO BRANCO DO IVAÍ)</t>
  </si>
  <si>
    <t>082|0100</t>
  </si>
  <si>
    <t>082S0100</t>
  </si>
  <si>
    <t>082S0100EPR</t>
  </si>
  <si>
    <t>ROSÁRIO DO IVAÍ</t>
  </si>
  <si>
    <t>082|0090</t>
  </si>
  <si>
    <t>082S0090</t>
  </si>
  <si>
    <t>082S0090EPR</t>
  </si>
  <si>
    <t>TMDA x Ext. (km)</t>
  </si>
  <si>
    <t>TMDA</t>
  </si>
  <si>
    <t>3ª Faixa</t>
  </si>
  <si>
    <t>Acostamento</t>
  </si>
  <si>
    <t>Largura</t>
  </si>
  <si>
    <t>Revestimento</t>
  </si>
  <si>
    <t>Base</t>
  </si>
  <si>
    <t>Sit</t>
  </si>
  <si>
    <t>Obs</t>
  </si>
  <si>
    <t>Lotes Conserva</t>
  </si>
  <si>
    <t>SR</t>
  </si>
  <si>
    <t>Área Gestão</t>
  </si>
  <si>
    <t>PARA</t>
  </si>
  <si>
    <t>DE</t>
  </si>
  <si>
    <t>Trecho</t>
  </si>
  <si>
    <t>caracaterísticas geométricas</t>
  </si>
  <si>
    <t>PLANILHA GERAL (PRs + MUN)</t>
  </si>
  <si>
    <t>Virmond</t>
  </si>
  <si>
    <t>Sarandi</t>
  </si>
  <si>
    <t>São Jorge d'Oeste</t>
  </si>
  <si>
    <t>Rio Negro</t>
  </si>
  <si>
    <t>Rio Azul</t>
  </si>
  <si>
    <t>Pranchita</t>
  </si>
  <si>
    <t>Porto Amazonas</t>
  </si>
  <si>
    <t>Pérola d'Oeste</t>
  </si>
  <si>
    <t>Paranaguá</t>
  </si>
  <si>
    <t>Paiçandu</t>
  </si>
  <si>
    <t>Mercedes</t>
  </si>
  <si>
    <t>Mandaguari</t>
  </si>
  <si>
    <t>Lindoeste</t>
  </si>
  <si>
    <t>Itaúna do Sul</t>
  </si>
  <si>
    <t>Itapejara d'Oeste</t>
  </si>
  <si>
    <t>Ibema</t>
  </si>
  <si>
    <t>Guamiranga</t>
  </si>
  <si>
    <t>Guaíra</t>
  </si>
  <si>
    <t>Fazenda Rio Grande</t>
  </si>
  <si>
    <t>Farol</t>
  </si>
  <si>
    <t>Carambeí</t>
  </si>
  <si>
    <t>Califórnia</t>
  </si>
  <si>
    <t>Barracão</t>
  </si>
  <si>
    <t>Araucária</t>
  </si>
  <si>
    <t>Adrianópolis</t>
  </si>
  <si>
    <t>ÍNDICE GERAL</t>
  </si>
  <si>
    <t>MUNICÍPIO</t>
  </si>
  <si>
    <t>ÍNDICE IPARDES DE DESEMPENHO MUNICIPAL - PARANÁ - 2010/2022</t>
  </si>
  <si>
    <t>São Jorge D'oeste</t>
  </si>
  <si>
    <t>Rancho Alegre D'oeste</t>
  </si>
  <si>
    <t>Itapejara D'oeste</t>
  </si>
  <si>
    <t>RENDA E EMPREGO</t>
  </si>
  <si>
    <t>ÍNDICE IPARDES DE DESEMPENHO NA ÁREA DE RENDA E EMPREGO, DOS MUNICÍPIOS DO PARANÁ - 2010/2022</t>
  </si>
  <si>
    <t>EDUCAÇÃO</t>
  </si>
  <si>
    <t>ÍNDICE IPARDES DE DESEMPENHO NA ÁREA DA EDUCAÇÃO, DOS MUNICÍPIOS DO PARANÁ - 2010/2022</t>
  </si>
  <si>
    <t>SAÚDE</t>
  </si>
  <si>
    <t>ÍNDICE IPARDES DE DESEMPENHO NA ÁREA DA SAÚDE, DOS MUNICÍPIOS DO PARANÁ - 2010/2022</t>
  </si>
  <si>
    <t>PIB per capita: IBGE, em parceria com os Órgãos Estaduais de Estatística, Secretarias Estaduais de Governo e Superintendência da Zona Franca de Manaus - SUFRAMA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</si>
  <si>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</si>
  <si>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</si>
  <si>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Mortalidade infantil: Ministério da Saúde, Departamento de Informática do Sistema Único de Saúde - DATASUS 2022</t>
  </si>
  <si>
    <t>IDHM Índice de desenvolvimento humano municipal : Programa das Nações Unidas para o Desenvolvimento - PNUD</t>
  </si>
  <si>
    <t>Escolarização 6 a 14 anos : IBGE, Censo Demográfico 2010</t>
  </si>
  <si>
    <t>População estimada: IBGE, Diretoria de Pesquisas, Coordenação de População e Indicadores Sociais, Estimativas da população residente com data de referência 1o de julho de 2024</t>
  </si>
  <si>
    <t>Densidade demográfica: Censo 2022: População e Domicílios - Primeiros Resultados - Atualizado em 22/12/2023</t>
  </si>
  <si>
    <t>População no último censo: Censo 2022: População e Domicílios - Primeiros Resultados - Atualizado em 22/12/2023</t>
  </si>
  <si>
    <t>Área Territorial: Área territorial brasileira 2022. Rio de Janeiro: IBGE, 2023</t>
  </si>
  <si>
    <t>Fontes:</t>
  </si>
  <si>
    <t>Escolarização 6 a 14 anos : [população residente no município de 6 a 14 anos de idade matriculada no ensino regular/total de população residente no município de 6 a 14 anos de idade] x 100</t>
  </si>
  <si>
    <t>Notas:</t>
  </si>
  <si>
    <t>DECIO JARDIM</t>
  </si>
  <si>
    <t>xambrense</t>
  </si>
  <si>
    <t>MARCIANO VOTTRI</t>
  </si>
  <si>
    <t>vitorinense</t>
  </si>
  <si>
    <t>FERNANDO MIERZVA</t>
  </si>
  <si>
    <t>virmondense</t>
  </si>
  <si>
    <t>ESEQUIEL BESTEL JUNIOR</t>
  </si>
  <si>
    <t>ulyssense</t>
  </si>
  <si>
    <t>LUIZ ELISEU DOS SANTOS</t>
  </si>
  <si>
    <t>altoparaisense</t>
  </si>
  <si>
    <t>PAULO ROBERTO WEISSHEIMER</t>
  </si>
  <si>
    <t>vereense</t>
  </si>
  <si>
    <t>EDNEI SGOBI</t>
  </si>
  <si>
    <t>vera-cruzense</t>
  </si>
  <si>
    <t>JOSE LUIZ BITTENCOURT</t>
  </si>
  <si>
    <t>ventaniense</t>
  </si>
  <si>
    <t>LUIZ CARLOS VIDAL</t>
  </si>
  <si>
    <t>brazense</t>
  </si>
  <si>
    <t>ANGELO TARANTINI FILHO</t>
  </si>
  <si>
    <t>uraiense</t>
  </si>
  <si>
    <t>MAYCON RODRIGO RODRIGUES DE SOUZA</t>
  </si>
  <si>
    <t>uniflorense</t>
  </si>
  <si>
    <t>ARY CARNEIRO JUNIOR</t>
  </si>
  <si>
    <t>união-vitoriense</t>
  </si>
  <si>
    <t>ANTONIO FERNANDO SCANAVACA</t>
  </si>
  <si>
    <t>umuaramense</t>
  </si>
  <si>
    <t>FABIO DE OLIVEIRA DALECIO</t>
  </si>
  <si>
    <t>ubiratense</t>
  </si>
  <si>
    <t>ANTONIO MARCOS SEGURO</t>
  </si>
  <si>
    <t>turvense</t>
  </si>
  <si>
    <t>JOSE CARLOS MARIUSSI</t>
  </si>
  <si>
    <t>tupãssiense</t>
  </si>
  <si>
    <t>GUERINO MENDONÇA DOS SANTOS</t>
  </si>
  <si>
    <t>tuneirense</t>
  </si>
  <si>
    <t>MARCO ANTONIO BALDÃO</t>
  </si>
  <si>
    <t>tunense</t>
  </si>
  <si>
    <t>GERSO FRANCISCO GUSSO</t>
  </si>
  <si>
    <t>tribarrense</t>
  </si>
  <si>
    <t>CEZAR BUENO DE MELO</t>
  </si>
  <si>
    <t>tomazinense</t>
  </si>
  <si>
    <t>MARIO CESAR COSTENARO</t>
  </si>
  <si>
    <t>toledano</t>
  </si>
  <si>
    <t>JOSÉ ALTAIR MOREIRA</t>
  </si>
  <si>
    <t>tijuquense / tijucano</t>
  </si>
  <si>
    <t>RILDO EMANOEL LEONARDI</t>
  </si>
  <si>
    <t>tibagiano</t>
  </si>
  <si>
    <t>IVAN REIS DA SILVA</t>
  </si>
  <si>
    <t>terra-roxense</t>
  </si>
  <si>
    <t>AGNALDO DE SOUZA COSTA</t>
  </si>
  <si>
    <t>terra-riquense</t>
  </si>
  <si>
    <t>VALTER PERES</t>
  </si>
  <si>
    <t>terra-bonense</t>
  </si>
  <si>
    <t>RITA MARA DE PAULA ARAUJO</t>
  </si>
  <si>
    <t>telêmaco-borbense</t>
  </si>
  <si>
    <t>IVANOR LUIZ MULLER</t>
  </si>
  <si>
    <t>teixeira-soarense</t>
  </si>
  <si>
    <t>RONALD ROGÉRIO LOPES SMARZARO</t>
  </si>
  <si>
    <t>tapirense</t>
  </si>
  <si>
    <t>RONALDO ADRIANO VILAS BOAS</t>
  </si>
  <si>
    <t>tapejarense</t>
  </si>
  <si>
    <t>GIOVANE MONTEIRO DA SILVA</t>
  </si>
  <si>
    <t>tamboarense</t>
  </si>
  <si>
    <t>LUZIA HARUE SUZUKAWA</t>
  </si>
  <si>
    <t>tamaranense</t>
  </si>
  <si>
    <t>GILBERTO JOÃO ROSSI</t>
  </si>
  <si>
    <t>sulinense</t>
  </si>
  <si>
    <t>LUIZ HENRIQUE GERMANO</t>
  </si>
  <si>
    <t>siqueirense</t>
  </si>
  <si>
    <t>ANA RUTH SECCO MATTESCO</t>
  </si>
  <si>
    <t>sertanopolense</t>
  </si>
  <si>
    <t>SAMUEL CARLOS DO PRADO</t>
  </si>
  <si>
    <t>sertanejano</t>
  </si>
  <si>
    <t>GILBERTO MARSARO</t>
  </si>
  <si>
    <t>serranopolitano</t>
  </si>
  <si>
    <t>GERSON NUNES DA SILVA</t>
  </si>
  <si>
    <t>sengeano</t>
  </si>
  <si>
    <t>ROGERIO GALLINA</t>
  </si>
  <si>
    <t>saudadense</t>
  </si>
  <si>
    <t>CARLOS ALBERTO DE PAULA JÚNIOR</t>
  </si>
  <si>
    <t>sarandiense</t>
  </si>
  <si>
    <t>PAULO MAXIMIANO DE SOUZA JUNIOR</t>
  </si>
  <si>
    <t>sapopemense</t>
  </si>
  <si>
    <t>JOÃO PAULO TRAVASSOS RADDI</t>
  </si>
  <si>
    <t>são-tomeense</t>
  </si>
  <si>
    <t>EXILAINE GASPAR</t>
  </si>
  <si>
    <t>amoreirense</t>
  </si>
  <si>
    <t>VANDERLEI CAETANO DE CASTRO</t>
  </si>
  <si>
    <t>são-pedrense</t>
  </si>
  <si>
    <t>RILDO BERNARDES DE CAMARGO</t>
  </si>
  <si>
    <t>ivaiense</t>
  </si>
  <si>
    <t>JACIR DANELLI</t>
  </si>
  <si>
    <t>São pedrense</t>
  </si>
  <si>
    <t>BOAVENTURA MANOEL JOAO MOTTA</t>
  </si>
  <si>
    <t>são-miguelense</t>
  </si>
  <si>
    <t>FERNANDA GARCIA SARDANHA</t>
  </si>
  <si>
    <t>são-mateuense</t>
  </si>
  <si>
    <t>VITOR HUGO RODRIGUES</t>
  </si>
  <si>
    <t>são manoelense</t>
  </si>
  <si>
    <t>MARGARIDA MARIA SINGER</t>
  </si>
  <si>
    <t>são-joseense</t>
  </si>
  <si>
    <t>FRANCO MARIA ALVES CABRAL</t>
  </si>
  <si>
    <t>são-joseliense</t>
  </si>
  <si>
    <t>JOSE LAZARO FERRAZ</t>
  </si>
  <si>
    <t>boa-vistense</t>
  </si>
  <si>
    <t>RONALDO TINTI</t>
  </si>
  <si>
    <t>patrocinense</t>
  </si>
  <si>
    <t>AGNALDO CARVALHO GUIMARÃES</t>
  </si>
  <si>
    <t>são-jorgense</t>
  </si>
  <si>
    <t>GELSON COELHO DO ROSÁRIO</t>
  </si>
  <si>
    <t>são-jorgense ou jorgense</t>
  </si>
  <si>
    <t>MARIO CEZAR DA SILVA</t>
  </si>
  <si>
    <t>triunfense</t>
  </si>
  <si>
    <t>FÁBIO HIDEK MIURA</t>
  </si>
  <si>
    <t>são-joanense</t>
  </si>
  <si>
    <t>STEFAN TOMÉ PAUKA</t>
  </si>
  <si>
    <t>caiuense</t>
  </si>
  <si>
    <t>CLOVIS MATEUS CUCCOLOTTO</t>
  </si>
  <si>
    <t>VENICIUS DJALMA ROSA</t>
  </si>
  <si>
    <t>jeronimense</t>
  </si>
  <si>
    <t>PAULO FRANCISCO MARINHO DUTRA</t>
  </si>
  <si>
    <t>são-carlense</t>
  </si>
  <si>
    <t>GENY VIOLATTO</t>
  </si>
  <si>
    <t>santo-inaciense</t>
  </si>
  <si>
    <t>RICARDO ANTONIO ORTINA</t>
  </si>
  <si>
    <t>santo-antoniense</t>
  </si>
  <si>
    <t>DEVANIR MARTINELLI</t>
  </si>
  <si>
    <t>JOSÉ GABRIEL GONÇALVES FACHIANO</t>
  </si>
  <si>
    <t>GILSON DE JESUS ESTEVES</t>
  </si>
  <si>
    <t>platinense</t>
  </si>
  <si>
    <t>ANTONIO LUIZ BENDO</t>
  </si>
  <si>
    <t>itaipuense</t>
  </si>
  <si>
    <t>AMARILDO RIGOLIN</t>
  </si>
  <si>
    <t>santa-terezense</t>
  </si>
  <si>
    <t>ELCIO JOSÉ VIDAL</t>
  </si>
  <si>
    <t>santanense</t>
  </si>
  <si>
    <t>LUAN GUSTAVO FRAZATTO</t>
  </si>
  <si>
    <t>moniquense</t>
  </si>
  <si>
    <t>JOSE MARCELO PIOVAN GUIMARAES</t>
  </si>
  <si>
    <t>santa-marianense</t>
  </si>
  <si>
    <t>OSCAR DELGADO</t>
  </si>
  <si>
    <t>santa-mariense</t>
  </si>
  <si>
    <t>SILVANO TORTELLI</t>
  </si>
  <si>
    <t>santaluciense</t>
  </si>
  <si>
    <t>JEAN PIERR CATTO</t>
  </si>
  <si>
    <t>santa-izabelense</t>
  </si>
  <si>
    <t>JOÃO CARLOS DA SILVA MENDES</t>
  </si>
  <si>
    <t>santa-isabelense</t>
  </si>
  <si>
    <t>ADENILSON PACHECO</t>
  </si>
  <si>
    <t>santa-ineense</t>
  </si>
  <si>
    <t>CLADEMAR JOAO MARASKIN</t>
  </si>
  <si>
    <t>santa-helenense</t>
  </si>
  <si>
    <t>EDSON PALOTTA NETTO</t>
  </si>
  <si>
    <t>santa-feense</t>
  </si>
  <si>
    <t>WILLIAN CEZAR VIEGA</t>
  </si>
  <si>
    <t>monte-castelense</t>
  </si>
  <si>
    <t>CLAUDIO COVRE</t>
  </si>
  <si>
    <t>pavonense</t>
  </si>
  <si>
    <t>ANTONIO CARLOS TAMAIS</t>
  </si>
  <si>
    <t>ameliense</t>
  </si>
  <si>
    <t>FERNANDO ALBERTO CADORE</t>
  </si>
  <si>
    <t>salto-lontrense</t>
  </si>
  <si>
    <t>CLAUDECI JOSÉ DE OLIVEIRA</t>
  </si>
  <si>
    <t>saltense-do-itararé</t>
  </si>
  <si>
    <t>VOLMAR DUARTE</t>
  </si>
  <si>
    <t>salgadense</t>
  </si>
  <si>
    <t>EDSON HUGO MANUEIRA</t>
  </si>
  <si>
    <t>sabaudiense</t>
  </si>
  <si>
    <t>ANIZIO CESAR LINO SILVA</t>
  </si>
  <si>
    <t>rosariense</t>
  </si>
  <si>
    <t>ROBERTO APARECIDO CORREDATO</t>
  </si>
  <si>
    <t>rondonense</t>
  </si>
  <si>
    <t>MARILIA PEROTTA BENTO GONÇALVES</t>
  </si>
  <si>
    <t>roncadorense</t>
  </si>
  <si>
    <t>AILTON APARECIDO MAÍSTRO</t>
  </si>
  <si>
    <t>rolandense</t>
  </si>
  <si>
    <t>ALESSANDRO CRISTIAN VON LINSINGEN</t>
  </si>
  <si>
    <t>rio-negrense</t>
  </si>
  <si>
    <t>KARIME FAYAD</t>
  </si>
  <si>
    <t>rio-branquense</t>
  </si>
  <si>
    <t>PEDRO TABORDA DESPLANCHES</t>
  </si>
  <si>
    <t>riobranquense</t>
  </si>
  <si>
    <t>SEZAR AUGUSTO BOVINO</t>
  </si>
  <si>
    <t>rio bonitense</t>
  </si>
  <si>
    <t>MOISÉS JOSÉ DE ANDRADE</t>
  </si>
  <si>
    <t>rio-bonense</t>
  </si>
  <si>
    <t>LEANDRO JASINSKI</t>
  </si>
  <si>
    <t>rio-azulense</t>
  </si>
  <si>
    <t>DARTAGNAN CALIXTO FRAIZ</t>
  </si>
  <si>
    <t>ribeiro-pinhalense</t>
  </si>
  <si>
    <t>LISANDRO JOSÉ NÉIA BAGGIO</t>
  </si>
  <si>
    <t>ribeirão-clarense</t>
  </si>
  <si>
    <t>VITORIO ANTUNES DE PAULA</t>
  </si>
  <si>
    <t>reservense do iguaçu</t>
  </si>
  <si>
    <t>LUCAS MACHADO RIBEIRO</t>
  </si>
  <si>
    <t>reservense</t>
  </si>
  <si>
    <t>FABIELI MANFREDI</t>
  </si>
  <si>
    <t>renascenseano</t>
  </si>
  <si>
    <t>LAERCIO ANTONIO CIPRIANO</t>
  </si>
  <si>
    <t>reboucense</t>
  </si>
  <si>
    <t>PAULO CEZAR CASARIL</t>
  </si>
  <si>
    <t>realezense</t>
  </si>
  <si>
    <t>EVERTON CÁSSIO ZANUTO</t>
  </si>
  <si>
    <t>rancho alegrense</t>
  </si>
  <si>
    <t>FLAVIO HENRIQUE PEREIRA</t>
  </si>
  <si>
    <t>alegrense</t>
  </si>
  <si>
    <t>EDSON DOS SANTOS</t>
  </si>
  <si>
    <t>ramilandiense</t>
  </si>
  <si>
    <t>JOSÉ RIBEIRO DE MOURA</t>
  </si>
  <si>
    <t>quitandinhense</t>
  </si>
  <si>
    <t>LEONARDO LAZZARETTI ROMERO</t>
  </si>
  <si>
    <t>quinta-solense</t>
  </si>
  <si>
    <t>ALEX SANDRO FERNANDES</t>
  </si>
  <si>
    <t>querenciano</t>
  </si>
  <si>
    <t>RAFAEL CIRYLLO CHIAPETTI ALVES DE MOURA</t>
  </si>
  <si>
    <t>quedas-iguaçuense</t>
  </si>
  <si>
    <t>CESAR ALEXANDRE SEIDEL</t>
  </si>
  <si>
    <t>quatro pontense</t>
  </si>
  <si>
    <t>LORENO BERNARDO TOLARDO</t>
  </si>
  <si>
    <t>quatro-barrense</t>
  </si>
  <si>
    <t>IZILDA GLEICIANY RODRIGUES CARRO</t>
  </si>
  <si>
    <t>quatiguaense</t>
  </si>
  <si>
    <t>WILSON AKIO ABE</t>
  </si>
  <si>
    <t>quarto centenariense</t>
  </si>
  <si>
    <t>ADELMO LUIZ KLOSOWSKI</t>
  </si>
  <si>
    <t>prudentopolitano</t>
  </si>
  <si>
    <t>BRUNO EDUARDO SANTA ROSA BAUERMAMM ESTEVAM</t>
  </si>
  <si>
    <t>primaiense</t>
  </si>
  <si>
    <t>JOÃO PERICLES MARTINATI</t>
  </si>
  <si>
    <t>castelo-branquense</t>
  </si>
  <si>
    <t>RONIMAR ELEANDRO SARTOR</t>
  </si>
  <si>
    <t>pranchitense / pranchitano</t>
  </si>
  <si>
    <t>SILVIO ANTONIO DAMACENO</t>
  </si>
  <si>
    <t>prado ferreirense</t>
  </si>
  <si>
    <t>FABIANO JOSÉ GLAAB</t>
  </si>
  <si>
    <t>porto-vitoriense</t>
  </si>
  <si>
    <t>VALTER BATISTA DOS SANTOS</t>
  </si>
  <si>
    <t>porto-riquense</t>
  </si>
  <si>
    <t>EMANOEL VANDERLEI VOLFF</t>
  </si>
  <si>
    <t>porto barreirense</t>
  </si>
  <si>
    <t>ELIAS JOCID GOMES DA COSTA</t>
  </si>
  <si>
    <t>porto-amazonense</t>
  </si>
  <si>
    <t>AGAMEMNON AUGUSTO ARAUJO PADUAN</t>
  </si>
  <si>
    <t>porecatuense</t>
  </si>
  <si>
    <t>RUDISNEY GIMENES FILHO</t>
  </si>
  <si>
    <t>pontalense</t>
  </si>
  <si>
    <t>ELIZABETH SILVEIRA SCHMIDT</t>
  </si>
  <si>
    <t>ponta-grossense</t>
  </si>
  <si>
    <t>LUIZ CARLOS BONI</t>
  </si>
  <si>
    <t>planaltense</t>
  </si>
  <si>
    <t>CELSO MAGGIONI</t>
  </si>
  <si>
    <t>planaltinense</t>
  </si>
  <si>
    <t>SAMUEL TEIXEIRA</t>
  </si>
  <si>
    <t>pitangueirense</t>
  </si>
  <si>
    <t>DIRCEU MORAES</t>
  </si>
  <si>
    <t>pitanguense</t>
  </si>
  <si>
    <t>MARCUS MAURICIO DE SOUZA TESSEROLLI</t>
  </si>
  <si>
    <t>piraquarense</t>
  </si>
  <si>
    <t>HENRIQUE DE OLIVEIRA CARNEIRO</t>
  </si>
  <si>
    <t>piraiense</t>
  </si>
  <si>
    <t>VALDECIR BIASEBETTI</t>
  </si>
  <si>
    <t>pinhãoense</t>
  </si>
  <si>
    <t>PAULO FALCADE DE OLIVEIRA</t>
  </si>
  <si>
    <t>pinhalense</t>
  </si>
  <si>
    <t>LUIZ EDUARDO DE CASTRO VANZELI</t>
  </si>
  <si>
    <t>pinhalense ou pinhalãoense</t>
  </si>
  <si>
    <t>ROSA MARIA DE JESUS COLOMBO</t>
  </si>
  <si>
    <t>pinhaiense</t>
  </si>
  <si>
    <t>MAICON GROSSKOPF</t>
  </si>
  <si>
    <t>pienense</t>
  </si>
  <si>
    <t>EDSOM LUIZ BAGETTI</t>
  </si>
  <si>
    <t>pérolatense</t>
  </si>
  <si>
    <t>VALDETE CARLOS OLIVEIRA GONCALVES DA CUNHA</t>
  </si>
  <si>
    <t>perolense</t>
  </si>
  <si>
    <t>CRISTIANO CEZAR MERLINI DE ALBUQUERQUE</t>
  </si>
  <si>
    <t>perobalense</t>
  </si>
  <si>
    <t>JOSÉ MARCOS GONÇALVES LOPES</t>
  </si>
  <si>
    <t>peabiruense</t>
  </si>
  <si>
    <t>IRENEU INACIO ZACHARIAS</t>
  </si>
  <si>
    <t>frontinense</t>
  </si>
  <si>
    <t>SEBASTIÃO ALGACIR DALPRA</t>
  </si>
  <si>
    <t>paula-freitense</t>
  </si>
  <si>
    <t>GERI NATALINO DUTRA</t>
  </si>
  <si>
    <t>pato-branquense</t>
  </si>
  <si>
    <t>JOHN JEFERSON WEBER NODARI</t>
  </si>
  <si>
    <t>pato bragadense</t>
  </si>
  <si>
    <t>MAURÍCIO GEHLEN</t>
  </si>
  <si>
    <t>paranavaiense</t>
  </si>
  <si>
    <t>SIDNEI FRAZATTO</t>
  </si>
  <si>
    <t>paranapoemense</t>
  </si>
  <si>
    <t>ADRIANO RAMOS</t>
  </si>
  <si>
    <t>parnanguara</t>
  </si>
  <si>
    <t>JOSE CLAUDIO BATISTA</t>
  </si>
  <si>
    <t>paranacitense</t>
  </si>
  <si>
    <t>CARLOS ALBERTO VIZZOTTO</t>
  </si>
  <si>
    <t>paraisense-do-norte</t>
  </si>
  <si>
    <t>RODRIGO RIBEIRO</t>
  </si>
  <si>
    <t>palotinense</t>
  </si>
  <si>
    <t>ROBERTO CARLOS ROSSI</t>
  </si>
  <si>
    <t>palmitalense</t>
  </si>
  <si>
    <t>ALTAMIR SANSON</t>
  </si>
  <si>
    <t>palmeirense</t>
  </si>
  <si>
    <t>DANIEL RICARDO LANGARO</t>
  </si>
  <si>
    <t>palmense</t>
  </si>
  <si>
    <t>ISMAEL BATISTA</t>
  </si>
  <si>
    <t>paiçanduense</t>
  </si>
  <si>
    <t>LUCIAN ALUISIO DIERINGS</t>
  </si>
  <si>
    <t>ouro-verdense</t>
  </si>
  <si>
    <t>JANILSON MARCOS DONASAN</t>
  </si>
  <si>
    <t>ourizonense</t>
  </si>
  <si>
    <t>ARY DE OLIVEIRA MATTOS</t>
  </si>
  <si>
    <t>ortigueirense</t>
  </si>
  <si>
    <t>JOAO PEDRO MAGON</t>
  </si>
  <si>
    <t>itacolomiense</t>
  </si>
  <si>
    <t>PEDRO LOURENÇO</t>
  </si>
  <si>
    <t>nova-tebense</t>
  </si>
  <si>
    <t>ELIZETE CAVAZIN</t>
  </si>
  <si>
    <t>pratense</t>
  </si>
  <si>
    <t>LARI HITZ</t>
  </si>
  <si>
    <t>nova-santa-rosense</t>
  </si>
  <si>
    <t>CLAUDEMIR VALÉRIO</t>
  </si>
  <si>
    <t>bárbaraense</t>
  </si>
  <si>
    <t>LUIZ LAZARO SORVOS</t>
  </si>
  <si>
    <t>novaolimpiense</t>
  </si>
  <si>
    <t>LUIZ GUSTAVO MAIOR BONO</t>
  </si>
  <si>
    <t>nova-londrinense</t>
  </si>
  <si>
    <t>FABIO ROBERTO DOS SANTOS</t>
  </si>
  <si>
    <t>nova laranjeirense</t>
  </si>
  <si>
    <t>RENATA MONTENEGRO BALAN XAVIER</t>
  </si>
  <si>
    <t>fatimense</t>
  </si>
  <si>
    <t>JAIME DA SILVA STANG</t>
  </si>
  <si>
    <t>novaesperancense</t>
  </si>
  <si>
    <t>JOAO EDUARDO PASQUINI</t>
  </si>
  <si>
    <t>nova-esperancense</t>
  </si>
  <si>
    <t>AIRTON ANTONIO AGNOLIN</t>
  </si>
  <si>
    <t>nova-cantuense</t>
  </si>
  <si>
    <t>JOSE APARECIDO DE PAULA E SOUZA</t>
  </si>
  <si>
    <t>nova-aurorense</t>
  </si>
  <si>
    <t>TANIA CRISTINA DA SILVA BASSO</t>
  </si>
  <si>
    <t>nova-americanense</t>
  </si>
  <si>
    <t>ULISSES DE SOUZA</t>
  </si>
  <si>
    <t>CLODOALDO APARECIDO RIGIERI</t>
  </si>
  <si>
    <t>gracense</t>
  </si>
  <si>
    <t>ÁUREO GOMES</t>
  </si>
  <si>
    <t>munhozense</t>
  </si>
  <si>
    <t>SEBASTIÃO BRINDAROLLI JUNIOR</t>
  </si>
  <si>
    <t>morretense</t>
  </si>
  <si>
    <t>LUIZ ANTONIO VOLPATO</t>
  </si>
  <si>
    <t>moreira-salense</t>
  </si>
  <si>
    <t>ADILTO LUIS FERRARI</t>
  </si>
  <si>
    <t>missalense</t>
  </si>
  <si>
    <t>JOAO MARCOS FERRER</t>
  </si>
  <si>
    <t>miraselvano</t>
  </si>
  <si>
    <t>FABIANO MARCOS DA SILVA TRAVAIN</t>
  </si>
  <si>
    <t>miradorense</t>
  </si>
  <si>
    <t>LAERTON WEBER</t>
  </si>
  <si>
    <t>mercedense</t>
  </si>
  <si>
    <t>ANTONIO FRANÇA BENJAMIM</t>
  </si>
  <si>
    <t>medianeirense</t>
  </si>
  <si>
    <t>GIVANILDO LOPES</t>
  </si>
  <si>
    <t>mauaense da serra</t>
  </si>
  <si>
    <t>EDELIR DE JESUS RIBEIRO DA SILVA</t>
  </si>
  <si>
    <t>mato-riquense</t>
  </si>
  <si>
    <t>EDUARDO ANTONIO DALMORA</t>
  </si>
  <si>
    <t>matinhense</t>
  </si>
  <si>
    <t>GABRIEL DA SILVA CADINI</t>
  </si>
  <si>
    <t>matelandiense</t>
  </si>
  <si>
    <t>ELAINE MARIA FERREIRA COSTA</t>
  </si>
  <si>
    <t>marumbiense</t>
  </si>
  <si>
    <t>ELIO BOLZON JUNIOR</t>
  </si>
  <si>
    <t>marquinhense</t>
  </si>
  <si>
    <t>JANDER LUIZ LOSS</t>
  </si>
  <si>
    <t>marmeleirense</t>
  </si>
  <si>
    <t>RODRIGO ANDRE SCHANOSKI</t>
  </si>
  <si>
    <t>maripaense</t>
  </si>
  <si>
    <t>MARIO EDUARDO LOPES PAULEK</t>
  </si>
  <si>
    <t>mariopolitano</t>
  </si>
  <si>
    <t>SILVIO MAGALHAES BARROS II</t>
  </si>
  <si>
    <t>maringaense</t>
  </si>
  <si>
    <t>PAULO ARMANDO DA SILVA ALVES</t>
  </si>
  <si>
    <t>mariluzense</t>
  </si>
  <si>
    <t>CELIO LELIS DA MATA</t>
  </si>
  <si>
    <t>marilenense</t>
  </si>
  <si>
    <t>WALMIR PERES</t>
  </si>
  <si>
    <t>marilandense</t>
  </si>
  <si>
    <t>FLAVIA CHERONI DA SILVA BRITA</t>
  </si>
  <si>
    <t>marialvense</t>
  </si>
  <si>
    <t>MARLON RANCER MARQUES</t>
  </si>
  <si>
    <t>maria-helenense</t>
  </si>
  <si>
    <t>ADRIANO BACKES</t>
  </si>
  <si>
    <t>JOSE CARLOS DA SILVA CORONA</t>
  </si>
  <si>
    <t>manoel-ribense</t>
  </si>
  <si>
    <t>LEANDRO DORINI</t>
  </si>
  <si>
    <t>mangueirinhense</t>
  </si>
  <si>
    <t>AMARILDO ALVES CARNEIRO</t>
  </si>
  <si>
    <t>manfrinopolitano</t>
  </si>
  <si>
    <t>FELIPE CLAUDINO MACHADO</t>
  </si>
  <si>
    <t>mandiritubense</t>
  </si>
  <si>
    <t>IVONÉIA DE ANDRADE APARECIDO FURTADO</t>
  </si>
  <si>
    <t>mandaguariense</t>
  </si>
  <si>
    <t>JOSE ROBERTO MENDES</t>
  </si>
  <si>
    <t>mandaguaçuense</t>
  </si>
  <si>
    <t>SEBASTIÃO ANTONIO MARTINEZ</t>
  </si>
  <si>
    <t>mamborense</t>
  </si>
  <si>
    <t>PEDRO KOWALCZYK</t>
  </si>
  <si>
    <t>malletense</t>
  </si>
  <si>
    <t>JOSÉ CARLOS TIBÉRIO</t>
  </si>
  <si>
    <t>lupionopolense</t>
  </si>
  <si>
    <t>LUIZ WANDERLEI MARSON SARDI</t>
  </si>
  <si>
    <t>lunardelliense</t>
  </si>
  <si>
    <t>EDSON LISS</t>
  </si>
  <si>
    <t>luizianense</t>
  </si>
  <si>
    <t>JOSÉ TIAGO CAMARGO DO AMARAL</t>
  </si>
  <si>
    <t>londrinense</t>
  </si>
  <si>
    <t>FABIO CHICAROLI</t>
  </si>
  <si>
    <t>lobatense</t>
  </si>
  <si>
    <t>JOSE MARIA PEREIRA FERNANDES</t>
  </si>
  <si>
    <t>loandense</t>
  </si>
  <si>
    <t>SILVIO DE SOUZA</t>
  </si>
  <si>
    <t>lindo-estense</t>
  </si>
  <si>
    <t>APARECIDO BUZATO</t>
  </si>
  <si>
    <t>lidianopolitano</t>
  </si>
  <si>
    <t>LEOMAR MONTEIRO</t>
  </si>
  <si>
    <t>leopolense</t>
  </si>
  <si>
    <t>JAISON RODRIGO MENDES</t>
  </si>
  <si>
    <t>laranjeirense-do-sul</t>
  </si>
  <si>
    <t>MAYCON LOPES SIMIONI</t>
  </si>
  <si>
    <t>laranjaense</t>
  </si>
  <si>
    <t>DIEGO TIMBIRUSSU RIBAS</t>
  </si>
  <si>
    <t>lapeano</t>
  </si>
  <si>
    <t>WASHINGTON LUIZ DA SILVA</t>
  </si>
  <si>
    <t>kaloreense</t>
  </si>
  <si>
    <t>MOACIR LUIZ PEREIRA VALENTINI</t>
  </si>
  <si>
    <t>jussarense</t>
  </si>
  <si>
    <t>JOELMA DAMASCENO DEMENECK</t>
  </si>
  <si>
    <t>jurandense</t>
  </si>
  <si>
    <t>PAULO ROBERTO PEDRO</t>
  </si>
  <si>
    <t>jundiaiense-do-sul</t>
  </si>
  <si>
    <t>GELSON MANSUR NASSAR</t>
  </si>
  <si>
    <t>tavorense</t>
  </si>
  <si>
    <t>EDICARLOS GRIZOTTO DE OLIVEIRA</t>
  </si>
  <si>
    <t>jesuitense</t>
  </si>
  <si>
    <t>WILSON FERNANDES</t>
  </si>
  <si>
    <t>jatainhense</t>
  </si>
  <si>
    <t>WEVERTON JOSÉ DOS SANTOS LIMA</t>
  </si>
  <si>
    <t>jardinolindense</t>
  </si>
  <si>
    <t>MOISES LNORTOVZ DOS SANTOS</t>
  </si>
  <si>
    <t>jardim-alegrense</t>
  </si>
  <si>
    <t>ADRIANA CRISTINA POLIZER</t>
  </si>
  <si>
    <t>japuraense</t>
  </si>
  <si>
    <t>HARIEL VIEIRA FOGAÇA</t>
  </si>
  <si>
    <t>japirense</t>
  </si>
  <si>
    <t>EIDES GUEDES</t>
  </si>
  <si>
    <t>janiopolitano</t>
  </si>
  <si>
    <t>BENEDITO JOSE PUPIO</t>
  </si>
  <si>
    <t>jandaiense-do-sul</t>
  </si>
  <si>
    <t>JOSÉ SLOBODA</t>
  </si>
  <si>
    <t>jaguariaivense</t>
  </si>
  <si>
    <t>EDISON RODRIGUES DE ALMEIDA</t>
  </si>
  <si>
    <t>jaguapitãense</t>
  </si>
  <si>
    <t>MARCELO JOSE BERNARDELI PALHARES</t>
  </si>
  <si>
    <t>jacarezinhense</t>
  </si>
  <si>
    <t>REGIS WILLIAM SIQUEIRA RODRIGUES</t>
  </si>
  <si>
    <t>jabotiense</t>
  </si>
  <si>
    <t>VARLEI VERCEZI</t>
  </si>
  <si>
    <t>ivatubense</t>
  </si>
  <si>
    <t>DENILSON VAGLIERI PREVITAL</t>
  </si>
  <si>
    <t>ivateense</t>
  </si>
  <si>
    <t>LUIZ CARLOS GIL</t>
  </si>
  <si>
    <t>ivaiporãnense</t>
  </si>
  <si>
    <t>ORLI ANTONIO CAMARGO DE CRISTO</t>
  </si>
  <si>
    <t>GILSON JOSÉ DE GOIS</t>
  </si>
  <si>
    <t>itaunense</t>
  </si>
  <si>
    <t>EDILSON RUIZ DE FREITAS</t>
  </si>
  <si>
    <t>itaperuçuense</t>
  </si>
  <si>
    <t>VILMAR SCHMOLLER</t>
  </si>
  <si>
    <t>itapejarense</t>
  </si>
  <si>
    <t>ANANIAS SOARES VIEIRA</t>
  </si>
  <si>
    <t>itambenense</t>
  </si>
  <si>
    <t>AMARILDO TOSTES</t>
  </si>
  <si>
    <t>itambaracaense</t>
  </si>
  <si>
    <t>LINDOLFO MARTINS RUI</t>
  </si>
  <si>
    <t>itaipulandiense</t>
  </si>
  <si>
    <t>RENATO FELIX DE SOUZA</t>
  </si>
  <si>
    <t>itaguajeense</t>
  </si>
  <si>
    <t>SAME SAAB</t>
  </si>
  <si>
    <t>iretamense</t>
  </si>
  <si>
    <t>EMILIANO AUGUSTO ROCHA GOMES</t>
  </si>
  <si>
    <t>iratiense</t>
  </si>
  <si>
    <t>ELZA HAASE RODRIGUES</t>
  </si>
  <si>
    <t>iracemense</t>
  </si>
  <si>
    <t>ROBERTO DA SILVA</t>
  </si>
  <si>
    <t>iporãense</t>
  </si>
  <si>
    <t>DOUGLAS DAVI CRUZ</t>
  </si>
  <si>
    <t>ipiranguense</t>
  </si>
  <si>
    <t>PAULO CEZAR RIZZATO MARTINS</t>
  </si>
  <si>
    <t>indianopolitano</t>
  </si>
  <si>
    <t>JOÃO EDER AGUILAR</t>
  </si>
  <si>
    <t>inajaense</t>
  </si>
  <si>
    <t>EDMUNDO VIER</t>
  </si>
  <si>
    <t>inácio-martinense</t>
  </si>
  <si>
    <t>BERTOLDO ROVER</t>
  </si>
  <si>
    <t>imbituvense</t>
  </si>
  <si>
    <t>DAYANE SOVINSKI RODRIGUES</t>
  </si>
  <si>
    <t>imbauense</t>
  </si>
  <si>
    <t>MARTINHO LUCAS DE GODOY</t>
  </si>
  <si>
    <t>iguatuense</t>
  </si>
  <si>
    <t>CLAUDIO APARECIDO BERNIN</t>
  </si>
  <si>
    <t>iguaraçuense</t>
  </si>
  <si>
    <t>DEVAIR FABRIS</t>
  </si>
  <si>
    <t>icaraimense</t>
  </si>
  <si>
    <t>JOSÉ MARIA FERREIRA</t>
  </si>
  <si>
    <t>ibiporanense</t>
  </si>
  <si>
    <t>VIVIANE COMIRAN</t>
  </si>
  <si>
    <t>ibemense</t>
  </si>
  <si>
    <t>ROBERTO REGAZZO</t>
  </si>
  <si>
    <t>ibaitiense</t>
  </si>
  <si>
    <t>JOÃO CARLOS GARBIN</t>
  </si>
  <si>
    <t>honório serpense</t>
  </si>
  <si>
    <t>MAURICIO LENSE</t>
  </si>
  <si>
    <t>guaratubano</t>
  </si>
  <si>
    <t>ALESSANDRO CARNEIRO SOARES TRUCHINSKI</t>
  </si>
  <si>
    <t>guaraqueçabano</t>
  </si>
  <si>
    <t>DENILSON BAITALA</t>
  </si>
  <si>
    <t>guarapuavano</t>
  </si>
  <si>
    <t>JURACI RONALDO CAZELLA</t>
  </si>
  <si>
    <t>guaraniaçuano</t>
  </si>
  <si>
    <t>MARCOS ANTÔNIO DE SOUZA</t>
  </si>
  <si>
    <t>guaraciense</t>
  </si>
  <si>
    <t>GILBERTO CASTIGLIONI</t>
  </si>
  <si>
    <t>guaporemense</t>
  </si>
  <si>
    <t>PEDRO DE OLIVEIRA</t>
  </si>
  <si>
    <t>guapiramense</t>
  </si>
  <si>
    <t>MARCELO LEITE</t>
  </si>
  <si>
    <t>guamiranguense</t>
  </si>
  <si>
    <t>MARCELO ALVES DE OLIVEIRA</t>
  </si>
  <si>
    <t>guairaçaense</t>
  </si>
  <si>
    <t>GILEADE GABRIEL OSTI</t>
  </si>
  <si>
    <t>guairense</t>
  </si>
  <si>
    <t>WILLIAM JOSÉ GONÇALVES</t>
  </si>
  <si>
    <t>grande-riense</t>
  </si>
  <si>
    <t>EDER DOS SANTOS</t>
  </si>
  <si>
    <t>goioxinhense</t>
  </si>
  <si>
    <t>PEDRO ANTÔNIO DE OLIVEIRA COELHO</t>
  </si>
  <si>
    <t>goio-erense</t>
  </si>
  <si>
    <t>PRIMIS DE OLIVEIRA</t>
  </si>
  <si>
    <t>godoense</t>
  </si>
  <si>
    <t>JOEL RICARDO MARTINS FERREIRA</t>
  </si>
  <si>
    <t>carneirense</t>
  </si>
  <si>
    <t>FRANCISCO CLEI DA SILVA</t>
  </si>
  <si>
    <t>fozjordense</t>
  </si>
  <si>
    <t>ANTONIO PEDRON</t>
  </si>
  <si>
    <t>beltronense</t>
  </si>
  <si>
    <t>ALIRIO JOSÉ MISTURA</t>
  </si>
  <si>
    <t>alvense</t>
  </si>
  <si>
    <t>JOAQUIM SILVA E LUNA</t>
  </si>
  <si>
    <t>iguaçuense</t>
  </si>
  <si>
    <t>ORIVALDO MUNICELLI</t>
  </si>
  <si>
    <t>formosense-do-oeste</t>
  </si>
  <si>
    <t>ANTONIO EMERSON SETTE</t>
  </si>
  <si>
    <t>floridense</t>
  </si>
  <si>
    <t>ONICIO DE SOUZA</t>
  </si>
  <si>
    <t>florestopolitano</t>
  </si>
  <si>
    <t>ROGERIO PEREIRA MENDES</t>
  </si>
  <si>
    <t>florestense</t>
  </si>
  <si>
    <t>VALMOR FELIPE JUNIOR</t>
  </si>
  <si>
    <t>sulflorense</t>
  </si>
  <si>
    <t>EDNA DE LOURDES CARPINE CONTIN</t>
  </si>
  <si>
    <t>floraiense</t>
  </si>
  <si>
    <t>VALDECIR GARCIA</t>
  </si>
  <si>
    <t>figueirense</t>
  </si>
  <si>
    <t>OZIEL NEIVERT</t>
  </si>
  <si>
    <t>fernandespinheirense</t>
  </si>
  <si>
    <t>EURIPEDES MOLINA TASCA JUNIOR</t>
  </si>
  <si>
    <t>fenexense</t>
  </si>
  <si>
    <t>MARCO ANTONIO MARCONDES SILVA</t>
  </si>
  <si>
    <t>fazendense</t>
  </si>
  <si>
    <t>HERMES ANTONIO SANTA ROSA</t>
  </si>
  <si>
    <t>faxinalense</t>
  </si>
  <si>
    <t>OCLECIO DE FREITAS MENESES</t>
  </si>
  <si>
    <t>farolense</t>
  </si>
  <si>
    <t>AGENOR BERTONCELO</t>
  </si>
  <si>
    <t>espigãoense</t>
  </si>
  <si>
    <t>JAIR BOKORNI</t>
  </si>
  <si>
    <t>entrerriense</t>
  </si>
  <si>
    <t>EVERTON BARBIERI</t>
  </si>
  <si>
    <t>esperançanovense</t>
  </si>
  <si>
    <t>ADALMIR JOSÉ GARBIM JÚNIOR</t>
  </si>
  <si>
    <t>engenheiro-beltrense</t>
  </si>
  <si>
    <t>EDSON LUPATINI</t>
  </si>
  <si>
    <t>enéas-marquense</t>
  </si>
  <si>
    <t>DOUGLAS RIBEIRO DO PRADO</t>
  </si>
  <si>
    <t>camarguense</t>
  </si>
  <si>
    <t>OBERDAM JOSÉ DE OLIVEIRA</t>
  </si>
  <si>
    <t>douradinense</t>
  </si>
  <si>
    <t>LUIS CARLOS TURATTO</t>
  </si>
  <si>
    <t>duovizinhense</t>
  </si>
  <si>
    <t>AMARILDO APARECIDO DA SILVA</t>
  </si>
  <si>
    <t>diamantense</t>
  </si>
  <si>
    <t>DARCI TIRELLI</t>
  </si>
  <si>
    <t>sul-diamantino</t>
  </si>
  <si>
    <t>ELIEL DOS SANTOS CORREA</t>
  </si>
  <si>
    <t>CHRISTIANO GIUNTA BORGES</t>
  </si>
  <si>
    <t>curiuvense</t>
  </si>
  <si>
    <t>EDUARDO PIMENTEL SLAVIERO</t>
  </si>
  <si>
    <t>curitibano</t>
  </si>
  <si>
    <t>MAURÍCIO BUENO DE CAMARGO</t>
  </si>
  <si>
    <t>cruzmaltinense</t>
  </si>
  <si>
    <t>CARLOS NOWAK</t>
  </si>
  <si>
    <t>cruz-machadense</t>
  </si>
  <si>
    <t>MARCOS CÉSAR SUGIGAN</t>
  </si>
  <si>
    <t>cruzeirense-do-sul</t>
  </si>
  <si>
    <t>ARMANDO CERCI JUNIOR</t>
  </si>
  <si>
    <t>cruzeirense</t>
  </si>
  <si>
    <t>RENI KOVALSKI</t>
  </si>
  <si>
    <t>ALEXANDRE DONATO</t>
  </si>
  <si>
    <t>corumbataiense</t>
  </si>
  <si>
    <t>ANDERSON MANIQUE BARRETO</t>
  </si>
  <si>
    <t>coronel-vividense</t>
  </si>
  <si>
    <t>MARIA ANTONIETA DE ARAUJO ALMEIDA</t>
  </si>
  <si>
    <t>domingosoarense</t>
  </si>
  <si>
    <t>RAPHAEL DIAS SAMPAIO</t>
  </si>
  <si>
    <t>procopense</t>
  </si>
  <si>
    <t>THIAGO DAROSS STEFANELLO</t>
  </si>
  <si>
    <t>corbeliano</t>
  </si>
  <si>
    <t>ANTONIO ADAMIR DIGNER</t>
  </si>
  <si>
    <t>contendense</t>
  </si>
  <si>
    <t>JOSELEI APARECIDO DE CARVALHO</t>
  </si>
  <si>
    <t>mairinquense</t>
  </si>
  <si>
    <t>JOSE OLEGARIO RIBEIRO LOPES</t>
  </si>
  <si>
    <t>congonhinhense</t>
  </si>
  <si>
    <t>ROSIMEIRE CHIQUIM</t>
  </si>
  <si>
    <t>colorado</t>
  </si>
  <si>
    <t>HELDER LUIZ LAZAROTTO</t>
  </si>
  <si>
    <t>colombense</t>
  </si>
  <si>
    <t>RAFAELA MARTINS LOSI</t>
  </si>
  <si>
    <t>clevelandense</t>
  </si>
  <si>
    <t>ALEXANDRE LUCENA</t>
  </si>
  <si>
    <t>cidade-gauchense ou citadino</t>
  </si>
  <si>
    <t>MARCO ANTONIO FRANZATO</t>
  </si>
  <si>
    <t>cianortense</t>
  </si>
  <si>
    <t>ÁLVARO DÊNIS CENI SCOLARO</t>
  </si>
  <si>
    <t>chopinzinhense</t>
  </si>
  <si>
    <t>LAURINDO SPEROTTO</t>
  </si>
  <si>
    <t>céu-azulense</t>
  </si>
  <si>
    <t>EDSON CORDEIRO DO NASCIMENTO</t>
  </si>
  <si>
    <t>cerro-azulense</t>
  </si>
  <si>
    <t>MELQUIADES TAVIAN JUNIOR</t>
  </si>
  <si>
    <t>centenariense</t>
  </si>
  <si>
    <t>ADEMAR LUIZ BURCKHARDT</t>
  </si>
  <si>
    <t>catanduvense</t>
  </si>
  <si>
    <t>REINALDO CARDOSO</t>
  </si>
  <si>
    <t>castrense</t>
  </si>
  <si>
    <t>RENATO DA SILVA</t>
  </si>
  <si>
    <t>cascavelense</t>
  </si>
  <si>
    <t>NILTON DOUGLAS DE MEIRA</t>
  </si>
  <si>
    <t>carlopolitano</t>
  </si>
  <si>
    <t>ELISANGELA PEDROSO DE OLIVEIRA NUNES</t>
  </si>
  <si>
    <t>carambiense</t>
  </si>
  <si>
    <t>MAXWELL SCAPINI</t>
  </si>
  <si>
    <t>leônidas-marquesiense</t>
  </si>
  <si>
    <t>NEIVOR KESSLER</t>
  </si>
  <si>
    <t>capanemense</t>
  </si>
  <si>
    <t>JOAO KONJUNSKI</t>
  </si>
  <si>
    <t>cantagalense</t>
  </si>
  <si>
    <t>ALDOINO GOLDONI FILHO</t>
  </si>
  <si>
    <t>candoianos</t>
  </si>
  <si>
    <t>RENAN MENCK ROMANICHEN</t>
  </si>
  <si>
    <t>cândido-abreuense</t>
  </si>
  <si>
    <t>JOÃO DOUGLAS FABRÍCIO</t>
  </si>
  <si>
    <t>mourãoense</t>
  </si>
  <si>
    <t>RILTON BOZA</t>
  </si>
  <si>
    <t>campomagrense</t>
  </si>
  <si>
    <t>MAURICIO ROBERTO RIVABEM</t>
  </si>
  <si>
    <t>campo-larguense</t>
  </si>
  <si>
    <t>WEVERTON WILLIAN VIZENTIN</t>
  </si>
  <si>
    <t>tenentiano</t>
  </si>
  <si>
    <t>MARIO WEBER</t>
  </si>
  <si>
    <t>campo-bonitense</t>
  </si>
  <si>
    <t>LUIZ CARLOS ASSUNÇÃO</t>
  </si>
  <si>
    <t>campinense-do-sul</t>
  </si>
  <si>
    <t>ANDRÉ JUNIOR DE PAULA</t>
  </si>
  <si>
    <t>campineiro do simão</t>
  </si>
  <si>
    <t>GIANNY JOSE GRACIOSO BENTO</t>
  </si>
  <si>
    <t>campinense-da-lagoa</t>
  </si>
  <si>
    <t>ANA LÚCIA DE OLIVEIRA</t>
  </si>
  <si>
    <t>cambirense</t>
  </si>
  <si>
    <t>CONRADO ANGELO SCHELLER</t>
  </si>
  <si>
    <t>cambeense</t>
  </si>
  <si>
    <t>WALCIR JOAQUIM</t>
  </si>
  <si>
    <t>cambaraense</t>
  </si>
  <si>
    <t>PAULO SÉRGIO CHILEIDE</t>
  </si>
  <si>
    <t>californiano</t>
  </si>
  <si>
    <t>PEDRO MINORU INOUE</t>
  </si>
  <si>
    <t>cafezalense</t>
  </si>
  <si>
    <t>JUNIOR MOTTER</t>
  </si>
  <si>
    <t>cafelandense</t>
  </si>
  <si>
    <t>ELTON FÁBIO LAZARETTI</t>
  </si>
  <si>
    <t>cafearense</t>
  </si>
  <si>
    <t>ALEX ANTONIO CAVALCANTE</t>
  </si>
  <si>
    <t>brasilandiense</t>
  </si>
  <si>
    <t>VALDIR ZIELINSKI</t>
  </si>
  <si>
    <t>braganense</t>
  </si>
  <si>
    <t>ADILSON LUCCHETTI</t>
  </si>
  <si>
    <t>borrazopolitano</t>
  </si>
  <si>
    <t>MAICO DIOGO FAVERSANI</t>
  </si>
  <si>
    <t>bomsucessense do sul</t>
  </si>
  <si>
    <t>ROSANA FERREIRA LOPES</t>
  </si>
  <si>
    <t>bom-sucessense</t>
  </si>
  <si>
    <t>HELIO JOSE SURDI</t>
  </si>
  <si>
    <t>bonjesuense</t>
  </si>
  <si>
    <t>JOAO DE LIMA</t>
  </si>
  <si>
    <t>bocaiuvense</t>
  </si>
  <si>
    <t>EDUARDO JOSE HENRICHS</t>
  </si>
  <si>
    <t>NESTOR KENEAR</t>
  </si>
  <si>
    <t>boa venturense</t>
  </si>
  <si>
    <t>GIVANILDO TRUMI</t>
  </si>
  <si>
    <t>boaesperencense</t>
  </si>
  <si>
    <t>JOEL CELSO BUSCARIOL</t>
  </si>
  <si>
    <t>boa-esperansense</t>
  </si>
  <si>
    <t>RODRIGO ROSSONI</t>
  </si>
  <si>
    <t>biturenense</t>
  </si>
  <si>
    <t>FABRICIO PASTORE</t>
  </si>
  <si>
    <t>bela-vistense</t>
  </si>
  <si>
    <t>GELSON MAFFI</t>
  </si>
  <si>
    <t>LUIZ FABIANO ZANATTA</t>
  </si>
  <si>
    <t>barrense</t>
  </si>
  <si>
    <t>JORGE LUIZ SANTIN</t>
  </si>
  <si>
    <t>barraconense</t>
  </si>
  <si>
    <t>CARLOS ROSA ALVES</t>
  </si>
  <si>
    <t>barbosense</t>
  </si>
  <si>
    <t>JAELSON RAMALHO MATTA</t>
  </si>
  <si>
    <t>bandeirantense</t>
  </si>
  <si>
    <t>CLEVER APARECIDO IAVOLSKI POLETTO</t>
  </si>
  <si>
    <t>balsa-novense</t>
  </si>
  <si>
    <t>CARLOS EDUARDO ARMELIN MARIANI</t>
  </si>
  <si>
    <t>atalaiense</t>
  </si>
  <si>
    <t>SUZIE APARECIDA PUCILLO ZANATTA</t>
  </si>
  <si>
    <t>astorgano</t>
  </si>
  <si>
    <t>MARCEL HENRIQUE MICHELETTO</t>
  </si>
  <si>
    <t>assis-chateaubriense</t>
  </si>
  <si>
    <t>MICHEL ANGELO BOMTEMPO</t>
  </si>
  <si>
    <t>assaiense</t>
  </si>
  <si>
    <t>THIAGO EPIFANIO DA SILVA</t>
  </si>
  <si>
    <t>ariranhense do ivaí</t>
  </si>
  <si>
    <t>LUIZ GUSTAVO BOTOGOSKI</t>
  </si>
  <si>
    <t>araucariano</t>
  </si>
  <si>
    <t>GUSTAVO FRANÇA DOS SANTOS</t>
  </si>
  <si>
    <t>ararunense</t>
  </si>
  <si>
    <t>MANOEL SALVADOR</t>
  </si>
  <si>
    <t>arapuense</t>
  </si>
  <si>
    <t>IRANI JOSE BARROS</t>
  </si>
  <si>
    <t>arapotiense</t>
  </si>
  <si>
    <t>RAFAEL FELIPE CITA</t>
  </si>
  <si>
    <t>araponguense</t>
  </si>
  <si>
    <t>RODOLFO MOTA DA SILVA</t>
  </si>
  <si>
    <t>apucaranense</t>
  </si>
  <si>
    <t>FABIO STANISZEWSKI MACHIAVELLI</t>
  </si>
  <si>
    <t>antoniolintense</t>
  </si>
  <si>
    <t>ROZANE MARISTELA BENEDETTI OSAKI</t>
  </si>
  <si>
    <t>antoninense</t>
  </si>
  <si>
    <t>ALEXANDRE DE SOUSA PROFETA</t>
  </si>
  <si>
    <t>angulense</t>
  </si>
  <si>
    <t>EDNYRA APARECIDA SANCHES BUENO DE GODOY FERREIRA</t>
  </si>
  <si>
    <t>andiraense</t>
  </si>
  <si>
    <t>ARILSON BATISTA DE SOUZA</t>
  </si>
  <si>
    <t>anaiense</t>
  </si>
  <si>
    <t>DOUGLAS DIEMS MOROCKOSKI POTRICH</t>
  </si>
  <si>
    <t>amperense</t>
  </si>
  <si>
    <t>MARCOS MARIN</t>
  </si>
  <si>
    <t>amaporense</t>
  </si>
  <si>
    <t>MARCOS ANTONIO GASPARELLI</t>
  </si>
  <si>
    <t>alvoradense-do-sul</t>
  </si>
  <si>
    <t>GIOVANE MENDES DE CARVALHO</t>
  </si>
  <si>
    <t>alto-piquirense</t>
  </si>
  <si>
    <t>CLAUDEMIR JOIA PEREIRA</t>
  </si>
  <si>
    <t>alto-paranaense</t>
  </si>
  <si>
    <t>DIEGO JARDIM PERGO</t>
  </si>
  <si>
    <t>altoniano</t>
  </si>
  <si>
    <t>ELZA APARECIDA DA SILVA</t>
  </si>
  <si>
    <t>altamirense</t>
  </si>
  <si>
    <t>CAMILO DANIEL LOVATO</t>
  </si>
  <si>
    <t>tamandareense</t>
  </si>
  <si>
    <t>GENEZIO GONÇALVES DA LUZ</t>
  </si>
  <si>
    <t>agudense-do-sul ou agudense</t>
  </si>
  <si>
    <t>VANDIR DE OLIVEIRA ROSA</t>
  </si>
  <si>
    <t>adrianopolitano ou adrianopolense</t>
  </si>
  <si>
    <t>SONIA APARECIDA DE SOUZA CHAVES</t>
  </si>
  <si>
    <t>abatiense</t>
  </si>
  <si>
    <t>PIB per capita - R$ [2023]</t>
  </si>
  <si>
    <t>Total de despesas brutas empenhadas - R$ [2023]</t>
  </si>
  <si>
    <t>Total de receitas brutas realizadas - R$ [2023]</t>
  </si>
  <si>
    <t>Mortalidade infantil - óbitos por mil nascidos vivos [2023]</t>
  </si>
  <si>
    <t>IDHM &lt;span&gt;Índice de desenvolvimento humano municipal&lt;/span&gt; [2010]</t>
  </si>
  <si>
    <t>Escolarização &lt;span&gt;6 a 14 anos&lt;/span&gt; - % [2022]</t>
  </si>
  <si>
    <t>População estimada - pessoas [2025]</t>
  </si>
  <si>
    <t>Densidade demográfica - hab/km² [2022]</t>
  </si>
  <si>
    <t>População no último censo - pessoas [2022]</t>
  </si>
  <si>
    <t>Área Territorial - km² [2025]</t>
  </si>
  <si>
    <t>Prefeito [2025]</t>
  </si>
  <si>
    <t>Gentílico [-]</t>
  </si>
  <si>
    <t>Código [-]</t>
  </si>
  <si>
    <t>Município [-]</t>
  </si>
  <si>
    <t>Paraná | Todos os Municípios (IBGE 2022)</t>
  </si>
  <si>
    <t>IDHM</t>
  </si>
  <si>
    <t>IBGE 2022</t>
  </si>
  <si>
    <t>IDHMédio
(IBGE 2022)</t>
  </si>
  <si>
    <t>Ext (km)</t>
  </si>
  <si>
    <t>%</t>
  </si>
  <si>
    <t>Extensão Pavimentada</t>
  </si>
  <si>
    <t>Sistema Rodoviário 2022</t>
  </si>
  <si>
    <t>Total</t>
  </si>
  <si>
    <t>Sistema Rodoviário Estadual de 2022 (Pavimentada + Não Pavimentada)</t>
  </si>
  <si>
    <t>IDPM Geral 2022
(Renda/Educação/Saúde)
(IPARDES 2022)</t>
  </si>
  <si>
    <t>IDPM - Índices Ipardes - 2022</t>
  </si>
  <si>
    <t>PIB per capita - R$ [2023]
(IBGE 2022)</t>
  </si>
  <si>
    <t>Fator de Tráfego
Média TMDA</t>
  </si>
  <si>
    <t>Ext. Pavimenta + Não Pavimentada</t>
  </si>
  <si>
    <t>Áreas</t>
  </si>
  <si>
    <t>Fator Tráfego por Sup. Regional</t>
  </si>
  <si>
    <t>*TMDA - Tráfego Médio Diário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</si>
</sst>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00"/>
  </numFmts>
  <fonts count="1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sz val="9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9"/>
      <color theme="8" tint="-0.249977111117893"/>
      <name val="Arial"/>
      <family val="2"/>
    </font>
    <font>
      <b/>
      <sz val="14"/>
      <color theme="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MS Sans Serif"/>
      <family val="2"/>
    </font>
    <font>
      <sz val="9"/>
      <name val="Arial"/>
      <family val="2"/>
      <charset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.1999999999999993"/>
      <name val="Arial"/>
      <family val="2"/>
    </font>
    <font>
      <sz val="9"/>
      <color theme="1"/>
      <name val="Arial"/>
      <family val="2"/>
    </font>
    <font>
      <b/>
      <sz val="15"/>
      <color indexed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>
      <alignment vertical="top"/>
    </xf>
    <xf numFmtId="0" fontId="1" fillId="0" borderId="0">
      <alignment vertical="top"/>
    </xf>
    <xf numFmtId="0" fontId="15" fillId="0" borderId="0">
      <alignment vertical="top"/>
    </xf>
    <xf numFmtId="0" fontId="15" fillId="0" borderId="0">
      <alignment vertical="top"/>
    </xf>
  </cellStyleXfs>
  <cellXfs count="173">
    <xf numFmtId="0" fontId="0" fillId="0" borderId="0" xfId="0"/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/>
    <xf numFmtId="0" fontId="1" fillId="0" borderId="2" xfId="0" applyNumberFormat="1" applyFont="1" applyFill="1" applyBorder="1" applyAlignment="1"/>
    <xf numFmtId="0" fontId="0" fillId="0" borderId="0" xfId="0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0" borderId="0" xfId="0" applyFont="1"/>
    <xf numFmtId="165" fontId="0" fillId="0" borderId="1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/>
    <xf numFmtId="165" fontId="0" fillId="0" borderId="0" xfId="0" applyNumberFormat="1" applyFont="1" applyFill="1" applyBorder="1" applyAlignment="1">
      <alignment horizontal="center"/>
    </xf>
    <xf numFmtId="0" fontId="0" fillId="0" borderId="5" xfId="0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6" fillId="0" borderId="1" xfId="0" applyFont="1" applyBorder="1"/>
    <xf numFmtId="49" fontId="0" fillId="0" borderId="1" xfId="0" applyNumberFormat="1" applyBorder="1"/>
    <xf numFmtId="49" fontId="1" fillId="0" borderId="1" xfId="0" applyNumberFormat="1" applyFont="1" applyBorder="1" applyAlignment="1">
      <alignment horizontal="center"/>
    </xf>
    <xf numFmtId="2" fontId="5" fillId="4" borderId="12" xfId="0" applyNumberFormat="1" applyFont="1" applyFill="1" applyBorder="1" applyAlignment="1">
      <alignment horizontal="right" vertical="center" indent="1"/>
    </xf>
    <xf numFmtId="0" fontId="7" fillId="0" borderId="1" xfId="0" applyFont="1" applyBorder="1"/>
    <xf numFmtId="0" fontId="0" fillId="4" borderId="0" xfId="0" applyFill="1"/>
    <xf numFmtId="2" fontId="0" fillId="4" borderId="0" xfId="0" applyNumberFormat="1" applyFill="1"/>
    <xf numFmtId="0" fontId="0" fillId="4" borderId="5" xfId="0" applyFill="1" applyBorder="1"/>
    <xf numFmtId="0" fontId="0" fillId="4" borderId="1" xfId="0" applyFill="1" applyBorder="1"/>
    <xf numFmtId="2" fontId="0" fillId="4" borderId="1" xfId="0" applyNumberFormat="1" applyFill="1" applyBorder="1"/>
    <xf numFmtId="2" fontId="5" fillId="4" borderId="6" xfId="0" applyNumberFormat="1" applyFont="1" applyFill="1" applyBorder="1" applyAlignment="1">
      <alignment horizontal="left" vertical="center" indent="1"/>
    </xf>
    <xf numFmtId="2" fontId="5" fillId="4" borderId="11" xfId="0" applyNumberFormat="1" applyFont="1" applyFill="1" applyBorder="1" applyAlignment="1">
      <alignment horizontal="center" vertical="center"/>
    </xf>
    <xf numFmtId="2" fontId="5" fillId="4" borderId="12" xfId="0" applyNumberFormat="1" applyFont="1" applyFill="1" applyBorder="1" applyAlignment="1">
      <alignment horizontal="left" vertical="center" indent="1"/>
    </xf>
    <xf numFmtId="0" fontId="5" fillId="4" borderId="12" xfId="0" applyFont="1" applyFill="1" applyBorder="1" applyAlignment="1">
      <alignment horizontal="left" vertical="center" indent="1"/>
    </xf>
    <xf numFmtId="0" fontId="5" fillId="4" borderId="13" xfId="0" applyFont="1" applyFill="1" applyBorder="1" applyAlignment="1">
      <alignment horizontal="left" vertical="center" indent="1"/>
    </xf>
    <xf numFmtId="0" fontId="5" fillId="4" borderId="14" xfId="0" applyFont="1" applyFill="1" applyBorder="1" applyAlignment="1">
      <alignment horizontal="left" vertical="center" indent="1"/>
    </xf>
    <xf numFmtId="2" fontId="0" fillId="0" borderId="5" xfId="0" applyNumberFormat="1" applyBorder="1"/>
    <xf numFmtId="0" fontId="3" fillId="5" borderId="1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4" borderId="0" xfId="0" applyFont="1" applyFill="1"/>
    <xf numFmtId="0" fontId="13" fillId="0" borderId="0" xfId="2" applyFont="1" applyAlignment="1"/>
    <xf numFmtId="164" fontId="13" fillId="0" borderId="0" xfId="2" applyNumberFormat="1" applyFont="1" applyAlignment="1"/>
    <xf numFmtId="164" fontId="5" fillId="0" borderId="0" xfId="2" applyNumberFormat="1" applyFont="1">
      <alignment vertical="top"/>
    </xf>
    <xf numFmtId="164" fontId="13" fillId="0" borderId="4" xfId="2" applyNumberFormat="1" applyFont="1" applyBorder="1" applyAlignment="1"/>
    <xf numFmtId="164" fontId="14" fillId="0" borderId="4" xfId="3" applyNumberFormat="1" applyFont="1" applyBorder="1" applyAlignment="1">
      <alignment vertical="center"/>
    </xf>
    <xf numFmtId="164" fontId="5" fillId="0" borderId="4" xfId="2" applyNumberFormat="1" applyFont="1" applyBorder="1">
      <alignment vertical="top"/>
    </xf>
    <xf numFmtId="0" fontId="13" fillId="0" borderId="22" xfId="2" applyFont="1" applyBorder="1" applyAlignment="1"/>
    <xf numFmtId="164" fontId="14" fillId="0" borderId="0" xfId="3" applyNumberFormat="1" applyFont="1" applyAlignment="1">
      <alignment vertical="center"/>
    </xf>
    <xf numFmtId="164" fontId="13" fillId="0" borderId="0" xfId="2" applyNumberFormat="1" applyFont="1">
      <alignment vertical="top"/>
    </xf>
    <xf numFmtId="164" fontId="13" fillId="0" borderId="23" xfId="2" applyNumberFormat="1" applyFont="1" applyBorder="1" applyAlignment="1"/>
    <xf numFmtId="164" fontId="14" fillId="0" borderId="23" xfId="3" applyNumberFormat="1" applyFont="1" applyBorder="1" applyAlignment="1">
      <alignment vertical="center"/>
    </xf>
    <xf numFmtId="164" fontId="5" fillId="0" borderId="23" xfId="2" applyNumberFormat="1" applyFont="1" applyBorder="1" applyAlignment="1"/>
    <xf numFmtId="0" fontId="13" fillId="0" borderId="0" xfId="2" applyFont="1">
      <alignment vertical="top"/>
    </xf>
    <xf numFmtId="1" fontId="5" fillId="0" borderId="2" xfId="2" applyNumberFormat="1" applyFont="1" applyBorder="1" applyAlignment="1">
      <alignment horizontal="center" vertical="center"/>
    </xf>
    <xf numFmtId="1" fontId="5" fillId="0" borderId="1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5" fillId="0" borderId="1" xfId="2" applyNumberFormat="1" applyFont="1" applyBorder="1" applyAlignment="1">
      <alignment horizontal="center" vertical="center" wrapText="1"/>
    </xf>
    <xf numFmtId="0" fontId="12" fillId="0" borderId="0" xfId="2" applyAlignment="1"/>
    <xf numFmtId="0" fontId="5" fillId="0" borderId="0" xfId="2" applyFont="1" applyAlignment="1"/>
    <xf numFmtId="164" fontId="5" fillId="0" borderId="0" xfId="2" applyNumberFormat="1" applyFont="1" applyAlignment="1"/>
    <xf numFmtId="0" fontId="5" fillId="0" borderId="0" xfId="2" applyFont="1">
      <alignment vertical="top"/>
    </xf>
    <xf numFmtId="164" fontId="14" fillId="0" borderId="0" xfId="2" applyNumberFormat="1" applyFont="1">
      <alignment vertical="top"/>
    </xf>
    <xf numFmtId="0" fontId="5" fillId="0" borderId="23" xfId="2" applyFont="1" applyBorder="1" applyAlignment="1"/>
    <xf numFmtId="164" fontId="5" fillId="0" borderId="4" xfId="2" applyNumberFormat="1" applyFont="1" applyBorder="1" applyAlignment="1"/>
    <xf numFmtId="164" fontId="14" fillId="0" borderId="4" xfId="2" applyNumberFormat="1" applyFont="1" applyBorder="1" applyAlignment="1">
      <alignment vertical="center"/>
    </xf>
    <xf numFmtId="164" fontId="14" fillId="0" borderId="4" xfId="4" applyNumberFormat="1" applyFont="1" applyBorder="1">
      <alignment vertical="top"/>
    </xf>
    <xf numFmtId="0" fontId="5" fillId="0" borderId="22" xfId="2" applyFont="1" applyBorder="1" applyAlignment="1"/>
    <xf numFmtId="164" fontId="14" fillId="0" borderId="0" xfId="2" applyNumberFormat="1" applyFont="1" applyAlignment="1">
      <alignment vertical="center"/>
    </xf>
    <xf numFmtId="164" fontId="14" fillId="0" borderId="0" xfId="4" applyNumberFormat="1" applyFont="1">
      <alignment vertical="top"/>
    </xf>
    <xf numFmtId="164" fontId="14" fillId="0" borderId="0" xfId="4" applyNumberFormat="1" applyFont="1" applyAlignment="1"/>
    <xf numFmtId="0" fontId="5" fillId="0" borderId="1" xfId="2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 wrapText="1"/>
    </xf>
    <xf numFmtId="0" fontId="1" fillId="0" borderId="0" xfId="5" applyFont="1" applyAlignment="1">
      <alignment horizontal="right"/>
    </xf>
    <xf numFmtId="0" fontId="5" fillId="0" borderId="0" xfId="5" applyFont="1" applyAlignment="1">
      <alignment horizontal="right"/>
    </xf>
    <xf numFmtId="164" fontId="5" fillId="0" borderId="0" xfId="2" applyNumberFormat="1" applyFont="1" applyAlignment="1">
      <alignment horizontal="center"/>
    </xf>
    <xf numFmtId="164" fontId="5" fillId="0" borderId="4" xfId="2" applyNumberFormat="1" applyFont="1" applyBorder="1" applyAlignment="1">
      <alignment horizontal="right"/>
    </xf>
    <xf numFmtId="164" fontId="5" fillId="0" borderId="4" xfId="2" applyNumberFormat="1" applyFont="1" applyBorder="1" applyAlignment="1" applyProtection="1">
      <protection locked="0"/>
    </xf>
    <xf numFmtId="164" fontId="5" fillId="0" borderId="4" xfId="5" applyNumberFormat="1" applyFont="1" applyBorder="1" applyAlignment="1">
      <alignment horizontal="right"/>
    </xf>
    <xf numFmtId="0" fontId="5" fillId="0" borderId="22" xfId="2" applyFont="1" applyBorder="1">
      <alignment vertical="top"/>
    </xf>
    <xf numFmtId="164" fontId="5" fillId="0" borderId="0" xfId="2" applyNumberFormat="1" applyFont="1" applyAlignment="1">
      <alignment horizontal="right"/>
    </xf>
    <xf numFmtId="164" fontId="5" fillId="0" borderId="0" xfId="2" applyNumberFormat="1" applyFont="1" applyAlignment="1" applyProtection="1">
      <protection locked="0"/>
    </xf>
    <xf numFmtId="164" fontId="5" fillId="0" borderId="0" xfId="5" applyNumberFormat="1" applyFont="1" applyAlignment="1">
      <alignment horizontal="right"/>
    </xf>
    <xf numFmtId="1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5" xfId="5" applyFont="1" applyBorder="1" applyAlignment="1" applyProtection="1">
      <alignment horizontal="center" vertical="center" wrapText="1"/>
      <protection locked="0"/>
    </xf>
    <xf numFmtId="164" fontId="17" fillId="0" borderId="4" xfId="2" applyNumberFormat="1" applyFont="1" applyBorder="1" applyAlignment="1"/>
    <xf numFmtId="164" fontId="5" fillId="0" borderId="22" xfId="2" applyNumberFormat="1" applyFont="1" applyBorder="1">
      <alignment vertical="top"/>
    </xf>
    <xf numFmtId="164" fontId="14" fillId="0" borderId="4" xfId="2" applyNumberFormat="1" applyFont="1" applyBorder="1">
      <alignment vertical="top"/>
    </xf>
    <xf numFmtId="164" fontId="17" fillId="0" borderId="0" xfId="2" applyNumberFormat="1" applyFont="1" applyAlignment="1"/>
    <xf numFmtId="164" fontId="14" fillId="0" borderId="0" xfId="2" applyNumberFormat="1" applyFont="1" applyAlignment="1"/>
    <xf numFmtId="0" fontId="5" fillId="0" borderId="2" xfId="2" applyFont="1" applyBorder="1" applyAlignment="1">
      <alignment horizontal="center" vertical="center"/>
    </xf>
    <xf numFmtId="0" fontId="0" fillId="0" borderId="0" xfId="0" applyFill="1" applyProtection="1"/>
    <xf numFmtId="165" fontId="0" fillId="3" borderId="1" xfId="0" applyNumberFormat="1" applyFont="1" applyFill="1" applyBorder="1" applyAlignment="1">
      <alignment horizontal="center"/>
    </xf>
    <xf numFmtId="0" fontId="1" fillId="7" borderId="1" xfId="0" applyNumberFormat="1" applyFont="1" applyFill="1" applyBorder="1" applyAlignment="1"/>
    <xf numFmtId="165" fontId="0" fillId="7" borderId="1" xfId="0" applyNumberFormat="1" applyFont="1" applyFill="1" applyBorder="1" applyAlignment="1">
      <alignment horizontal="center"/>
    </xf>
    <xf numFmtId="0" fontId="1" fillId="3" borderId="27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5" fillId="0" borderId="6" xfId="0" applyNumberFormat="1" applyFont="1" applyBorder="1" applyAlignment="1">
      <alignment horizontal="left" vertical="center" indent="1"/>
    </xf>
    <xf numFmtId="2" fontId="5" fillId="0" borderId="7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left" vertical="center" indent="1"/>
    </xf>
    <xf numFmtId="2" fontId="5" fillId="0" borderId="8" xfId="0" applyNumberFormat="1" applyFont="1" applyBorder="1" applyAlignment="1">
      <alignment horizontal="righ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indent="1"/>
    </xf>
    <xf numFmtId="2" fontId="5" fillId="0" borderId="11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left" vertical="center" indent="1"/>
    </xf>
    <xf numFmtId="2" fontId="5" fillId="0" borderId="12" xfId="0" applyNumberFormat="1" applyFont="1" applyBorder="1" applyAlignment="1">
      <alignment horizontal="right" vertical="center" indent="1"/>
    </xf>
    <xf numFmtId="0" fontId="5" fillId="0" borderId="12" xfId="0" applyFont="1" applyBorder="1" applyAlignment="1">
      <alignment horizontal="left" vertical="center" indent="1"/>
    </xf>
    <xf numFmtId="0" fontId="5" fillId="0" borderId="13" xfId="0" applyFont="1" applyBorder="1" applyAlignment="1">
      <alignment horizontal="left" vertical="center" indent="1"/>
    </xf>
    <xf numFmtId="0" fontId="5" fillId="0" borderId="14" xfId="0" applyFont="1" applyBorder="1" applyAlignment="1">
      <alignment horizontal="left" vertical="center" indent="1"/>
    </xf>
    <xf numFmtId="0" fontId="1" fillId="4" borderId="1" xfId="0" applyFont="1" applyFill="1" applyBorder="1" applyAlignment="1">
      <alignment horizontal="center"/>
    </xf>
    <xf numFmtId="2" fontId="8" fillId="0" borderId="11" xfId="0" applyNumberFormat="1" applyFont="1" applyBorder="1" applyAlignment="1">
      <alignment horizontal="center" vertical="center"/>
    </xf>
    <xf numFmtId="2" fontId="8" fillId="0" borderId="12" xfId="0" applyNumberFormat="1" applyFont="1" applyBorder="1" applyAlignment="1">
      <alignment horizontal="left" vertical="center" indent="1"/>
    </xf>
    <xf numFmtId="2" fontId="8" fillId="0" borderId="12" xfId="0" applyNumberFormat="1" applyFont="1" applyBorder="1" applyAlignment="1">
      <alignment horizontal="right" vertical="center" indent="1"/>
    </xf>
    <xf numFmtId="0" fontId="8" fillId="0" borderId="12" xfId="0" applyFont="1" applyBorder="1" applyAlignment="1">
      <alignment horizontal="left" vertical="center" indent="1"/>
    </xf>
    <xf numFmtId="0" fontId="8" fillId="0" borderId="13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/>
    </xf>
    <xf numFmtId="2" fontId="5" fillId="0" borderId="15" xfId="0" applyNumberFormat="1" applyFont="1" applyBorder="1" applyAlignment="1">
      <alignment horizontal="left" vertical="center" indent="1"/>
    </xf>
    <xf numFmtId="2" fontId="5" fillId="0" borderId="16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left" vertical="center" indent="1"/>
    </xf>
    <xf numFmtId="2" fontId="5" fillId="0" borderId="17" xfId="0" applyNumberFormat="1" applyFont="1" applyBorder="1" applyAlignment="1">
      <alignment horizontal="right" vertical="center" indent="1"/>
    </xf>
    <xf numFmtId="0" fontId="5" fillId="0" borderId="17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0" fontId="18" fillId="11" borderId="0" xfId="0" applyFont="1" applyFill="1" applyProtection="1"/>
    <xf numFmtId="0" fontId="0" fillId="11" borderId="0" xfId="0" applyFill="1" applyProtection="1"/>
    <xf numFmtId="0" fontId="1" fillId="0" borderId="0" xfId="0" applyFont="1" applyFill="1" applyProtection="1"/>
    <xf numFmtId="0" fontId="1" fillId="2" borderId="27" xfId="0" applyNumberFormat="1" applyFont="1" applyFill="1" applyBorder="1" applyAlignment="1">
      <alignment horizontal="center"/>
    </xf>
    <xf numFmtId="4" fontId="0" fillId="3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4" fontId="3" fillId="11" borderId="1" xfId="0" applyNumberFormat="1" applyFont="1" applyFill="1" applyBorder="1" applyAlignment="1">
      <alignment vertical="center"/>
    </xf>
    <xf numFmtId="0" fontId="1" fillId="9" borderId="1" xfId="0" applyNumberFormat="1" applyFont="1" applyFill="1" applyBorder="1" applyAlignment="1">
      <alignment horizontal="center"/>
    </xf>
    <xf numFmtId="0" fontId="1" fillId="13" borderId="1" xfId="0" applyNumberFormat="1" applyFont="1" applyFill="1" applyBorder="1" applyAlignment="1"/>
    <xf numFmtId="0" fontId="1" fillId="14" borderId="1" xfId="0" applyNumberFormat="1" applyFont="1" applyFill="1" applyBorder="1" applyAlignment="1"/>
    <xf numFmtId="0" fontId="1" fillId="15" borderId="1" xfId="0" applyNumberFormat="1" applyFont="1" applyFill="1" applyBorder="1" applyAlignment="1"/>
    <xf numFmtId="0" fontId="1" fillId="16" borderId="1" xfId="0" applyNumberFormat="1" applyFont="1" applyFill="1" applyBorder="1" applyAlignment="1"/>
    <xf numFmtId="0" fontId="1" fillId="17" borderId="1" xfId="0" applyNumberFormat="1" applyFont="1" applyFill="1" applyBorder="1" applyAlignment="1"/>
    <xf numFmtId="0" fontId="1" fillId="2" borderId="28" xfId="0" applyNumberFormat="1" applyFont="1" applyFill="1" applyBorder="1" applyAlignment="1">
      <alignment horizontal="center"/>
    </xf>
    <xf numFmtId="0" fontId="1" fillId="2" borderId="5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3" fillId="12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/>
    </xf>
    <xf numFmtId="0" fontId="3" fillId="8" borderId="3" xfId="0" applyNumberFormat="1" applyFont="1" applyFill="1" applyBorder="1" applyAlignment="1">
      <alignment horizontal="center"/>
    </xf>
    <xf numFmtId="0" fontId="3" fillId="8" borderId="24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3" fillId="0" borderId="26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164" fontId="5" fillId="0" borderId="2" xfId="2" applyNumberFormat="1" applyFont="1" applyBorder="1" applyAlignment="1">
      <alignment horizontal="center" vertical="center"/>
    </xf>
    <xf numFmtId="164" fontId="5" fillId="0" borderId="25" xfId="2" applyNumberFormat="1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16" fillId="0" borderId="26" xfId="2" applyFont="1" applyBorder="1" applyAlignment="1">
      <alignment horizontal="center" vertical="center"/>
    </xf>
    <xf numFmtId="0" fontId="12" fillId="0" borderId="24" xfId="2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 wrapText="1"/>
    </xf>
    <xf numFmtId="1" fontId="9" fillId="18" borderId="1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2" xr:uid="{73B934CA-A9AE-4CEC-AF6D-35F92A191C15}"/>
    <cellStyle name="Normal 3" xfId="3" xr:uid="{447B1FC7-C647-4A82-BB37-25432755D49E}"/>
    <cellStyle name="Normal_IPDM EDUCAÇÃO 2010" xfId="5" xr:uid="{90D3E53F-8AD5-478F-955F-9F3A59B966C6}"/>
    <cellStyle name="Normal_Plan1" xfId="4" xr:uid="{7E24BD4B-16F8-48D3-BEBD-7BAE4BA601DC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OGRAMA%20DE%20CONSERVA&#199;&#195;O%202025/4%20-%20Pista/1%20-%20Elementos%20para%20licita&#231;&#227;o/Or&#231;amentos/Vers&#227;o%20Final%20(xls)/Resumo%20Geral%20(financeiro,%20extens&#227;o,%20cronograma)_Pista%202025%20V03.xlsx" TargetMode="External"/><Relationship Id="rId2" Type="http://schemas.openxmlformats.org/officeDocument/2006/relationships/externalLinkPath" Target="file:///X:\dg-dop-cgm\PROGRAMA%20DE%20CONSERVA&#199;&#195;O%202025\4%20-%20Pista\1%20-%20Elementos%20para%20licita&#231;&#227;o\Or&#231;amentos\Vers&#227;o%20Final%20(xls)\Resumo%20Geral%20(financeiro,%20extens&#227;o,%20cronograma)_Pista%202025%20V03.xlsx" TargetMode="External"/><Relationship Id="rId1" Type="http://schemas.openxmlformats.org/officeDocument/2006/relationships/externalLinkPath" Target="/dg-dop-cgm/PROGRAMA%20DE%20CONSERVA&#199;&#195;O%202025/4%20-%20Pista/1%20-%20Elementos%20para%20licita&#231;&#227;o/Or&#231;amentos/Vers&#227;o%20Final%20(xls)/Resumo%20Geral%20(financeiro,%20extens&#227;o,%20cronograma)_Pista%202025%20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alor por código"/>
      <sheetName val="Qtdes"/>
      <sheetName val="Curva ABC Serviços"/>
      <sheetName val="% por cod"/>
      <sheetName val="% por grupo"/>
      <sheetName val="Adm e Canteiro ADM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Geral por lote"/>
      <sheetName val="Cronograma Padrão"/>
      <sheetName val="Qualificações Totais"/>
      <sheetName val="Qualif-Opera"/>
      <sheetName val="Equipe Laboratório"/>
      <sheetName val="Planilh aapoio TR"/>
      <sheetName val="Planilha1"/>
      <sheetName val="Planilha2"/>
      <sheetName val="Planilha3"/>
    </sheetNames>
    <sheetDataSet>
      <sheetData sheetId="0"/>
      <sheetData sheetId="1"/>
      <sheetData sheetId="2"/>
      <sheetData sheetId="3"/>
      <sheetData sheetId="4"/>
      <sheetData sheetId="5">
        <row r="6">
          <cell r="D6">
            <v>118.46</v>
          </cell>
        </row>
        <row r="7">
          <cell r="D7">
            <v>156.53</v>
          </cell>
        </row>
        <row r="8">
          <cell r="D8">
            <v>133.9</v>
          </cell>
        </row>
        <row r="9">
          <cell r="D9">
            <v>169.12</v>
          </cell>
        </row>
        <row r="10">
          <cell r="D10">
            <v>190.64</v>
          </cell>
        </row>
        <row r="11">
          <cell r="D11">
            <v>178.85</v>
          </cell>
        </row>
        <row r="12">
          <cell r="D12">
            <v>175.27</v>
          </cell>
        </row>
        <row r="13">
          <cell r="D13">
            <v>278.02999999999997</v>
          </cell>
        </row>
        <row r="14">
          <cell r="D14">
            <v>217.17</v>
          </cell>
        </row>
        <row r="15">
          <cell r="D15">
            <v>343.31</v>
          </cell>
        </row>
        <row r="16">
          <cell r="D16">
            <v>311.88</v>
          </cell>
        </row>
        <row r="17">
          <cell r="D17">
            <v>182.14</v>
          </cell>
        </row>
        <row r="18">
          <cell r="D18">
            <v>203.39</v>
          </cell>
        </row>
        <row r="19">
          <cell r="D19">
            <v>237.24</v>
          </cell>
        </row>
        <row r="20">
          <cell r="D20">
            <v>145.27000000000001</v>
          </cell>
        </row>
        <row r="21">
          <cell r="D21">
            <v>249.23</v>
          </cell>
        </row>
        <row r="22">
          <cell r="D22">
            <v>216</v>
          </cell>
        </row>
        <row r="23">
          <cell r="D23">
            <v>250.61</v>
          </cell>
        </row>
        <row r="24">
          <cell r="D24">
            <v>239.19</v>
          </cell>
        </row>
        <row r="25">
          <cell r="D25">
            <v>153.68</v>
          </cell>
        </row>
        <row r="26">
          <cell r="D26">
            <v>161.78</v>
          </cell>
        </row>
        <row r="27">
          <cell r="D27">
            <v>178.03</v>
          </cell>
        </row>
        <row r="28">
          <cell r="D28">
            <v>297.72000000000003</v>
          </cell>
        </row>
        <row r="29">
          <cell r="D29">
            <v>283.07</v>
          </cell>
        </row>
        <row r="30">
          <cell r="D30">
            <v>248.34</v>
          </cell>
        </row>
        <row r="31">
          <cell r="D31">
            <v>308.06</v>
          </cell>
        </row>
        <row r="32">
          <cell r="D32">
            <v>282.85000000000002</v>
          </cell>
        </row>
        <row r="33">
          <cell r="D33">
            <v>340.63</v>
          </cell>
        </row>
        <row r="34">
          <cell r="D34">
            <v>336</v>
          </cell>
        </row>
        <row r="35">
          <cell r="D35">
            <v>250.92</v>
          </cell>
        </row>
        <row r="36">
          <cell r="D36">
            <v>298.10000000000002</v>
          </cell>
        </row>
        <row r="37">
          <cell r="D37">
            <v>310.12</v>
          </cell>
        </row>
        <row r="38">
          <cell r="D38">
            <v>335.35</v>
          </cell>
        </row>
        <row r="39">
          <cell r="D39">
            <v>333.67</v>
          </cell>
        </row>
        <row r="40">
          <cell r="D40">
            <v>283.20999999999998</v>
          </cell>
        </row>
        <row r="41">
          <cell r="D41">
            <v>272.14</v>
          </cell>
        </row>
        <row r="42">
          <cell r="D42">
            <v>266.60000000000002</v>
          </cell>
        </row>
        <row r="43">
          <cell r="D43">
            <v>217.02</v>
          </cell>
        </row>
        <row r="44">
          <cell r="D44">
            <v>355.23</v>
          </cell>
        </row>
        <row r="45">
          <cell r="D45">
            <v>204.05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EFE4-73F8-4D17-840C-23E74AB6F534}">
  <sheetPr>
    <tabColor theme="4" tint="0.59999389629810485"/>
  </sheetPr>
  <dimension ref="A1:H61"/>
  <sheetViews>
    <sheetView zoomScale="115" zoomScaleNormal="115" workbookViewId="0">
      <selection activeCell="E3" sqref="E3"/>
    </sheetView>
  </sheetViews>
  <sheetFormatPr defaultRowHeight="12.75" x14ac:dyDescent="0.2"/>
  <cols>
    <col min="1" max="1" width="9.140625" style="121"/>
    <col min="2" max="2" width="14" style="122" bestFit="1" customWidth="1"/>
    <col min="3" max="3" width="9.140625" style="121"/>
    <col min="4" max="4" width="9.140625" style="122"/>
    <col min="5" max="5" width="16.28515625" style="121" customWidth="1"/>
    <col min="6" max="6" width="16.42578125" style="121" customWidth="1"/>
    <col min="7" max="7" width="14.5703125" style="121" customWidth="1"/>
    <col min="8" max="8" width="22.7109375" style="121" customWidth="1"/>
    <col min="9" max="16384" width="9.140625" style="122"/>
  </cols>
  <sheetData>
    <row r="1" spans="1:8" x14ac:dyDescent="0.2">
      <c r="A1" s="154" t="s">
        <v>7930</v>
      </c>
      <c r="B1" s="154"/>
      <c r="C1" s="154"/>
      <c r="D1" s="154"/>
      <c r="E1" s="154"/>
      <c r="F1" s="154"/>
      <c r="G1" s="154"/>
      <c r="H1" s="154"/>
    </row>
    <row r="2" spans="1:8" ht="51" x14ac:dyDescent="0.2">
      <c r="A2" s="124" t="s">
        <v>413</v>
      </c>
      <c r="B2" s="125" t="s">
        <v>415</v>
      </c>
      <c r="C2" s="124" t="s">
        <v>414</v>
      </c>
      <c r="D2" s="125" t="s">
        <v>431</v>
      </c>
      <c r="E2" s="124" t="s">
        <v>7934</v>
      </c>
      <c r="F2" s="124" t="s">
        <v>7933</v>
      </c>
      <c r="G2" s="124" t="s">
        <v>7924</v>
      </c>
      <c r="H2" s="124" t="s">
        <v>7931</v>
      </c>
    </row>
    <row r="3" spans="1:8" x14ac:dyDescent="0.2">
      <c r="A3" s="126" t="s">
        <v>433</v>
      </c>
      <c r="B3" s="127" t="s">
        <v>416</v>
      </c>
      <c r="C3" s="128" t="s">
        <v>421</v>
      </c>
      <c r="D3" s="129">
        <v>200.62</v>
      </c>
      <c r="E3" s="130">
        <f>ROUNDUP(SUMIF('Fator Tráfego (DER-PR)'!$AR$6:$AR$1368,B3&amp;" - "&amp;C3,'Fator Tráfego (DER-PR)'!$AN$6:$AN$1368)/SUMIF('Fator Tráfego (DER-PR)'!$AR$6:$AR$1368,B3&amp;" - "&amp;C3,'Fator Tráfego (DER-PR)'!$J$6:$J$1368),0)</f>
        <v>2926</v>
      </c>
      <c r="F3" s="143">
        <f>SUMIF('Dados Gerais por Municipio'!$L$3:$L$491,'Dados Gerais Resumo Por Área'!B3&amp;" - "&amp;'Dados Gerais Resumo Por Área'!C3,'Dados Gerais por Municipio'!$E$3:$E$491)/COUNTIF('Dados Gerais por Municipio'!$L$3:$L$491,'Dados Gerais Resumo Por Área'!B3&amp;" - "&amp;'Dados Gerais Resumo Por Área'!C3)</f>
        <v>43217.722500000003</v>
      </c>
      <c r="G3" s="131">
        <f>SUMIF('Dados Gerais por Municipio'!$L$3:$L$491,'Dados Gerais Resumo Por Área'!B3&amp;" - "&amp;'Dados Gerais Resumo Por Área'!C3,'Dados Gerais por Municipio'!$F$3:$F$491)/COUNTIF('Dados Gerais por Municipio'!$L$3:$L$491,'Dados Gerais Resumo Por Área'!B3&amp;" - "&amp;'Dados Gerais Resumo Por Área'!C3)</f>
        <v>0.70224999999999993</v>
      </c>
      <c r="H3" s="131">
        <f>SUMIF('Dados Gerais por Municipio'!$L$3:$L$491,'Dados Gerais Resumo Por Área'!B3&amp;" - "&amp;'Dados Gerais Resumo Por Área'!C3,'Dados Gerais por Municipio'!$G$3:$G$491)/COUNTIF('Dados Gerais por Municipio'!$L$3:$L$491,'Dados Gerais Resumo Por Área'!B3&amp;" - "&amp;'Dados Gerais Resumo Por Área'!C3)</f>
        <v>0.67216443317173691</v>
      </c>
    </row>
    <row r="4" spans="1:8" x14ac:dyDescent="0.2">
      <c r="A4" s="126" t="s">
        <v>434</v>
      </c>
      <c r="B4" s="127" t="s">
        <v>416</v>
      </c>
      <c r="C4" s="128" t="s">
        <v>422</v>
      </c>
      <c r="D4" s="129">
        <v>237.45</v>
      </c>
      <c r="E4" s="130">
        <f>ROUNDUP(SUMIF('Fator Tráfego (DER-PR)'!$AR$6:$AR$1368,B4&amp;" - "&amp;C4,'Fator Tráfego (DER-PR)'!$AN$6:$AN$1368)/SUMIF('Fator Tráfego (DER-PR)'!$AR$6:$AR$1368,B4&amp;" - "&amp;C4,'Fator Tráfego (DER-PR)'!$J$6:$J$1368),0)</f>
        <v>6166</v>
      </c>
      <c r="F4" s="143">
        <f>SUMIF('Dados Gerais por Municipio'!$L$3:$L$491,'Dados Gerais Resumo Por Área'!B4&amp;" - "&amp;'Dados Gerais Resumo Por Área'!C4,'Dados Gerais por Municipio'!$E$3:$E$491)/COUNTIF('Dados Gerais por Municipio'!$L$3:$L$491,'Dados Gerais Resumo Por Área'!B4&amp;" - "&amp;'Dados Gerais Resumo Por Área'!C4)</f>
        <v>45122.400666666668</v>
      </c>
      <c r="G4" s="131">
        <f>SUMIF('Dados Gerais por Municipio'!$L$3:$L$491,'Dados Gerais Resumo Por Área'!B4&amp;" - "&amp;'Dados Gerais Resumo Por Área'!C4,'Dados Gerais por Municipio'!$F$3:$F$491)/COUNTIF('Dados Gerais por Municipio'!$L$3:$L$491,'Dados Gerais Resumo Por Área'!B4&amp;" - "&amp;'Dados Gerais Resumo Por Área'!C4)</f>
        <v>0.68486666666666662</v>
      </c>
      <c r="H4" s="131">
        <f>SUMIF('Dados Gerais por Municipio'!$L$3:$L$491,'Dados Gerais Resumo Por Área'!B4&amp;" - "&amp;'Dados Gerais Resumo Por Área'!C4,'Dados Gerais por Municipio'!$G$3:$G$491)/COUNTIF('Dados Gerais por Municipio'!$L$3:$L$491,'Dados Gerais Resumo Por Área'!B4&amp;" - "&amp;'Dados Gerais Resumo Por Área'!C4)</f>
        <v>0.7066604902868292</v>
      </c>
    </row>
    <row r="5" spans="1:8" x14ac:dyDescent="0.2">
      <c r="A5" s="126" t="s">
        <v>435</v>
      </c>
      <c r="B5" s="127" t="s">
        <v>416</v>
      </c>
      <c r="C5" s="128" t="s">
        <v>423</v>
      </c>
      <c r="D5" s="129">
        <v>197.28</v>
      </c>
      <c r="E5" s="130">
        <f>ROUNDUP(SUMIF('Fator Tráfego (DER-PR)'!$AR$6:$AR$1368,B5&amp;" - "&amp;C5,'Fator Tráfego (DER-PR)'!$AN$6:$AN$1368)/SUMIF('Fator Tráfego (DER-PR)'!$AR$6:$AR$1368,B5&amp;" - "&amp;C5,'Fator Tráfego (DER-PR)'!$J$6:$J$1368),0)</f>
        <v>4203</v>
      </c>
      <c r="F5" s="143">
        <f>SUMIF('Dados Gerais por Municipio'!$L$3:$L$491,'Dados Gerais Resumo Por Área'!B5&amp;" - "&amp;'Dados Gerais Resumo Por Área'!C5,'Dados Gerais por Municipio'!$E$3:$E$491)/COUNTIF('Dados Gerais por Municipio'!$L$3:$L$491,'Dados Gerais Resumo Por Área'!B5&amp;" - "&amp;'Dados Gerais Resumo Por Área'!C5)</f>
        <v>46763.070909090908</v>
      </c>
      <c r="G5" s="131">
        <f>SUMIF('Dados Gerais por Municipio'!$L$3:$L$491,'Dados Gerais Resumo Por Área'!B5&amp;" - "&amp;'Dados Gerais Resumo Por Área'!C5,'Dados Gerais por Municipio'!$F$3:$F$491)/COUNTIF('Dados Gerais por Municipio'!$L$3:$L$491,'Dados Gerais Resumo Por Área'!B5&amp;" - "&amp;'Dados Gerais Resumo Por Área'!C5)</f>
        <v>0.69790909090909092</v>
      </c>
      <c r="H5" s="131">
        <f>SUMIF('Dados Gerais por Municipio'!$L$3:$L$491,'Dados Gerais Resumo Por Área'!B5&amp;" - "&amp;'Dados Gerais Resumo Por Área'!C5,'Dados Gerais por Municipio'!$G$3:$G$491)/COUNTIF('Dados Gerais por Municipio'!$L$3:$L$491,'Dados Gerais Resumo Por Área'!B5&amp;" - "&amp;'Dados Gerais Resumo Por Área'!C5)</f>
        <v>0.71705759612605835</v>
      </c>
    </row>
    <row r="6" spans="1:8" x14ac:dyDescent="0.2">
      <c r="A6" s="126" t="s">
        <v>436</v>
      </c>
      <c r="B6" s="127" t="s">
        <v>416</v>
      </c>
      <c r="C6" s="128" t="s">
        <v>424</v>
      </c>
      <c r="D6" s="129">
        <v>255.87</v>
      </c>
      <c r="E6" s="130">
        <f>ROUNDUP(SUMIF('Fator Tráfego (DER-PR)'!$AR$6:$AR$1368,B6&amp;" - "&amp;C6,'Fator Tráfego (DER-PR)'!$AN$6:$AN$1368)/SUMIF('Fator Tráfego (DER-PR)'!$AR$6:$AR$1368,B6&amp;" - "&amp;C6,'Fator Tráfego (DER-PR)'!$J$6:$J$1368),0)</f>
        <v>3408</v>
      </c>
      <c r="F6" s="143">
        <f>SUMIF('Dados Gerais por Municipio'!$L$3:$L$491,'Dados Gerais Resumo Por Área'!B6&amp;" - "&amp;'Dados Gerais Resumo Por Área'!C6,'Dados Gerais por Municipio'!$E$3:$E$491)/COUNTIF('Dados Gerais por Municipio'!$L$3:$L$491,'Dados Gerais Resumo Por Área'!B6&amp;" - "&amp;'Dados Gerais Resumo Por Área'!C6)</f>
        <v>55353.041428571429</v>
      </c>
      <c r="G6" s="131">
        <f>SUMIF('Dados Gerais por Municipio'!$L$3:$L$491,'Dados Gerais Resumo Por Área'!B6&amp;" - "&amp;'Dados Gerais Resumo Por Área'!C6,'Dados Gerais por Municipio'!$F$3:$F$491)/COUNTIF('Dados Gerais por Municipio'!$L$3:$L$491,'Dados Gerais Resumo Por Área'!B6&amp;" - "&amp;'Dados Gerais Resumo Por Área'!C6)</f>
        <v>0.68885714285714283</v>
      </c>
      <c r="H6" s="131">
        <f>SUMIF('Dados Gerais por Municipio'!$L$3:$L$491,'Dados Gerais Resumo Por Área'!B6&amp;" - "&amp;'Dados Gerais Resumo Por Área'!C6,'Dados Gerais por Municipio'!$G$3:$G$491)/COUNTIF('Dados Gerais por Municipio'!$L$3:$L$491,'Dados Gerais Resumo Por Área'!B6&amp;" - "&amp;'Dados Gerais Resumo Por Área'!C6)</f>
        <v>0.74339524593841289</v>
      </c>
    </row>
    <row r="7" spans="1:8" x14ac:dyDescent="0.2">
      <c r="A7" s="126" t="s">
        <v>437</v>
      </c>
      <c r="B7" s="127" t="s">
        <v>416</v>
      </c>
      <c r="C7" s="128" t="s">
        <v>425</v>
      </c>
      <c r="D7" s="129">
        <v>297.7</v>
      </c>
      <c r="E7" s="130">
        <f>ROUNDUP(SUMIF('Fator Tráfego (DER-PR)'!$AR$6:$AR$1368,B7&amp;" - "&amp;C7,'Fator Tráfego (DER-PR)'!$AN$6:$AN$1368)/SUMIF('Fator Tráfego (DER-PR)'!$AR$6:$AR$1368,B7&amp;" - "&amp;C7,'Fator Tráfego (DER-PR)'!$J$6:$J$1368),0)</f>
        <v>3447</v>
      </c>
      <c r="F7" s="143">
        <f>SUMIF('Dados Gerais por Municipio'!$L$3:$L$491,'Dados Gerais Resumo Por Área'!B7&amp;" - "&amp;'Dados Gerais Resumo Por Área'!C7,'Dados Gerais por Municipio'!$E$3:$E$491)/COUNTIF('Dados Gerais por Municipio'!$L$3:$L$491,'Dados Gerais Resumo Por Área'!B7&amp;" - "&amp;'Dados Gerais Resumo Por Área'!C7)</f>
        <v>47291.820000000007</v>
      </c>
      <c r="G7" s="131">
        <f>SUMIF('Dados Gerais por Municipio'!$L$3:$L$491,'Dados Gerais Resumo Por Área'!B7&amp;" - "&amp;'Dados Gerais Resumo Por Área'!C7,'Dados Gerais por Municipio'!$F$3:$F$491)/COUNTIF('Dados Gerais por Municipio'!$L$3:$L$491,'Dados Gerais Resumo Por Área'!B7&amp;" - "&amp;'Dados Gerais Resumo Por Área'!C7)</f>
        <v>0.68662500000000004</v>
      </c>
      <c r="H7" s="131">
        <f>SUMIF('Dados Gerais por Municipio'!$L$3:$L$491,'Dados Gerais Resumo Por Área'!B7&amp;" - "&amp;'Dados Gerais Resumo Por Área'!C7,'Dados Gerais por Municipio'!$G$3:$G$491)/COUNTIF('Dados Gerais por Municipio'!$L$3:$L$491,'Dados Gerais Resumo Por Área'!B7&amp;" - "&amp;'Dados Gerais Resumo Por Área'!C7)</f>
        <v>0.73063399289445519</v>
      </c>
    </row>
    <row r="8" spans="1:8" x14ac:dyDescent="0.2">
      <c r="A8" s="126" t="s">
        <v>438</v>
      </c>
      <c r="B8" s="127" t="s">
        <v>420</v>
      </c>
      <c r="C8" s="128" t="s">
        <v>421</v>
      </c>
      <c r="D8" s="129">
        <v>305.14999999999998</v>
      </c>
      <c r="E8" s="130">
        <f>ROUNDUP(SUMIF('Fator Tráfego (DER-PR)'!$AR$6:$AR$1368,B8&amp;" - "&amp;C8,'Fator Tráfego (DER-PR)'!$AN$6:$AN$1368)/SUMIF('Fator Tráfego (DER-PR)'!$AR$6:$AR$1368,B8&amp;" - "&amp;C8,'Fator Tráfego (DER-PR)'!$J$6:$J$1368),0)</f>
        <v>2462</v>
      </c>
      <c r="F8" s="143">
        <f>SUMIF('Dados Gerais por Municipio'!$L$3:$L$491,'Dados Gerais Resumo Por Área'!B8&amp;" - "&amp;'Dados Gerais Resumo Por Área'!C8,'Dados Gerais por Municipio'!$E$3:$E$491)/COUNTIF('Dados Gerais por Municipio'!$L$3:$L$491,'Dados Gerais Resumo Por Área'!B8&amp;" - "&amp;'Dados Gerais Resumo Por Área'!C8)</f>
        <v>45972.794000000002</v>
      </c>
      <c r="G8" s="131">
        <f>SUMIF('Dados Gerais por Municipio'!$L$3:$L$491,'Dados Gerais Resumo Por Área'!B8&amp;" - "&amp;'Dados Gerais Resumo Por Área'!C8,'Dados Gerais por Municipio'!$F$3:$F$491)/COUNTIF('Dados Gerais por Municipio'!$L$3:$L$491,'Dados Gerais Resumo Por Área'!B8&amp;" - "&amp;'Dados Gerais Resumo Por Área'!C8)</f>
        <v>0.69390000000000007</v>
      </c>
      <c r="H8" s="131">
        <f>SUMIF('Dados Gerais por Municipio'!$L$3:$L$491,'Dados Gerais Resumo Por Área'!B8&amp;" - "&amp;'Dados Gerais Resumo Por Área'!C8,'Dados Gerais por Municipio'!$G$3:$G$491)/COUNTIF('Dados Gerais por Municipio'!$L$3:$L$491,'Dados Gerais Resumo Por Área'!B8&amp;" - "&amp;'Dados Gerais Resumo Por Área'!C8)</f>
        <v>0.74846372746274481</v>
      </c>
    </row>
    <row r="9" spans="1:8" x14ac:dyDescent="0.2">
      <c r="A9" s="126" t="s">
        <v>439</v>
      </c>
      <c r="B9" s="127" t="s">
        <v>420</v>
      </c>
      <c r="C9" s="128" t="s">
        <v>422</v>
      </c>
      <c r="D9" s="129">
        <v>287.51</v>
      </c>
      <c r="E9" s="130">
        <f>ROUNDUP(SUMIF('Fator Tráfego (DER-PR)'!$AR$6:$AR$1368,B9&amp;" - "&amp;C9,'Fator Tráfego (DER-PR)'!$AN$6:$AN$1368)/SUMIF('Fator Tráfego (DER-PR)'!$AR$6:$AR$1368,B9&amp;" - "&amp;C9,'Fator Tráfego (DER-PR)'!$J$6:$J$1368),0)</f>
        <v>2750</v>
      </c>
      <c r="F9" s="143">
        <f>SUMIF('Dados Gerais por Municipio'!$L$3:$L$491,'Dados Gerais Resumo Por Área'!B9&amp;" - "&amp;'Dados Gerais Resumo Por Área'!C9,'Dados Gerais por Municipio'!$E$3:$E$491)/COUNTIF('Dados Gerais por Municipio'!$L$3:$L$491,'Dados Gerais Resumo Por Área'!B9&amp;" - "&amp;'Dados Gerais Resumo Por Área'!C9)</f>
        <v>64643.592000000004</v>
      </c>
      <c r="G9" s="131">
        <f>SUMIF('Dados Gerais por Municipio'!$L$3:$L$491,'Dados Gerais Resumo Por Área'!B9&amp;" - "&amp;'Dados Gerais Resumo Por Área'!C9,'Dados Gerais por Municipio'!$F$3:$F$491)/COUNTIF('Dados Gerais por Municipio'!$L$3:$L$491,'Dados Gerais Resumo Por Área'!B9&amp;" - "&amp;'Dados Gerais Resumo Por Área'!C9)</f>
        <v>0.71860000000000002</v>
      </c>
      <c r="H9" s="131">
        <f>SUMIF('Dados Gerais por Municipio'!$L$3:$L$491,'Dados Gerais Resumo Por Área'!B9&amp;" - "&amp;'Dados Gerais Resumo Por Área'!C9,'Dados Gerais por Municipio'!$G$3:$G$491)/COUNTIF('Dados Gerais por Municipio'!$L$3:$L$491,'Dados Gerais Resumo Por Área'!B9&amp;" - "&amp;'Dados Gerais Resumo Por Área'!C9)</f>
        <v>0.77188988673822234</v>
      </c>
    </row>
    <row r="10" spans="1:8" x14ac:dyDescent="0.2">
      <c r="A10" s="126" t="s">
        <v>440</v>
      </c>
      <c r="B10" s="127" t="s">
        <v>420</v>
      </c>
      <c r="C10" s="128" t="s">
        <v>423</v>
      </c>
      <c r="D10" s="129">
        <v>315.48</v>
      </c>
      <c r="E10" s="130">
        <f>ROUNDUP(SUMIF('Fator Tráfego (DER-PR)'!$AR$6:$AR$1368,B10&amp;" - "&amp;C10,'Fator Tráfego (DER-PR)'!$AN$6:$AN$1368)/SUMIF('Fator Tráfego (DER-PR)'!$AR$6:$AR$1368,B10&amp;" - "&amp;C10,'Fator Tráfego (DER-PR)'!$J$6:$J$1368),0)</f>
        <v>2547</v>
      </c>
      <c r="F10" s="143">
        <f>SUMIF('Dados Gerais por Municipio'!$L$3:$L$491,'Dados Gerais Resumo Por Área'!B10&amp;" - "&amp;'Dados Gerais Resumo Por Área'!C10,'Dados Gerais por Municipio'!$E$3:$E$491)/COUNTIF('Dados Gerais por Municipio'!$L$3:$L$491,'Dados Gerais Resumo Por Área'!B10&amp;" - "&amp;'Dados Gerais Resumo Por Área'!C10)</f>
        <v>46851.221111111103</v>
      </c>
      <c r="G10" s="131">
        <f>SUMIF('Dados Gerais por Municipio'!$L$3:$L$491,'Dados Gerais Resumo Por Área'!B10&amp;" - "&amp;'Dados Gerais Resumo Por Área'!C10,'Dados Gerais por Municipio'!$F$3:$F$491)/COUNTIF('Dados Gerais por Municipio'!$L$3:$L$491,'Dados Gerais Resumo Por Área'!B10&amp;" - "&amp;'Dados Gerais Resumo Por Área'!C10)</f>
        <v>0.65177777777777779</v>
      </c>
      <c r="H10" s="131">
        <f>SUMIF('Dados Gerais por Municipio'!$L$3:$L$491,'Dados Gerais Resumo Por Área'!B10&amp;" - "&amp;'Dados Gerais Resumo Por Área'!C10,'Dados Gerais por Municipio'!$G$3:$G$491)/COUNTIF('Dados Gerais por Municipio'!$L$3:$L$491,'Dados Gerais Resumo Por Área'!B10&amp;" - "&amp;'Dados Gerais Resumo Por Área'!C10)</f>
        <v>0.70288669804875359</v>
      </c>
    </row>
    <row r="11" spans="1:8" x14ac:dyDescent="0.2">
      <c r="A11" s="126" t="s">
        <v>441</v>
      </c>
      <c r="B11" s="127" t="s">
        <v>420</v>
      </c>
      <c r="C11" s="128" t="s">
        <v>424</v>
      </c>
      <c r="D11" s="129">
        <v>290.73</v>
      </c>
      <c r="E11" s="130">
        <f>ROUNDUP(SUMIF('Fator Tráfego (DER-PR)'!$AR$6:$AR$1368,B11&amp;" - "&amp;C11,'Fator Tráfego (DER-PR)'!$AN$6:$AN$1368)/SUMIF('Fator Tráfego (DER-PR)'!$AR$6:$AR$1368,B11&amp;" - "&amp;C11,'Fator Tráfego (DER-PR)'!$J$6:$J$1368),0)</f>
        <v>2065</v>
      </c>
      <c r="F11" s="143">
        <f>SUMIF('Dados Gerais por Municipio'!$L$3:$L$491,'Dados Gerais Resumo Por Área'!B11&amp;" - "&amp;'Dados Gerais Resumo Por Área'!C11,'Dados Gerais por Municipio'!$E$3:$E$491)/COUNTIF('Dados Gerais por Municipio'!$L$3:$L$491,'Dados Gerais Resumo Por Área'!B11&amp;" - "&amp;'Dados Gerais Resumo Por Área'!C11)</f>
        <v>47141.52416666667</v>
      </c>
      <c r="G11" s="131">
        <f>SUMIF('Dados Gerais por Municipio'!$L$3:$L$491,'Dados Gerais Resumo Por Área'!B11&amp;" - "&amp;'Dados Gerais Resumo Por Área'!C11,'Dados Gerais por Municipio'!$F$3:$F$491)/COUNTIF('Dados Gerais por Municipio'!$L$3:$L$491,'Dados Gerais Resumo Por Área'!B11&amp;" - "&amp;'Dados Gerais Resumo Por Área'!C11)</f>
        <v>0.67016666666666669</v>
      </c>
      <c r="H11" s="131">
        <f>SUMIF('Dados Gerais por Municipio'!$L$3:$L$491,'Dados Gerais Resumo Por Área'!B11&amp;" - "&amp;'Dados Gerais Resumo Por Área'!C11,'Dados Gerais por Municipio'!$G$3:$G$491)/COUNTIF('Dados Gerais por Municipio'!$L$3:$L$491,'Dados Gerais Resumo Por Área'!B11&amp;" - "&amp;'Dados Gerais Resumo Por Área'!C11)</f>
        <v>0.74957760915326066</v>
      </c>
    </row>
    <row r="12" spans="1:8" x14ac:dyDescent="0.2">
      <c r="A12" s="126" t="s">
        <v>442</v>
      </c>
      <c r="B12" s="127" t="s">
        <v>420</v>
      </c>
      <c r="C12" s="128" t="s">
        <v>425</v>
      </c>
      <c r="D12" s="129">
        <v>383.01</v>
      </c>
      <c r="E12" s="130">
        <f>ROUNDUP(SUMIF('Fator Tráfego (DER-PR)'!$AR$6:$AR$1368,B12&amp;" - "&amp;C12,'Fator Tráfego (DER-PR)'!$AN$6:$AN$1368)/SUMIF('Fator Tráfego (DER-PR)'!$AR$6:$AR$1368,B12&amp;" - "&amp;C12,'Fator Tráfego (DER-PR)'!$J$6:$J$1368),0)</f>
        <v>3388</v>
      </c>
      <c r="F12" s="143">
        <f>SUMIF('Dados Gerais por Municipio'!$L$3:$L$491,'Dados Gerais Resumo Por Área'!B12&amp;" - "&amp;'Dados Gerais Resumo Por Área'!C12,'Dados Gerais por Municipio'!$E$3:$E$491)/COUNTIF('Dados Gerais por Municipio'!$L$3:$L$491,'Dados Gerais Resumo Por Área'!B12&amp;" - "&amp;'Dados Gerais Resumo Por Área'!C12)</f>
        <v>49309.041818181817</v>
      </c>
      <c r="G12" s="131">
        <f>SUMIF('Dados Gerais por Municipio'!$L$3:$L$491,'Dados Gerais Resumo Por Área'!B12&amp;" - "&amp;'Dados Gerais Resumo Por Área'!C12,'Dados Gerais por Municipio'!$F$3:$F$491)/COUNTIF('Dados Gerais por Municipio'!$L$3:$L$491,'Dados Gerais Resumo Por Área'!B12&amp;" - "&amp;'Dados Gerais Resumo Por Área'!C12)</f>
        <v>0.65609090909090906</v>
      </c>
      <c r="H12" s="131">
        <f>SUMIF('Dados Gerais por Municipio'!$L$3:$L$491,'Dados Gerais Resumo Por Área'!B12&amp;" - "&amp;'Dados Gerais Resumo Por Área'!C12,'Dados Gerais por Municipio'!$G$3:$G$491)/COUNTIF('Dados Gerais por Municipio'!$L$3:$L$491,'Dados Gerais Resumo Por Área'!B12&amp;" - "&amp;'Dados Gerais Resumo Por Área'!C12)</f>
        <v>0.73447933694044021</v>
      </c>
    </row>
    <row r="13" spans="1:8" x14ac:dyDescent="0.2">
      <c r="A13" s="126" t="s">
        <v>443</v>
      </c>
      <c r="B13" s="127" t="s">
        <v>420</v>
      </c>
      <c r="C13" s="128" t="s">
        <v>426</v>
      </c>
      <c r="D13" s="129">
        <v>326.22000000000003</v>
      </c>
      <c r="E13" s="130">
        <f>ROUNDUP(SUMIF('Fator Tráfego (DER-PR)'!$AR$6:$AR$1368,B13&amp;" - "&amp;C13,'Fator Tráfego (DER-PR)'!$AN$6:$AN$1368)/SUMIF('Fator Tráfego (DER-PR)'!$AR$6:$AR$1368,B13&amp;" - "&amp;C13,'Fator Tráfego (DER-PR)'!$J$6:$J$1368),0)</f>
        <v>1839</v>
      </c>
      <c r="F13" s="143">
        <f>SUMIF('Dados Gerais por Municipio'!$L$3:$L$491,'Dados Gerais Resumo Por Área'!B13&amp;" - "&amp;'Dados Gerais Resumo Por Área'!C13,'Dados Gerais por Municipio'!$E$3:$E$491)/COUNTIF('Dados Gerais por Municipio'!$L$3:$L$491,'Dados Gerais Resumo Por Área'!B13&amp;" - "&amp;'Dados Gerais Resumo Por Área'!C13)</f>
        <v>38705.771999999997</v>
      </c>
      <c r="G13" s="131">
        <f>SUMIF('Dados Gerais por Municipio'!$L$3:$L$491,'Dados Gerais Resumo Por Área'!B13&amp;" - "&amp;'Dados Gerais Resumo Por Área'!C13,'Dados Gerais por Municipio'!$F$3:$F$491)/COUNTIF('Dados Gerais por Municipio'!$L$3:$L$491,'Dados Gerais Resumo Por Área'!B13&amp;" - "&amp;'Dados Gerais Resumo Por Área'!C13)</f>
        <v>0.65090000000000003</v>
      </c>
      <c r="H13" s="131">
        <f>SUMIF('Dados Gerais por Municipio'!$L$3:$L$491,'Dados Gerais Resumo Por Área'!B13&amp;" - "&amp;'Dados Gerais Resumo Por Área'!C13,'Dados Gerais por Municipio'!$G$3:$G$491)/COUNTIF('Dados Gerais por Municipio'!$L$3:$L$491,'Dados Gerais Resumo Por Área'!B13&amp;" - "&amp;'Dados Gerais Resumo Por Área'!C13)</f>
        <v>0.70076290137333985</v>
      </c>
    </row>
    <row r="14" spans="1:8" x14ac:dyDescent="0.2">
      <c r="A14" s="126" t="s">
        <v>444</v>
      </c>
      <c r="B14" s="127" t="s">
        <v>420</v>
      </c>
      <c r="C14" s="128" t="s">
        <v>427</v>
      </c>
      <c r="D14" s="129">
        <v>192.14</v>
      </c>
      <c r="E14" s="130">
        <f>ROUNDUP(SUMIF('Fator Tráfego (DER-PR)'!$AR$6:$AR$1368,B14&amp;" - "&amp;C14,'Fator Tráfego (DER-PR)'!$AN$6:$AN$1368)/SUMIF('Fator Tráfego (DER-PR)'!$AR$6:$AR$1368,B14&amp;" - "&amp;C14,'Fator Tráfego (DER-PR)'!$J$6:$J$1368),0)</f>
        <v>2586</v>
      </c>
      <c r="F14" s="143">
        <f>SUMIF('Dados Gerais por Municipio'!$L$3:$L$491,'Dados Gerais Resumo Por Área'!B14&amp;" - "&amp;'Dados Gerais Resumo Por Área'!C14,'Dados Gerais por Municipio'!$E$3:$E$491)/COUNTIF('Dados Gerais por Municipio'!$L$3:$L$491,'Dados Gerais Resumo Por Área'!B14&amp;" - "&amp;'Dados Gerais Resumo Por Área'!C14)</f>
        <v>46524.091999999997</v>
      </c>
      <c r="G14" s="131">
        <f>SUMIF('Dados Gerais por Municipio'!$L$3:$L$491,'Dados Gerais Resumo Por Área'!B14&amp;" - "&amp;'Dados Gerais Resumo Por Área'!C14,'Dados Gerais por Municipio'!$F$3:$F$491)/COUNTIF('Dados Gerais por Municipio'!$L$3:$L$491,'Dados Gerais Resumo Por Área'!B14&amp;" - "&amp;'Dados Gerais Resumo Por Área'!C14)</f>
        <v>0.65639999999999998</v>
      </c>
      <c r="H14" s="131">
        <f>SUMIF('Dados Gerais por Municipio'!$L$3:$L$491,'Dados Gerais Resumo Por Área'!B14&amp;" - "&amp;'Dados Gerais Resumo Por Área'!C14,'Dados Gerais por Municipio'!$G$3:$G$491)/COUNTIF('Dados Gerais por Municipio'!$L$3:$L$491,'Dados Gerais Resumo Por Área'!B14&amp;" - "&amp;'Dados Gerais Resumo Por Área'!C14)</f>
        <v>0.72191773164179307</v>
      </c>
    </row>
    <row r="15" spans="1:8" x14ac:dyDescent="0.2">
      <c r="A15" s="126" t="s">
        <v>445</v>
      </c>
      <c r="B15" s="127" t="s">
        <v>419</v>
      </c>
      <c r="C15" s="128" t="s">
        <v>421</v>
      </c>
      <c r="D15" s="129">
        <v>211.77</v>
      </c>
      <c r="E15" s="130">
        <f>ROUNDUP(SUMIF('Fator Tráfego (DER-PR)'!$AR$6:$AR$1368,B15&amp;" - "&amp;C15,'Fator Tráfego (DER-PR)'!$AN$6:$AN$1368)/SUMIF('Fator Tráfego (DER-PR)'!$AR$6:$AR$1368,B15&amp;" - "&amp;C15,'Fator Tráfego (DER-PR)'!$J$6:$J$1368),0)</f>
        <v>3216</v>
      </c>
      <c r="F15" s="143">
        <f>SUMIF('Dados Gerais por Municipio'!$L$3:$L$491,'Dados Gerais Resumo Por Área'!B15&amp;" - "&amp;'Dados Gerais Resumo Por Área'!C15,'Dados Gerais por Municipio'!$E$3:$E$491)/COUNTIF('Dados Gerais por Municipio'!$L$3:$L$491,'Dados Gerais Resumo Por Área'!B15&amp;" - "&amp;'Dados Gerais Resumo Por Área'!C15)</f>
        <v>53869.659166666672</v>
      </c>
      <c r="G15" s="131">
        <f>SUMIF('Dados Gerais por Municipio'!$L$3:$L$491,'Dados Gerais Resumo Por Área'!B15&amp;" - "&amp;'Dados Gerais Resumo Por Área'!C15,'Dados Gerais por Municipio'!$F$3:$F$491)/COUNTIF('Dados Gerais por Municipio'!$L$3:$L$491,'Dados Gerais Resumo Por Área'!B15&amp;" - "&amp;'Dados Gerais Resumo Por Área'!C15)</f>
        <v>0.71941666666666659</v>
      </c>
      <c r="H15" s="131">
        <f>SUMIF('Dados Gerais por Municipio'!$L$3:$L$491,'Dados Gerais Resumo Por Área'!B15&amp;" - "&amp;'Dados Gerais Resumo Por Área'!C15,'Dados Gerais por Municipio'!$G$3:$G$491)/COUNTIF('Dados Gerais por Municipio'!$L$3:$L$491,'Dados Gerais Resumo Por Área'!B15&amp;" - "&amp;'Dados Gerais Resumo Por Área'!C15)</f>
        <v>0.76523591778600608</v>
      </c>
    </row>
    <row r="16" spans="1:8" x14ac:dyDescent="0.2">
      <c r="A16" s="126" t="s">
        <v>446</v>
      </c>
      <c r="B16" s="127" t="s">
        <v>419</v>
      </c>
      <c r="C16" s="128" t="s">
        <v>422</v>
      </c>
      <c r="D16" s="129">
        <v>252.72</v>
      </c>
      <c r="E16" s="130">
        <f>ROUNDUP(SUMIF('Fator Tráfego (DER-PR)'!$AR$6:$AR$1368,B16&amp;" - "&amp;C16,'Fator Tráfego (DER-PR)'!$AN$6:$AN$1368)/SUMIF('Fator Tráfego (DER-PR)'!$AR$6:$AR$1368,B16&amp;" - "&amp;C16,'Fator Tráfego (DER-PR)'!$J$6:$J$1368),0)</f>
        <v>2603</v>
      </c>
      <c r="F16" s="143">
        <f>SUMIF('Dados Gerais por Municipio'!$L$3:$L$491,'Dados Gerais Resumo Por Área'!B16&amp;" - "&amp;'Dados Gerais Resumo Por Área'!C16,'Dados Gerais por Municipio'!$E$3:$E$491)/COUNTIF('Dados Gerais por Municipio'!$L$3:$L$491,'Dados Gerais Resumo Por Área'!B16&amp;" - "&amp;'Dados Gerais Resumo Por Área'!C16)</f>
        <v>55329.582499999997</v>
      </c>
      <c r="G16" s="131">
        <f>SUMIF('Dados Gerais por Municipio'!$L$3:$L$491,'Dados Gerais Resumo Por Área'!B16&amp;" - "&amp;'Dados Gerais Resumo Por Área'!C16,'Dados Gerais por Municipio'!$F$3:$F$491)/COUNTIF('Dados Gerais por Municipio'!$L$3:$L$491,'Dados Gerais Resumo Por Área'!B16&amp;" - "&amp;'Dados Gerais Resumo Por Área'!C16)</f>
        <v>0.71633333333333338</v>
      </c>
      <c r="H16" s="131">
        <f>SUMIF('Dados Gerais por Municipio'!$L$3:$L$491,'Dados Gerais Resumo Por Área'!B16&amp;" - "&amp;'Dados Gerais Resumo Por Área'!C16,'Dados Gerais por Municipio'!$G$3:$G$491)/COUNTIF('Dados Gerais por Municipio'!$L$3:$L$491,'Dados Gerais Resumo Por Área'!B16&amp;" - "&amp;'Dados Gerais Resumo Por Área'!C16)</f>
        <v>0.74893722515394268</v>
      </c>
    </row>
    <row r="17" spans="1:8" x14ac:dyDescent="0.2">
      <c r="A17" s="126" t="s">
        <v>447</v>
      </c>
      <c r="B17" s="127" t="s">
        <v>419</v>
      </c>
      <c r="C17" s="128" t="s">
        <v>423</v>
      </c>
      <c r="D17" s="129">
        <v>146.30000000000001</v>
      </c>
      <c r="E17" s="130">
        <f>ROUNDUP(SUMIF('Fator Tráfego (DER-PR)'!$AR$6:$AR$1368,B17&amp;" - "&amp;C17,'Fator Tráfego (DER-PR)'!$AN$6:$AN$1368)/SUMIF('Fator Tráfego (DER-PR)'!$AR$6:$AR$1368,B17&amp;" - "&amp;C17,'Fator Tráfego (DER-PR)'!$J$6:$J$1368),0)</f>
        <v>1626</v>
      </c>
      <c r="F17" s="143">
        <f>SUMIF('Dados Gerais por Municipio'!$L$3:$L$491,'Dados Gerais Resumo Por Área'!B17&amp;" - "&amp;'Dados Gerais Resumo Por Área'!C17,'Dados Gerais por Municipio'!$E$3:$E$491)/COUNTIF('Dados Gerais por Municipio'!$L$3:$L$491,'Dados Gerais Resumo Por Área'!B17&amp;" - "&amp;'Dados Gerais Resumo Por Área'!C17)</f>
        <v>53460.987142857142</v>
      </c>
      <c r="G17" s="131">
        <f>SUMIF('Dados Gerais por Municipio'!$L$3:$L$491,'Dados Gerais Resumo Por Área'!B17&amp;" - "&amp;'Dados Gerais Resumo Por Área'!C17,'Dados Gerais por Municipio'!$F$3:$F$491)/COUNTIF('Dados Gerais por Municipio'!$L$3:$L$491,'Dados Gerais Resumo Por Área'!B17&amp;" - "&amp;'Dados Gerais Resumo Por Área'!C17)</f>
        <v>0.71414285714285719</v>
      </c>
      <c r="H17" s="131">
        <f>SUMIF('Dados Gerais por Municipio'!$L$3:$L$491,'Dados Gerais Resumo Por Área'!B17&amp;" - "&amp;'Dados Gerais Resumo Por Área'!C17,'Dados Gerais por Municipio'!$G$3:$G$491)/COUNTIF('Dados Gerais por Municipio'!$L$3:$L$491,'Dados Gerais Resumo Por Área'!B17&amp;" - "&amp;'Dados Gerais Resumo Por Área'!C17)</f>
        <v>0.7500340250898454</v>
      </c>
    </row>
    <row r="18" spans="1:8" x14ac:dyDescent="0.2">
      <c r="A18" s="126" t="s">
        <v>448</v>
      </c>
      <c r="B18" s="127" t="s">
        <v>419</v>
      </c>
      <c r="C18" s="128" t="s">
        <v>424</v>
      </c>
      <c r="D18" s="129">
        <v>272.7</v>
      </c>
      <c r="E18" s="130">
        <f>ROUNDUP(SUMIF('Fator Tráfego (DER-PR)'!$AR$6:$AR$1368,B18&amp;" - "&amp;C18,'Fator Tráfego (DER-PR)'!$AN$6:$AN$1368)/SUMIF('Fator Tráfego (DER-PR)'!$AR$6:$AR$1368,B18&amp;" - "&amp;C18,'Fator Tráfego (DER-PR)'!$J$6:$J$1368),0)</f>
        <v>2540</v>
      </c>
      <c r="F18" s="143">
        <f>SUMIF('Dados Gerais por Municipio'!$L$3:$L$491,'Dados Gerais Resumo Por Área'!B18&amp;" - "&amp;'Dados Gerais Resumo Por Área'!C18,'Dados Gerais por Municipio'!$E$3:$E$491)/COUNTIF('Dados Gerais por Municipio'!$L$3:$L$491,'Dados Gerais Resumo Por Área'!B18&amp;" - "&amp;'Dados Gerais Resumo Por Área'!C18)</f>
        <v>44369.643749999996</v>
      </c>
      <c r="G18" s="131">
        <f>SUMIF('Dados Gerais por Municipio'!$L$3:$L$491,'Dados Gerais Resumo Por Área'!B18&amp;" - "&amp;'Dados Gerais Resumo Por Área'!C18,'Dados Gerais por Municipio'!$F$3:$F$491)/COUNTIF('Dados Gerais por Municipio'!$L$3:$L$491,'Dados Gerais Resumo Por Área'!B18&amp;" - "&amp;'Dados Gerais Resumo Por Área'!C18)</f>
        <v>0.70087499999999991</v>
      </c>
      <c r="H18" s="131">
        <f>SUMIF('Dados Gerais por Municipio'!$L$3:$L$491,'Dados Gerais Resumo Por Área'!B18&amp;" - "&amp;'Dados Gerais Resumo Por Área'!C18,'Dados Gerais por Municipio'!$G$3:$G$491)/COUNTIF('Dados Gerais por Municipio'!$L$3:$L$491,'Dados Gerais Resumo Por Área'!B18&amp;" - "&amp;'Dados Gerais Resumo Por Área'!C18)</f>
        <v>0.71470615680362348</v>
      </c>
    </row>
    <row r="19" spans="1:8" x14ac:dyDescent="0.2">
      <c r="A19" s="126" t="s">
        <v>449</v>
      </c>
      <c r="B19" s="127" t="s">
        <v>419</v>
      </c>
      <c r="C19" s="128" t="s">
        <v>425</v>
      </c>
      <c r="D19" s="129">
        <v>265.73</v>
      </c>
      <c r="E19" s="130">
        <f>ROUNDUP(SUMIF('Fator Tráfego (DER-PR)'!$AR$6:$AR$1368,B19&amp;" - "&amp;C19,'Fator Tráfego (DER-PR)'!$AN$6:$AN$1368)/SUMIF('Fator Tráfego (DER-PR)'!$AR$6:$AR$1368,B19&amp;" - "&amp;C19,'Fator Tráfego (DER-PR)'!$J$6:$J$1368),0)</f>
        <v>1855</v>
      </c>
      <c r="F19" s="143">
        <f>SUMIF('Dados Gerais por Municipio'!$L$3:$L$491,'Dados Gerais Resumo Por Área'!B19&amp;" - "&amp;'Dados Gerais Resumo Por Área'!C19,'Dados Gerais por Municipio'!$E$3:$E$491)/COUNTIF('Dados Gerais por Municipio'!$L$3:$L$491,'Dados Gerais Resumo Por Área'!B19&amp;" - "&amp;'Dados Gerais Resumo Por Área'!C19)</f>
        <v>42902.713636363638</v>
      </c>
      <c r="G19" s="131">
        <f>SUMIF('Dados Gerais por Municipio'!$L$3:$L$491,'Dados Gerais Resumo Por Área'!B19&amp;" - "&amp;'Dados Gerais Resumo Por Área'!C19,'Dados Gerais por Municipio'!$F$3:$F$491)/COUNTIF('Dados Gerais por Municipio'!$L$3:$L$491,'Dados Gerais Resumo Por Área'!B19&amp;" - "&amp;'Dados Gerais Resumo Por Área'!C19)</f>
        <v>0.69854545454545447</v>
      </c>
      <c r="H19" s="131">
        <f>SUMIF('Dados Gerais por Municipio'!$L$3:$L$491,'Dados Gerais Resumo Por Área'!B19&amp;" - "&amp;'Dados Gerais Resumo Por Área'!C19,'Dados Gerais por Municipio'!$G$3:$G$491)/COUNTIF('Dados Gerais por Municipio'!$L$3:$L$491,'Dados Gerais Resumo Por Área'!B19&amp;" - "&amp;'Dados Gerais Resumo Por Área'!C19)</f>
        <v>0.7091353050100333</v>
      </c>
    </row>
    <row r="20" spans="1:8" x14ac:dyDescent="0.2">
      <c r="A20" s="126" t="s">
        <v>450</v>
      </c>
      <c r="B20" s="127" t="s">
        <v>419</v>
      </c>
      <c r="C20" s="128" t="s">
        <v>426</v>
      </c>
      <c r="D20" s="129">
        <v>268.14</v>
      </c>
      <c r="E20" s="130">
        <f>ROUNDUP(SUMIF('Fator Tráfego (DER-PR)'!$AR$6:$AR$1368,B20&amp;" - "&amp;C20,'Fator Tráfego (DER-PR)'!$AN$6:$AN$1368)/SUMIF('Fator Tráfego (DER-PR)'!$AR$6:$AR$1368,B20&amp;" - "&amp;C20,'Fator Tráfego (DER-PR)'!$J$6:$J$1368),0)</f>
        <v>1476</v>
      </c>
      <c r="F20" s="143">
        <f>SUMIF('Dados Gerais por Municipio'!$L$3:$L$491,'Dados Gerais Resumo Por Área'!B20&amp;" - "&amp;'Dados Gerais Resumo Por Área'!C20,'Dados Gerais por Municipio'!$E$3:$E$491)/COUNTIF('Dados Gerais por Municipio'!$L$3:$L$491,'Dados Gerais Resumo Por Área'!B20&amp;" - "&amp;'Dados Gerais Resumo Por Área'!C20)</f>
        <v>46141.261999999995</v>
      </c>
      <c r="G20" s="131">
        <f>SUMIF('Dados Gerais por Municipio'!$L$3:$L$491,'Dados Gerais Resumo Por Área'!B20&amp;" - "&amp;'Dados Gerais Resumo Por Área'!C20,'Dados Gerais por Municipio'!$F$3:$F$491)/COUNTIF('Dados Gerais por Municipio'!$L$3:$L$491,'Dados Gerais Resumo Por Área'!B20&amp;" - "&amp;'Dados Gerais Resumo Por Área'!C20)</f>
        <v>0.72010000000000007</v>
      </c>
      <c r="H20" s="131">
        <f>SUMIF('Dados Gerais por Municipio'!$L$3:$L$491,'Dados Gerais Resumo Por Área'!B20&amp;" - "&amp;'Dados Gerais Resumo Por Área'!C20,'Dados Gerais por Municipio'!$G$3:$G$491)/COUNTIF('Dados Gerais por Municipio'!$L$3:$L$491,'Dados Gerais Resumo Por Área'!B20&amp;" - "&amp;'Dados Gerais Resumo Por Área'!C20)</f>
        <v>0.71993510387344761</v>
      </c>
    </row>
    <row r="21" spans="1:8" x14ac:dyDescent="0.2">
      <c r="A21" s="126" t="s">
        <v>451</v>
      </c>
      <c r="B21" s="127" t="s">
        <v>419</v>
      </c>
      <c r="C21" s="128" t="s">
        <v>427</v>
      </c>
      <c r="D21" s="129">
        <v>248</v>
      </c>
      <c r="E21" s="130">
        <f>ROUNDUP(SUMIF('Fator Tráfego (DER-PR)'!$AR$6:$AR$1368,B21&amp;" - "&amp;C21,'Fator Tráfego (DER-PR)'!$AN$6:$AN$1368)/SUMIF('Fator Tráfego (DER-PR)'!$AR$6:$AR$1368,B21&amp;" - "&amp;C21,'Fator Tráfego (DER-PR)'!$J$6:$J$1368),0)</f>
        <v>2518</v>
      </c>
      <c r="F21" s="143">
        <f>SUMIF('Dados Gerais por Municipio'!$L$3:$L$491,'Dados Gerais Resumo Por Área'!B21&amp;" - "&amp;'Dados Gerais Resumo Por Área'!C21,'Dados Gerais por Municipio'!$E$3:$E$491)/COUNTIF('Dados Gerais por Municipio'!$L$3:$L$491,'Dados Gerais Resumo Por Área'!B21&amp;" - "&amp;'Dados Gerais Resumo Por Área'!C21)</f>
        <v>42867.434705882348</v>
      </c>
      <c r="G21" s="131">
        <f>SUMIF('Dados Gerais por Municipio'!$L$3:$L$491,'Dados Gerais Resumo Por Área'!B21&amp;" - "&amp;'Dados Gerais Resumo Por Área'!C21,'Dados Gerais por Municipio'!$F$3:$F$491)/COUNTIF('Dados Gerais por Municipio'!$L$3:$L$491,'Dados Gerais Resumo Por Área'!B21&amp;" - "&amp;'Dados Gerais Resumo Por Área'!C21)</f>
        <v>0.70229411764705885</v>
      </c>
      <c r="H21" s="131">
        <f>SUMIF('Dados Gerais por Municipio'!$L$3:$L$491,'Dados Gerais Resumo Por Área'!B21&amp;" - "&amp;'Dados Gerais Resumo Por Área'!C21,'Dados Gerais por Municipio'!$G$3:$G$491)/COUNTIF('Dados Gerais por Municipio'!$L$3:$L$491,'Dados Gerais Resumo Por Área'!B21&amp;" - "&amp;'Dados Gerais Resumo Por Área'!C21)</f>
        <v>0.7429280216952544</v>
      </c>
    </row>
    <row r="22" spans="1:8" x14ac:dyDescent="0.2">
      <c r="A22" s="126" t="s">
        <v>452</v>
      </c>
      <c r="B22" s="127" t="s">
        <v>419</v>
      </c>
      <c r="C22" s="128" t="s">
        <v>428</v>
      </c>
      <c r="D22" s="129">
        <v>208.42</v>
      </c>
      <c r="E22" s="130">
        <f>ROUNDUP(SUMIF('Fator Tráfego (DER-PR)'!$AR$6:$AR$1368,B22&amp;" - "&amp;C22,'Fator Tráfego (DER-PR)'!$AN$6:$AN$1368)/SUMIF('Fator Tráfego (DER-PR)'!$AR$6:$AR$1368,B22&amp;" - "&amp;C22,'Fator Tráfego (DER-PR)'!$J$6:$J$1368),0)</f>
        <v>1958</v>
      </c>
      <c r="F22" s="143">
        <f>SUMIF('Dados Gerais por Municipio'!$L$3:$L$491,'Dados Gerais Resumo Por Área'!B22&amp;" - "&amp;'Dados Gerais Resumo Por Área'!C22,'Dados Gerais por Municipio'!$E$3:$E$491)/COUNTIF('Dados Gerais por Municipio'!$L$3:$L$491,'Dados Gerais Resumo Por Área'!B22&amp;" - "&amp;'Dados Gerais Resumo Por Área'!C22)</f>
        <v>41503.481666666667</v>
      </c>
      <c r="G22" s="131">
        <f>SUMIF('Dados Gerais por Municipio'!$L$3:$L$491,'Dados Gerais Resumo Por Área'!B22&amp;" - "&amp;'Dados Gerais Resumo Por Área'!C22,'Dados Gerais por Municipio'!$F$3:$F$491)/COUNTIF('Dados Gerais por Municipio'!$L$3:$L$491,'Dados Gerais Resumo Por Área'!B22&amp;" - "&amp;'Dados Gerais Resumo Por Área'!C22)</f>
        <v>0.69349999999999989</v>
      </c>
      <c r="H22" s="131">
        <f>SUMIF('Dados Gerais por Municipio'!$L$3:$L$491,'Dados Gerais Resumo Por Área'!B22&amp;" - "&amp;'Dados Gerais Resumo Por Área'!C22,'Dados Gerais por Municipio'!$G$3:$G$491)/COUNTIF('Dados Gerais por Municipio'!$L$3:$L$491,'Dados Gerais Resumo Por Área'!B22&amp;" - "&amp;'Dados Gerais Resumo Por Área'!C22)</f>
        <v>0.72557660108144584</v>
      </c>
    </row>
    <row r="23" spans="1:8" x14ac:dyDescent="0.2">
      <c r="A23" s="126" t="s">
        <v>453</v>
      </c>
      <c r="B23" s="127" t="s">
        <v>419</v>
      </c>
      <c r="C23" s="128" t="s">
        <v>429</v>
      </c>
      <c r="D23" s="129">
        <v>198.56</v>
      </c>
      <c r="E23" s="130">
        <f>ROUNDUP(SUMIF('Fator Tráfego (DER-PR)'!$AR$6:$AR$1368,B23&amp;" - "&amp;C23,'Fator Tráfego (DER-PR)'!$AN$6:$AN$1368)/SUMIF('Fator Tráfego (DER-PR)'!$AR$6:$AR$1368,B23&amp;" - "&amp;C23,'Fator Tráfego (DER-PR)'!$J$6:$J$1368),0)</f>
        <v>1751</v>
      </c>
      <c r="F23" s="143">
        <f>SUMIF('Dados Gerais por Municipio'!$L$3:$L$491,'Dados Gerais Resumo Por Área'!B23&amp;" - "&amp;'Dados Gerais Resumo Por Área'!C23,'Dados Gerais por Municipio'!$E$3:$E$491)/COUNTIF('Dados Gerais por Municipio'!$L$3:$L$491,'Dados Gerais Resumo Por Área'!B23&amp;" - "&amp;'Dados Gerais Resumo Por Área'!C23)</f>
        <v>40767.442307692305</v>
      </c>
      <c r="G23" s="131">
        <f>SUMIF('Dados Gerais por Municipio'!$L$3:$L$491,'Dados Gerais Resumo Por Área'!B23&amp;" - "&amp;'Dados Gerais Resumo Por Área'!C23,'Dados Gerais por Municipio'!$F$3:$F$491)/COUNTIF('Dados Gerais por Municipio'!$L$3:$L$491,'Dados Gerais Resumo Por Área'!B23&amp;" - "&amp;'Dados Gerais Resumo Por Área'!C23)</f>
        <v>0.70030769230769208</v>
      </c>
      <c r="H23" s="131">
        <f>SUMIF('Dados Gerais por Municipio'!$L$3:$L$491,'Dados Gerais Resumo Por Área'!B23&amp;" - "&amp;'Dados Gerais Resumo Por Área'!C23,'Dados Gerais por Municipio'!$G$3:$G$491)/COUNTIF('Dados Gerais por Municipio'!$L$3:$L$491,'Dados Gerais Resumo Por Área'!B23&amp;" - "&amp;'Dados Gerais Resumo Por Área'!C23)</f>
        <v>0.73227319117478018</v>
      </c>
    </row>
    <row r="24" spans="1:8" x14ac:dyDescent="0.2">
      <c r="A24" s="126" t="s">
        <v>454</v>
      </c>
      <c r="B24" s="127" t="s">
        <v>419</v>
      </c>
      <c r="C24" s="128" t="s">
        <v>430</v>
      </c>
      <c r="D24" s="129">
        <v>208.43</v>
      </c>
      <c r="E24" s="130">
        <f>ROUNDUP(SUMIF('Fator Tráfego (DER-PR)'!$AR$6:$AR$1368,B24&amp;" - "&amp;C24,'Fator Tráfego (DER-PR)'!$AN$6:$AN$1368)/SUMIF('Fator Tráfego (DER-PR)'!$AR$6:$AR$1368,B24&amp;" - "&amp;C24,'Fator Tráfego (DER-PR)'!$J$6:$J$1368),0)</f>
        <v>1923</v>
      </c>
      <c r="F24" s="143">
        <f>SUMIF('Dados Gerais por Municipio'!$L$3:$L$491,'Dados Gerais Resumo Por Área'!B24&amp;" - "&amp;'Dados Gerais Resumo Por Área'!C24,'Dados Gerais por Municipio'!$E$3:$E$491)/COUNTIF('Dados Gerais por Municipio'!$L$3:$L$491,'Dados Gerais Resumo Por Área'!B24&amp;" - "&amp;'Dados Gerais Resumo Por Área'!C24)</f>
        <v>55102.131538461537</v>
      </c>
      <c r="G24" s="131">
        <f>SUMIF('Dados Gerais por Municipio'!$L$3:$L$491,'Dados Gerais Resumo Por Área'!B24&amp;" - "&amp;'Dados Gerais Resumo Por Área'!C24,'Dados Gerais por Municipio'!$F$3:$F$491)/COUNTIF('Dados Gerais por Municipio'!$L$3:$L$491,'Dados Gerais Resumo Por Área'!B24&amp;" - "&amp;'Dados Gerais Resumo Por Área'!C24)</f>
        <v>0.68330769230769239</v>
      </c>
      <c r="H24" s="131">
        <f>SUMIF('Dados Gerais por Municipio'!$L$3:$L$491,'Dados Gerais Resumo Por Área'!B24&amp;" - "&amp;'Dados Gerais Resumo Por Área'!C24,'Dados Gerais por Municipio'!$G$3:$G$491)/COUNTIF('Dados Gerais por Municipio'!$L$3:$L$491,'Dados Gerais Resumo Por Área'!B24&amp;" - "&amp;'Dados Gerais Resumo Por Área'!C24)</f>
        <v>0.74865541323098184</v>
      </c>
    </row>
    <row r="25" spans="1:8" x14ac:dyDescent="0.2">
      <c r="A25" s="126" t="s">
        <v>455</v>
      </c>
      <c r="B25" s="127" t="s">
        <v>418</v>
      </c>
      <c r="C25" s="128" t="s">
        <v>421</v>
      </c>
      <c r="D25" s="129">
        <v>327.55</v>
      </c>
      <c r="E25" s="130">
        <f>ROUNDUP(SUMIF('Fator Tráfego (DER-PR)'!$AR$6:$AR$1368,B25&amp;" - "&amp;C25,'Fator Tráfego (DER-PR)'!$AN$6:$AN$1368)/SUMIF('Fator Tráfego (DER-PR)'!$AR$6:$AR$1368,B25&amp;" - "&amp;C25,'Fator Tráfego (DER-PR)'!$J$6:$J$1368),0)</f>
        <v>3060</v>
      </c>
      <c r="F25" s="143">
        <f>SUMIF('Dados Gerais por Municipio'!$L$3:$L$491,'Dados Gerais Resumo Por Área'!B25&amp;" - "&amp;'Dados Gerais Resumo Por Área'!C25,'Dados Gerais por Municipio'!$E$3:$E$491)/COUNTIF('Dados Gerais por Municipio'!$L$3:$L$491,'Dados Gerais Resumo Por Área'!B25&amp;" - "&amp;'Dados Gerais Resumo Por Área'!C25)</f>
        <v>54945.591428571424</v>
      </c>
      <c r="G25" s="131">
        <f>SUMIF('Dados Gerais por Municipio'!$L$3:$L$491,'Dados Gerais Resumo Por Área'!B25&amp;" - "&amp;'Dados Gerais Resumo Por Área'!C25,'Dados Gerais por Municipio'!$F$3:$F$491)/COUNTIF('Dados Gerais por Municipio'!$L$3:$L$491,'Dados Gerais Resumo Por Área'!B25&amp;" - "&amp;'Dados Gerais Resumo Por Área'!C25)</f>
        <v>0.72871428571428576</v>
      </c>
      <c r="H25" s="131">
        <f>SUMIF('Dados Gerais por Municipio'!$L$3:$L$491,'Dados Gerais Resumo Por Área'!B25&amp;" - "&amp;'Dados Gerais Resumo Por Área'!C25,'Dados Gerais por Municipio'!$G$3:$G$491)/COUNTIF('Dados Gerais por Municipio'!$L$3:$L$491,'Dados Gerais Resumo Por Área'!B25&amp;" - "&amp;'Dados Gerais Resumo Por Área'!C25)</f>
        <v>0.76941293228696195</v>
      </c>
    </row>
    <row r="26" spans="1:8" x14ac:dyDescent="0.2">
      <c r="A26" s="126" t="s">
        <v>456</v>
      </c>
      <c r="B26" s="127" t="s">
        <v>418</v>
      </c>
      <c r="C26" s="128" t="s">
        <v>422</v>
      </c>
      <c r="D26" s="129">
        <v>273.82</v>
      </c>
      <c r="E26" s="130">
        <f>ROUNDUP(SUMIF('Fator Tráfego (DER-PR)'!$AR$6:$AR$1368,B26&amp;" - "&amp;C26,'Fator Tráfego (DER-PR)'!$AN$6:$AN$1368)/SUMIF('Fator Tráfego (DER-PR)'!$AR$6:$AR$1368,B26&amp;" - "&amp;C26,'Fator Tráfego (DER-PR)'!$J$6:$J$1368),0)</f>
        <v>1275</v>
      </c>
      <c r="F26" s="143">
        <f>SUMIF('Dados Gerais por Municipio'!$L$3:$L$491,'Dados Gerais Resumo Por Área'!B26&amp;" - "&amp;'Dados Gerais Resumo Por Área'!C26,'Dados Gerais por Municipio'!$E$3:$E$491)/COUNTIF('Dados Gerais por Municipio'!$L$3:$L$491,'Dados Gerais Resumo Por Área'!B26&amp;" - "&amp;'Dados Gerais Resumo Por Área'!C26)</f>
        <v>44818.420714285712</v>
      </c>
      <c r="G26" s="131">
        <f>SUMIF('Dados Gerais por Municipio'!$L$3:$L$491,'Dados Gerais Resumo Por Área'!B26&amp;" - "&amp;'Dados Gerais Resumo Por Área'!C26,'Dados Gerais por Municipio'!$F$3:$F$491)/COUNTIF('Dados Gerais por Municipio'!$L$3:$L$491,'Dados Gerais Resumo Por Área'!B26&amp;" - "&amp;'Dados Gerais Resumo Por Área'!C26)</f>
        <v>0.71657142857142875</v>
      </c>
      <c r="H26" s="131">
        <f>SUMIF('Dados Gerais por Municipio'!$L$3:$L$491,'Dados Gerais Resumo Por Área'!B26&amp;" - "&amp;'Dados Gerais Resumo Por Área'!C26,'Dados Gerais por Municipio'!$G$3:$G$491)/COUNTIF('Dados Gerais por Municipio'!$L$3:$L$491,'Dados Gerais Resumo Por Área'!B26&amp;" - "&amp;'Dados Gerais Resumo Por Área'!C26)</f>
        <v>0.74345770092992414</v>
      </c>
    </row>
    <row r="27" spans="1:8" x14ac:dyDescent="0.2">
      <c r="A27" s="126" t="s">
        <v>457</v>
      </c>
      <c r="B27" s="127" t="s">
        <v>418</v>
      </c>
      <c r="C27" s="128" t="s">
        <v>423</v>
      </c>
      <c r="D27" s="129">
        <v>234.53</v>
      </c>
      <c r="E27" s="130">
        <f>ROUNDUP(SUMIF('Fator Tráfego (DER-PR)'!$AR$6:$AR$1368,B27&amp;" - "&amp;C27,'Fator Tráfego (DER-PR)'!$AN$6:$AN$1368)/SUMIF('Fator Tráfego (DER-PR)'!$AR$6:$AR$1368,B27&amp;" - "&amp;C27,'Fator Tráfego (DER-PR)'!$J$6:$J$1368),0)</f>
        <v>2672</v>
      </c>
      <c r="F27" s="143">
        <f>SUMIF('Dados Gerais por Municipio'!$L$3:$L$491,'Dados Gerais Resumo Por Área'!B27&amp;" - "&amp;'Dados Gerais Resumo Por Área'!C27,'Dados Gerais por Municipio'!$E$3:$E$491)/COUNTIF('Dados Gerais por Municipio'!$L$3:$L$491,'Dados Gerais Resumo Por Área'!B27&amp;" - "&amp;'Dados Gerais Resumo Por Área'!C27)</f>
        <v>58738.031764705876</v>
      </c>
      <c r="G27" s="131">
        <f>SUMIF('Dados Gerais por Municipio'!$L$3:$L$491,'Dados Gerais Resumo Por Área'!B27&amp;" - "&amp;'Dados Gerais Resumo Por Área'!C27,'Dados Gerais por Municipio'!$F$3:$F$491)/COUNTIF('Dados Gerais por Municipio'!$L$3:$L$491,'Dados Gerais Resumo Por Área'!B27&amp;" - "&amp;'Dados Gerais Resumo Por Área'!C27)</f>
        <v>0.72811764705882354</v>
      </c>
      <c r="H27" s="131">
        <f>SUMIF('Dados Gerais por Municipio'!$L$3:$L$491,'Dados Gerais Resumo Por Área'!B27&amp;" - "&amp;'Dados Gerais Resumo Por Área'!C27,'Dados Gerais por Municipio'!$G$3:$G$491)/COUNTIF('Dados Gerais por Municipio'!$L$3:$L$491,'Dados Gerais Resumo Por Área'!B27&amp;" - "&amp;'Dados Gerais Resumo Por Área'!C27)</f>
        <v>0.77086980494280533</v>
      </c>
    </row>
    <row r="28" spans="1:8" x14ac:dyDescent="0.2">
      <c r="A28" s="126" t="s">
        <v>458</v>
      </c>
      <c r="B28" s="127" t="s">
        <v>418</v>
      </c>
      <c r="C28" s="128" t="s">
        <v>424</v>
      </c>
      <c r="D28" s="129">
        <v>293.23</v>
      </c>
      <c r="E28" s="130">
        <f>ROUNDUP(SUMIF('Fator Tráfego (DER-PR)'!$AR$6:$AR$1368,B28&amp;" - "&amp;C28,'Fator Tráfego (DER-PR)'!$AN$6:$AN$1368)/SUMIF('Fator Tráfego (DER-PR)'!$AR$6:$AR$1368,B28&amp;" - "&amp;C28,'Fator Tráfego (DER-PR)'!$J$6:$J$1368),0)</f>
        <v>1769</v>
      </c>
      <c r="F28" s="143">
        <f>SUMIF('Dados Gerais por Municipio'!$L$3:$L$491,'Dados Gerais Resumo Por Área'!B28&amp;" - "&amp;'Dados Gerais Resumo Por Área'!C28,'Dados Gerais por Municipio'!$E$3:$E$491)/COUNTIF('Dados Gerais por Municipio'!$L$3:$L$491,'Dados Gerais Resumo Por Área'!B28&amp;" - "&amp;'Dados Gerais Resumo Por Área'!C28)</f>
        <v>46324.851052631573</v>
      </c>
      <c r="G28" s="131">
        <f>SUMIF('Dados Gerais por Municipio'!$L$3:$L$491,'Dados Gerais Resumo Por Área'!B28&amp;" - "&amp;'Dados Gerais Resumo Por Área'!C28,'Dados Gerais por Municipio'!$F$3:$F$491)/COUNTIF('Dados Gerais por Municipio'!$L$3:$L$491,'Dados Gerais Resumo Por Área'!B28&amp;" - "&amp;'Dados Gerais Resumo Por Área'!C28)</f>
        <v>0.71410526315789469</v>
      </c>
      <c r="H28" s="131">
        <f>SUMIF('Dados Gerais por Municipio'!$L$3:$L$491,'Dados Gerais Resumo Por Área'!B28&amp;" - "&amp;'Dados Gerais Resumo Por Área'!C28,'Dados Gerais por Municipio'!$G$3:$G$491)/COUNTIF('Dados Gerais por Municipio'!$L$3:$L$491,'Dados Gerais Resumo Por Área'!B28&amp;" - "&amp;'Dados Gerais Resumo Por Área'!C28)</f>
        <v>0.73908070050175323</v>
      </c>
    </row>
    <row r="29" spans="1:8" x14ac:dyDescent="0.2">
      <c r="A29" s="126" t="s">
        <v>459</v>
      </c>
      <c r="B29" s="127" t="s">
        <v>418</v>
      </c>
      <c r="C29" s="128" t="s">
        <v>425</v>
      </c>
      <c r="D29" s="129">
        <v>279.54000000000002</v>
      </c>
      <c r="E29" s="130">
        <f>ROUNDUP(SUMIF('Fator Tráfego (DER-PR)'!$AR$6:$AR$1368,B29&amp;" - "&amp;C29,'Fator Tráfego (DER-PR)'!$AN$6:$AN$1368)/SUMIF('Fator Tráfego (DER-PR)'!$AR$6:$AR$1368,B29&amp;" - "&amp;C29,'Fator Tráfego (DER-PR)'!$J$6:$J$1368),0)</f>
        <v>1222</v>
      </c>
      <c r="F29" s="143">
        <f>SUMIF('Dados Gerais por Municipio'!$L$3:$L$491,'Dados Gerais Resumo Por Área'!B29&amp;" - "&amp;'Dados Gerais Resumo Por Área'!C29,'Dados Gerais por Municipio'!$E$3:$E$491)/COUNTIF('Dados Gerais por Municipio'!$L$3:$L$491,'Dados Gerais Resumo Por Área'!B29&amp;" - "&amp;'Dados Gerais Resumo Por Área'!C29)</f>
        <v>51957.793846153843</v>
      </c>
      <c r="G29" s="131">
        <f>SUMIF('Dados Gerais por Municipio'!$L$3:$L$491,'Dados Gerais Resumo Por Área'!B29&amp;" - "&amp;'Dados Gerais Resumo Por Área'!C29,'Dados Gerais por Municipio'!$F$3:$F$491)/COUNTIF('Dados Gerais por Municipio'!$L$3:$L$491,'Dados Gerais Resumo Por Área'!B29&amp;" - "&amp;'Dados Gerais Resumo Por Área'!C29)</f>
        <v>0.71338461538461528</v>
      </c>
      <c r="H29" s="131">
        <f>SUMIF('Dados Gerais por Municipio'!$L$3:$L$491,'Dados Gerais Resumo Por Área'!B29&amp;" - "&amp;'Dados Gerais Resumo Por Área'!C29,'Dados Gerais por Municipio'!$G$3:$G$491)/COUNTIF('Dados Gerais por Municipio'!$L$3:$L$491,'Dados Gerais Resumo Por Área'!B29&amp;" - "&amp;'Dados Gerais Resumo Por Área'!C29)</f>
        <v>0.75173001301621534</v>
      </c>
    </row>
    <row r="30" spans="1:8" x14ac:dyDescent="0.2">
      <c r="A30" s="126" t="s">
        <v>460</v>
      </c>
      <c r="B30" s="127" t="s">
        <v>418</v>
      </c>
      <c r="C30" s="128" t="s">
        <v>426</v>
      </c>
      <c r="D30" s="129">
        <v>404.5</v>
      </c>
      <c r="E30" s="130">
        <f>ROUNDUP(SUMIF('Fator Tráfego (DER-PR)'!$AR$6:$AR$1368,B30&amp;" - "&amp;C30,'Fator Tráfego (DER-PR)'!$AN$6:$AN$1368)/SUMIF('Fator Tráfego (DER-PR)'!$AR$6:$AR$1368,B30&amp;" - "&amp;C30,'Fator Tráfego (DER-PR)'!$J$6:$J$1368),0)</f>
        <v>1327</v>
      </c>
      <c r="F30" s="143">
        <f>SUMIF('Dados Gerais por Municipio'!$L$3:$L$491,'Dados Gerais Resumo Por Área'!B30&amp;" - "&amp;'Dados Gerais Resumo Por Área'!C30,'Dados Gerais por Municipio'!$E$3:$E$491)/COUNTIF('Dados Gerais por Municipio'!$L$3:$L$491,'Dados Gerais Resumo Por Área'!B30&amp;" - "&amp;'Dados Gerais Resumo Por Área'!C30)</f>
        <v>56076.214705882347</v>
      </c>
      <c r="G30" s="131">
        <f>SUMIF('Dados Gerais por Municipio'!$L$3:$L$491,'Dados Gerais Resumo Por Área'!B30&amp;" - "&amp;'Dados Gerais Resumo Por Área'!C30,'Dados Gerais por Municipio'!$F$3:$F$491)/COUNTIF('Dados Gerais por Municipio'!$L$3:$L$491,'Dados Gerais Resumo Por Área'!B30&amp;" - "&amp;'Dados Gerais Resumo Por Área'!C30)</f>
        <v>0.69847058823529429</v>
      </c>
      <c r="H30" s="131">
        <f>SUMIF('Dados Gerais por Municipio'!$L$3:$L$491,'Dados Gerais Resumo Por Área'!B30&amp;" - "&amp;'Dados Gerais Resumo Por Área'!C30,'Dados Gerais por Municipio'!$G$3:$G$491)/COUNTIF('Dados Gerais por Municipio'!$L$3:$L$491,'Dados Gerais Resumo Por Área'!B30&amp;" - "&amp;'Dados Gerais Resumo Por Área'!C30)</f>
        <v>0.74362558532125067</v>
      </c>
    </row>
    <row r="31" spans="1:8" x14ac:dyDescent="0.2">
      <c r="A31" s="126" t="s">
        <v>461</v>
      </c>
      <c r="B31" s="127" t="s">
        <v>418</v>
      </c>
      <c r="C31" s="128" t="s">
        <v>427</v>
      </c>
      <c r="D31" s="129">
        <v>318.89999999999998</v>
      </c>
      <c r="E31" s="130">
        <f>ROUNDUP(SUMIF('Fator Tráfego (DER-PR)'!$AR$6:$AR$1368,B31&amp;" - "&amp;C31,'Fator Tráfego (DER-PR)'!$AN$6:$AN$1368)/SUMIF('Fator Tráfego (DER-PR)'!$AR$6:$AR$1368,B31&amp;" - "&amp;C31,'Fator Tráfego (DER-PR)'!$J$6:$J$1368),0)</f>
        <v>1999</v>
      </c>
      <c r="F31" s="143">
        <f>SUMIF('Dados Gerais por Municipio'!$L$3:$L$491,'Dados Gerais Resumo Por Área'!B31&amp;" - "&amp;'Dados Gerais Resumo Por Área'!C31,'Dados Gerais por Municipio'!$E$3:$E$491)/COUNTIF('Dados Gerais por Municipio'!$L$3:$L$491,'Dados Gerais Resumo Por Área'!B31&amp;" - "&amp;'Dados Gerais Resumo Por Área'!C31)</f>
        <v>55751.640666666666</v>
      </c>
      <c r="G31" s="131">
        <f>SUMIF('Dados Gerais por Municipio'!$L$3:$L$491,'Dados Gerais Resumo Por Área'!B31&amp;" - "&amp;'Dados Gerais Resumo Por Área'!C31,'Dados Gerais por Municipio'!$F$3:$F$491)/COUNTIF('Dados Gerais por Municipio'!$L$3:$L$491,'Dados Gerais Resumo Por Área'!B31&amp;" - "&amp;'Dados Gerais Resumo Por Área'!C31)</f>
        <v>0.71286666666666665</v>
      </c>
      <c r="H31" s="131">
        <f>SUMIF('Dados Gerais por Municipio'!$L$3:$L$491,'Dados Gerais Resumo Por Área'!B31&amp;" - "&amp;'Dados Gerais Resumo Por Área'!C31,'Dados Gerais por Municipio'!$G$3:$G$491)/COUNTIF('Dados Gerais por Municipio'!$L$3:$L$491,'Dados Gerais Resumo Por Área'!B31&amp;" - "&amp;'Dados Gerais Resumo Por Área'!C31)</f>
        <v>0.75552790957703941</v>
      </c>
    </row>
    <row r="32" spans="1:8" x14ac:dyDescent="0.2">
      <c r="A32" s="126" t="s">
        <v>462</v>
      </c>
      <c r="B32" s="127" t="s">
        <v>418</v>
      </c>
      <c r="C32" s="128" t="s">
        <v>428</v>
      </c>
      <c r="D32" s="129">
        <v>234.26</v>
      </c>
      <c r="E32" s="130">
        <f>ROUNDUP(SUMIF('Fator Tráfego (DER-PR)'!$AR$6:$AR$1368,B32&amp;" - "&amp;C32,'Fator Tráfego (DER-PR)'!$AN$6:$AN$1368)/SUMIF('Fator Tráfego (DER-PR)'!$AR$6:$AR$1368,B32&amp;" - "&amp;C32,'Fator Tráfego (DER-PR)'!$J$6:$J$1368),0)</f>
        <v>1511</v>
      </c>
      <c r="F32" s="143">
        <f>SUMIF('Dados Gerais por Municipio'!$L$3:$L$491,'Dados Gerais Resumo Por Área'!B32&amp;" - "&amp;'Dados Gerais Resumo Por Área'!C32,'Dados Gerais por Municipio'!$E$3:$E$491)/COUNTIF('Dados Gerais por Municipio'!$L$3:$L$491,'Dados Gerais Resumo Por Área'!B32&amp;" - "&amp;'Dados Gerais Resumo Por Área'!C32)</f>
        <v>43173.246923076927</v>
      </c>
      <c r="G32" s="131">
        <f>SUMIF('Dados Gerais por Municipio'!$L$3:$L$491,'Dados Gerais Resumo Por Área'!B32&amp;" - "&amp;'Dados Gerais Resumo Por Área'!C32,'Dados Gerais por Municipio'!$F$3:$F$491)/COUNTIF('Dados Gerais por Municipio'!$L$3:$L$491,'Dados Gerais Resumo Por Área'!B32&amp;" - "&amp;'Dados Gerais Resumo Por Área'!C32)</f>
        <v>0.70146153846153836</v>
      </c>
      <c r="H32" s="131">
        <f>SUMIF('Dados Gerais por Municipio'!$L$3:$L$491,'Dados Gerais Resumo Por Área'!B32&amp;" - "&amp;'Dados Gerais Resumo Por Área'!C32,'Dados Gerais por Municipio'!$G$3:$G$491)/COUNTIF('Dados Gerais por Municipio'!$L$3:$L$491,'Dados Gerais Resumo Por Área'!B32&amp;" - "&amp;'Dados Gerais Resumo Por Área'!C32)</f>
        <v>0.72897943226234629</v>
      </c>
    </row>
    <row r="33" spans="1:8" x14ac:dyDescent="0.2">
      <c r="A33" s="126" t="s">
        <v>463</v>
      </c>
      <c r="B33" s="127" t="s">
        <v>418</v>
      </c>
      <c r="C33" s="128" t="s">
        <v>429</v>
      </c>
      <c r="D33" s="129">
        <v>359.59</v>
      </c>
      <c r="E33" s="130">
        <f>ROUNDUP(SUMIF('Fator Tráfego (DER-PR)'!$AR$6:$AR$1368,B33&amp;" - "&amp;C33,'Fator Tráfego (DER-PR)'!$AN$6:$AN$1368)/SUMIF('Fator Tráfego (DER-PR)'!$AR$6:$AR$1368,B33&amp;" - "&amp;C33,'Fator Tráfego (DER-PR)'!$J$6:$J$1368),0)</f>
        <v>1387</v>
      </c>
      <c r="F33" s="143">
        <f>SUMIF('Dados Gerais por Municipio'!$L$3:$L$491,'Dados Gerais Resumo Por Área'!B33&amp;" - "&amp;'Dados Gerais Resumo Por Área'!C33,'Dados Gerais por Municipio'!$E$3:$E$491)/COUNTIF('Dados Gerais por Municipio'!$L$3:$L$491,'Dados Gerais Resumo Por Área'!B33&amp;" - "&amp;'Dados Gerais Resumo Por Área'!C33)</f>
        <v>44366.557692307695</v>
      </c>
      <c r="G33" s="131">
        <f>SUMIF('Dados Gerais por Municipio'!$L$3:$L$491,'Dados Gerais Resumo Por Área'!B33&amp;" - "&amp;'Dados Gerais Resumo Por Área'!C33,'Dados Gerais por Municipio'!$F$3:$F$491)/COUNTIF('Dados Gerais por Municipio'!$L$3:$L$491,'Dados Gerais Resumo Por Área'!B33&amp;" - "&amp;'Dados Gerais Resumo Por Área'!C33)</f>
        <v>0.70930769230769231</v>
      </c>
      <c r="H33" s="131">
        <f>SUMIF('Dados Gerais por Municipio'!$L$3:$L$491,'Dados Gerais Resumo Por Área'!B33&amp;" - "&amp;'Dados Gerais Resumo Por Área'!C33,'Dados Gerais por Municipio'!$G$3:$G$491)/COUNTIF('Dados Gerais por Municipio'!$L$3:$L$491,'Dados Gerais Resumo Por Área'!B33&amp;" - "&amp;'Dados Gerais Resumo Por Área'!C33)</f>
        <v>0.73338205339132201</v>
      </c>
    </row>
    <row r="34" spans="1:8" x14ac:dyDescent="0.2">
      <c r="A34" s="126" t="s">
        <v>464</v>
      </c>
      <c r="B34" s="127" t="s">
        <v>418</v>
      </c>
      <c r="C34" s="128" t="s">
        <v>430</v>
      </c>
      <c r="D34" s="129">
        <v>314.95</v>
      </c>
      <c r="E34" s="130">
        <f>ROUNDUP(SUMIF('Fator Tráfego (DER-PR)'!$AR$6:$AR$1368,B34&amp;" - "&amp;C34,'Fator Tráfego (DER-PR)'!$AN$6:$AN$1368)/SUMIF('Fator Tráfego (DER-PR)'!$AR$6:$AR$1368,B34&amp;" - "&amp;C34,'Fator Tráfego (DER-PR)'!$J$6:$J$1368),0)</f>
        <v>1364</v>
      </c>
      <c r="F34" s="143">
        <f>SUMIF('Dados Gerais por Municipio'!$L$3:$L$491,'Dados Gerais Resumo Por Área'!B34&amp;" - "&amp;'Dados Gerais Resumo Por Área'!C34,'Dados Gerais por Municipio'!$E$3:$E$491)/COUNTIF('Dados Gerais por Municipio'!$L$3:$L$491,'Dados Gerais Resumo Por Área'!B34&amp;" - "&amp;'Dados Gerais Resumo Por Área'!C34)</f>
        <v>41843.971999999994</v>
      </c>
      <c r="G34" s="131">
        <f>SUMIF('Dados Gerais por Municipio'!$L$3:$L$491,'Dados Gerais Resumo Por Área'!B34&amp;" - "&amp;'Dados Gerais Resumo Por Área'!C34,'Dados Gerais por Municipio'!$F$3:$F$491)/COUNTIF('Dados Gerais por Municipio'!$L$3:$L$491,'Dados Gerais Resumo Por Área'!B34&amp;" - "&amp;'Dados Gerais Resumo Por Área'!C34)</f>
        <v>0.70679999999999998</v>
      </c>
      <c r="H34" s="131">
        <f>SUMIF('Dados Gerais por Municipio'!$L$3:$L$491,'Dados Gerais Resumo Por Área'!B34&amp;" - "&amp;'Dados Gerais Resumo Por Área'!C34,'Dados Gerais por Municipio'!$G$3:$G$491)/COUNTIF('Dados Gerais por Municipio'!$L$3:$L$491,'Dados Gerais Resumo Por Área'!B34&amp;" - "&amp;'Dados Gerais Resumo Por Área'!C34)</f>
        <v>0.74486421493607047</v>
      </c>
    </row>
    <row r="35" spans="1:8" x14ac:dyDescent="0.2">
      <c r="A35" s="126" t="s">
        <v>465</v>
      </c>
      <c r="B35" s="127" t="s">
        <v>417</v>
      </c>
      <c r="C35" s="128" t="s">
        <v>421</v>
      </c>
      <c r="D35" s="129">
        <v>317.06</v>
      </c>
      <c r="E35" s="130">
        <f>ROUNDUP(SUMIF('Fator Tráfego (DER-PR)'!$AR$6:$AR$1368,B35&amp;" - "&amp;C35,'Fator Tráfego (DER-PR)'!$AN$6:$AN$1368)/SUMIF('Fator Tráfego (DER-PR)'!$AR$6:$AR$1368,B35&amp;" - "&amp;C35,'Fator Tráfego (DER-PR)'!$J$6:$J$1368),0)</f>
        <v>2263</v>
      </c>
      <c r="F35" s="143">
        <f>SUMIF('Dados Gerais por Municipio'!$L$3:$L$491,'Dados Gerais Resumo Por Área'!B35&amp;" - "&amp;'Dados Gerais Resumo Por Área'!C35,'Dados Gerais por Municipio'!$E$3:$E$491)/COUNTIF('Dados Gerais por Municipio'!$L$3:$L$491,'Dados Gerais Resumo Por Área'!B35&amp;" - "&amp;'Dados Gerais Resumo Por Área'!C35)</f>
        <v>53779.54099999999</v>
      </c>
      <c r="G35" s="131">
        <f>SUMIF('Dados Gerais por Municipio'!$L$3:$L$491,'Dados Gerais Resumo Por Área'!B35&amp;" - "&amp;'Dados Gerais Resumo Por Área'!C35,'Dados Gerais por Municipio'!$F$3:$F$491)/COUNTIF('Dados Gerais por Municipio'!$L$3:$L$491,'Dados Gerais Resumo Por Área'!B35&amp;" - "&amp;'Dados Gerais Resumo Por Área'!C35)</f>
        <v>0.7248</v>
      </c>
      <c r="H35" s="131">
        <f>SUMIF('Dados Gerais por Municipio'!$L$3:$L$491,'Dados Gerais Resumo Por Área'!B35&amp;" - "&amp;'Dados Gerais Resumo Por Área'!C35,'Dados Gerais por Municipio'!$G$3:$G$491)/COUNTIF('Dados Gerais por Municipio'!$L$3:$L$491,'Dados Gerais Resumo Por Área'!B35&amp;" - "&amp;'Dados Gerais Resumo Por Área'!C35)</f>
        <v>0.76404240526060607</v>
      </c>
    </row>
    <row r="36" spans="1:8" x14ac:dyDescent="0.2">
      <c r="A36" s="126" t="s">
        <v>466</v>
      </c>
      <c r="B36" s="127" t="s">
        <v>417</v>
      </c>
      <c r="C36" s="128" t="s">
        <v>422</v>
      </c>
      <c r="D36" s="129">
        <v>305.01</v>
      </c>
      <c r="E36" s="130">
        <f>ROUNDUP(SUMIF('Fator Tráfego (DER-PR)'!$AR$6:$AR$1368,B36&amp;" - "&amp;C36,'Fator Tráfego (DER-PR)'!$AN$6:$AN$1368)/SUMIF('Fator Tráfego (DER-PR)'!$AR$6:$AR$1368,B36&amp;" - "&amp;C36,'Fator Tráfego (DER-PR)'!$J$6:$J$1368),0)</f>
        <v>2388</v>
      </c>
      <c r="F36" s="143">
        <f>SUMIF('Dados Gerais por Municipio'!$L$3:$L$491,'Dados Gerais Resumo Por Área'!B36&amp;" - "&amp;'Dados Gerais Resumo Por Área'!C36,'Dados Gerais por Municipio'!$E$3:$E$491)/COUNTIF('Dados Gerais por Municipio'!$L$3:$L$491,'Dados Gerais Resumo Por Área'!B36&amp;" - "&amp;'Dados Gerais Resumo Por Área'!C36)</f>
        <v>61363.058181818174</v>
      </c>
      <c r="G36" s="131">
        <f>SUMIF('Dados Gerais por Municipio'!$L$3:$L$491,'Dados Gerais Resumo Por Área'!B36&amp;" - "&amp;'Dados Gerais Resumo Por Área'!C36,'Dados Gerais por Municipio'!$F$3:$F$491)/COUNTIF('Dados Gerais por Municipio'!$L$3:$L$491,'Dados Gerais Resumo Por Área'!B36&amp;" - "&amp;'Dados Gerais Resumo Por Área'!C36)</f>
        <v>0.73581818181818193</v>
      </c>
      <c r="H36" s="131">
        <f>SUMIF('Dados Gerais por Municipio'!$L$3:$L$491,'Dados Gerais Resumo Por Área'!B36&amp;" - "&amp;'Dados Gerais Resumo Por Área'!C36,'Dados Gerais por Municipio'!$G$3:$G$491)/COUNTIF('Dados Gerais por Municipio'!$L$3:$L$491,'Dados Gerais Resumo Por Área'!B36&amp;" - "&amp;'Dados Gerais Resumo Por Área'!C36)</f>
        <v>0.78046993054774216</v>
      </c>
    </row>
    <row r="37" spans="1:8" x14ac:dyDescent="0.2">
      <c r="A37" s="126" t="s">
        <v>467</v>
      </c>
      <c r="B37" s="127" t="s">
        <v>417</v>
      </c>
      <c r="C37" s="128" t="s">
        <v>423</v>
      </c>
      <c r="D37" s="129">
        <v>306.44</v>
      </c>
      <c r="E37" s="130">
        <f>ROUNDUP(SUMIF('Fator Tráfego (DER-PR)'!$AR$6:$AR$1368,B37&amp;" - "&amp;C37,'Fator Tráfego (DER-PR)'!$AN$6:$AN$1368)/SUMIF('Fator Tráfego (DER-PR)'!$AR$6:$AR$1368,B37&amp;" - "&amp;C37,'Fator Tráfego (DER-PR)'!$J$6:$J$1368),0)</f>
        <v>2246</v>
      </c>
      <c r="F37" s="143">
        <f>SUMIF('Dados Gerais por Municipio'!$L$3:$L$491,'Dados Gerais Resumo Por Área'!B37&amp;" - "&amp;'Dados Gerais Resumo Por Área'!C37,'Dados Gerais por Municipio'!$E$3:$E$491)/COUNTIF('Dados Gerais por Municipio'!$L$3:$L$491,'Dados Gerais Resumo Por Área'!B37&amp;" - "&amp;'Dados Gerais Resumo Por Área'!C37)</f>
        <v>70661.23000000001</v>
      </c>
      <c r="G37" s="131">
        <f>SUMIF('Dados Gerais por Municipio'!$L$3:$L$491,'Dados Gerais Resumo Por Área'!B37&amp;" - "&amp;'Dados Gerais Resumo Por Área'!C37,'Dados Gerais por Municipio'!$F$3:$F$491)/COUNTIF('Dados Gerais por Municipio'!$L$3:$L$491,'Dados Gerais Resumo Por Área'!B37&amp;" - "&amp;'Dados Gerais Resumo Por Área'!C37)</f>
        <v>0.73049999999999993</v>
      </c>
      <c r="H37" s="131">
        <f>SUMIF('Dados Gerais por Municipio'!$L$3:$L$491,'Dados Gerais Resumo Por Área'!B37&amp;" - "&amp;'Dados Gerais Resumo Por Área'!C37,'Dados Gerais por Municipio'!$G$3:$G$491)/COUNTIF('Dados Gerais por Municipio'!$L$3:$L$491,'Dados Gerais Resumo Por Área'!B37&amp;" - "&amp;'Dados Gerais Resumo Por Área'!C37)</f>
        <v>0.78387277301606251</v>
      </c>
    </row>
    <row r="38" spans="1:8" x14ac:dyDescent="0.2">
      <c r="A38" s="126" t="s">
        <v>468</v>
      </c>
      <c r="B38" s="127" t="s">
        <v>417</v>
      </c>
      <c r="C38" s="128" t="s">
        <v>424</v>
      </c>
      <c r="D38" s="129">
        <v>317.95999999999998</v>
      </c>
      <c r="E38" s="130">
        <f>ROUNDUP(SUMIF('Fator Tráfego (DER-PR)'!$AR$6:$AR$1368,B38&amp;" - "&amp;C38,'Fator Tráfego (DER-PR)'!$AN$6:$AN$1368)/SUMIF('Fator Tráfego (DER-PR)'!$AR$6:$AR$1368,B38&amp;" - "&amp;C38,'Fator Tráfego (DER-PR)'!$J$6:$J$1368),0)</f>
        <v>1512</v>
      </c>
      <c r="F38" s="143">
        <f>SUMIF('Dados Gerais por Municipio'!$L$3:$L$491,'Dados Gerais Resumo Por Área'!B38&amp;" - "&amp;'Dados Gerais Resumo Por Área'!C38,'Dados Gerais por Municipio'!$E$3:$E$491)/COUNTIF('Dados Gerais por Municipio'!$L$3:$L$491,'Dados Gerais Resumo Por Área'!B38&amp;" - "&amp;'Dados Gerais Resumo Por Área'!C38)</f>
        <v>48931.979375000003</v>
      </c>
      <c r="G38" s="131">
        <f>SUMIF('Dados Gerais por Municipio'!$L$3:$L$491,'Dados Gerais Resumo Por Área'!B38&amp;" - "&amp;'Dados Gerais Resumo Por Área'!C38,'Dados Gerais por Municipio'!$F$3:$F$491)/COUNTIF('Dados Gerais por Municipio'!$L$3:$L$491,'Dados Gerais Resumo Por Área'!B38&amp;" - "&amp;'Dados Gerais Resumo Por Área'!C38)</f>
        <v>0.69418749999999996</v>
      </c>
      <c r="H38" s="131">
        <f>SUMIF('Dados Gerais por Municipio'!$L$3:$L$491,'Dados Gerais Resumo Por Área'!B38&amp;" - "&amp;'Dados Gerais Resumo Por Área'!C38,'Dados Gerais por Municipio'!$G$3:$G$491)/COUNTIF('Dados Gerais por Municipio'!$L$3:$L$491,'Dados Gerais Resumo Por Área'!B38&amp;" - "&amp;'Dados Gerais Resumo Por Área'!C38)</f>
        <v>0.75531566168406383</v>
      </c>
    </row>
    <row r="39" spans="1:8" x14ac:dyDescent="0.2">
      <c r="A39" s="126" t="s">
        <v>469</v>
      </c>
      <c r="B39" s="127" t="s">
        <v>417</v>
      </c>
      <c r="C39" s="128" t="s">
        <v>425</v>
      </c>
      <c r="D39" s="129">
        <v>255.71</v>
      </c>
      <c r="E39" s="130">
        <f>ROUNDUP(SUMIF('Fator Tráfego (DER-PR)'!$AR$6:$AR$1368,B39&amp;" - "&amp;C39,'Fator Tráfego (DER-PR)'!$AN$6:$AN$1368)/SUMIF('Fator Tráfego (DER-PR)'!$AR$6:$AR$1368,B39&amp;" - "&amp;C39,'Fator Tráfego (DER-PR)'!$J$6:$J$1368),0)</f>
        <v>1607</v>
      </c>
      <c r="F39" s="143">
        <f>SUMIF('Dados Gerais por Municipio'!$L$3:$L$491,'Dados Gerais Resumo Por Área'!B39&amp;" - "&amp;'Dados Gerais Resumo Por Área'!C39,'Dados Gerais por Municipio'!$E$3:$E$491)/COUNTIF('Dados Gerais por Municipio'!$L$3:$L$491,'Dados Gerais Resumo Por Área'!B39&amp;" - "&amp;'Dados Gerais Resumo Por Área'!C39)</f>
        <v>53795.759285714295</v>
      </c>
      <c r="G39" s="131">
        <f>SUMIF('Dados Gerais por Municipio'!$L$3:$L$491,'Dados Gerais Resumo Por Área'!B39&amp;" - "&amp;'Dados Gerais Resumo Por Área'!C39,'Dados Gerais por Municipio'!$F$3:$F$491)/COUNTIF('Dados Gerais por Municipio'!$L$3:$L$491,'Dados Gerais Resumo Por Área'!B39&amp;" - "&amp;'Dados Gerais Resumo Por Área'!C39)</f>
        <v>0.71907142857142858</v>
      </c>
      <c r="H39" s="131">
        <f>SUMIF('Dados Gerais por Municipio'!$L$3:$L$491,'Dados Gerais Resumo Por Área'!B39&amp;" - "&amp;'Dados Gerais Resumo Por Área'!C39,'Dados Gerais por Municipio'!$G$3:$G$491)/COUNTIF('Dados Gerais por Municipio'!$L$3:$L$491,'Dados Gerais Resumo Por Área'!B39&amp;" - "&amp;'Dados Gerais Resumo Por Área'!C39)</f>
        <v>0.76370948310572528</v>
      </c>
    </row>
    <row r="40" spans="1:8" x14ac:dyDescent="0.2">
      <c r="A40" s="126" t="s">
        <v>470</v>
      </c>
      <c r="B40" s="127" t="s">
        <v>417</v>
      </c>
      <c r="C40" s="128" t="s">
        <v>426</v>
      </c>
      <c r="D40" s="129">
        <v>216.85</v>
      </c>
      <c r="E40" s="130">
        <f>ROUNDUP(SUMIF('Fator Tráfego (DER-PR)'!$AR$6:$AR$1368,B40&amp;" - "&amp;C40,'Fator Tráfego (DER-PR)'!$AN$6:$AN$1368)/SUMIF('Fator Tráfego (DER-PR)'!$AR$6:$AR$1368,B40&amp;" - "&amp;C40,'Fator Tráfego (DER-PR)'!$J$6:$J$1368),0)</f>
        <v>1349</v>
      </c>
      <c r="F40" s="143">
        <f>SUMIF('Dados Gerais por Municipio'!$L$3:$L$491,'Dados Gerais Resumo Por Área'!B40&amp;" - "&amp;'Dados Gerais Resumo Por Área'!C40,'Dados Gerais por Municipio'!$E$3:$E$491)/COUNTIF('Dados Gerais por Municipio'!$L$3:$L$491,'Dados Gerais Resumo Por Área'!B40&amp;" - "&amp;'Dados Gerais Resumo Por Área'!C40)</f>
        <v>42618.601666666676</v>
      </c>
      <c r="G40" s="131">
        <f>SUMIF('Dados Gerais por Municipio'!$L$3:$L$491,'Dados Gerais Resumo Por Área'!B40&amp;" - "&amp;'Dados Gerais Resumo Por Área'!C40,'Dados Gerais por Municipio'!$F$3:$F$491)/COUNTIF('Dados Gerais por Municipio'!$L$3:$L$491,'Dados Gerais Resumo Por Área'!B40&amp;" - "&amp;'Dados Gerais Resumo Por Área'!C40)</f>
        <v>0.70358333333333334</v>
      </c>
      <c r="H40" s="131">
        <f>SUMIF('Dados Gerais por Municipio'!$L$3:$L$491,'Dados Gerais Resumo Por Área'!B40&amp;" - "&amp;'Dados Gerais Resumo Por Área'!C40,'Dados Gerais por Municipio'!$G$3:$G$491)/COUNTIF('Dados Gerais por Municipio'!$L$3:$L$491,'Dados Gerais Resumo Por Área'!B40&amp;" - "&amp;'Dados Gerais Resumo Por Área'!C40)</f>
        <v>0.7479593569851507</v>
      </c>
    </row>
    <row r="41" spans="1:8" x14ac:dyDescent="0.2">
      <c r="A41" s="126" t="s">
        <v>471</v>
      </c>
      <c r="B41" s="127" t="s">
        <v>417</v>
      </c>
      <c r="C41" s="128" t="s">
        <v>427</v>
      </c>
      <c r="D41" s="129">
        <v>337.97</v>
      </c>
      <c r="E41" s="130">
        <f>ROUNDUP(SUMIF('Fator Tráfego (DER-PR)'!$AR$6:$AR$1368,B41&amp;" - "&amp;C41,'Fator Tráfego (DER-PR)'!$AN$6:$AN$1368)/SUMIF('Fator Tráfego (DER-PR)'!$AR$6:$AR$1368,B41&amp;" - "&amp;C41,'Fator Tráfego (DER-PR)'!$J$6:$J$1368),0)</f>
        <v>1467</v>
      </c>
      <c r="F41" s="143">
        <f>SUMIF('Dados Gerais por Municipio'!$L$3:$L$491,'Dados Gerais Resumo Por Área'!B41&amp;" - "&amp;'Dados Gerais Resumo Por Área'!C41,'Dados Gerais por Municipio'!$E$3:$E$491)/COUNTIF('Dados Gerais por Municipio'!$L$3:$L$491,'Dados Gerais Resumo Por Área'!B41&amp;" - "&amp;'Dados Gerais Resumo Por Área'!C41)</f>
        <v>76952.341666666674</v>
      </c>
      <c r="G41" s="131">
        <f>SUMIF('Dados Gerais por Municipio'!$L$3:$L$491,'Dados Gerais Resumo Por Área'!B41&amp;" - "&amp;'Dados Gerais Resumo Por Área'!C41,'Dados Gerais por Municipio'!$F$3:$F$491)/COUNTIF('Dados Gerais por Municipio'!$L$3:$L$491,'Dados Gerais Resumo Por Área'!B41&amp;" - "&amp;'Dados Gerais Resumo Por Área'!C41)</f>
        <v>0.72291666666666654</v>
      </c>
      <c r="H41" s="131">
        <f>SUMIF('Dados Gerais por Municipio'!$L$3:$L$491,'Dados Gerais Resumo Por Área'!B41&amp;" - "&amp;'Dados Gerais Resumo Por Área'!C41,'Dados Gerais por Municipio'!$G$3:$G$491)/COUNTIF('Dados Gerais por Municipio'!$L$3:$L$491,'Dados Gerais Resumo Por Área'!B41&amp;" - "&amp;'Dados Gerais Resumo Por Área'!C41)</f>
        <v>0.7821935820051733</v>
      </c>
    </row>
    <row r="42" spans="1:8" x14ac:dyDescent="0.2">
      <c r="A42" s="126" t="s">
        <v>472</v>
      </c>
      <c r="B42" s="127" t="s">
        <v>417</v>
      </c>
      <c r="C42" s="128" t="s">
        <v>428</v>
      </c>
      <c r="D42" s="129">
        <v>306.38</v>
      </c>
      <c r="E42" s="130">
        <f>ROUNDUP(SUMIF('Fator Tráfego (DER-PR)'!$AR$6:$AR$1368,B42&amp;" - "&amp;C42,'Fator Tráfego (DER-PR)'!$AN$6:$AN$1368)/SUMIF('Fator Tráfego (DER-PR)'!$AR$6:$AR$1368,B42&amp;" - "&amp;C42,'Fator Tráfego (DER-PR)'!$J$6:$J$1368),0)</f>
        <v>2294</v>
      </c>
      <c r="F42" s="143">
        <f>SUMIF('Dados Gerais por Municipio'!$L$3:$L$491,'Dados Gerais Resumo Por Área'!B42&amp;" - "&amp;'Dados Gerais Resumo Por Área'!C42,'Dados Gerais por Municipio'!$E$3:$E$491)/COUNTIF('Dados Gerais por Municipio'!$L$3:$L$491,'Dados Gerais Resumo Por Área'!B42&amp;" - "&amp;'Dados Gerais Resumo Por Área'!C42)</f>
        <v>66526.306000000011</v>
      </c>
      <c r="G42" s="131">
        <f>SUMIF('Dados Gerais por Municipio'!$L$3:$L$491,'Dados Gerais Resumo Por Área'!B42&amp;" - "&amp;'Dados Gerais Resumo Por Área'!C42,'Dados Gerais por Municipio'!$F$3:$F$491)/COUNTIF('Dados Gerais por Municipio'!$L$3:$L$491,'Dados Gerais Resumo Por Área'!B42&amp;" - "&amp;'Dados Gerais Resumo Por Área'!C42)</f>
        <v>0.69699999999999984</v>
      </c>
      <c r="H42" s="131">
        <f>SUMIF('Dados Gerais por Municipio'!$L$3:$L$491,'Dados Gerais Resumo Por Área'!B42&amp;" - "&amp;'Dados Gerais Resumo Por Área'!C42,'Dados Gerais por Municipio'!$G$3:$G$491)/COUNTIF('Dados Gerais por Municipio'!$L$3:$L$491,'Dados Gerais Resumo Por Área'!B42&amp;" - "&amp;'Dados Gerais Resumo Por Área'!C42)</f>
        <v>0.74367440274035679</v>
      </c>
    </row>
    <row r="43" spans="1:8" x14ac:dyDescent="0.2">
      <c r="D43" s="144">
        <f>SUM(D3:D42)</f>
        <v>10974.179999999998</v>
      </c>
    </row>
    <row r="44" spans="1:8" x14ac:dyDescent="0.2">
      <c r="D44" s="123"/>
    </row>
    <row r="45" spans="1:8" x14ac:dyDescent="0.2">
      <c r="B45" s="155" t="s">
        <v>7928</v>
      </c>
      <c r="C45" s="155"/>
      <c r="D45" s="155"/>
    </row>
    <row r="46" spans="1:8" x14ac:dyDescent="0.2">
      <c r="B46" s="156" t="s">
        <v>7935</v>
      </c>
      <c r="C46" s="156"/>
      <c r="D46" s="156"/>
    </row>
    <row r="47" spans="1:8" x14ac:dyDescent="0.2">
      <c r="B47" s="136" t="s">
        <v>7062</v>
      </c>
      <c r="C47" s="137" t="s">
        <v>7925</v>
      </c>
      <c r="D47" s="137" t="s">
        <v>7926</v>
      </c>
    </row>
    <row r="48" spans="1:8" x14ac:dyDescent="0.2">
      <c r="B48" s="132" t="s">
        <v>416</v>
      </c>
      <c r="C48" s="133">
        <f>SUM(D3:D7)</f>
        <v>1188.92</v>
      </c>
      <c r="D48" s="134">
        <f>C48/$C$53</f>
        <v>0.10833793504389394</v>
      </c>
    </row>
    <row r="49" spans="2:4" x14ac:dyDescent="0.2">
      <c r="B49" s="132" t="s">
        <v>420</v>
      </c>
      <c r="C49" s="133">
        <f>SUM(D8:D14)</f>
        <v>2100.2399999999998</v>
      </c>
      <c r="D49" s="134">
        <f>C49/$C$53</f>
        <v>0.19138013045166014</v>
      </c>
    </row>
    <row r="50" spans="2:4" x14ac:dyDescent="0.2">
      <c r="B50" s="132" t="s">
        <v>419</v>
      </c>
      <c r="C50" s="133">
        <f>SUM(D15:D24)</f>
        <v>2280.77</v>
      </c>
      <c r="D50" s="134">
        <f>C50/$C$53</f>
        <v>0.20783056228346899</v>
      </c>
    </row>
    <row r="51" spans="2:4" x14ac:dyDescent="0.2">
      <c r="B51" s="132" t="s">
        <v>418</v>
      </c>
      <c r="C51" s="133">
        <f>SUM(D25:D34)</f>
        <v>3040.87</v>
      </c>
      <c r="D51" s="134">
        <f>C51/$C$53</f>
        <v>0.2770931404442063</v>
      </c>
    </row>
    <row r="52" spans="2:4" x14ac:dyDescent="0.2">
      <c r="B52" s="132" t="s">
        <v>417</v>
      </c>
      <c r="C52" s="133">
        <f>SUM(D35:D42)</f>
        <v>2363.38</v>
      </c>
      <c r="D52" s="134">
        <f>C52/$C$53</f>
        <v>0.21535823177677058</v>
      </c>
    </row>
    <row r="53" spans="2:4" x14ac:dyDescent="0.2">
      <c r="B53" s="136" t="s">
        <v>7929</v>
      </c>
      <c r="C53" s="135">
        <f>SUM(C48:C52)</f>
        <v>10974.18</v>
      </c>
      <c r="D53" s="136"/>
    </row>
    <row r="54" spans="2:4" x14ac:dyDescent="0.2">
      <c r="B54" s="156" t="s">
        <v>7927</v>
      </c>
      <c r="C54" s="156"/>
      <c r="D54" s="156"/>
    </row>
    <row r="55" spans="2:4" x14ac:dyDescent="0.2">
      <c r="B55" s="136" t="s">
        <v>7062</v>
      </c>
      <c r="C55" s="137" t="s">
        <v>7925</v>
      </c>
      <c r="D55" s="137" t="s">
        <v>7926</v>
      </c>
    </row>
    <row r="56" spans="2:4" x14ac:dyDescent="0.2">
      <c r="B56" s="132" t="s">
        <v>416</v>
      </c>
      <c r="C56" s="133">
        <f>SUM('[1]Adm e Canteiro ADM'!$D$6:$D$10)</f>
        <v>768.65</v>
      </c>
      <c r="D56" s="134">
        <f>C56/$C$61</f>
        <v>7.913783872827608E-2</v>
      </c>
    </row>
    <row r="57" spans="2:4" x14ac:dyDescent="0.2">
      <c r="B57" s="132" t="s">
        <v>420</v>
      </c>
      <c r="C57" s="133">
        <f>SUM('[1]Adm e Canteiro ADM'!$D$11:$D$17)</f>
        <v>1686.6499999999996</v>
      </c>
      <c r="D57" s="134">
        <f t="shared" ref="D57:D60" si="0">C57/$C$61</f>
        <v>0.17365229388024045</v>
      </c>
    </row>
    <row r="58" spans="2:4" x14ac:dyDescent="0.2">
      <c r="B58" s="132" t="s">
        <v>419</v>
      </c>
      <c r="C58" s="133">
        <f>SUM('[1]Adm e Canteiro ADM'!$D$18:$D$27)</f>
        <v>2034.4200000000003</v>
      </c>
      <c r="D58" s="134">
        <f t="shared" si="0"/>
        <v>0.20945762293056586</v>
      </c>
    </row>
    <row r="59" spans="2:4" x14ac:dyDescent="0.2">
      <c r="B59" s="132" t="s">
        <v>418</v>
      </c>
      <c r="C59" s="133">
        <f>SUM('[1]Adm e Canteiro ADM'!$D$28:$D$37)</f>
        <v>2955.81</v>
      </c>
      <c r="D59" s="134">
        <f t="shared" si="0"/>
        <v>0.30432110205090185</v>
      </c>
    </row>
    <row r="60" spans="2:4" x14ac:dyDescent="0.2">
      <c r="B60" s="132" t="s">
        <v>417</v>
      </c>
      <c r="C60" s="133">
        <f>SUM('[1]Adm e Canteiro ADM'!$D$38:$D$45)</f>
        <v>2267.27</v>
      </c>
      <c r="D60" s="134">
        <f t="shared" si="0"/>
        <v>0.23343114241001561</v>
      </c>
    </row>
    <row r="61" spans="2:4" x14ac:dyDescent="0.2">
      <c r="B61" s="136" t="s">
        <v>7929</v>
      </c>
      <c r="C61" s="135">
        <f>SUM(C56:C60)</f>
        <v>9712.8000000000011</v>
      </c>
      <c r="D61" s="136"/>
    </row>
  </sheetData>
  <autoFilter ref="A2:H43" xr:uid="{A7F3EFE4-73F8-4D17-840C-23E74AB6F534}"/>
  <mergeCells count="4">
    <mergeCell ref="B46:D46"/>
    <mergeCell ref="B54:D54"/>
    <mergeCell ref="B45:D45"/>
    <mergeCell ref="A1:H1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CCB7-9841-42A6-8FAE-30CF916404B6}">
  <sheetPr>
    <tabColor theme="4" tint="0.59999389629810485"/>
  </sheetPr>
  <dimension ref="A1:E28"/>
  <sheetViews>
    <sheetView tabSelected="1" zoomScale="115" zoomScaleNormal="115" workbookViewId="0">
      <selection activeCell="E6" sqref="E6"/>
    </sheetView>
  </sheetViews>
  <sheetFormatPr defaultRowHeight="12.75" x14ac:dyDescent="0.2"/>
  <cols>
    <col min="1" max="1" width="9.140625" style="121"/>
    <col min="2" max="2" width="14" style="122" bestFit="1" customWidth="1"/>
    <col min="3" max="3" width="9.140625" style="121"/>
    <col min="4" max="4" width="9.140625" style="122"/>
    <col min="5" max="5" width="18.85546875" style="121" customWidth="1"/>
    <col min="6" max="16384" width="9.140625" style="122"/>
  </cols>
  <sheetData>
    <row r="1" spans="1:5" x14ac:dyDescent="0.2">
      <c r="A1" s="154" t="s">
        <v>7937</v>
      </c>
      <c r="B1" s="154"/>
      <c r="C1" s="154"/>
      <c r="D1" s="154"/>
      <c r="E1" s="154"/>
    </row>
    <row r="2" spans="1:5" ht="72" x14ac:dyDescent="0.2">
      <c r="A2" s="124" t="s">
        <v>7062</v>
      </c>
      <c r="B2" s="125" t="s">
        <v>415</v>
      </c>
      <c r="C2" s="124" t="s">
        <v>7936</v>
      </c>
      <c r="D2" s="125" t="s">
        <v>431</v>
      </c>
      <c r="E2" s="171" t="s">
        <v>7934</v>
      </c>
    </row>
    <row r="3" spans="1:5" ht="18" x14ac:dyDescent="0.2">
      <c r="A3" s="126">
        <v>1</v>
      </c>
      <c r="B3" s="127" t="s">
        <v>416</v>
      </c>
      <c r="C3" s="128">
        <v>5</v>
      </c>
      <c r="D3" s="129">
        <f>SUM('Dados Gerais Resumo Por Área'!D3:D7)</f>
        <v>1188.92</v>
      </c>
      <c r="E3" s="172">
        <f>ROUNDUP(SUMIF('Fator Tráfego (DER-PR)'!$AQ$6:$AQ$1368,B3,'Fator Tráfego (DER-PR)'!$AN$6:$AN$1368)/SUMIF('Fator Tráfego (DER-PR)'!$AQ$6:$AQ$1368,B3,'Fator Tráfego (DER-PR)'!$J$6:$J$1368),0)</f>
        <v>4059</v>
      </c>
    </row>
    <row r="4" spans="1:5" ht="18" x14ac:dyDescent="0.2">
      <c r="A4" s="126">
        <v>2</v>
      </c>
      <c r="B4" s="127" t="s">
        <v>420</v>
      </c>
      <c r="C4" s="128">
        <v>7</v>
      </c>
      <c r="D4" s="129">
        <f>SUM('Dados Gerais Resumo Por Área'!D8:D14)</f>
        <v>2100.2399999999998</v>
      </c>
      <c r="E4" s="172">
        <f>ROUNDUP(SUMIF('Fator Tráfego (DER-PR)'!$AQ$6:$AQ$1368,B4,'Fator Tráfego (DER-PR)'!$AN$6:$AN$1368)/SUMIF('Fator Tráfego (DER-PR)'!$AQ$6:$AQ$1368,B4,'Fator Tráfego (DER-PR)'!$J$6:$J$1368),0)</f>
        <v>2544</v>
      </c>
    </row>
    <row r="5" spans="1:5" ht="18" x14ac:dyDescent="0.2">
      <c r="A5" s="126">
        <v>3</v>
      </c>
      <c r="B5" s="127" t="s">
        <v>419</v>
      </c>
      <c r="C5" s="128">
        <v>10</v>
      </c>
      <c r="D5" s="129">
        <f>SUM('Dados Gerais Resumo Por Área'!D15:D24)</f>
        <v>2280.77</v>
      </c>
      <c r="E5" s="172">
        <f>ROUNDUP(SUMIF('Fator Tráfego (DER-PR)'!$AQ$6:$AQ$1368,B5,'Fator Tráfego (DER-PR)'!$AN$6:$AN$1368)/SUMIF('Fator Tráfego (DER-PR)'!$AQ$6:$AQ$1368,B5,'Fator Tráfego (DER-PR)'!$J$6:$J$1368),0)</f>
        <v>2183</v>
      </c>
    </row>
    <row r="6" spans="1:5" ht="18" x14ac:dyDescent="0.2">
      <c r="A6" s="126">
        <v>4</v>
      </c>
      <c r="B6" s="127" t="s">
        <v>418</v>
      </c>
      <c r="C6" s="128">
        <v>10</v>
      </c>
      <c r="D6" s="129">
        <f>SUM('Dados Gerais Resumo Por Área'!D25:D34)</f>
        <v>3040.87</v>
      </c>
      <c r="E6" s="172">
        <f>ROUNDUP(SUMIF('Fator Tráfego (DER-PR)'!$AQ$6:$AQ$1368,B6,'Fator Tráfego (DER-PR)'!$AN$6:$AN$1368)/SUMIF('Fator Tráfego (DER-PR)'!$AQ$6:$AQ$1368,B6,'Fator Tráfego (DER-PR)'!$J$6:$J$1368),0)</f>
        <v>1744</v>
      </c>
    </row>
    <row r="7" spans="1:5" ht="18" x14ac:dyDescent="0.2">
      <c r="A7" s="126">
        <v>5</v>
      </c>
      <c r="B7" s="127" t="s">
        <v>417</v>
      </c>
      <c r="C7" s="128">
        <v>8</v>
      </c>
      <c r="D7" s="129">
        <f>SUM('Dados Gerais Resumo Por Área'!D35:D42)</f>
        <v>2363.38</v>
      </c>
      <c r="E7" s="172">
        <f>ROUNDUP(SUMIF('Fator Tráfego (DER-PR)'!$AQ$6:$AQ$1368,B7,'Fator Tráfego (DER-PR)'!$AN$6:$AN$1368)/SUMIF('Fator Tráfego (DER-PR)'!$AQ$6:$AQ$1368,B7,'Fator Tráfego (DER-PR)'!$J$6:$J$1368),0)</f>
        <v>1916</v>
      </c>
    </row>
    <row r="8" spans="1:5" x14ac:dyDescent="0.2">
      <c r="C8" s="144">
        <f>SUM(C3:C7)</f>
        <v>40</v>
      </c>
      <c r="D8" s="144">
        <f>SUM(D3:D7)</f>
        <v>10974.18</v>
      </c>
    </row>
    <row r="9" spans="1:5" x14ac:dyDescent="0.2">
      <c r="D9" s="123"/>
    </row>
    <row r="10" spans="1:5" x14ac:dyDescent="0.2">
      <c r="A10" s="153" t="s">
        <v>7938</v>
      </c>
      <c r="D10" s="123"/>
    </row>
    <row r="11" spans="1:5" x14ac:dyDescent="0.2">
      <c r="D11" s="123"/>
    </row>
    <row r="12" spans="1:5" x14ac:dyDescent="0.2">
      <c r="B12" s="155" t="s">
        <v>7928</v>
      </c>
      <c r="C12" s="155"/>
      <c r="D12" s="155"/>
    </row>
    <row r="13" spans="1:5" x14ac:dyDescent="0.2">
      <c r="B13" s="156" t="s">
        <v>7935</v>
      </c>
      <c r="C13" s="156"/>
      <c r="D13" s="156"/>
    </row>
    <row r="14" spans="1:5" x14ac:dyDescent="0.2">
      <c r="B14" s="136" t="s">
        <v>7062</v>
      </c>
      <c r="C14" s="137" t="s">
        <v>7925</v>
      </c>
      <c r="D14" s="137" t="s">
        <v>7926</v>
      </c>
    </row>
    <row r="15" spans="1:5" x14ac:dyDescent="0.2">
      <c r="B15" s="132" t="s">
        <v>416</v>
      </c>
      <c r="C15" s="133">
        <f>SUM(D3:D3)</f>
        <v>1188.92</v>
      </c>
      <c r="D15" s="134">
        <f>C15/$C$20</f>
        <v>0.10833793504389394</v>
      </c>
    </row>
    <row r="16" spans="1:5" s="121" customFormat="1" x14ac:dyDescent="0.2">
      <c r="B16" s="132" t="s">
        <v>420</v>
      </c>
      <c r="C16" s="133">
        <f>SUM(D4:D4)</f>
        <v>2100.2399999999998</v>
      </c>
      <c r="D16" s="134">
        <f>C16/$C$20</f>
        <v>0.19138013045166014</v>
      </c>
    </row>
    <row r="17" spans="2:4" s="121" customFormat="1" x14ac:dyDescent="0.2">
      <c r="B17" s="132" t="s">
        <v>419</v>
      </c>
      <c r="C17" s="133">
        <f>SUM(D5:D5)</f>
        <v>2280.77</v>
      </c>
      <c r="D17" s="134">
        <f>C17/$C$20</f>
        <v>0.20783056228346899</v>
      </c>
    </row>
    <row r="18" spans="2:4" s="121" customFormat="1" x14ac:dyDescent="0.2">
      <c r="B18" s="132" t="s">
        <v>418</v>
      </c>
      <c r="C18" s="133">
        <f>SUM(D6:D6)</f>
        <v>3040.87</v>
      </c>
      <c r="D18" s="134">
        <f>C18/$C$20</f>
        <v>0.2770931404442063</v>
      </c>
    </row>
    <row r="19" spans="2:4" s="121" customFormat="1" x14ac:dyDescent="0.2">
      <c r="B19" s="132" t="s">
        <v>417</v>
      </c>
      <c r="C19" s="133">
        <f>SUM(D7:D7)</f>
        <v>2363.38</v>
      </c>
      <c r="D19" s="134">
        <f>C19/$C$20</f>
        <v>0.21535823177677058</v>
      </c>
    </row>
    <row r="20" spans="2:4" s="121" customFormat="1" x14ac:dyDescent="0.2">
      <c r="B20" s="136" t="s">
        <v>7929</v>
      </c>
      <c r="C20" s="135">
        <f>SUM(C15:C19)</f>
        <v>10974.18</v>
      </c>
      <c r="D20" s="136"/>
    </row>
    <row r="21" spans="2:4" s="121" customFormat="1" x14ac:dyDescent="0.2">
      <c r="B21" s="156" t="s">
        <v>7927</v>
      </c>
      <c r="C21" s="156"/>
      <c r="D21" s="156"/>
    </row>
    <row r="22" spans="2:4" s="121" customFormat="1" x14ac:dyDescent="0.2">
      <c r="B22" s="136" t="s">
        <v>7062</v>
      </c>
      <c r="C22" s="137" t="s">
        <v>7925</v>
      </c>
      <c r="D22" s="137" t="s">
        <v>7926</v>
      </c>
    </row>
    <row r="23" spans="2:4" s="121" customFormat="1" x14ac:dyDescent="0.2">
      <c r="B23" s="132" t="s">
        <v>416</v>
      </c>
      <c r="C23" s="133">
        <f>SUM('[1]Adm e Canteiro ADM'!$D$6:$D$10)</f>
        <v>768.65</v>
      </c>
      <c r="D23" s="134">
        <f>C23/$C$28</f>
        <v>7.913783872827608E-2</v>
      </c>
    </row>
    <row r="24" spans="2:4" s="121" customFormat="1" x14ac:dyDescent="0.2">
      <c r="B24" s="132" t="s">
        <v>420</v>
      </c>
      <c r="C24" s="133">
        <f>SUM('[1]Adm e Canteiro ADM'!$D$11:$D$17)</f>
        <v>1686.6499999999996</v>
      </c>
      <c r="D24" s="134">
        <f t="shared" ref="D24:D27" si="0">C24/$C$28</f>
        <v>0.17365229388024045</v>
      </c>
    </row>
    <row r="25" spans="2:4" s="121" customFormat="1" x14ac:dyDescent="0.2">
      <c r="B25" s="132" t="s">
        <v>419</v>
      </c>
      <c r="C25" s="133">
        <f>SUM('[1]Adm e Canteiro ADM'!$D$18:$D$27)</f>
        <v>2034.4200000000003</v>
      </c>
      <c r="D25" s="134">
        <f t="shared" si="0"/>
        <v>0.20945762293056586</v>
      </c>
    </row>
    <row r="26" spans="2:4" s="121" customFormat="1" x14ac:dyDescent="0.2">
      <c r="B26" s="132" t="s">
        <v>418</v>
      </c>
      <c r="C26" s="133">
        <f>SUM('[1]Adm e Canteiro ADM'!$D$28:$D$37)</f>
        <v>2955.81</v>
      </c>
      <c r="D26" s="134">
        <f t="shared" si="0"/>
        <v>0.30432110205090185</v>
      </c>
    </row>
    <row r="27" spans="2:4" s="121" customFormat="1" x14ac:dyDescent="0.2">
      <c r="B27" s="132" t="s">
        <v>417</v>
      </c>
      <c r="C27" s="133">
        <f>SUM('[1]Adm e Canteiro ADM'!$D$38:$D$45)</f>
        <v>2267.27</v>
      </c>
      <c r="D27" s="134">
        <f t="shared" si="0"/>
        <v>0.23343114241001561</v>
      </c>
    </row>
    <row r="28" spans="2:4" s="121" customFormat="1" x14ac:dyDescent="0.2">
      <c r="B28" s="136" t="s">
        <v>7929</v>
      </c>
      <c r="C28" s="135">
        <f>SUM(C23:C27)</f>
        <v>9712.8000000000011</v>
      </c>
      <c r="D28" s="136"/>
    </row>
  </sheetData>
  <autoFilter ref="A2:E8" xr:uid="{A7F3EFE4-73F8-4D17-840C-23E74AB6F534}"/>
  <mergeCells count="4">
    <mergeCell ref="A1:E1"/>
    <mergeCell ref="B12:D12"/>
    <mergeCell ref="B13:D13"/>
    <mergeCell ref="B21:D2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E369-3A6B-416F-8F25-ED7A03E0468A}">
  <dimension ref="A1:L495"/>
  <sheetViews>
    <sheetView workbookViewId="0">
      <selection activeCell="G11" sqref="G11"/>
    </sheetView>
  </sheetViews>
  <sheetFormatPr defaultRowHeight="12.75" x14ac:dyDescent="0.2"/>
  <cols>
    <col min="1" max="1" width="9.140625" style="1"/>
    <col min="2" max="2" width="14" style="1" bestFit="1" customWidth="1"/>
    <col min="3" max="3" width="9.140625" style="1"/>
    <col min="4" max="4" width="26" style="1" bestFit="1" customWidth="1"/>
    <col min="5" max="5" width="26" style="1" customWidth="1"/>
    <col min="6" max="6" width="15.85546875" style="1" bestFit="1" customWidth="1"/>
    <col min="7" max="7" width="15.28515625" style="1" bestFit="1" customWidth="1"/>
    <col min="8" max="8" width="16.140625" style="1" bestFit="1" customWidth="1"/>
    <col min="9" max="9" width="19.28515625" style="1" bestFit="1" customWidth="1"/>
    <col min="10" max="10" width="16.140625" style="1" bestFit="1" customWidth="1"/>
    <col min="11" max="11" width="9.140625" style="1"/>
    <col min="12" max="12" width="19.140625" style="1" bestFit="1" customWidth="1"/>
    <col min="13" max="232" width="9.140625" style="1"/>
    <col min="233" max="233" width="21.7109375" style="1" bestFit="1" customWidth="1"/>
    <col min="234" max="488" width="9.140625" style="1"/>
    <col min="489" max="489" width="21.7109375" style="1" bestFit="1" customWidth="1"/>
    <col min="490" max="744" width="9.140625" style="1"/>
    <col min="745" max="745" width="21.7109375" style="1" bestFit="1" customWidth="1"/>
    <col min="746" max="1000" width="9.140625" style="1"/>
    <col min="1001" max="1001" width="21.7109375" style="1" bestFit="1" customWidth="1"/>
    <col min="1002" max="1256" width="9.140625" style="1"/>
    <col min="1257" max="1257" width="21.7109375" style="1" bestFit="1" customWidth="1"/>
    <col min="1258" max="1512" width="9.140625" style="1"/>
    <col min="1513" max="1513" width="21.7109375" style="1" bestFit="1" customWidth="1"/>
    <col min="1514" max="1768" width="9.140625" style="1"/>
    <col min="1769" max="1769" width="21.7109375" style="1" bestFit="1" customWidth="1"/>
    <col min="1770" max="2024" width="9.140625" style="1"/>
    <col min="2025" max="2025" width="21.7109375" style="1" bestFit="1" customWidth="1"/>
    <col min="2026" max="2280" width="9.140625" style="1"/>
    <col min="2281" max="2281" width="21.7109375" style="1" bestFit="1" customWidth="1"/>
    <col min="2282" max="2536" width="9.140625" style="1"/>
    <col min="2537" max="2537" width="21.7109375" style="1" bestFit="1" customWidth="1"/>
    <col min="2538" max="2792" width="9.140625" style="1"/>
    <col min="2793" max="2793" width="21.7109375" style="1" bestFit="1" customWidth="1"/>
    <col min="2794" max="3048" width="9.140625" style="1"/>
    <col min="3049" max="3049" width="21.7109375" style="1" bestFit="1" customWidth="1"/>
    <col min="3050" max="3304" width="9.140625" style="1"/>
    <col min="3305" max="3305" width="21.7109375" style="1" bestFit="1" customWidth="1"/>
    <col min="3306" max="3560" width="9.140625" style="1"/>
    <col min="3561" max="3561" width="21.7109375" style="1" bestFit="1" customWidth="1"/>
    <col min="3562" max="3816" width="9.140625" style="1"/>
    <col min="3817" max="3817" width="21.7109375" style="1" bestFit="1" customWidth="1"/>
    <col min="3818" max="4072" width="9.140625" style="1"/>
    <col min="4073" max="4073" width="21.7109375" style="1" bestFit="1" customWidth="1"/>
    <col min="4074" max="4328" width="9.140625" style="1"/>
    <col min="4329" max="4329" width="21.7109375" style="1" bestFit="1" customWidth="1"/>
    <col min="4330" max="4584" width="9.140625" style="1"/>
    <col min="4585" max="4585" width="21.7109375" style="1" bestFit="1" customWidth="1"/>
    <col min="4586" max="4840" width="9.140625" style="1"/>
    <col min="4841" max="4841" width="21.7109375" style="1" bestFit="1" customWidth="1"/>
    <col min="4842" max="5096" width="9.140625" style="1"/>
    <col min="5097" max="5097" width="21.7109375" style="1" bestFit="1" customWidth="1"/>
    <col min="5098" max="5352" width="9.140625" style="1"/>
    <col min="5353" max="5353" width="21.7109375" style="1" bestFit="1" customWidth="1"/>
    <col min="5354" max="5608" width="9.140625" style="1"/>
    <col min="5609" max="5609" width="21.7109375" style="1" bestFit="1" customWidth="1"/>
    <col min="5610" max="5864" width="9.140625" style="1"/>
    <col min="5865" max="5865" width="21.7109375" style="1" bestFit="1" customWidth="1"/>
    <col min="5866" max="6120" width="9.140625" style="1"/>
    <col min="6121" max="6121" width="21.7109375" style="1" bestFit="1" customWidth="1"/>
    <col min="6122" max="6376" width="9.140625" style="1"/>
    <col min="6377" max="6377" width="21.7109375" style="1" bestFit="1" customWidth="1"/>
    <col min="6378" max="6632" width="9.140625" style="1"/>
    <col min="6633" max="6633" width="21.7109375" style="1" bestFit="1" customWidth="1"/>
    <col min="6634" max="6888" width="9.140625" style="1"/>
    <col min="6889" max="6889" width="21.7109375" style="1" bestFit="1" customWidth="1"/>
    <col min="6890" max="7144" width="9.140625" style="1"/>
    <col min="7145" max="7145" width="21.7109375" style="1" bestFit="1" customWidth="1"/>
    <col min="7146" max="7400" width="9.140625" style="1"/>
    <col min="7401" max="7401" width="21.7109375" style="1" bestFit="1" customWidth="1"/>
    <col min="7402" max="7656" width="9.140625" style="1"/>
    <col min="7657" max="7657" width="21.7109375" style="1" bestFit="1" customWidth="1"/>
    <col min="7658" max="7912" width="9.140625" style="1"/>
    <col min="7913" max="7913" width="21.7109375" style="1" bestFit="1" customWidth="1"/>
    <col min="7914" max="8168" width="9.140625" style="1"/>
    <col min="8169" max="8169" width="21.7109375" style="1" bestFit="1" customWidth="1"/>
    <col min="8170" max="8424" width="9.140625" style="1"/>
    <col min="8425" max="8425" width="21.7109375" style="1" bestFit="1" customWidth="1"/>
    <col min="8426" max="8680" width="9.140625" style="1"/>
    <col min="8681" max="8681" width="21.7109375" style="1" bestFit="1" customWidth="1"/>
    <col min="8682" max="8936" width="9.140625" style="1"/>
    <col min="8937" max="8937" width="21.7109375" style="1" bestFit="1" customWidth="1"/>
    <col min="8938" max="9192" width="9.140625" style="1"/>
    <col min="9193" max="9193" width="21.7109375" style="1" bestFit="1" customWidth="1"/>
    <col min="9194" max="9448" width="9.140625" style="1"/>
    <col min="9449" max="9449" width="21.7109375" style="1" bestFit="1" customWidth="1"/>
    <col min="9450" max="9704" width="9.140625" style="1"/>
    <col min="9705" max="9705" width="21.7109375" style="1" bestFit="1" customWidth="1"/>
    <col min="9706" max="9960" width="9.140625" style="1"/>
    <col min="9961" max="9961" width="21.7109375" style="1" bestFit="1" customWidth="1"/>
    <col min="9962" max="10216" width="9.140625" style="1"/>
    <col min="10217" max="10217" width="21.7109375" style="1" bestFit="1" customWidth="1"/>
    <col min="10218" max="10472" width="9.140625" style="1"/>
    <col min="10473" max="10473" width="21.7109375" style="1" bestFit="1" customWidth="1"/>
    <col min="10474" max="10728" width="9.140625" style="1"/>
    <col min="10729" max="10729" width="21.7109375" style="1" bestFit="1" customWidth="1"/>
    <col min="10730" max="10984" width="9.140625" style="1"/>
    <col min="10985" max="10985" width="21.7109375" style="1" bestFit="1" customWidth="1"/>
    <col min="10986" max="11240" width="9.140625" style="1"/>
    <col min="11241" max="11241" width="21.7109375" style="1" bestFit="1" customWidth="1"/>
    <col min="11242" max="11496" width="9.140625" style="1"/>
    <col min="11497" max="11497" width="21.7109375" style="1" bestFit="1" customWidth="1"/>
    <col min="11498" max="11752" width="9.140625" style="1"/>
    <col min="11753" max="11753" width="21.7109375" style="1" bestFit="1" customWidth="1"/>
    <col min="11754" max="12008" width="9.140625" style="1"/>
    <col min="12009" max="12009" width="21.7109375" style="1" bestFit="1" customWidth="1"/>
    <col min="12010" max="12264" width="9.140625" style="1"/>
    <col min="12265" max="12265" width="21.7109375" style="1" bestFit="1" customWidth="1"/>
    <col min="12266" max="12520" width="9.140625" style="1"/>
    <col min="12521" max="12521" width="21.7109375" style="1" bestFit="1" customWidth="1"/>
    <col min="12522" max="12776" width="9.140625" style="1"/>
    <col min="12777" max="12777" width="21.7109375" style="1" bestFit="1" customWidth="1"/>
    <col min="12778" max="13032" width="9.140625" style="1"/>
    <col min="13033" max="13033" width="21.7109375" style="1" bestFit="1" customWidth="1"/>
    <col min="13034" max="13288" width="9.140625" style="1"/>
    <col min="13289" max="13289" width="21.7109375" style="1" bestFit="1" customWidth="1"/>
    <col min="13290" max="13544" width="9.140625" style="1"/>
    <col min="13545" max="13545" width="21.7109375" style="1" bestFit="1" customWidth="1"/>
    <col min="13546" max="13800" width="9.140625" style="1"/>
    <col min="13801" max="13801" width="21.7109375" style="1" bestFit="1" customWidth="1"/>
    <col min="13802" max="14056" width="9.140625" style="1"/>
    <col min="14057" max="14057" width="21.7109375" style="1" bestFit="1" customWidth="1"/>
    <col min="14058" max="14312" width="9.140625" style="1"/>
    <col min="14313" max="14313" width="21.7109375" style="1" bestFit="1" customWidth="1"/>
    <col min="14314" max="14568" width="9.140625" style="1"/>
    <col min="14569" max="14569" width="21.7109375" style="1" bestFit="1" customWidth="1"/>
    <col min="14570" max="14824" width="9.140625" style="1"/>
    <col min="14825" max="14825" width="21.7109375" style="1" bestFit="1" customWidth="1"/>
    <col min="14826" max="15080" width="9.140625" style="1"/>
    <col min="15081" max="15081" width="21.7109375" style="1" bestFit="1" customWidth="1"/>
    <col min="15082" max="15336" width="9.140625" style="1"/>
    <col min="15337" max="15337" width="21.7109375" style="1" bestFit="1" customWidth="1"/>
    <col min="15338" max="15592" width="9.140625" style="1"/>
    <col min="15593" max="15593" width="21.7109375" style="1" bestFit="1" customWidth="1"/>
    <col min="15594" max="15848" width="9.140625" style="1"/>
    <col min="15849" max="15849" width="21.7109375" style="1" bestFit="1" customWidth="1"/>
    <col min="15850" max="16104" width="9.140625" style="1"/>
    <col min="16105" max="16105" width="21.7109375" style="1" bestFit="1" customWidth="1"/>
    <col min="16106" max="16384" width="9.140625" style="1"/>
  </cols>
  <sheetData>
    <row r="1" spans="1:12" x14ac:dyDescent="0.2">
      <c r="A1" s="151" t="s">
        <v>0</v>
      </c>
      <c r="B1" s="151" t="s">
        <v>473</v>
      </c>
      <c r="C1" s="151" t="s">
        <v>432</v>
      </c>
      <c r="D1" s="151" t="s">
        <v>1</v>
      </c>
      <c r="E1" s="158" t="s">
        <v>7923</v>
      </c>
      <c r="F1" s="159"/>
      <c r="G1" s="157" t="s">
        <v>7932</v>
      </c>
      <c r="H1" s="157"/>
      <c r="I1" s="157"/>
      <c r="J1" s="157"/>
    </row>
    <row r="2" spans="1:12" x14ac:dyDescent="0.2">
      <c r="A2" s="152"/>
      <c r="B2" s="152"/>
      <c r="C2" s="152"/>
      <c r="D2" s="152"/>
      <c r="E2" s="141" t="s">
        <v>7907</v>
      </c>
      <c r="F2" s="93" t="s">
        <v>7922</v>
      </c>
      <c r="G2" s="91" t="s">
        <v>477</v>
      </c>
      <c r="H2" s="2" t="s">
        <v>474</v>
      </c>
      <c r="I2" s="2" t="s">
        <v>475</v>
      </c>
      <c r="J2" s="2" t="s">
        <v>476</v>
      </c>
    </row>
    <row r="3" spans="1:12" x14ac:dyDescent="0.2">
      <c r="A3" s="3" t="s">
        <v>2</v>
      </c>
      <c r="B3" s="146" t="s">
        <v>416</v>
      </c>
      <c r="C3" s="145" t="s">
        <v>421</v>
      </c>
      <c r="D3" s="4" t="s">
        <v>3</v>
      </c>
      <c r="E3" s="142">
        <f>VLOOKUP(D3,'IDHM (IBGE2022)'!$A$4:$N$402,14,FALSE)</f>
        <v>55368.68</v>
      </c>
      <c r="F3" s="90">
        <f>VLOOKUP(D3,'IDHM (IBGE2022)'!$A$4:$J$402,10,FALSE)</f>
        <v>0.68700000000000006</v>
      </c>
      <c r="G3" s="92">
        <f>AVERAGE(H3:J3)</f>
        <v>0.64103441424407925</v>
      </c>
      <c r="H3" s="9">
        <f>VLOOKUP(D3,'IPDM_renda  (IPARDES-PR)'!$A$4:$N$420,14,FALSE)</f>
        <v>0.47713552808848114</v>
      </c>
      <c r="I3" s="9">
        <f>VLOOKUP(D3,'IPDM_educação  (IPARDES-PR)'!$A$4:$N$420,14,FALSE)</f>
        <v>0.73349154373481018</v>
      </c>
      <c r="J3" s="9">
        <f>VLOOKUP(D3,'IPDM_saúde   (IPARDES-PR)'!$A$4:$N$466,14,FALSE)</f>
        <v>0.71247617090894622</v>
      </c>
      <c r="L3" s="10" t="str">
        <f>B3&amp;" - "&amp;C3</f>
        <v>Leste - A01</v>
      </c>
    </row>
    <row r="4" spans="1:12" x14ac:dyDescent="0.2">
      <c r="A4" s="3" t="s">
        <v>2</v>
      </c>
      <c r="B4" s="146" t="s">
        <v>416</v>
      </c>
      <c r="C4" s="145" t="s">
        <v>421</v>
      </c>
      <c r="D4" s="3" t="s">
        <v>396</v>
      </c>
      <c r="E4" s="142">
        <f>VLOOKUP(D4,'IDHM (IBGE2022)'!$A$4:$N$402,14,FALSE)</f>
        <v>60047.41</v>
      </c>
      <c r="F4" s="90">
        <f>VLOOKUP(D4,'IDHM (IBGE2022)'!$A$4:$J$402,10,FALSE)</f>
        <v>0.71799999999999997</v>
      </c>
      <c r="G4" s="92">
        <f>AVERAGE(H4:J4)</f>
        <v>0.72599707402557578</v>
      </c>
      <c r="H4" s="9">
        <f>VLOOKUP(D4,'IPDM_renda  (IPARDES-PR)'!$A$4:$N$420,14,FALSE)</f>
        <v>0.55938369819933531</v>
      </c>
      <c r="I4" s="9">
        <f>VLOOKUP(D4,'IPDM_educação  (IPARDES-PR)'!$A$4:$N$420,14,FALSE)</f>
        <v>0.89483029616523924</v>
      </c>
      <c r="J4" s="9">
        <f>VLOOKUP(D4,'IPDM_saúde   (IPARDES-PR)'!$A$4:$N$466,14,FALSE)</f>
        <v>0.72377722771215269</v>
      </c>
      <c r="L4" s="10" t="str">
        <f t="shared" ref="L4:L67" si="0">B4&amp;" - "&amp;C4</f>
        <v>Leste - A01</v>
      </c>
    </row>
    <row r="5" spans="1:12" x14ac:dyDescent="0.2">
      <c r="A5" s="3" t="s">
        <v>2</v>
      </c>
      <c r="B5" s="146" t="s">
        <v>416</v>
      </c>
      <c r="C5" s="145" t="s">
        <v>421</v>
      </c>
      <c r="D5" s="3" t="s">
        <v>397</v>
      </c>
      <c r="E5" s="142">
        <f>VLOOKUP(D5,'IDHM (IBGE2022)'!$A$4:$N$402,14,FALSE)</f>
        <v>19660.96</v>
      </c>
      <c r="F5" s="90">
        <f>VLOOKUP(D5,'IDHM (IBGE2022)'!$A$4:$J$402,10,FALSE)</f>
        <v>0.58699999999999997</v>
      </c>
      <c r="G5" s="92">
        <f t="shared" ref="G5:G68" si="1">AVERAGE(H5:J5)</f>
        <v>0.57223014566624064</v>
      </c>
      <c r="H5" s="9">
        <f>VLOOKUP(D5,'IPDM_renda  (IPARDES-PR)'!$A$4:$N$420,14,FALSE)</f>
        <v>0.28092967770807792</v>
      </c>
      <c r="I5" s="9">
        <f>VLOOKUP(D5,'IPDM_educação  (IPARDES-PR)'!$A$4:$N$420,14,FALSE)</f>
        <v>0.65578527889855653</v>
      </c>
      <c r="J5" s="9">
        <f>VLOOKUP(D5,'IPDM_saúde   (IPARDES-PR)'!$A$4:$N$466,14,FALSE)</f>
        <v>0.77997548039208764</v>
      </c>
      <c r="L5" s="10" t="str">
        <f t="shared" si="0"/>
        <v>Leste - A01</v>
      </c>
    </row>
    <row r="6" spans="1:12" x14ac:dyDescent="0.2">
      <c r="A6" s="3" t="s">
        <v>2</v>
      </c>
      <c r="B6" s="146" t="s">
        <v>416</v>
      </c>
      <c r="C6" s="145" t="s">
        <v>421</v>
      </c>
      <c r="D6" s="3" t="s">
        <v>398</v>
      </c>
      <c r="E6" s="142">
        <f>VLOOKUP(D6,'IDHM (IBGE2022)'!$A$4:$N$402,14,FALSE)</f>
        <v>29027.37</v>
      </c>
      <c r="F6" s="90">
        <f>VLOOKUP(D6,'IDHM (IBGE2022)'!$A$4:$J$402,10,FALSE)</f>
        <v>0.71699999999999997</v>
      </c>
      <c r="G6" s="92">
        <f t="shared" si="1"/>
        <v>0.69331455931280195</v>
      </c>
      <c r="H6" s="9">
        <f>VLOOKUP(D6,'IPDM_renda  (IPARDES-PR)'!$A$4:$N$420,14,FALSE)</f>
        <v>0.474043570141916</v>
      </c>
      <c r="I6" s="9">
        <f>VLOOKUP(D6,'IPDM_educação  (IPARDES-PR)'!$A$4:$N$420,14,FALSE)</f>
        <v>0.8730105165396288</v>
      </c>
      <c r="J6" s="9">
        <f>VLOOKUP(D6,'IPDM_saúde   (IPARDES-PR)'!$A$4:$N$466,14,FALSE)</f>
        <v>0.73288959125686104</v>
      </c>
      <c r="L6" s="10" t="str">
        <f t="shared" si="0"/>
        <v>Leste - A01</v>
      </c>
    </row>
    <row r="7" spans="1:12" x14ac:dyDescent="0.2">
      <c r="A7" s="3" t="s">
        <v>2</v>
      </c>
      <c r="B7" s="146" t="s">
        <v>416</v>
      </c>
      <c r="C7" s="145" t="s">
        <v>421</v>
      </c>
      <c r="D7" s="3" t="s">
        <v>399</v>
      </c>
      <c r="E7" s="142">
        <f>VLOOKUP(D7,'IDHM (IBGE2022)'!$A$4:$N$402,14,FALSE)</f>
        <v>29246.91</v>
      </c>
      <c r="F7" s="90">
        <f>VLOOKUP(D7,'IDHM (IBGE2022)'!$A$4:$J$402,10,FALSE)</f>
        <v>0.74299999999999999</v>
      </c>
      <c r="G7" s="92">
        <f t="shared" si="1"/>
        <v>0.66679243798824606</v>
      </c>
      <c r="H7" s="9">
        <f>VLOOKUP(D7,'IPDM_renda  (IPARDES-PR)'!$A$4:$N$420,14,FALSE)</f>
        <v>0.45236685026724566</v>
      </c>
      <c r="I7" s="9">
        <f>VLOOKUP(D7,'IPDM_educação  (IPARDES-PR)'!$A$4:$N$420,14,FALSE)</f>
        <v>0.92436497239196047</v>
      </c>
      <c r="J7" s="9">
        <f>VLOOKUP(D7,'IPDM_saúde   (IPARDES-PR)'!$A$4:$N$466,14,FALSE)</f>
        <v>0.62364549130553193</v>
      </c>
      <c r="L7" s="10" t="str">
        <f t="shared" si="0"/>
        <v>Leste - A01</v>
      </c>
    </row>
    <row r="8" spans="1:12" x14ac:dyDescent="0.2">
      <c r="A8" s="3" t="s">
        <v>2</v>
      </c>
      <c r="B8" s="146" t="s">
        <v>416</v>
      </c>
      <c r="C8" s="145" t="s">
        <v>421</v>
      </c>
      <c r="D8" s="3" t="s">
        <v>400</v>
      </c>
      <c r="E8" s="142">
        <f>VLOOKUP(D8,'IDHM (IBGE2022)'!$A$4:$N$402,14,FALSE)</f>
        <v>29204.87</v>
      </c>
      <c r="F8" s="90">
        <f>VLOOKUP(D8,'IDHM (IBGE2022)'!$A$4:$J$402,10,FALSE)</f>
        <v>0.68600000000000005</v>
      </c>
      <c r="G8" s="92">
        <f t="shared" si="1"/>
        <v>0.60184614185115304</v>
      </c>
      <c r="H8" s="9">
        <f>VLOOKUP(D8,'IPDM_renda  (IPARDES-PR)'!$A$4:$N$420,14,FALSE)</f>
        <v>0.45956605433109249</v>
      </c>
      <c r="I8" s="9">
        <f>VLOOKUP(D8,'IPDM_educação  (IPARDES-PR)'!$A$4:$N$420,14,FALSE)</f>
        <v>0.77996941573353873</v>
      </c>
      <c r="J8" s="9">
        <f>VLOOKUP(D8,'IPDM_saúde   (IPARDES-PR)'!$A$4:$N$466,14,FALSE)</f>
        <v>0.56600295548882762</v>
      </c>
      <c r="L8" s="10" t="str">
        <f t="shared" si="0"/>
        <v>Leste - A01</v>
      </c>
    </row>
    <row r="9" spans="1:12" x14ac:dyDescent="0.2">
      <c r="A9" s="3" t="s">
        <v>2</v>
      </c>
      <c r="B9" s="146" t="s">
        <v>416</v>
      </c>
      <c r="C9" s="145" t="s">
        <v>421</v>
      </c>
      <c r="D9" s="3" t="s">
        <v>401</v>
      </c>
      <c r="E9" s="142">
        <f>VLOOKUP(D9,'IDHM (IBGE2022)'!$A$4:$N$402,14,FALSE)</f>
        <v>26613.26</v>
      </c>
      <c r="F9" s="90">
        <f>VLOOKUP(D9,'IDHM (IBGE2022)'!$A$4:$J$402,10,FALSE)</f>
        <v>0.73799999999999999</v>
      </c>
      <c r="G9" s="92">
        <f t="shared" si="1"/>
        <v>0.62137823521997515</v>
      </c>
      <c r="H9" s="9">
        <f>VLOOKUP(D9,'IPDM_renda  (IPARDES-PR)'!$A$4:$N$420,14,FALSE)</f>
        <v>0.44671276445097707</v>
      </c>
      <c r="I9" s="9">
        <f>VLOOKUP(D9,'IPDM_educação  (IPARDES-PR)'!$A$4:$N$420,14,FALSE)</f>
        <v>0.87261304046028165</v>
      </c>
      <c r="J9" s="9">
        <f>VLOOKUP(D9,'IPDM_saúde   (IPARDES-PR)'!$A$4:$N$466,14,FALSE)</f>
        <v>0.54480890074866684</v>
      </c>
      <c r="L9" s="10" t="str">
        <f t="shared" si="0"/>
        <v>Leste - A01</v>
      </c>
    </row>
    <row r="10" spans="1:12" x14ac:dyDescent="0.2">
      <c r="A10" s="3" t="s">
        <v>2</v>
      </c>
      <c r="B10" s="146" t="s">
        <v>416</v>
      </c>
      <c r="C10" s="145" t="s">
        <v>421</v>
      </c>
      <c r="D10" s="4" t="s">
        <v>4</v>
      </c>
      <c r="E10" s="142">
        <f>VLOOKUP(D10,'IDHM (IBGE2022)'!$A$4:$N$402,14,FALSE)</f>
        <v>96572.32</v>
      </c>
      <c r="F10" s="90">
        <f>VLOOKUP(D10,'IDHM (IBGE2022)'!$A$4:$J$402,10,FALSE)</f>
        <v>0.74199999999999999</v>
      </c>
      <c r="G10" s="92">
        <f t="shared" si="1"/>
        <v>0.8547224570658235</v>
      </c>
      <c r="H10" s="9">
        <f>VLOOKUP(D10,'IPDM_renda  (IPARDES-PR)'!$A$4:$N$420,14,FALSE)</f>
        <v>0.76100352809040883</v>
      </c>
      <c r="I10" s="9">
        <f>VLOOKUP(D10,'IPDM_educação  (IPARDES-PR)'!$A$4:$N$420,14,FALSE)</f>
        <v>0.91950194327603829</v>
      </c>
      <c r="J10" s="9">
        <f>VLOOKUP(D10,'IPDM_saúde   (IPARDES-PR)'!$A$4:$N$466,14,FALSE)</f>
        <v>0.88366189983102339</v>
      </c>
      <c r="L10" s="10" t="str">
        <f t="shared" si="0"/>
        <v>Leste - A01</v>
      </c>
    </row>
    <row r="11" spans="1:12" x14ac:dyDescent="0.2">
      <c r="A11" s="3" t="s">
        <v>5</v>
      </c>
      <c r="B11" s="146" t="s">
        <v>416</v>
      </c>
      <c r="C11" s="7" t="s">
        <v>422</v>
      </c>
      <c r="D11" s="4" t="s">
        <v>6</v>
      </c>
      <c r="E11" s="142">
        <f>VLOOKUP(D11,'IDHM (IBGE2022)'!$A$4:$N$402,14,FALSE)</f>
        <v>18715.79</v>
      </c>
      <c r="F11" s="90">
        <f>VLOOKUP(D11,'IDHM (IBGE2022)'!$A$4:$J$402,10,FALSE)</f>
        <v>0.69899999999999995</v>
      </c>
      <c r="G11" s="92">
        <f t="shared" si="1"/>
        <v>0.62592222354808857</v>
      </c>
      <c r="H11" s="9">
        <f>VLOOKUP(D11,'IPDM_renda  (IPARDES-PR)'!$A$4:$N$420,14,FALSE)</f>
        <v>0.42379101071886116</v>
      </c>
      <c r="I11" s="9">
        <f>VLOOKUP(D11,'IPDM_educação  (IPARDES-PR)'!$A$4:$N$420,14,FALSE)</f>
        <v>0.65513360907090046</v>
      </c>
      <c r="J11" s="9">
        <f>VLOOKUP(D11,'IPDM_saúde   (IPARDES-PR)'!$A$4:$N$466,14,FALSE)</f>
        <v>0.79884205085450422</v>
      </c>
      <c r="L11" s="10" t="str">
        <f t="shared" si="0"/>
        <v>Leste - A02</v>
      </c>
    </row>
    <row r="12" spans="1:12" x14ac:dyDescent="0.2">
      <c r="A12" s="3" t="s">
        <v>5</v>
      </c>
      <c r="B12" s="146" t="s">
        <v>416</v>
      </c>
      <c r="C12" s="7" t="s">
        <v>422</v>
      </c>
      <c r="D12" s="4" t="s">
        <v>7</v>
      </c>
      <c r="E12" s="142">
        <f>VLOOKUP(D12,'IDHM (IBGE2022)'!$A$4:$N$402,14,FALSE)</f>
        <v>22971.54</v>
      </c>
      <c r="F12" s="90">
        <f>VLOOKUP(D12,'IDHM (IBGE2022)'!$A$4:$J$402,10,FALSE)</f>
        <v>0.64</v>
      </c>
      <c r="G12" s="92">
        <f t="shared" si="1"/>
        <v>0.63690490468379612</v>
      </c>
      <c r="H12" s="9">
        <f>VLOOKUP(D12,'IPDM_renda  (IPARDES-PR)'!$A$4:$N$420,14,FALSE)</f>
        <v>0.5365016341656792</v>
      </c>
      <c r="I12" s="9">
        <f>VLOOKUP(D12,'IPDM_educação  (IPARDES-PR)'!$A$4:$N$420,14,FALSE)</f>
        <v>0.60176328789628764</v>
      </c>
      <c r="J12" s="9">
        <f>VLOOKUP(D12,'IPDM_saúde   (IPARDES-PR)'!$A$4:$N$466,14,FALSE)</f>
        <v>0.77244979198942154</v>
      </c>
      <c r="L12" s="10" t="str">
        <f t="shared" si="0"/>
        <v>Leste - A02</v>
      </c>
    </row>
    <row r="13" spans="1:12" x14ac:dyDescent="0.2">
      <c r="A13" s="3" t="s">
        <v>5</v>
      </c>
      <c r="B13" s="146" t="s">
        <v>416</v>
      </c>
      <c r="C13" s="7" t="s">
        <v>422</v>
      </c>
      <c r="D13" s="3" t="s">
        <v>396</v>
      </c>
      <c r="E13" s="142">
        <f>VLOOKUP(D13,'IDHM (IBGE2022)'!$A$4:$N$402,14,FALSE)</f>
        <v>60047.41</v>
      </c>
      <c r="F13" s="90">
        <f>VLOOKUP(D13,'IDHM (IBGE2022)'!$A$4:$J$402,10,FALSE)</f>
        <v>0.71799999999999997</v>
      </c>
      <c r="G13" s="92">
        <f t="shared" si="1"/>
        <v>0.72599707402557578</v>
      </c>
      <c r="H13" s="9">
        <f>VLOOKUP(D13,'IPDM_renda  (IPARDES-PR)'!$A$4:$N$420,14,FALSE)</f>
        <v>0.55938369819933531</v>
      </c>
      <c r="I13" s="9">
        <f>VLOOKUP(D13,'IPDM_educação  (IPARDES-PR)'!$A$4:$N$420,14,FALSE)</f>
        <v>0.89483029616523924</v>
      </c>
      <c r="J13" s="9">
        <f>VLOOKUP(D13,'IPDM_saúde   (IPARDES-PR)'!$A$4:$N$466,14,FALSE)</f>
        <v>0.72377722771215269</v>
      </c>
      <c r="L13" s="10" t="str">
        <f t="shared" si="0"/>
        <v>Leste - A02</v>
      </c>
    </row>
    <row r="14" spans="1:12" x14ac:dyDescent="0.2">
      <c r="A14" s="3" t="s">
        <v>5</v>
      </c>
      <c r="B14" s="146" t="s">
        <v>416</v>
      </c>
      <c r="C14" s="7" t="s">
        <v>422</v>
      </c>
      <c r="D14" s="3" t="s">
        <v>8</v>
      </c>
      <c r="E14" s="142">
        <f>VLOOKUP(D14,'IDHM (IBGE2022)'!$A$4:$N$402,14,FALSE)</f>
        <v>23181.48</v>
      </c>
      <c r="F14" s="90">
        <f>VLOOKUP(D14,'IDHM (IBGE2022)'!$A$4:$J$402,10,FALSE)</f>
        <v>0.57299999999999995</v>
      </c>
      <c r="G14" s="92">
        <f t="shared" si="1"/>
        <v>0.62008672120955399</v>
      </c>
      <c r="H14" s="9">
        <f>VLOOKUP(D14,'IPDM_renda  (IPARDES-PR)'!$A$4:$N$420,14,FALSE)</f>
        <v>0.41512930107694535</v>
      </c>
      <c r="I14" s="9">
        <f>VLOOKUP(D14,'IPDM_educação  (IPARDES-PR)'!$A$4:$N$420,14,FALSE)</f>
        <v>0.62443494693797885</v>
      </c>
      <c r="J14" s="9">
        <f>VLOOKUP(D14,'IPDM_saúde   (IPARDES-PR)'!$A$4:$N$466,14,FALSE)</f>
        <v>0.820695915613738</v>
      </c>
      <c r="L14" s="10" t="str">
        <f t="shared" si="0"/>
        <v>Leste - A02</v>
      </c>
    </row>
    <row r="15" spans="1:12" x14ac:dyDescent="0.2">
      <c r="A15" s="3" t="s">
        <v>5</v>
      </c>
      <c r="B15" s="146" t="s">
        <v>416</v>
      </c>
      <c r="C15" s="7" t="s">
        <v>422</v>
      </c>
      <c r="D15" s="4" t="s">
        <v>9</v>
      </c>
      <c r="E15" s="142">
        <f>VLOOKUP(D15,'IDHM (IBGE2022)'!$A$4:$N$402,14,FALSE)</f>
        <v>32853.49</v>
      </c>
      <c r="F15" s="90">
        <f>VLOOKUP(D15,'IDHM (IBGE2022)'!$A$4:$J$402,10,FALSE)</f>
        <v>0.73299999999999998</v>
      </c>
      <c r="G15" s="92">
        <f t="shared" si="1"/>
        <v>0.74609869870649126</v>
      </c>
      <c r="H15" s="9">
        <f>VLOOKUP(D15,'IPDM_renda  (IPARDES-PR)'!$A$4:$N$420,14,FALSE)</f>
        <v>0.52289984236294607</v>
      </c>
      <c r="I15" s="9">
        <f>VLOOKUP(D15,'IPDM_educação  (IPARDES-PR)'!$A$4:$N$420,14,FALSE)</f>
        <v>0.86446830256932861</v>
      </c>
      <c r="J15" s="9">
        <f>VLOOKUP(D15,'IPDM_saúde   (IPARDES-PR)'!$A$4:$N$466,14,FALSE)</f>
        <v>0.85092795118719911</v>
      </c>
      <c r="L15" s="10" t="str">
        <f t="shared" si="0"/>
        <v>Leste - A02</v>
      </c>
    </row>
    <row r="16" spans="1:12" x14ac:dyDescent="0.2">
      <c r="A16" s="3" t="s">
        <v>5</v>
      </c>
      <c r="B16" s="146" t="s">
        <v>416</v>
      </c>
      <c r="C16" s="7" t="s">
        <v>422</v>
      </c>
      <c r="D16" s="3" t="s">
        <v>10</v>
      </c>
      <c r="E16" s="142">
        <f>VLOOKUP(D16,'IDHM (IBGE2022)'!$A$4:$N$402,14,FALSE)</f>
        <v>67691.3</v>
      </c>
      <c r="F16" s="90">
        <f>VLOOKUP(D16,'IDHM (IBGE2022)'!$A$4:$J$402,10,FALSE)</f>
        <v>0.82299999999999995</v>
      </c>
      <c r="G16" s="92">
        <f t="shared" si="1"/>
        <v>0.9013300741590925</v>
      </c>
      <c r="H16" s="9">
        <f>VLOOKUP(D16,'IPDM_renda  (IPARDES-PR)'!$A$4:$N$420,14,FALSE)</f>
        <v>0.85906652054187682</v>
      </c>
      <c r="I16" s="9">
        <f>VLOOKUP(D16,'IPDM_educação  (IPARDES-PR)'!$A$4:$N$420,14,FALSE)</f>
        <v>0.94831594388123219</v>
      </c>
      <c r="J16" s="9">
        <f>VLOOKUP(D16,'IPDM_saúde   (IPARDES-PR)'!$A$4:$N$466,14,FALSE)</f>
        <v>0.89660775805416881</v>
      </c>
      <c r="L16" s="10" t="str">
        <f t="shared" si="0"/>
        <v>Leste - A02</v>
      </c>
    </row>
    <row r="17" spans="1:12" x14ac:dyDescent="0.2">
      <c r="A17" s="3" t="s">
        <v>5</v>
      </c>
      <c r="B17" s="146" t="s">
        <v>416</v>
      </c>
      <c r="C17" s="7" t="s">
        <v>422</v>
      </c>
      <c r="D17" s="3" t="s">
        <v>402</v>
      </c>
      <c r="E17" s="142">
        <f>VLOOKUP(D17,'IDHM (IBGE2022)'!$A$4:$N$402,14,FALSE)</f>
        <v>20387.45</v>
      </c>
      <c r="F17" s="90">
        <f>VLOOKUP(D17,'IDHM (IBGE2022)'!$A$4:$J$402,10,FALSE)</f>
        <v>0.54600000000000004</v>
      </c>
      <c r="G17" s="92">
        <f t="shared" si="1"/>
        <v>0.45917989755881128</v>
      </c>
      <c r="H17" s="9">
        <f>VLOOKUP(D17,'IPDM_renda  (IPARDES-PR)'!$A$4:$N$420,14,FALSE)</f>
        <v>0.19264845510561335</v>
      </c>
      <c r="I17" s="9">
        <f>VLOOKUP(D17,'IPDM_educação  (IPARDES-PR)'!$A$4:$N$420,14,FALSE)</f>
        <v>0.71036326645500725</v>
      </c>
      <c r="J17" s="9">
        <f>VLOOKUP(D17,'IPDM_saúde   (IPARDES-PR)'!$A$4:$N$466,14,FALSE)</f>
        <v>0.47452797111581324</v>
      </c>
      <c r="L17" s="10" t="str">
        <f t="shared" si="0"/>
        <v>Leste - A02</v>
      </c>
    </row>
    <row r="18" spans="1:12" x14ac:dyDescent="0.2">
      <c r="A18" s="3" t="s">
        <v>5</v>
      </c>
      <c r="B18" s="146" t="s">
        <v>416</v>
      </c>
      <c r="C18" s="7" t="s">
        <v>422</v>
      </c>
      <c r="D18" s="3" t="s">
        <v>11</v>
      </c>
      <c r="E18" s="142">
        <f>VLOOKUP(D18,'IDHM (IBGE2022)'!$A$4:$N$402,14,FALSE)</f>
        <v>25618.02</v>
      </c>
      <c r="F18" s="90">
        <f>VLOOKUP(D18,'IDHM (IBGE2022)'!$A$4:$J$402,10,FALSE)</f>
        <v>0.63700000000000001</v>
      </c>
      <c r="G18" s="92">
        <f t="shared" si="1"/>
        <v>0.60388870566794894</v>
      </c>
      <c r="H18" s="9">
        <f>VLOOKUP(D18,'IPDM_renda  (IPARDES-PR)'!$A$4:$N$420,14,FALSE)</f>
        <v>0.35591427465597242</v>
      </c>
      <c r="I18" s="9">
        <f>VLOOKUP(D18,'IPDM_educação  (IPARDES-PR)'!$A$4:$N$420,14,FALSE)</f>
        <v>0.68267311615062454</v>
      </c>
      <c r="J18" s="9">
        <f>VLOOKUP(D18,'IPDM_saúde   (IPARDES-PR)'!$A$4:$N$466,14,FALSE)</f>
        <v>0.77307872619724971</v>
      </c>
      <c r="L18" s="10" t="str">
        <f t="shared" si="0"/>
        <v>Leste - A02</v>
      </c>
    </row>
    <row r="19" spans="1:12" x14ac:dyDescent="0.2">
      <c r="A19" s="3" t="s">
        <v>5</v>
      </c>
      <c r="B19" s="146" t="s">
        <v>416</v>
      </c>
      <c r="C19" s="7" t="s">
        <v>422</v>
      </c>
      <c r="D19" s="3" t="s">
        <v>12</v>
      </c>
      <c r="E19" s="142">
        <f>VLOOKUP(D19,'IDHM (IBGE2022)'!$A$4:$N$402,14,FALSE)</f>
        <v>77567.929999999993</v>
      </c>
      <c r="F19" s="90">
        <f>VLOOKUP(D19,'IDHM (IBGE2022)'!$A$4:$J$402,10,FALSE)</f>
        <v>0.751</v>
      </c>
      <c r="G19" s="92">
        <f t="shared" si="1"/>
        <v>0.80073927492629382</v>
      </c>
      <c r="H19" s="9">
        <f>VLOOKUP(D19,'IPDM_renda  (IPARDES-PR)'!$A$4:$N$420,14,FALSE)</f>
        <v>0.65016731627851931</v>
      </c>
      <c r="I19" s="9">
        <f>VLOOKUP(D19,'IPDM_educação  (IPARDES-PR)'!$A$4:$N$420,14,FALSE)</f>
        <v>0.91562302976921162</v>
      </c>
      <c r="J19" s="9">
        <f>VLOOKUP(D19,'IPDM_saúde   (IPARDES-PR)'!$A$4:$N$466,14,FALSE)</f>
        <v>0.83642747873115064</v>
      </c>
      <c r="L19" s="10" t="str">
        <f t="shared" si="0"/>
        <v>Leste - A02</v>
      </c>
    </row>
    <row r="20" spans="1:12" x14ac:dyDescent="0.2">
      <c r="A20" s="3" t="s">
        <v>5</v>
      </c>
      <c r="B20" s="146" t="s">
        <v>416</v>
      </c>
      <c r="C20" s="7" t="s">
        <v>422</v>
      </c>
      <c r="D20" s="4" t="s">
        <v>13</v>
      </c>
      <c r="E20" s="142">
        <f>VLOOKUP(D20,'IDHM (IBGE2022)'!$A$4:$N$402,14,FALSE)</f>
        <v>16015.58</v>
      </c>
      <c r="F20" s="90">
        <f>VLOOKUP(D20,'IDHM (IBGE2022)'!$A$4:$J$402,10,FALSE)</f>
        <v>0.7</v>
      </c>
      <c r="G20" s="92">
        <f t="shared" si="1"/>
        <v>0.68932757178879012</v>
      </c>
      <c r="H20" s="9">
        <f>VLOOKUP(D20,'IPDM_renda  (IPARDES-PR)'!$A$4:$N$420,14,FALSE)</f>
        <v>0.48312334679250407</v>
      </c>
      <c r="I20" s="9">
        <f>VLOOKUP(D20,'IPDM_educação  (IPARDES-PR)'!$A$4:$N$420,14,FALSE)</f>
        <v>0.74044269102543847</v>
      </c>
      <c r="J20" s="9">
        <f>VLOOKUP(D20,'IPDM_saúde   (IPARDES-PR)'!$A$4:$N$466,14,FALSE)</f>
        <v>0.84441667754842775</v>
      </c>
      <c r="L20" s="10" t="str">
        <f t="shared" si="0"/>
        <v>Leste - A02</v>
      </c>
    </row>
    <row r="21" spans="1:12" x14ac:dyDescent="0.2">
      <c r="A21" s="3" t="s">
        <v>5</v>
      </c>
      <c r="B21" s="146" t="s">
        <v>416</v>
      </c>
      <c r="C21" s="7" t="s">
        <v>422</v>
      </c>
      <c r="D21" s="4" t="s">
        <v>4</v>
      </c>
      <c r="E21" s="142">
        <f>VLOOKUP(D21,'IDHM (IBGE2022)'!$A$4:$N$402,14,FALSE)</f>
        <v>96572.32</v>
      </c>
      <c r="F21" s="90">
        <f>VLOOKUP(D21,'IDHM (IBGE2022)'!$A$4:$J$402,10,FALSE)</f>
        <v>0.74199999999999999</v>
      </c>
      <c r="G21" s="92">
        <f t="shared" si="1"/>
        <v>0.8547224570658235</v>
      </c>
      <c r="H21" s="9">
        <f>VLOOKUP(D21,'IPDM_renda  (IPARDES-PR)'!$A$4:$N$420,14,FALSE)</f>
        <v>0.76100352809040883</v>
      </c>
      <c r="I21" s="9">
        <f>VLOOKUP(D21,'IPDM_educação  (IPARDES-PR)'!$A$4:$N$420,14,FALSE)</f>
        <v>0.91950194327603829</v>
      </c>
      <c r="J21" s="9">
        <f>VLOOKUP(D21,'IPDM_saúde   (IPARDES-PR)'!$A$4:$N$466,14,FALSE)</f>
        <v>0.88366189983102339</v>
      </c>
      <c r="L21" s="10" t="str">
        <f t="shared" si="0"/>
        <v>Leste - A02</v>
      </c>
    </row>
    <row r="22" spans="1:12" x14ac:dyDescent="0.2">
      <c r="A22" s="3" t="s">
        <v>5</v>
      </c>
      <c r="B22" s="146" t="s">
        <v>416</v>
      </c>
      <c r="C22" s="7" t="s">
        <v>422</v>
      </c>
      <c r="D22" s="3" t="s">
        <v>403</v>
      </c>
      <c r="E22" s="142">
        <f>VLOOKUP(D22,'IDHM (IBGE2022)'!$A$4:$N$402,14,FALSE)</f>
        <v>49279.13</v>
      </c>
      <c r="F22" s="90">
        <f>VLOOKUP(D22,'IDHM (IBGE2022)'!$A$4:$J$402,10,FALSE)</f>
        <v>0.67900000000000005</v>
      </c>
      <c r="G22" s="92">
        <f t="shared" si="1"/>
        <v>0.68589963567591783</v>
      </c>
      <c r="H22" s="9">
        <f>VLOOKUP(D22,'IPDM_renda  (IPARDES-PR)'!$A$4:$N$420,14,FALSE)</f>
        <v>0.46748087872809541</v>
      </c>
      <c r="I22" s="9">
        <f>VLOOKUP(D22,'IPDM_educação  (IPARDES-PR)'!$A$4:$N$420,14,FALSE)</f>
        <v>0.78972243177049617</v>
      </c>
      <c r="J22" s="9">
        <f>VLOOKUP(D22,'IPDM_saúde   (IPARDES-PR)'!$A$4:$N$466,14,FALSE)</f>
        <v>0.80049559652916213</v>
      </c>
      <c r="L22" s="10" t="str">
        <f t="shared" si="0"/>
        <v>Leste - A02</v>
      </c>
    </row>
    <row r="23" spans="1:12" x14ac:dyDescent="0.2">
      <c r="A23" s="3" t="s">
        <v>5</v>
      </c>
      <c r="B23" s="146" t="s">
        <v>416</v>
      </c>
      <c r="C23" s="7" t="s">
        <v>422</v>
      </c>
      <c r="D23" s="4" t="s">
        <v>14</v>
      </c>
      <c r="E23" s="142">
        <f>VLOOKUP(D23,'IDHM (IBGE2022)'!$A$4:$N$402,14,FALSE)</f>
        <v>103019.05</v>
      </c>
      <c r="F23" s="90">
        <f>VLOOKUP(D23,'IDHM (IBGE2022)'!$A$4:$J$402,10,FALSE)</f>
        <v>0.75800000000000001</v>
      </c>
      <c r="G23" s="92">
        <f t="shared" si="1"/>
        <v>0.80866564045298484</v>
      </c>
      <c r="H23" s="9">
        <f>VLOOKUP(D23,'IPDM_renda  (IPARDES-PR)'!$A$4:$N$420,14,FALSE)</f>
        <v>0.68862692866031372</v>
      </c>
      <c r="I23" s="9">
        <f>VLOOKUP(D23,'IPDM_educação  (IPARDES-PR)'!$A$4:$N$420,14,FALSE)</f>
        <v>0.85110682006425209</v>
      </c>
      <c r="J23" s="9">
        <f>VLOOKUP(D23,'IPDM_saúde   (IPARDES-PR)'!$A$4:$N$466,14,FALSE)</f>
        <v>0.8862631726343887</v>
      </c>
      <c r="L23" s="10" t="str">
        <f t="shared" si="0"/>
        <v>Leste - A02</v>
      </c>
    </row>
    <row r="24" spans="1:12" x14ac:dyDescent="0.2">
      <c r="A24" s="3" t="s">
        <v>5</v>
      </c>
      <c r="B24" s="146" t="s">
        <v>416</v>
      </c>
      <c r="C24" s="7" t="s">
        <v>422</v>
      </c>
      <c r="D24" s="4" t="s">
        <v>391</v>
      </c>
      <c r="E24" s="142">
        <f>VLOOKUP(D24,'IDHM (IBGE2022)'!$A$4:$N$402,14,FALSE)</f>
        <v>40007.199999999997</v>
      </c>
      <c r="F24" s="90">
        <f>VLOOKUP(D24,'IDHM (IBGE2022)'!$A$4:$J$402,10,FALSE)</f>
        <v>0.66300000000000003</v>
      </c>
      <c r="G24" s="92">
        <f t="shared" si="1"/>
        <v>0.7833211941951288</v>
      </c>
      <c r="H24" s="9">
        <f>VLOOKUP(D24,'IPDM_renda  (IPARDES-PR)'!$A$4:$N$420,14,FALSE)</f>
        <v>0.57342204632921578</v>
      </c>
      <c r="I24" s="9">
        <f>VLOOKUP(D24,'IPDM_educação  (IPARDES-PR)'!$A$4:$N$420,14,FALSE)</f>
        <v>0.90980575926026963</v>
      </c>
      <c r="J24" s="9">
        <f>VLOOKUP(D24,'IPDM_saúde   (IPARDES-PR)'!$A$4:$N$466,14,FALSE)</f>
        <v>0.86673577699590088</v>
      </c>
      <c r="L24" s="10" t="str">
        <f t="shared" si="0"/>
        <v>Leste - A02</v>
      </c>
    </row>
    <row r="25" spans="1:12" x14ac:dyDescent="0.2">
      <c r="A25" s="3" t="s">
        <v>5</v>
      </c>
      <c r="B25" s="146" t="s">
        <v>416</v>
      </c>
      <c r="C25" s="7" t="s">
        <v>422</v>
      </c>
      <c r="D25" s="3" t="s">
        <v>404</v>
      </c>
      <c r="E25" s="142">
        <f>VLOOKUP(D25,'IDHM (IBGE2022)'!$A$4:$N$402,14,FALSE)</f>
        <v>22908.32</v>
      </c>
      <c r="F25" s="90">
        <f>VLOOKUP(D25,'IDHM (IBGE2022)'!$A$4:$J$402,10,FALSE)</f>
        <v>0.61099999999999999</v>
      </c>
      <c r="G25" s="92">
        <f t="shared" si="1"/>
        <v>0.65782328063814299</v>
      </c>
      <c r="H25" s="9">
        <f>VLOOKUP(D25,'IPDM_renda  (IPARDES-PR)'!$A$4:$N$420,14,FALSE)</f>
        <v>0.51535569108878421</v>
      </c>
      <c r="I25" s="9">
        <f>VLOOKUP(D25,'IPDM_educação  (IPARDES-PR)'!$A$4:$N$420,14,FALSE)</f>
        <v>0.77182951948017031</v>
      </c>
      <c r="J25" s="9">
        <f>VLOOKUP(D25,'IPDM_saúde   (IPARDES-PR)'!$A$4:$N$466,14,FALSE)</f>
        <v>0.68628463134547435</v>
      </c>
      <c r="L25" s="10" t="str">
        <f t="shared" si="0"/>
        <v>Leste - A02</v>
      </c>
    </row>
    <row r="26" spans="1:12" x14ac:dyDescent="0.2">
      <c r="A26" s="3" t="s">
        <v>15</v>
      </c>
      <c r="B26" s="146" t="s">
        <v>416</v>
      </c>
      <c r="C26" s="145" t="s">
        <v>423</v>
      </c>
      <c r="D26" s="3" t="s">
        <v>405</v>
      </c>
      <c r="E26" s="142">
        <f>VLOOKUP(D26,'IDHM (IBGE2022)'!$A$4:$N$402,14,FALSE)</f>
        <v>27302.69</v>
      </c>
      <c r="F26" s="90">
        <f>VLOOKUP(D26,'IDHM (IBGE2022)'!$A$4:$J$402,10,FALSE)</f>
        <v>0.66</v>
      </c>
      <c r="G26" s="92">
        <f t="shared" si="1"/>
        <v>0.61475600286720866</v>
      </c>
      <c r="H26" s="9">
        <f>VLOOKUP(D26,'IPDM_renda  (IPARDES-PR)'!$A$4:$N$420,14,FALSE)</f>
        <v>0.40516741064130124</v>
      </c>
      <c r="I26" s="9">
        <f>VLOOKUP(D26,'IPDM_educação  (IPARDES-PR)'!$A$4:$N$420,14,FALSE)</f>
        <v>0.73709325243764878</v>
      </c>
      <c r="J26" s="9">
        <f>VLOOKUP(D26,'IPDM_saúde   (IPARDES-PR)'!$A$4:$N$466,14,FALSE)</f>
        <v>0.70200734552267618</v>
      </c>
      <c r="L26" s="10" t="str">
        <f t="shared" si="0"/>
        <v>Leste - A03</v>
      </c>
    </row>
    <row r="27" spans="1:12" x14ac:dyDescent="0.2">
      <c r="A27" s="3" t="s">
        <v>15</v>
      </c>
      <c r="B27" s="146" t="s">
        <v>416</v>
      </c>
      <c r="C27" s="145" t="s">
        <v>423</v>
      </c>
      <c r="D27" s="3" t="s">
        <v>406</v>
      </c>
      <c r="E27" s="142">
        <f>VLOOKUP(D27,'IDHM (IBGE2022)'!$A$4:$N$402,14,FALSE)</f>
        <v>97201.65</v>
      </c>
      <c r="F27" s="90">
        <f>VLOOKUP(D27,'IDHM (IBGE2022)'!$A$4:$J$402,10,FALSE)</f>
        <v>0.69599999999999995</v>
      </c>
      <c r="G27" s="92">
        <f t="shared" si="1"/>
        <v>0.69358039305014163</v>
      </c>
      <c r="H27" s="9">
        <f>VLOOKUP(D27,'IPDM_renda  (IPARDES-PR)'!$A$4:$N$420,14,FALSE)</f>
        <v>0.60385833830035474</v>
      </c>
      <c r="I27" s="9">
        <f>VLOOKUP(D27,'IPDM_educação  (IPARDES-PR)'!$A$4:$N$420,14,FALSE)</f>
        <v>0.7286979382261235</v>
      </c>
      <c r="J27" s="9">
        <f>VLOOKUP(D27,'IPDM_saúde   (IPARDES-PR)'!$A$4:$N$466,14,FALSE)</f>
        <v>0.74818490262394655</v>
      </c>
      <c r="L27" s="10" t="str">
        <f t="shared" si="0"/>
        <v>Leste - A03</v>
      </c>
    </row>
    <row r="28" spans="1:12" x14ac:dyDescent="0.2">
      <c r="A28" s="3" t="s">
        <v>15</v>
      </c>
      <c r="B28" s="146" t="s">
        <v>416</v>
      </c>
      <c r="C28" s="145" t="s">
        <v>423</v>
      </c>
      <c r="D28" s="3" t="s">
        <v>16</v>
      </c>
      <c r="E28" s="142">
        <f>VLOOKUP(D28,'IDHM (IBGE2022)'!$A$4:$N$402,14,FALSE)</f>
        <v>51863.48</v>
      </c>
      <c r="F28" s="90">
        <f>VLOOKUP(D28,'IDHM (IBGE2022)'!$A$4:$J$402,10,FALSE)</f>
        <v>0.745</v>
      </c>
      <c r="G28" s="92">
        <f t="shared" si="1"/>
        <v>0.77565885430297499</v>
      </c>
      <c r="H28" s="9">
        <f>VLOOKUP(D28,'IPDM_renda  (IPARDES-PR)'!$A$4:$N$420,14,FALSE)</f>
        <v>0.55513007308744711</v>
      </c>
      <c r="I28" s="9">
        <f>VLOOKUP(D28,'IPDM_educação  (IPARDES-PR)'!$A$4:$N$420,14,FALSE)</f>
        <v>0.92592556561042805</v>
      </c>
      <c r="J28" s="9">
        <f>VLOOKUP(D28,'IPDM_saúde   (IPARDES-PR)'!$A$4:$N$466,14,FALSE)</f>
        <v>0.84592092421105003</v>
      </c>
      <c r="L28" s="10" t="str">
        <f t="shared" si="0"/>
        <v>Leste - A03</v>
      </c>
    </row>
    <row r="29" spans="1:12" x14ac:dyDescent="0.2">
      <c r="A29" s="3" t="s">
        <v>15</v>
      </c>
      <c r="B29" s="146" t="s">
        <v>416</v>
      </c>
      <c r="C29" s="145" t="s">
        <v>423</v>
      </c>
      <c r="D29" s="3" t="s">
        <v>407</v>
      </c>
      <c r="E29" s="142">
        <f>VLOOKUP(D29,'IDHM (IBGE2022)'!$A$4:$N$402,14,FALSE)</f>
        <v>23228.87</v>
      </c>
      <c r="F29" s="90">
        <f>VLOOKUP(D29,'IDHM (IBGE2022)'!$A$4:$J$402,10,FALSE)</f>
        <v>0.70099999999999996</v>
      </c>
      <c r="G29" s="92">
        <f t="shared" si="1"/>
        <v>0.70377430873235103</v>
      </c>
      <c r="H29" s="9">
        <f>VLOOKUP(D29,'IPDM_renda  (IPARDES-PR)'!$A$4:$N$420,14,FALSE)</f>
        <v>0.46990099317284262</v>
      </c>
      <c r="I29" s="9">
        <f>VLOOKUP(D29,'IPDM_educação  (IPARDES-PR)'!$A$4:$N$420,14,FALSE)</f>
        <v>0.80781506891259447</v>
      </c>
      <c r="J29" s="9">
        <f>VLOOKUP(D29,'IPDM_saúde   (IPARDES-PR)'!$A$4:$N$466,14,FALSE)</f>
        <v>0.83360686411161611</v>
      </c>
      <c r="L29" s="10" t="str">
        <f t="shared" si="0"/>
        <v>Leste - A03</v>
      </c>
    </row>
    <row r="30" spans="1:12" x14ac:dyDescent="0.2">
      <c r="A30" s="3" t="s">
        <v>15</v>
      </c>
      <c r="B30" s="146" t="s">
        <v>416</v>
      </c>
      <c r="C30" s="145" t="s">
        <v>423</v>
      </c>
      <c r="D30" s="3" t="s">
        <v>408</v>
      </c>
      <c r="E30" s="142">
        <f>VLOOKUP(D30,'IDHM (IBGE2022)'!$A$4:$N$402,14,FALSE)</f>
        <v>32821.93</v>
      </c>
      <c r="F30" s="90">
        <f>VLOOKUP(D30,'IDHM (IBGE2022)'!$A$4:$J$402,10,FALSE)</f>
        <v>0.68100000000000005</v>
      </c>
      <c r="G30" s="92">
        <f t="shared" si="1"/>
        <v>0.66651655569079027</v>
      </c>
      <c r="H30" s="9">
        <f>VLOOKUP(D30,'IPDM_renda  (IPARDES-PR)'!$A$4:$N$420,14,FALSE)</f>
        <v>0.48008530638615787</v>
      </c>
      <c r="I30" s="9">
        <f>VLOOKUP(D30,'IPDM_educação  (IPARDES-PR)'!$A$4:$N$420,14,FALSE)</f>
        <v>0.81990978142258764</v>
      </c>
      <c r="J30" s="9">
        <f>VLOOKUP(D30,'IPDM_saúde   (IPARDES-PR)'!$A$4:$N$466,14,FALSE)</f>
        <v>0.69955457926362508</v>
      </c>
      <c r="L30" s="10" t="str">
        <f t="shared" si="0"/>
        <v>Leste - A03</v>
      </c>
    </row>
    <row r="31" spans="1:12" x14ac:dyDescent="0.2">
      <c r="A31" s="3" t="s">
        <v>15</v>
      </c>
      <c r="B31" s="146" t="s">
        <v>416</v>
      </c>
      <c r="C31" s="145" t="s">
        <v>423</v>
      </c>
      <c r="D31" s="3" t="s">
        <v>10</v>
      </c>
      <c r="E31" s="142">
        <f>VLOOKUP(D31,'IDHM (IBGE2022)'!$A$4:$N$402,14,FALSE)</f>
        <v>67691.3</v>
      </c>
      <c r="F31" s="90">
        <f>VLOOKUP(D31,'IDHM (IBGE2022)'!$A$4:$J$402,10,FALSE)</f>
        <v>0.82299999999999995</v>
      </c>
      <c r="G31" s="92">
        <f t="shared" si="1"/>
        <v>0.9013300741590925</v>
      </c>
      <c r="H31" s="9">
        <f>VLOOKUP(D31,'IPDM_renda  (IPARDES-PR)'!$A$4:$N$420,14,FALSE)</f>
        <v>0.85906652054187682</v>
      </c>
      <c r="I31" s="9">
        <f>VLOOKUP(D31,'IPDM_educação  (IPARDES-PR)'!$A$4:$N$420,14,FALSE)</f>
        <v>0.94831594388123219</v>
      </c>
      <c r="J31" s="9">
        <f>VLOOKUP(D31,'IPDM_saúde   (IPARDES-PR)'!$A$4:$N$466,14,FALSE)</f>
        <v>0.89660775805416881</v>
      </c>
      <c r="L31" s="10" t="str">
        <f t="shared" si="0"/>
        <v>Leste - A03</v>
      </c>
    </row>
    <row r="32" spans="1:12" x14ac:dyDescent="0.2">
      <c r="A32" s="3" t="s">
        <v>15</v>
      </c>
      <c r="B32" s="146" t="s">
        <v>416</v>
      </c>
      <c r="C32" s="145" t="s">
        <v>423</v>
      </c>
      <c r="D32" s="3" t="s">
        <v>17</v>
      </c>
      <c r="E32" s="142">
        <f>VLOOKUP(D32,'IDHM (IBGE2022)'!$A$4:$N$402,14,FALSE)</f>
        <v>58830.87</v>
      </c>
      <c r="F32" s="90">
        <f>VLOOKUP(D32,'IDHM (IBGE2022)'!$A$4:$J$402,10,FALSE)</f>
        <v>0.70599999999999996</v>
      </c>
      <c r="G32" s="92">
        <f t="shared" si="1"/>
        <v>0.71381465344425532</v>
      </c>
      <c r="H32" s="9">
        <f>VLOOKUP(D32,'IPDM_renda  (IPARDES-PR)'!$A$4:$N$420,14,FALSE)</f>
        <v>0.55231425794803157</v>
      </c>
      <c r="I32" s="9">
        <f>VLOOKUP(D32,'IPDM_educação  (IPARDES-PR)'!$A$4:$N$420,14,FALSE)</f>
        <v>0.90600191220088855</v>
      </c>
      <c r="J32" s="9">
        <f>VLOOKUP(D32,'IPDM_saúde   (IPARDES-PR)'!$A$4:$N$466,14,FALSE)</f>
        <v>0.68312779018384584</v>
      </c>
      <c r="L32" s="10" t="str">
        <f t="shared" si="0"/>
        <v>Leste - A03</v>
      </c>
    </row>
    <row r="33" spans="1:12" x14ac:dyDescent="0.2">
      <c r="A33" s="3" t="s">
        <v>15</v>
      </c>
      <c r="B33" s="146" t="s">
        <v>416</v>
      </c>
      <c r="C33" s="145" t="s">
        <v>423</v>
      </c>
      <c r="D33" s="3" t="s">
        <v>409</v>
      </c>
      <c r="E33" s="142">
        <f>VLOOKUP(D33,'IDHM (IBGE2022)'!$A$4:$N$402,14,FALSE)</f>
        <v>29207.79</v>
      </c>
      <c r="F33" s="90">
        <f>VLOOKUP(D33,'IDHM (IBGE2022)'!$A$4:$J$402,10,FALSE)</f>
        <v>0.65500000000000003</v>
      </c>
      <c r="G33" s="92">
        <f t="shared" si="1"/>
        <v>0.68659988920166182</v>
      </c>
      <c r="H33" s="9">
        <f>VLOOKUP(D33,'IPDM_renda  (IPARDES-PR)'!$A$4:$N$420,14,FALSE)</f>
        <v>0.484719995789823</v>
      </c>
      <c r="I33" s="9">
        <f>VLOOKUP(D33,'IPDM_educação  (IPARDES-PR)'!$A$4:$N$420,14,FALSE)</f>
        <v>0.88197488659713297</v>
      </c>
      <c r="J33" s="9">
        <f>VLOOKUP(D33,'IPDM_saúde   (IPARDES-PR)'!$A$4:$N$466,14,FALSE)</f>
        <v>0.69310478521802965</v>
      </c>
      <c r="L33" s="10" t="str">
        <f t="shared" si="0"/>
        <v>Leste - A03</v>
      </c>
    </row>
    <row r="34" spans="1:12" x14ac:dyDescent="0.2">
      <c r="A34" s="3" t="s">
        <v>15</v>
      </c>
      <c r="B34" s="146" t="s">
        <v>416</v>
      </c>
      <c r="C34" s="145" t="s">
        <v>423</v>
      </c>
      <c r="D34" s="3" t="s">
        <v>18</v>
      </c>
      <c r="E34" s="142">
        <f>VLOOKUP(D34,'IDHM (IBGE2022)'!$A$4:$N$402,14,FALSE)</f>
        <v>62484.45</v>
      </c>
      <c r="F34" s="90">
        <f>VLOOKUP(D34,'IDHM (IBGE2022)'!$A$4:$J$402,10,FALSE)</f>
        <v>0.69399999999999995</v>
      </c>
      <c r="G34" s="92">
        <f t="shared" si="1"/>
        <v>0.7461066007388274</v>
      </c>
      <c r="H34" s="9">
        <f>VLOOKUP(D34,'IPDM_renda  (IPARDES-PR)'!$A$4:$N$420,14,FALSE)</f>
        <v>0.55683511995834711</v>
      </c>
      <c r="I34" s="9">
        <f>VLOOKUP(D34,'IPDM_educação  (IPARDES-PR)'!$A$4:$N$420,14,FALSE)</f>
        <v>0.92238126870733994</v>
      </c>
      <c r="J34" s="9">
        <f>VLOOKUP(D34,'IPDM_saúde   (IPARDES-PR)'!$A$4:$N$466,14,FALSE)</f>
        <v>0.75910341355079536</v>
      </c>
      <c r="L34" s="10" t="str">
        <f t="shared" si="0"/>
        <v>Leste - A03</v>
      </c>
    </row>
    <row r="35" spans="1:12" x14ac:dyDescent="0.2">
      <c r="A35" s="3" t="s">
        <v>15</v>
      </c>
      <c r="B35" s="146" t="s">
        <v>416</v>
      </c>
      <c r="C35" s="145" t="s">
        <v>423</v>
      </c>
      <c r="D35" s="3" t="s">
        <v>19</v>
      </c>
      <c r="E35" s="142">
        <f>VLOOKUP(D35,'IDHM (IBGE2022)'!$A$4:$N$402,14,FALSE)</f>
        <v>32311.040000000001</v>
      </c>
      <c r="F35" s="90">
        <f>VLOOKUP(D35,'IDHM (IBGE2022)'!$A$4:$J$402,10,FALSE)</f>
        <v>0.68</v>
      </c>
      <c r="G35" s="92">
        <f t="shared" si="1"/>
        <v>0.71895664803008186</v>
      </c>
      <c r="H35" s="9">
        <f>VLOOKUP(D35,'IPDM_renda  (IPARDES-PR)'!$A$4:$N$420,14,FALSE)</f>
        <v>0.47552811246933546</v>
      </c>
      <c r="I35" s="9">
        <f>VLOOKUP(D35,'IPDM_educação  (IPARDES-PR)'!$A$4:$N$420,14,FALSE)</f>
        <v>0.88617662192844027</v>
      </c>
      <c r="J35" s="9">
        <f>VLOOKUP(D35,'IPDM_saúde   (IPARDES-PR)'!$A$4:$N$466,14,FALSE)</f>
        <v>0.79516520969246951</v>
      </c>
      <c r="L35" s="10" t="str">
        <f t="shared" si="0"/>
        <v>Leste - A03</v>
      </c>
    </row>
    <row r="36" spans="1:12" x14ac:dyDescent="0.2">
      <c r="A36" s="3" t="s">
        <v>15</v>
      </c>
      <c r="B36" s="146" t="s">
        <v>416</v>
      </c>
      <c r="C36" s="145" t="s">
        <v>423</v>
      </c>
      <c r="D36" s="3" t="s">
        <v>410</v>
      </c>
      <c r="E36" s="142">
        <f>VLOOKUP(D36,'IDHM (IBGE2022)'!$A$4:$N$402,14,FALSE)</f>
        <v>31449.71</v>
      </c>
      <c r="F36" s="90">
        <f>VLOOKUP(D36,'IDHM (IBGE2022)'!$A$4:$J$402,10,FALSE)</f>
        <v>0.63600000000000001</v>
      </c>
      <c r="G36" s="92">
        <f t="shared" si="1"/>
        <v>0.66653957716925694</v>
      </c>
      <c r="H36" s="9">
        <f>VLOOKUP(D36,'IPDM_renda  (IPARDES-PR)'!$A$4:$N$420,14,FALSE)</f>
        <v>0.471023780443734</v>
      </c>
      <c r="I36" s="9">
        <f>VLOOKUP(D36,'IPDM_educação  (IPARDES-PR)'!$A$4:$N$420,14,FALSE)</f>
        <v>0.77796000565370782</v>
      </c>
      <c r="J36" s="9">
        <f>VLOOKUP(D36,'IPDM_saúde   (IPARDES-PR)'!$A$4:$N$466,14,FALSE)</f>
        <v>0.75063494541032905</v>
      </c>
      <c r="L36" s="10" t="str">
        <f t="shared" si="0"/>
        <v>Leste - A03</v>
      </c>
    </row>
    <row r="37" spans="1:12" x14ac:dyDescent="0.2">
      <c r="A37" s="3" t="s">
        <v>20</v>
      </c>
      <c r="B37" s="146" t="s">
        <v>416</v>
      </c>
      <c r="C37" s="7" t="s">
        <v>424</v>
      </c>
      <c r="D37" s="3" t="s">
        <v>21</v>
      </c>
      <c r="E37" s="142">
        <f>VLOOKUP(D37,'IDHM (IBGE2022)'!$A$4:$N$402,14,FALSE)</f>
        <v>40269.4</v>
      </c>
      <c r="F37" s="90">
        <f>VLOOKUP(D37,'IDHM (IBGE2022)'!$A$4:$J$402,10,FALSE)</f>
        <v>0.65600000000000003</v>
      </c>
      <c r="G37" s="92">
        <f t="shared" si="1"/>
        <v>0.71636449593687279</v>
      </c>
      <c r="H37" s="9">
        <f>VLOOKUP(D37,'IPDM_renda  (IPARDES-PR)'!$A$4:$N$420,14,FALSE)</f>
        <v>0.4084019376427947</v>
      </c>
      <c r="I37" s="9">
        <f>VLOOKUP(D37,'IPDM_educação  (IPARDES-PR)'!$A$4:$N$420,14,FALSE)</f>
        <v>0.87999913715657552</v>
      </c>
      <c r="J37" s="9">
        <f>VLOOKUP(D37,'IPDM_saúde   (IPARDES-PR)'!$A$4:$N$466,14,FALSE)</f>
        <v>0.86069241301124821</v>
      </c>
      <c r="L37" s="10" t="str">
        <f t="shared" si="0"/>
        <v>Leste - A04</v>
      </c>
    </row>
    <row r="38" spans="1:12" x14ac:dyDescent="0.2">
      <c r="A38" s="3" t="s">
        <v>20</v>
      </c>
      <c r="B38" s="146" t="s">
        <v>416</v>
      </c>
      <c r="C38" s="7" t="s">
        <v>424</v>
      </c>
      <c r="D38" s="4" t="s">
        <v>22</v>
      </c>
      <c r="E38" s="142">
        <f>VLOOKUP(D38,'IDHM (IBGE2022)'!$A$4:$N$402,14,FALSE)</f>
        <v>40846.17</v>
      </c>
      <c r="F38" s="90">
        <f>VLOOKUP(D38,'IDHM (IBGE2022)'!$A$4:$J$402,10,FALSE)</f>
        <v>0.68600000000000005</v>
      </c>
      <c r="G38" s="92">
        <f t="shared" si="1"/>
        <v>0.69266969045660487</v>
      </c>
      <c r="H38" s="9">
        <f>VLOOKUP(D38,'IPDM_renda  (IPARDES-PR)'!$A$4:$N$420,14,FALSE)</f>
        <v>0.49345818244571521</v>
      </c>
      <c r="I38" s="9">
        <f>VLOOKUP(D38,'IPDM_educação  (IPARDES-PR)'!$A$4:$N$420,14,FALSE)</f>
        <v>0.83196384977019322</v>
      </c>
      <c r="J38" s="9">
        <f>VLOOKUP(D38,'IPDM_saúde   (IPARDES-PR)'!$A$4:$N$466,14,FALSE)</f>
        <v>0.75258703915390612</v>
      </c>
      <c r="L38" s="10" t="str">
        <f t="shared" si="0"/>
        <v>Leste - A04</v>
      </c>
    </row>
    <row r="39" spans="1:12" x14ac:dyDescent="0.2">
      <c r="A39" s="3" t="s">
        <v>20</v>
      </c>
      <c r="B39" s="146" t="s">
        <v>416</v>
      </c>
      <c r="C39" s="7" t="s">
        <v>424</v>
      </c>
      <c r="D39" s="4" t="s">
        <v>17</v>
      </c>
      <c r="E39" s="142">
        <f>VLOOKUP(D39,'IDHM (IBGE2022)'!$A$4:$N$402,14,FALSE)</f>
        <v>58830.87</v>
      </c>
      <c r="F39" s="90">
        <f>VLOOKUP(D39,'IDHM (IBGE2022)'!$A$4:$J$402,10,FALSE)</f>
        <v>0.70599999999999996</v>
      </c>
      <c r="G39" s="92">
        <f t="shared" si="1"/>
        <v>0.71381465344425532</v>
      </c>
      <c r="H39" s="9">
        <f>VLOOKUP(D39,'IPDM_renda  (IPARDES-PR)'!$A$4:$N$420,14,FALSE)</f>
        <v>0.55231425794803157</v>
      </c>
      <c r="I39" s="9">
        <f>VLOOKUP(D39,'IPDM_educação  (IPARDES-PR)'!$A$4:$N$420,14,FALSE)</f>
        <v>0.90600191220088855</v>
      </c>
      <c r="J39" s="9">
        <f>VLOOKUP(D39,'IPDM_saúde   (IPARDES-PR)'!$A$4:$N$466,14,FALSE)</f>
        <v>0.68312779018384584</v>
      </c>
      <c r="L39" s="10" t="str">
        <f t="shared" si="0"/>
        <v>Leste - A04</v>
      </c>
    </row>
    <row r="40" spans="1:12" x14ac:dyDescent="0.2">
      <c r="A40" s="3" t="s">
        <v>20</v>
      </c>
      <c r="B40" s="146" t="s">
        <v>416</v>
      </c>
      <c r="C40" s="7" t="s">
        <v>424</v>
      </c>
      <c r="D40" s="3" t="s">
        <v>392</v>
      </c>
      <c r="E40" s="142">
        <f>VLOOKUP(D40,'IDHM (IBGE2022)'!$A$4:$N$402,14,FALSE)</f>
        <v>72484.08</v>
      </c>
      <c r="F40" s="90">
        <f>VLOOKUP(D40,'IDHM (IBGE2022)'!$A$4:$J$402,10,FALSE)</f>
        <v>0.70799999999999996</v>
      </c>
      <c r="G40" s="92">
        <f t="shared" si="1"/>
        <v>0.80052045392240456</v>
      </c>
      <c r="H40" s="9">
        <f>VLOOKUP(D40,'IPDM_renda  (IPARDES-PR)'!$A$4:$N$420,14,FALSE)</f>
        <v>0.57015635036924295</v>
      </c>
      <c r="I40" s="9">
        <f>VLOOKUP(D40,'IPDM_educação  (IPARDES-PR)'!$A$4:$N$420,14,FALSE)</f>
        <v>0.90786035368618268</v>
      </c>
      <c r="J40" s="9">
        <f>VLOOKUP(D40,'IPDM_saúde   (IPARDES-PR)'!$A$4:$N$466,14,FALSE)</f>
        <v>0.92354465771178795</v>
      </c>
      <c r="L40" s="10" t="str">
        <f t="shared" si="0"/>
        <v>Leste - A04</v>
      </c>
    </row>
    <row r="41" spans="1:12" x14ac:dyDescent="0.2">
      <c r="A41" s="3" t="s">
        <v>20</v>
      </c>
      <c r="B41" s="146" t="s">
        <v>416</v>
      </c>
      <c r="C41" s="7" t="s">
        <v>424</v>
      </c>
      <c r="D41" s="4" t="s">
        <v>23</v>
      </c>
      <c r="E41" s="142">
        <f>VLOOKUP(D41,'IDHM (IBGE2022)'!$A$4:$N$402,14,FALSE)</f>
        <v>65573.86</v>
      </c>
      <c r="F41" s="90">
        <f>VLOOKUP(D41,'IDHM (IBGE2022)'!$A$4:$J$402,10,FALSE)</f>
        <v>0.71799999999999997</v>
      </c>
      <c r="G41" s="92">
        <f t="shared" si="1"/>
        <v>0.78253149081331064</v>
      </c>
      <c r="H41" s="9">
        <f>VLOOKUP(D41,'IPDM_renda  (IPARDES-PR)'!$A$4:$N$420,14,FALSE)</f>
        <v>0.54804711183861987</v>
      </c>
      <c r="I41" s="9">
        <f>VLOOKUP(D41,'IPDM_educação  (IPARDES-PR)'!$A$4:$N$420,14,FALSE)</f>
        <v>0.92390972013890493</v>
      </c>
      <c r="J41" s="9">
        <f>VLOOKUP(D41,'IPDM_saúde   (IPARDES-PR)'!$A$4:$N$466,14,FALSE)</f>
        <v>0.87563764046240733</v>
      </c>
      <c r="L41" s="10" t="str">
        <f t="shared" si="0"/>
        <v>Leste - A04</v>
      </c>
    </row>
    <row r="42" spans="1:12" x14ac:dyDescent="0.2">
      <c r="A42" s="3" t="s">
        <v>20</v>
      </c>
      <c r="B42" s="146" t="s">
        <v>416</v>
      </c>
      <c r="C42" s="7" t="s">
        <v>424</v>
      </c>
      <c r="D42" s="4" t="s">
        <v>24</v>
      </c>
      <c r="E42" s="142">
        <f>VLOOKUP(D42,'IDHM (IBGE2022)'!$A$4:$N$402,14,FALSE)</f>
        <v>63813.74</v>
      </c>
      <c r="F42" s="90">
        <f>VLOOKUP(D42,'IDHM (IBGE2022)'!$A$4:$J$402,10,FALSE)</f>
        <v>0.629</v>
      </c>
      <c r="G42" s="92">
        <f t="shared" si="1"/>
        <v>0.70598850124782331</v>
      </c>
      <c r="H42" s="9">
        <f>VLOOKUP(D42,'IPDM_renda  (IPARDES-PR)'!$A$4:$N$420,14,FALSE)</f>
        <v>0.44391744762961227</v>
      </c>
      <c r="I42" s="9">
        <f>VLOOKUP(D42,'IPDM_educação  (IPARDES-PR)'!$A$4:$N$420,14,FALSE)</f>
        <v>0.82413674017922989</v>
      </c>
      <c r="J42" s="9">
        <f>VLOOKUP(D42,'IPDM_saúde   (IPARDES-PR)'!$A$4:$N$466,14,FALSE)</f>
        <v>0.84991131593462788</v>
      </c>
      <c r="L42" s="10" t="str">
        <f t="shared" si="0"/>
        <v>Leste - A04</v>
      </c>
    </row>
    <row r="43" spans="1:12" x14ac:dyDescent="0.2">
      <c r="A43" s="3" t="s">
        <v>20</v>
      </c>
      <c r="B43" s="146" t="s">
        <v>416</v>
      </c>
      <c r="C43" s="7" t="s">
        <v>424</v>
      </c>
      <c r="D43" s="4" t="s">
        <v>25</v>
      </c>
      <c r="E43" s="142">
        <f>VLOOKUP(D43,'IDHM (IBGE2022)'!$A$4:$N$402,14,FALSE)</f>
        <v>45653.17</v>
      </c>
      <c r="F43" s="90">
        <f>VLOOKUP(D43,'IDHM (IBGE2022)'!$A$4:$J$402,10,FALSE)</f>
        <v>0.71899999999999997</v>
      </c>
      <c r="G43" s="92">
        <f t="shared" si="1"/>
        <v>0.79187743574761849</v>
      </c>
      <c r="H43" s="9">
        <f>VLOOKUP(D43,'IPDM_renda  (IPARDES-PR)'!$A$4:$N$420,14,FALSE)</f>
        <v>0.5441645073332021</v>
      </c>
      <c r="I43" s="9">
        <f>VLOOKUP(D43,'IPDM_educação  (IPARDES-PR)'!$A$4:$N$420,14,FALSE)</f>
        <v>0.94316459528373886</v>
      </c>
      <c r="J43" s="9">
        <f>VLOOKUP(D43,'IPDM_saúde   (IPARDES-PR)'!$A$4:$N$466,14,FALSE)</f>
        <v>0.88830320462591461</v>
      </c>
      <c r="L43" s="10" t="str">
        <f t="shared" si="0"/>
        <v>Leste - A04</v>
      </c>
    </row>
    <row r="44" spans="1:12" x14ac:dyDescent="0.2">
      <c r="A44" s="3" t="s">
        <v>26</v>
      </c>
      <c r="B44" s="146" t="s">
        <v>416</v>
      </c>
      <c r="C44" s="145" t="s">
        <v>425</v>
      </c>
      <c r="D44" s="4" t="s">
        <v>27</v>
      </c>
      <c r="E44" s="142">
        <f>VLOOKUP(D44,'IDHM (IBGE2022)'!$A$4:$N$402,14,FALSE)</f>
        <v>42256.959999999999</v>
      </c>
      <c r="F44" s="90">
        <f>VLOOKUP(D44,'IDHM (IBGE2022)'!$A$4:$J$402,10,FALSE)</f>
        <v>0.66700000000000004</v>
      </c>
      <c r="G44" s="92">
        <f t="shared" si="1"/>
        <v>0.74669591372460831</v>
      </c>
      <c r="H44" s="9">
        <f>VLOOKUP(D44,'IPDM_renda  (IPARDES-PR)'!$A$4:$N$420,14,FALSE)</f>
        <v>0.51255109608724825</v>
      </c>
      <c r="I44" s="9">
        <f>VLOOKUP(D44,'IPDM_educação  (IPARDES-PR)'!$A$4:$N$420,14,FALSE)</f>
        <v>0.87734678692101553</v>
      </c>
      <c r="J44" s="9">
        <f>VLOOKUP(D44,'IPDM_saúde   (IPARDES-PR)'!$A$4:$N$466,14,FALSE)</f>
        <v>0.85018985816556125</v>
      </c>
      <c r="L44" s="10" t="str">
        <f t="shared" si="0"/>
        <v>Leste - A05</v>
      </c>
    </row>
    <row r="45" spans="1:12" x14ac:dyDescent="0.2">
      <c r="A45" s="3" t="s">
        <v>26</v>
      </c>
      <c r="B45" s="146" t="s">
        <v>416</v>
      </c>
      <c r="C45" s="145" t="s">
        <v>425</v>
      </c>
      <c r="D45" s="4" t="s">
        <v>28</v>
      </c>
      <c r="E45" s="142">
        <f>VLOOKUP(D45,'IDHM (IBGE2022)'!$A$4:$N$402,14,FALSE)</f>
        <v>31791.46</v>
      </c>
      <c r="F45" s="90">
        <f>VLOOKUP(D45,'IDHM (IBGE2022)'!$A$4:$J$402,10,FALSE)</f>
        <v>0.66400000000000003</v>
      </c>
      <c r="G45" s="92">
        <f t="shared" si="1"/>
        <v>0.70545803494836823</v>
      </c>
      <c r="H45" s="9">
        <f>VLOOKUP(D45,'IPDM_renda  (IPARDES-PR)'!$A$4:$N$420,14,FALSE)</f>
        <v>0.38897879108655642</v>
      </c>
      <c r="I45" s="9">
        <f>VLOOKUP(D45,'IPDM_educação  (IPARDES-PR)'!$A$4:$N$420,14,FALSE)</f>
        <v>0.90011115039892164</v>
      </c>
      <c r="J45" s="9">
        <f>VLOOKUP(D45,'IPDM_saúde   (IPARDES-PR)'!$A$4:$N$466,14,FALSE)</f>
        <v>0.82728416335962651</v>
      </c>
      <c r="L45" s="10" t="str">
        <f t="shared" si="0"/>
        <v>Leste - A05</v>
      </c>
    </row>
    <row r="46" spans="1:12" x14ac:dyDescent="0.2">
      <c r="A46" s="3" t="s">
        <v>26</v>
      </c>
      <c r="B46" s="146" t="s">
        <v>416</v>
      </c>
      <c r="C46" s="145" t="s">
        <v>425</v>
      </c>
      <c r="D46" s="4" t="s">
        <v>29</v>
      </c>
      <c r="E46" s="142">
        <f>VLOOKUP(D46,'IDHM (IBGE2022)'!$A$4:$N$402,14,FALSE)</f>
        <v>39531.18</v>
      </c>
      <c r="F46" s="90">
        <f>VLOOKUP(D46,'IDHM (IBGE2022)'!$A$4:$J$402,10,FALSE)</f>
        <v>0.65200000000000002</v>
      </c>
      <c r="G46" s="92">
        <f t="shared" si="1"/>
        <v>0.68180927497082389</v>
      </c>
      <c r="H46" s="9">
        <f>VLOOKUP(D46,'IPDM_renda  (IPARDES-PR)'!$A$4:$N$420,14,FALSE)</f>
        <v>0.4217041605680541</v>
      </c>
      <c r="I46" s="9">
        <f>VLOOKUP(D46,'IPDM_educação  (IPARDES-PR)'!$A$4:$N$420,14,FALSE)</f>
        <v>0.77886909541326399</v>
      </c>
      <c r="J46" s="9">
        <f>VLOOKUP(D46,'IPDM_saúde   (IPARDES-PR)'!$A$4:$N$466,14,FALSE)</f>
        <v>0.84485456893115385</v>
      </c>
      <c r="L46" s="10" t="str">
        <f t="shared" si="0"/>
        <v>Leste - A05</v>
      </c>
    </row>
    <row r="47" spans="1:12" x14ac:dyDescent="0.2">
      <c r="A47" s="3" t="s">
        <v>26</v>
      </c>
      <c r="B47" s="146" t="s">
        <v>416</v>
      </c>
      <c r="C47" s="145" t="s">
        <v>425</v>
      </c>
      <c r="D47" s="4" t="s">
        <v>389</v>
      </c>
      <c r="E47" s="142">
        <f>VLOOKUP(D47,'IDHM (IBGE2022)'!$A$4:$N$402,14,FALSE)</f>
        <v>35819.06</v>
      </c>
      <c r="F47" s="90">
        <f>VLOOKUP(D47,'IDHM (IBGE2022)'!$A$4:$J$402,10,FALSE)</f>
        <v>0.66</v>
      </c>
      <c r="G47" s="92">
        <f t="shared" si="1"/>
        <v>0.69221343676488123</v>
      </c>
      <c r="H47" s="9">
        <f>VLOOKUP(D47,'IPDM_renda  (IPARDES-PR)'!$A$4:$N$420,14,FALSE)</f>
        <v>0.54075627639469592</v>
      </c>
      <c r="I47" s="9">
        <f>VLOOKUP(D47,'IPDM_educação  (IPARDES-PR)'!$A$4:$N$420,14,FALSE)</f>
        <v>0.72698026104750368</v>
      </c>
      <c r="J47" s="9">
        <f>VLOOKUP(D47,'IPDM_saúde   (IPARDES-PR)'!$A$4:$N$466,14,FALSE)</f>
        <v>0.80890377285244408</v>
      </c>
      <c r="L47" s="10" t="str">
        <f t="shared" si="0"/>
        <v>Leste - A05</v>
      </c>
    </row>
    <row r="48" spans="1:12" x14ac:dyDescent="0.2">
      <c r="A48" s="3" t="s">
        <v>26</v>
      </c>
      <c r="B48" s="146" t="s">
        <v>416</v>
      </c>
      <c r="C48" s="145" t="s">
        <v>425</v>
      </c>
      <c r="D48" s="4" t="s">
        <v>30</v>
      </c>
      <c r="E48" s="142">
        <f>VLOOKUP(D48,'IDHM (IBGE2022)'!$A$4:$N$402,14,FALSE)</f>
        <v>86221.59</v>
      </c>
      <c r="F48" s="90">
        <f>VLOOKUP(D48,'IDHM (IBGE2022)'!$A$4:$J$402,10,FALSE)</f>
        <v>0.71699999999999997</v>
      </c>
      <c r="G48" s="92">
        <f t="shared" si="1"/>
        <v>0.73475371850736293</v>
      </c>
      <c r="H48" s="9">
        <f>VLOOKUP(D48,'IPDM_renda  (IPARDES-PR)'!$A$4:$N$420,14,FALSE)</f>
        <v>0.47509726347642106</v>
      </c>
      <c r="I48" s="9">
        <f>VLOOKUP(D48,'IPDM_educação  (IPARDES-PR)'!$A$4:$N$420,14,FALSE)</f>
        <v>0.88277493901327353</v>
      </c>
      <c r="J48" s="9">
        <f>VLOOKUP(D48,'IPDM_saúde   (IPARDES-PR)'!$A$4:$N$466,14,FALSE)</f>
        <v>0.84638895303239436</v>
      </c>
      <c r="L48" s="10" t="str">
        <f t="shared" si="0"/>
        <v>Leste - A05</v>
      </c>
    </row>
    <row r="49" spans="1:12" x14ac:dyDescent="0.2">
      <c r="A49" s="3" t="s">
        <v>26</v>
      </c>
      <c r="B49" s="146" t="s">
        <v>416</v>
      </c>
      <c r="C49" s="145" t="s">
        <v>425</v>
      </c>
      <c r="D49" s="4" t="s">
        <v>393</v>
      </c>
      <c r="E49" s="142">
        <f>VLOOKUP(D49,'IDHM (IBGE2022)'!$A$4:$N$402,14,FALSE)</f>
        <v>74705.210000000006</v>
      </c>
      <c r="F49" s="90">
        <f>VLOOKUP(D49,'IDHM (IBGE2022)'!$A$4:$J$402,10,FALSE)</f>
        <v>0.70799999999999996</v>
      </c>
      <c r="G49" s="92">
        <f t="shared" si="1"/>
        <v>0.74902496403753338</v>
      </c>
      <c r="H49" s="9">
        <f>VLOOKUP(D49,'IPDM_renda  (IPARDES-PR)'!$A$4:$N$420,14,FALSE)</f>
        <v>0.45627442507536808</v>
      </c>
      <c r="I49" s="9">
        <f>VLOOKUP(D49,'IPDM_educação  (IPARDES-PR)'!$A$4:$N$420,14,FALSE)</f>
        <v>0.90757103583682464</v>
      </c>
      <c r="J49" s="9">
        <f>VLOOKUP(D49,'IPDM_saúde   (IPARDES-PR)'!$A$4:$N$466,14,FALSE)</f>
        <v>0.88322943120040742</v>
      </c>
      <c r="L49" s="10" t="str">
        <f t="shared" si="0"/>
        <v>Leste - A05</v>
      </c>
    </row>
    <row r="50" spans="1:12" x14ac:dyDescent="0.2">
      <c r="A50" s="3" t="s">
        <v>26</v>
      </c>
      <c r="B50" s="146" t="s">
        <v>416</v>
      </c>
      <c r="C50" s="145" t="s">
        <v>425</v>
      </c>
      <c r="D50" s="4" t="s">
        <v>31</v>
      </c>
      <c r="E50" s="142">
        <f>VLOOKUP(D50,'IDHM (IBGE2022)'!$A$4:$N$402,14,FALSE)</f>
        <v>27608.39</v>
      </c>
      <c r="F50" s="90">
        <f>VLOOKUP(D50,'IDHM (IBGE2022)'!$A$4:$J$402,10,FALSE)</f>
        <v>0.68500000000000005</v>
      </c>
      <c r="G50" s="92">
        <f t="shared" si="1"/>
        <v>0.74999072938379518</v>
      </c>
      <c r="H50" s="9">
        <f>VLOOKUP(D50,'IPDM_renda  (IPARDES-PR)'!$A$4:$N$420,14,FALSE)</f>
        <v>0.41820362282685392</v>
      </c>
      <c r="I50" s="9">
        <f>VLOOKUP(D50,'IPDM_educação  (IPARDES-PR)'!$A$4:$N$420,14,FALSE)</f>
        <v>0.8954657689334814</v>
      </c>
      <c r="J50" s="9">
        <f>VLOOKUP(D50,'IPDM_saúde   (IPARDES-PR)'!$A$4:$N$466,14,FALSE)</f>
        <v>0.93630279639105041</v>
      </c>
      <c r="L50" s="10" t="str">
        <f t="shared" si="0"/>
        <v>Leste - A05</v>
      </c>
    </row>
    <row r="51" spans="1:12" x14ac:dyDescent="0.2">
      <c r="A51" s="3" t="s">
        <v>26</v>
      </c>
      <c r="B51" s="146" t="s">
        <v>416</v>
      </c>
      <c r="C51" s="145" t="s">
        <v>425</v>
      </c>
      <c r="D51" s="4" t="s">
        <v>32</v>
      </c>
      <c r="E51" s="142">
        <f>VLOOKUP(D51,'IDHM (IBGE2022)'!$A$4:$N$402,14,FALSE)</f>
        <v>40400.71</v>
      </c>
      <c r="F51" s="90">
        <f>VLOOKUP(D51,'IDHM (IBGE2022)'!$A$4:$J$402,10,FALSE)</f>
        <v>0.74</v>
      </c>
      <c r="G51" s="92">
        <f t="shared" si="1"/>
        <v>0.78512587081826801</v>
      </c>
      <c r="H51" s="9">
        <f>VLOOKUP(D51,'IPDM_renda  (IPARDES-PR)'!$A$4:$N$420,14,FALSE)</f>
        <v>0.53220730547220962</v>
      </c>
      <c r="I51" s="9">
        <f>VLOOKUP(D51,'IPDM_educação  (IPARDES-PR)'!$A$4:$N$420,14,FALSE)</f>
        <v>0.94030367889831312</v>
      </c>
      <c r="J51" s="9">
        <f>VLOOKUP(D51,'IPDM_saúde   (IPARDES-PR)'!$A$4:$N$466,14,FALSE)</f>
        <v>0.8828666280842814</v>
      </c>
      <c r="L51" s="10" t="str">
        <f t="shared" si="0"/>
        <v>Leste - A05</v>
      </c>
    </row>
    <row r="52" spans="1:12" x14ac:dyDescent="0.2">
      <c r="A52" s="3" t="s">
        <v>33</v>
      </c>
      <c r="B52" s="147" t="s">
        <v>420</v>
      </c>
      <c r="C52" s="7" t="s">
        <v>421</v>
      </c>
      <c r="D52" s="4" t="s">
        <v>34</v>
      </c>
      <c r="E52" s="142">
        <f>VLOOKUP(D52,'IDHM (IBGE2022)'!$A$4:$N$402,14,FALSE)</f>
        <v>63347.91</v>
      </c>
      <c r="F52" s="90">
        <f>VLOOKUP(D52,'IDHM (IBGE2022)'!$A$4:$J$402,10,FALSE)</f>
        <v>0.72299999999999998</v>
      </c>
      <c r="G52" s="92">
        <f t="shared" si="1"/>
        <v>0.79147991679128016</v>
      </c>
      <c r="H52" s="9">
        <f>VLOOKUP(D52,'IPDM_renda  (IPARDES-PR)'!$A$4:$N$420,14,FALSE)</f>
        <v>0.62716884126243233</v>
      </c>
      <c r="I52" s="9">
        <f>VLOOKUP(D52,'IPDM_educação  (IPARDES-PR)'!$A$4:$N$420,14,FALSE)</f>
        <v>0.93214933657938148</v>
      </c>
      <c r="J52" s="9">
        <f>VLOOKUP(D52,'IPDM_saúde   (IPARDES-PR)'!$A$4:$N$466,14,FALSE)</f>
        <v>0.81512157253202655</v>
      </c>
      <c r="L52" s="10" t="str">
        <f t="shared" si="0"/>
        <v>Campos Gerais - A01</v>
      </c>
    </row>
    <row r="53" spans="1:12" x14ac:dyDescent="0.2">
      <c r="A53" s="3" t="s">
        <v>33</v>
      </c>
      <c r="B53" s="147" t="s">
        <v>420</v>
      </c>
      <c r="C53" s="7" t="s">
        <v>421</v>
      </c>
      <c r="D53" s="4" t="s">
        <v>35</v>
      </c>
      <c r="E53" s="142">
        <f>VLOOKUP(D53,'IDHM (IBGE2022)'!$A$4:$N$402,14,FALSE)</f>
        <v>61820.06</v>
      </c>
      <c r="F53" s="90">
        <f>VLOOKUP(D53,'IDHM (IBGE2022)'!$A$4:$J$402,10,FALSE)</f>
        <v>0.70299999999999996</v>
      </c>
      <c r="G53" s="92">
        <f t="shared" si="1"/>
        <v>0.80606672687411596</v>
      </c>
      <c r="H53" s="9">
        <f>VLOOKUP(D53,'IPDM_renda  (IPARDES-PR)'!$A$4:$N$420,14,FALSE)</f>
        <v>0.65807983555560501</v>
      </c>
      <c r="I53" s="9">
        <f>VLOOKUP(D53,'IPDM_educação  (IPARDES-PR)'!$A$4:$N$420,14,FALSE)</f>
        <v>0.90495335774783436</v>
      </c>
      <c r="J53" s="9">
        <f>VLOOKUP(D53,'IPDM_saúde   (IPARDES-PR)'!$A$4:$N$466,14,FALSE)</f>
        <v>0.85516698731890861</v>
      </c>
      <c r="L53" s="10" t="str">
        <f t="shared" si="0"/>
        <v>Campos Gerais - A01</v>
      </c>
    </row>
    <row r="54" spans="1:12" x14ac:dyDescent="0.2">
      <c r="A54" s="3" t="s">
        <v>33</v>
      </c>
      <c r="B54" s="147" t="s">
        <v>420</v>
      </c>
      <c r="C54" s="7" t="s">
        <v>421</v>
      </c>
      <c r="D54" s="4" t="s">
        <v>36</v>
      </c>
      <c r="E54" s="142">
        <f>VLOOKUP(D54,'IDHM (IBGE2022)'!$A$4:$N$402,14,FALSE)</f>
        <v>58693.11</v>
      </c>
      <c r="F54" s="90">
        <f>VLOOKUP(D54,'IDHM (IBGE2022)'!$A$4:$J$402,10,FALSE)</f>
        <v>0.74299999999999999</v>
      </c>
      <c r="G54" s="92">
        <f t="shared" si="1"/>
        <v>0.78052209661567729</v>
      </c>
      <c r="H54" s="9">
        <f>VLOOKUP(D54,'IPDM_renda  (IPARDES-PR)'!$A$4:$N$420,14,FALSE)</f>
        <v>0.56691545377687014</v>
      </c>
      <c r="I54" s="9">
        <f>VLOOKUP(D54,'IPDM_educação  (IPARDES-PR)'!$A$4:$N$420,14,FALSE)</f>
        <v>0.89895330311024002</v>
      </c>
      <c r="J54" s="9">
        <f>VLOOKUP(D54,'IPDM_saúde   (IPARDES-PR)'!$A$4:$N$466,14,FALSE)</f>
        <v>0.87569753295992181</v>
      </c>
      <c r="L54" s="10" t="str">
        <f t="shared" si="0"/>
        <v>Campos Gerais - A01</v>
      </c>
    </row>
    <row r="55" spans="1:12" x14ac:dyDescent="0.2">
      <c r="A55" s="3" t="s">
        <v>33</v>
      </c>
      <c r="B55" s="147" t="s">
        <v>420</v>
      </c>
      <c r="C55" s="7" t="s">
        <v>421</v>
      </c>
      <c r="D55" s="4" t="s">
        <v>37</v>
      </c>
      <c r="E55" s="142">
        <f>VLOOKUP(D55,'IDHM (IBGE2022)'!$A$4:$N$402,14,FALSE)</f>
        <v>60939.33</v>
      </c>
      <c r="F55" s="90">
        <f>VLOOKUP(D55,'IDHM (IBGE2022)'!$A$4:$J$402,10,FALSE)</f>
        <v>0.70799999999999996</v>
      </c>
      <c r="G55" s="92">
        <f t="shared" si="1"/>
        <v>0.73995733085106907</v>
      </c>
      <c r="H55" s="9">
        <f>VLOOKUP(D55,'IPDM_renda  (IPARDES-PR)'!$A$4:$N$420,14,FALSE)</f>
        <v>0.56012022381255666</v>
      </c>
      <c r="I55" s="9">
        <f>VLOOKUP(D55,'IPDM_educação  (IPARDES-PR)'!$A$4:$N$420,14,FALSE)</f>
        <v>0.85230698164171159</v>
      </c>
      <c r="J55" s="9">
        <f>VLOOKUP(D55,'IPDM_saúde   (IPARDES-PR)'!$A$4:$N$466,14,FALSE)</f>
        <v>0.80744478709893863</v>
      </c>
      <c r="L55" s="10" t="str">
        <f t="shared" si="0"/>
        <v>Campos Gerais - A01</v>
      </c>
    </row>
    <row r="56" spans="1:12" x14ac:dyDescent="0.2">
      <c r="A56" s="3" t="s">
        <v>33</v>
      </c>
      <c r="B56" s="147" t="s">
        <v>420</v>
      </c>
      <c r="C56" s="7" t="s">
        <v>421</v>
      </c>
      <c r="D56" s="4" t="s">
        <v>175</v>
      </c>
      <c r="E56" s="142">
        <f>VLOOKUP(D56,'IDHM (IBGE2022)'!$A$4:$N$402,14,FALSE)</f>
        <v>23913.67</v>
      </c>
      <c r="F56" s="90">
        <f>VLOOKUP(D56,'IDHM (IBGE2022)'!$A$4:$J$402,10,FALSE)</f>
        <v>0.70399999999999996</v>
      </c>
      <c r="G56" s="92">
        <f t="shared" si="1"/>
        <v>0.71194670936904136</v>
      </c>
      <c r="H56" s="9">
        <f>VLOOKUP(D56,'IPDM_renda  (IPARDES-PR)'!$A$4:$N$420,14,FALSE)</f>
        <v>0.24039712645231656</v>
      </c>
      <c r="I56" s="9">
        <f>VLOOKUP(D56,'IPDM_educação  (IPARDES-PR)'!$A$4:$N$420,14,FALSE)</f>
        <v>0.94215034321111668</v>
      </c>
      <c r="J56" s="9">
        <f>VLOOKUP(D56,'IPDM_saúde   (IPARDES-PR)'!$A$4:$N$466,14,FALSE)</f>
        <v>0.95329265844369082</v>
      </c>
      <c r="L56" s="10" t="str">
        <f t="shared" si="0"/>
        <v>Campos Gerais - A01</v>
      </c>
    </row>
    <row r="57" spans="1:12" x14ac:dyDescent="0.2">
      <c r="A57" s="3" t="s">
        <v>33</v>
      </c>
      <c r="B57" s="147" t="s">
        <v>420</v>
      </c>
      <c r="C57" s="7" t="s">
        <v>421</v>
      </c>
      <c r="D57" s="4" t="s">
        <v>38</v>
      </c>
      <c r="E57" s="142">
        <f>VLOOKUP(D57,'IDHM (IBGE2022)'!$A$4:$N$402,14,FALSE)</f>
        <v>33377.18</v>
      </c>
      <c r="F57" s="90">
        <f>VLOOKUP(D57,'IDHM (IBGE2022)'!$A$4:$J$402,10,FALSE)</f>
        <v>0.68700000000000006</v>
      </c>
      <c r="G57" s="92">
        <f t="shared" si="1"/>
        <v>0.7486106940210786</v>
      </c>
      <c r="H57" s="9">
        <f>VLOOKUP(D57,'IPDM_renda  (IPARDES-PR)'!$A$4:$N$420,14,FALSE)</f>
        <v>0.41012328991351105</v>
      </c>
      <c r="I57" s="9">
        <f>VLOOKUP(D57,'IPDM_educação  (IPARDES-PR)'!$A$4:$N$420,14,FALSE)</f>
        <v>0.91075505959503311</v>
      </c>
      <c r="J57" s="9">
        <f>VLOOKUP(D57,'IPDM_saúde   (IPARDES-PR)'!$A$4:$N$466,14,FALSE)</f>
        <v>0.92495373255469182</v>
      </c>
      <c r="L57" s="10" t="str">
        <f t="shared" si="0"/>
        <v>Campos Gerais - A01</v>
      </c>
    </row>
    <row r="58" spans="1:12" x14ac:dyDescent="0.2">
      <c r="A58" s="3" t="s">
        <v>33</v>
      </c>
      <c r="B58" s="147" t="s">
        <v>420</v>
      </c>
      <c r="C58" s="7" t="s">
        <v>421</v>
      </c>
      <c r="D58" s="4" t="s">
        <v>39</v>
      </c>
      <c r="E58" s="142">
        <f>VLOOKUP(D58,'IDHM (IBGE2022)'!$A$4:$N$402,14,FALSE)</f>
        <v>38516.720000000001</v>
      </c>
      <c r="F58" s="90">
        <f>VLOOKUP(D58,'IDHM (IBGE2022)'!$A$4:$J$402,10,FALSE)</f>
        <v>0.67100000000000004</v>
      </c>
      <c r="G58" s="92">
        <f t="shared" si="1"/>
        <v>0.68660161840003298</v>
      </c>
      <c r="H58" s="9">
        <f>VLOOKUP(D58,'IPDM_renda  (IPARDES-PR)'!$A$4:$N$420,14,FALSE)</f>
        <v>0.40731768862076734</v>
      </c>
      <c r="I58" s="9">
        <f>VLOOKUP(D58,'IPDM_educação  (IPARDES-PR)'!$A$4:$N$420,14,FALSE)</f>
        <v>0.94644250738037838</v>
      </c>
      <c r="J58" s="9">
        <f>VLOOKUP(D58,'IPDM_saúde   (IPARDES-PR)'!$A$4:$N$466,14,FALSE)</f>
        <v>0.70604465919895298</v>
      </c>
      <c r="L58" s="10" t="str">
        <f t="shared" si="0"/>
        <v>Campos Gerais - A01</v>
      </c>
    </row>
    <row r="59" spans="1:12" x14ac:dyDescent="0.2">
      <c r="A59" s="3" t="s">
        <v>33</v>
      </c>
      <c r="B59" s="147" t="s">
        <v>420</v>
      </c>
      <c r="C59" s="7" t="s">
        <v>421</v>
      </c>
      <c r="D59" s="4" t="s">
        <v>391</v>
      </c>
      <c r="E59" s="142">
        <f>VLOOKUP(D59,'IDHM (IBGE2022)'!$A$4:$N$402,14,FALSE)</f>
        <v>40007.199999999997</v>
      </c>
      <c r="F59" s="90">
        <f>VLOOKUP(D59,'IDHM (IBGE2022)'!$A$4:$J$402,10,FALSE)</f>
        <v>0.66300000000000003</v>
      </c>
      <c r="G59" s="92">
        <f t="shared" si="1"/>
        <v>0.7833211941951288</v>
      </c>
      <c r="H59" s="9">
        <f>VLOOKUP(D59,'IPDM_renda  (IPARDES-PR)'!$A$4:$N$420,14,FALSE)</f>
        <v>0.57342204632921578</v>
      </c>
      <c r="I59" s="9">
        <f>VLOOKUP(D59,'IPDM_educação  (IPARDES-PR)'!$A$4:$N$420,14,FALSE)</f>
        <v>0.90980575926026963</v>
      </c>
      <c r="J59" s="9">
        <f>VLOOKUP(D59,'IPDM_saúde   (IPARDES-PR)'!$A$4:$N$466,14,FALSE)</f>
        <v>0.86673577699590088</v>
      </c>
      <c r="L59" s="10" t="str">
        <f t="shared" si="0"/>
        <v>Campos Gerais - A01</v>
      </c>
    </row>
    <row r="60" spans="1:12" x14ac:dyDescent="0.2">
      <c r="A60" s="3" t="s">
        <v>33</v>
      </c>
      <c r="B60" s="147" t="s">
        <v>420</v>
      </c>
      <c r="C60" s="7" t="s">
        <v>421</v>
      </c>
      <c r="D60" s="4" t="s">
        <v>40</v>
      </c>
      <c r="E60" s="142">
        <f>VLOOKUP(D60,'IDHM (IBGE2022)'!$A$4:$N$402,14,FALSE)</f>
        <v>39126.519999999997</v>
      </c>
      <c r="F60" s="90">
        <f>VLOOKUP(D60,'IDHM (IBGE2022)'!$A$4:$J$402,10,FALSE)</f>
        <v>0.65</v>
      </c>
      <c r="G60" s="92">
        <f t="shared" si="1"/>
        <v>0.69553382421877219</v>
      </c>
      <c r="H60" s="9">
        <f>VLOOKUP(D60,'IPDM_renda  (IPARDES-PR)'!$A$4:$N$420,14,FALSE)</f>
        <v>0.51451757893850025</v>
      </c>
      <c r="I60" s="9">
        <f>VLOOKUP(D60,'IPDM_educação  (IPARDES-PR)'!$A$4:$N$420,14,FALSE)</f>
        <v>0.8068162441922424</v>
      </c>
      <c r="J60" s="9">
        <f>VLOOKUP(D60,'IPDM_saúde   (IPARDES-PR)'!$A$4:$N$466,14,FALSE)</f>
        <v>0.7652676495255738</v>
      </c>
      <c r="L60" s="10" t="str">
        <f t="shared" si="0"/>
        <v>Campos Gerais - A01</v>
      </c>
    </row>
    <row r="61" spans="1:12" x14ac:dyDescent="0.2">
      <c r="A61" s="3" t="s">
        <v>33</v>
      </c>
      <c r="B61" s="147" t="s">
        <v>420</v>
      </c>
      <c r="C61" s="7" t="s">
        <v>421</v>
      </c>
      <c r="D61" s="4" t="s">
        <v>41</v>
      </c>
      <c r="E61" s="142">
        <f>VLOOKUP(D61,'IDHM (IBGE2022)'!$A$4:$N$402,14,FALSE)</f>
        <v>39986.239999999998</v>
      </c>
      <c r="F61" s="90">
        <f>VLOOKUP(D61,'IDHM (IBGE2022)'!$A$4:$J$402,10,FALSE)</f>
        <v>0.68700000000000006</v>
      </c>
      <c r="G61" s="92">
        <f t="shared" si="1"/>
        <v>0.74059716329125125</v>
      </c>
      <c r="H61" s="9">
        <f>VLOOKUP(D61,'IPDM_renda  (IPARDES-PR)'!$A$4:$N$420,14,FALSE)</f>
        <v>0.39509691582024331</v>
      </c>
      <c r="I61" s="9">
        <f>VLOOKUP(D61,'IPDM_educação  (IPARDES-PR)'!$A$4:$N$420,14,FALSE)</f>
        <v>0.91913420065485385</v>
      </c>
      <c r="J61" s="9">
        <f>VLOOKUP(D61,'IPDM_saúde   (IPARDES-PR)'!$A$4:$N$466,14,FALSE)</f>
        <v>0.90756037339865647</v>
      </c>
      <c r="L61" s="10" t="str">
        <f t="shared" si="0"/>
        <v>Campos Gerais - A01</v>
      </c>
    </row>
    <row r="62" spans="1:12" x14ac:dyDescent="0.2">
      <c r="A62" s="5" t="s">
        <v>42</v>
      </c>
      <c r="B62" s="147" t="s">
        <v>420</v>
      </c>
      <c r="C62" s="145" t="s">
        <v>422</v>
      </c>
      <c r="D62" s="4" t="s">
        <v>16</v>
      </c>
      <c r="E62" s="142">
        <f>VLOOKUP(D62,'IDHM (IBGE2022)'!$A$4:$N$402,14,FALSE)</f>
        <v>51863.48</v>
      </c>
      <c r="F62" s="90">
        <f>VLOOKUP(D62,'IDHM (IBGE2022)'!$A$4:$J$402,10,FALSE)</f>
        <v>0.745</v>
      </c>
      <c r="G62" s="92">
        <f t="shared" si="1"/>
        <v>0.77565885430297499</v>
      </c>
      <c r="H62" s="9">
        <f>VLOOKUP(D62,'IPDM_renda  (IPARDES-PR)'!$A$4:$N$420,14,FALSE)</f>
        <v>0.55513007308744711</v>
      </c>
      <c r="I62" s="9">
        <f>VLOOKUP(D62,'IPDM_educação  (IPARDES-PR)'!$A$4:$N$420,14,FALSE)</f>
        <v>0.92592556561042805</v>
      </c>
      <c r="J62" s="9">
        <f>VLOOKUP(D62,'IPDM_saúde   (IPARDES-PR)'!$A$4:$N$466,14,FALSE)</f>
        <v>0.84592092421105003</v>
      </c>
      <c r="L62" s="10" t="str">
        <f t="shared" si="0"/>
        <v>Campos Gerais - A02</v>
      </c>
    </row>
    <row r="63" spans="1:12" x14ac:dyDescent="0.2">
      <c r="A63" s="5" t="s">
        <v>42</v>
      </c>
      <c r="B63" s="147" t="s">
        <v>420</v>
      </c>
      <c r="C63" s="145" t="s">
        <v>422</v>
      </c>
      <c r="D63" s="4" t="s">
        <v>35</v>
      </c>
      <c r="E63" s="142">
        <f>VLOOKUP(D63,'IDHM (IBGE2022)'!$A$4:$N$402,14,FALSE)</f>
        <v>61820.06</v>
      </c>
      <c r="F63" s="90">
        <f>VLOOKUP(D63,'IDHM (IBGE2022)'!$A$4:$J$402,10,FALSE)</f>
        <v>0.70299999999999996</v>
      </c>
      <c r="G63" s="92">
        <f t="shared" si="1"/>
        <v>0.80606672687411596</v>
      </c>
      <c r="H63" s="9">
        <f>VLOOKUP(D63,'IPDM_renda  (IPARDES-PR)'!$A$4:$N$420,14,FALSE)</f>
        <v>0.65807983555560501</v>
      </c>
      <c r="I63" s="9">
        <f>VLOOKUP(D63,'IPDM_educação  (IPARDES-PR)'!$A$4:$N$420,14,FALSE)</f>
        <v>0.90495335774783436</v>
      </c>
      <c r="J63" s="9">
        <f>VLOOKUP(D63,'IPDM_saúde   (IPARDES-PR)'!$A$4:$N$466,14,FALSE)</f>
        <v>0.85516698731890861</v>
      </c>
      <c r="L63" s="10" t="str">
        <f t="shared" si="0"/>
        <v>Campos Gerais - A02</v>
      </c>
    </row>
    <row r="64" spans="1:12" x14ac:dyDescent="0.2">
      <c r="A64" s="5" t="s">
        <v>42</v>
      </c>
      <c r="B64" s="147" t="s">
        <v>420</v>
      </c>
      <c r="C64" s="145" t="s">
        <v>422</v>
      </c>
      <c r="D64" s="4" t="s">
        <v>23</v>
      </c>
      <c r="E64" s="142">
        <f>VLOOKUP(D64,'IDHM (IBGE2022)'!$A$4:$N$402,14,FALSE)</f>
        <v>65573.86</v>
      </c>
      <c r="F64" s="90">
        <f>VLOOKUP(D64,'IDHM (IBGE2022)'!$A$4:$J$402,10,FALSE)</f>
        <v>0.71799999999999997</v>
      </c>
      <c r="G64" s="92">
        <f t="shared" si="1"/>
        <v>0.78253149081331064</v>
      </c>
      <c r="H64" s="9">
        <f>VLOOKUP(D64,'IPDM_renda  (IPARDES-PR)'!$A$4:$N$420,14,FALSE)</f>
        <v>0.54804711183861987</v>
      </c>
      <c r="I64" s="9">
        <f>VLOOKUP(D64,'IPDM_educação  (IPARDES-PR)'!$A$4:$N$420,14,FALSE)</f>
        <v>0.92390972013890493</v>
      </c>
      <c r="J64" s="9">
        <f>VLOOKUP(D64,'IPDM_saúde   (IPARDES-PR)'!$A$4:$N$466,14,FALSE)</f>
        <v>0.87563764046240733</v>
      </c>
      <c r="L64" s="10" t="str">
        <f t="shared" si="0"/>
        <v>Campos Gerais - A02</v>
      </c>
    </row>
    <row r="65" spans="1:12" x14ac:dyDescent="0.2">
      <c r="A65" s="5" t="s">
        <v>42</v>
      </c>
      <c r="B65" s="147" t="s">
        <v>420</v>
      </c>
      <c r="C65" s="145" t="s">
        <v>422</v>
      </c>
      <c r="D65" s="4" t="s">
        <v>43</v>
      </c>
      <c r="E65" s="142">
        <f>VLOOKUP(D65,'IDHM (IBGE2022)'!$A$4:$N$402,14,FALSE)</f>
        <v>71387.820000000007</v>
      </c>
      <c r="F65" s="90">
        <f>VLOOKUP(D65,'IDHM (IBGE2022)'!$A$4:$J$402,10,FALSE)</f>
        <v>0.76300000000000001</v>
      </c>
      <c r="G65" s="92">
        <f t="shared" si="1"/>
        <v>0.79579616067857539</v>
      </c>
      <c r="H65" s="9">
        <f>VLOOKUP(D65,'IPDM_renda  (IPARDES-PR)'!$A$4:$N$420,14,FALSE)</f>
        <v>0.62173663683337199</v>
      </c>
      <c r="I65" s="9">
        <f>VLOOKUP(D65,'IPDM_educação  (IPARDES-PR)'!$A$4:$N$420,14,FALSE)</f>
        <v>0.91212796236383464</v>
      </c>
      <c r="J65" s="9">
        <f>VLOOKUP(D65,'IPDM_saúde   (IPARDES-PR)'!$A$4:$N$466,14,FALSE)</f>
        <v>0.85352388283851932</v>
      </c>
      <c r="L65" s="10" t="str">
        <f t="shared" si="0"/>
        <v>Campos Gerais - A02</v>
      </c>
    </row>
    <row r="66" spans="1:12" x14ac:dyDescent="0.2">
      <c r="A66" s="5" t="s">
        <v>42</v>
      </c>
      <c r="B66" s="147" t="s">
        <v>420</v>
      </c>
      <c r="C66" s="145" t="s">
        <v>422</v>
      </c>
      <c r="D66" s="4" t="s">
        <v>44</v>
      </c>
      <c r="E66" s="142">
        <f>VLOOKUP(D66,'IDHM (IBGE2022)'!$A$4:$N$402,14,FALSE)</f>
        <v>72572.740000000005</v>
      </c>
      <c r="F66" s="90">
        <f>VLOOKUP(D66,'IDHM (IBGE2022)'!$A$4:$J$402,10,FALSE)</f>
        <v>0.66400000000000003</v>
      </c>
      <c r="G66" s="92">
        <f t="shared" si="1"/>
        <v>0.69939620102213473</v>
      </c>
      <c r="H66" s="9">
        <f>VLOOKUP(D66,'IPDM_renda  (IPARDES-PR)'!$A$4:$N$420,14,FALSE)</f>
        <v>0.48176756389072167</v>
      </c>
      <c r="I66" s="9">
        <f>VLOOKUP(D66,'IPDM_educação  (IPARDES-PR)'!$A$4:$N$420,14,FALSE)</f>
        <v>0.74996072338480457</v>
      </c>
      <c r="J66" s="9">
        <f>VLOOKUP(D66,'IPDM_saúde   (IPARDES-PR)'!$A$4:$N$466,14,FALSE)</f>
        <v>0.86646031579087823</v>
      </c>
      <c r="L66" s="10" t="str">
        <f t="shared" si="0"/>
        <v>Campos Gerais - A02</v>
      </c>
    </row>
    <row r="67" spans="1:12" x14ac:dyDescent="0.2">
      <c r="A67" s="3" t="s">
        <v>45</v>
      </c>
      <c r="B67" s="147" t="s">
        <v>420</v>
      </c>
      <c r="C67" s="7" t="s">
        <v>423</v>
      </c>
      <c r="D67" s="3" t="s">
        <v>46</v>
      </c>
      <c r="E67" s="142">
        <f>VLOOKUP(D67,'IDHM (IBGE2022)'!$A$4:$N$402,14,FALSE)</f>
        <v>31175.22</v>
      </c>
      <c r="F67" s="90">
        <f>VLOOKUP(D67,'IDHM (IBGE2022)'!$A$4:$J$402,10,FALSE)</f>
        <v>0.629</v>
      </c>
      <c r="G67" s="92">
        <f t="shared" si="1"/>
        <v>0.70144597591717517</v>
      </c>
      <c r="H67" s="9">
        <f>VLOOKUP(D67,'IPDM_renda  (IPARDES-PR)'!$A$4:$N$420,14,FALSE)</f>
        <v>0.48671349829287064</v>
      </c>
      <c r="I67" s="9">
        <f>VLOOKUP(D67,'IPDM_educação  (IPARDES-PR)'!$A$4:$N$420,14,FALSE)</f>
        <v>0.84838639391918114</v>
      </c>
      <c r="J67" s="9">
        <f>VLOOKUP(D67,'IPDM_saúde   (IPARDES-PR)'!$A$4:$N$466,14,FALSE)</f>
        <v>0.76923803553947379</v>
      </c>
      <c r="L67" s="10" t="str">
        <f t="shared" si="0"/>
        <v>Campos Gerais - A03</v>
      </c>
    </row>
    <row r="68" spans="1:12" x14ac:dyDescent="0.2">
      <c r="A68" s="3" t="s">
        <v>45</v>
      </c>
      <c r="B68" s="147" t="s">
        <v>420</v>
      </c>
      <c r="C68" s="7" t="s">
        <v>423</v>
      </c>
      <c r="D68" s="3" t="s">
        <v>47</v>
      </c>
      <c r="E68" s="142">
        <f>VLOOKUP(D68,'IDHM (IBGE2022)'!$A$4:$N$402,14,FALSE)</f>
        <v>24397.599999999999</v>
      </c>
      <c r="F68" s="90">
        <f>VLOOKUP(D68,'IDHM (IBGE2022)'!$A$4:$J$402,10,FALSE)</f>
        <v>0.65600000000000003</v>
      </c>
      <c r="G68" s="92">
        <f t="shared" si="1"/>
        <v>0.70085411639745399</v>
      </c>
      <c r="H68" s="9">
        <f>VLOOKUP(D68,'IPDM_renda  (IPARDES-PR)'!$A$4:$N$420,14,FALSE)</f>
        <v>0.41467758693279094</v>
      </c>
      <c r="I68" s="9">
        <f>VLOOKUP(D68,'IPDM_educação  (IPARDES-PR)'!$A$4:$N$420,14,FALSE)</f>
        <v>0.83335022701027894</v>
      </c>
      <c r="J68" s="9">
        <f>VLOOKUP(D68,'IPDM_saúde   (IPARDES-PR)'!$A$4:$N$466,14,FALSE)</f>
        <v>0.85453453524929224</v>
      </c>
      <c r="L68" s="10" t="str">
        <f t="shared" ref="L68:L131" si="2">B68&amp;" - "&amp;C68</f>
        <v>Campos Gerais - A03</v>
      </c>
    </row>
    <row r="69" spans="1:12" x14ac:dyDescent="0.2">
      <c r="A69" s="3" t="s">
        <v>45</v>
      </c>
      <c r="B69" s="147" t="s">
        <v>420</v>
      </c>
      <c r="C69" s="7" t="s">
        <v>423</v>
      </c>
      <c r="D69" s="3" t="s">
        <v>48</v>
      </c>
      <c r="E69" s="142">
        <f>VLOOKUP(D69,'IDHM (IBGE2022)'!$A$4:$N$402,14,FALSE)</f>
        <v>22490.76</v>
      </c>
      <c r="F69" s="90">
        <f>VLOOKUP(D69,'IDHM (IBGE2022)'!$A$4:$J$402,10,FALSE)</f>
        <v>0.622</v>
      </c>
      <c r="G69" s="92">
        <f t="shared" ref="G69:G132" si="3">AVERAGE(H69:J69)</f>
        <v>0.62709996101070897</v>
      </c>
      <c r="H69" s="9">
        <f>VLOOKUP(D69,'IPDM_renda  (IPARDES-PR)'!$A$4:$N$420,14,FALSE)</f>
        <v>0.43706707094794933</v>
      </c>
      <c r="I69" s="9">
        <f>VLOOKUP(D69,'IPDM_educação  (IPARDES-PR)'!$A$4:$N$420,14,FALSE)</f>
        <v>0.69351426815191719</v>
      </c>
      <c r="J69" s="9">
        <f>VLOOKUP(D69,'IPDM_saúde   (IPARDES-PR)'!$A$4:$N$466,14,FALSE)</f>
        <v>0.75071854393226056</v>
      </c>
      <c r="L69" s="10" t="str">
        <f t="shared" si="2"/>
        <v>Campos Gerais - A03</v>
      </c>
    </row>
    <row r="70" spans="1:12" x14ac:dyDescent="0.2">
      <c r="A70" s="3" t="s">
        <v>45</v>
      </c>
      <c r="B70" s="147" t="s">
        <v>420</v>
      </c>
      <c r="C70" s="7" t="s">
        <v>423</v>
      </c>
      <c r="D70" s="4" t="s">
        <v>49</v>
      </c>
      <c r="E70" s="142">
        <f>VLOOKUP(D70,'IDHM (IBGE2022)'!$A$4:$N$402,14,FALSE)</f>
        <v>54879.34</v>
      </c>
      <c r="F70" s="90">
        <f>VLOOKUP(D70,'IDHM (IBGE2022)'!$A$4:$J$402,10,FALSE)</f>
        <v>0.65200000000000002</v>
      </c>
      <c r="G70" s="92">
        <f t="shared" si="3"/>
        <v>0.65888649069585303</v>
      </c>
      <c r="H70" s="9">
        <f>VLOOKUP(D70,'IPDM_renda  (IPARDES-PR)'!$A$4:$N$420,14,FALSE)</f>
        <v>0.39159432323667565</v>
      </c>
      <c r="I70" s="9">
        <f>VLOOKUP(D70,'IPDM_educação  (IPARDES-PR)'!$A$4:$N$420,14,FALSE)</f>
        <v>0.88959915337891349</v>
      </c>
      <c r="J70" s="9">
        <f>VLOOKUP(D70,'IPDM_saúde   (IPARDES-PR)'!$A$4:$N$466,14,FALSE)</f>
        <v>0.69546599547196974</v>
      </c>
      <c r="L70" s="10" t="str">
        <f t="shared" si="2"/>
        <v>Campos Gerais - A03</v>
      </c>
    </row>
    <row r="71" spans="1:12" x14ac:dyDescent="0.2">
      <c r="A71" s="3" t="s">
        <v>45</v>
      </c>
      <c r="B71" s="147" t="s">
        <v>420</v>
      </c>
      <c r="C71" s="7" t="s">
        <v>423</v>
      </c>
      <c r="D71" s="4" t="s">
        <v>50</v>
      </c>
      <c r="E71" s="142">
        <f>VLOOKUP(D71,'IDHM (IBGE2022)'!$A$4:$N$402,14,FALSE)</f>
        <v>53751.06</v>
      </c>
      <c r="F71" s="90">
        <f>VLOOKUP(D71,'IDHM (IBGE2022)'!$A$4:$J$402,10,FALSE)</f>
        <v>0.65100000000000002</v>
      </c>
      <c r="G71" s="92">
        <f t="shared" si="3"/>
        <v>0.73258719775825487</v>
      </c>
      <c r="H71" s="9">
        <f>VLOOKUP(D71,'IPDM_renda  (IPARDES-PR)'!$A$4:$N$420,14,FALSE)</f>
        <v>0.41730316519907307</v>
      </c>
      <c r="I71" s="9">
        <f>VLOOKUP(D71,'IPDM_educação  (IPARDES-PR)'!$A$4:$N$420,14,FALSE)</f>
        <v>0.90950081995655707</v>
      </c>
      <c r="J71" s="9">
        <f>VLOOKUP(D71,'IPDM_saúde   (IPARDES-PR)'!$A$4:$N$466,14,FALSE)</f>
        <v>0.8709576081191347</v>
      </c>
      <c r="L71" s="10" t="str">
        <f t="shared" si="2"/>
        <v>Campos Gerais - A03</v>
      </c>
    </row>
    <row r="72" spans="1:12" x14ac:dyDescent="0.2">
      <c r="A72" s="3" t="s">
        <v>45</v>
      </c>
      <c r="B72" s="147" t="s">
        <v>420</v>
      </c>
      <c r="C72" s="7" t="s">
        <v>423</v>
      </c>
      <c r="D72" s="4" t="s">
        <v>51</v>
      </c>
      <c r="E72" s="142">
        <f>VLOOKUP(D72,'IDHM (IBGE2022)'!$A$4:$N$402,14,FALSE)</f>
        <v>31106.12</v>
      </c>
      <c r="F72" s="90">
        <f>VLOOKUP(D72,'IDHM (IBGE2022)'!$A$4:$J$402,10,FALSE)</f>
        <v>0.61799999999999999</v>
      </c>
      <c r="G72" s="92">
        <f t="shared" si="3"/>
        <v>0.68103546169170814</v>
      </c>
      <c r="H72" s="9">
        <f>VLOOKUP(D72,'IPDM_renda  (IPARDES-PR)'!$A$4:$N$420,14,FALSE)</f>
        <v>0.45897888561253575</v>
      </c>
      <c r="I72" s="9">
        <f>VLOOKUP(D72,'IPDM_educação  (IPARDES-PR)'!$A$4:$N$420,14,FALSE)</f>
        <v>0.87539357701667697</v>
      </c>
      <c r="J72" s="9">
        <f>VLOOKUP(D72,'IPDM_saúde   (IPARDES-PR)'!$A$4:$N$466,14,FALSE)</f>
        <v>0.70873392244591182</v>
      </c>
      <c r="L72" s="10" t="str">
        <f t="shared" si="2"/>
        <v>Campos Gerais - A03</v>
      </c>
    </row>
    <row r="73" spans="1:12" x14ac:dyDescent="0.2">
      <c r="A73" s="3" t="s">
        <v>45</v>
      </c>
      <c r="B73" s="147" t="s">
        <v>420</v>
      </c>
      <c r="C73" s="7" t="s">
        <v>423</v>
      </c>
      <c r="D73" s="4" t="s">
        <v>184</v>
      </c>
      <c r="E73" s="142">
        <f>VLOOKUP(D73,'IDHM (IBGE2022)'!$A$4:$N$402,14,FALSE)</f>
        <v>45876.97</v>
      </c>
      <c r="F73" s="90">
        <f>VLOOKUP(D73,'IDHM (IBGE2022)'!$A$4:$J$402,10,FALSE)</f>
        <v>0.64</v>
      </c>
      <c r="G73" s="92">
        <f t="shared" si="3"/>
        <v>0.7127845899634967</v>
      </c>
      <c r="H73" s="9">
        <f>VLOOKUP(D73,'IPDM_renda  (IPARDES-PR)'!$A$4:$N$420,14,FALSE)</f>
        <v>0.50404023301705736</v>
      </c>
      <c r="I73" s="9">
        <f>VLOOKUP(D73,'IPDM_educação  (IPARDES-PR)'!$A$4:$N$420,14,FALSE)</f>
        <v>0.9115665039830716</v>
      </c>
      <c r="J73" s="9">
        <f>VLOOKUP(D73,'IPDM_saúde   (IPARDES-PR)'!$A$4:$N$466,14,FALSE)</f>
        <v>0.72274703289036102</v>
      </c>
      <c r="L73" s="10" t="str">
        <f t="shared" si="2"/>
        <v>Campos Gerais - A03</v>
      </c>
    </row>
    <row r="74" spans="1:12" x14ac:dyDescent="0.2">
      <c r="A74" s="3" t="s">
        <v>45</v>
      </c>
      <c r="B74" s="147" t="s">
        <v>420</v>
      </c>
      <c r="C74" s="7" t="s">
        <v>423</v>
      </c>
      <c r="D74" s="4" t="s">
        <v>52</v>
      </c>
      <c r="E74" s="142">
        <f>VLOOKUP(D74,'IDHM (IBGE2022)'!$A$4:$N$402,14,FALSE)</f>
        <v>85411.18</v>
      </c>
      <c r="F74" s="90">
        <f>VLOOKUP(D74,'IDHM (IBGE2022)'!$A$4:$J$402,10,FALSE)</f>
        <v>0.73399999999999999</v>
      </c>
      <c r="G74" s="92">
        <f t="shared" si="3"/>
        <v>0.81189028798199558</v>
      </c>
      <c r="H74" s="9">
        <f>VLOOKUP(D74,'IPDM_renda  (IPARDES-PR)'!$A$4:$N$420,14,FALSE)</f>
        <v>0.63970115406192207</v>
      </c>
      <c r="I74" s="9">
        <f>VLOOKUP(D74,'IPDM_educação  (IPARDES-PR)'!$A$4:$N$420,14,FALSE)</f>
        <v>0.91759275586457067</v>
      </c>
      <c r="J74" s="9">
        <f>VLOOKUP(D74,'IPDM_saúde   (IPARDES-PR)'!$A$4:$N$466,14,FALSE)</f>
        <v>0.87837695401949389</v>
      </c>
      <c r="L74" s="10" t="str">
        <f t="shared" si="2"/>
        <v>Campos Gerais - A03</v>
      </c>
    </row>
    <row r="75" spans="1:12" x14ac:dyDescent="0.2">
      <c r="A75" s="3" t="s">
        <v>45</v>
      </c>
      <c r="B75" s="147" t="s">
        <v>420</v>
      </c>
      <c r="C75" s="7" t="s">
        <v>423</v>
      </c>
      <c r="D75" s="4" t="s">
        <v>44</v>
      </c>
      <c r="E75" s="142">
        <f>VLOOKUP(D75,'IDHM (IBGE2022)'!$A$4:$N$402,14,FALSE)</f>
        <v>72572.740000000005</v>
      </c>
      <c r="F75" s="90">
        <f>VLOOKUP(D75,'IDHM (IBGE2022)'!$A$4:$J$402,10,FALSE)</f>
        <v>0.66400000000000003</v>
      </c>
      <c r="G75" s="92">
        <f t="shared" si="3"/>
        <v>0.69939620102213473</v>
      </c>
      <c r="H75" s="9">
        <f>VLOOKUP(D75,'IPDM_renda  (IPARDES-PR)'!$A$4:$N$420,14,FALSE)</f>
        <v>0.48176756389072167</v>
      </c>
      <c r="I75" s="9">
        <f>VLOOKUP(D75,'IPDM_educação  (IPARDES-PR)'!$A$4:$N$420,14,FALSE)</f>
        <v>0.74996072338480457</v>
      </c>
      <c r="J75" s="9">
        <f>VLOOKUP(D75,'IPDM_saúde   (IPARDES-PR)'!$A$4:$N$466,14,FALSE)</f>
        <v>0.86646031579087823</v>
      </c>
      <c r="L75" s="10" t="str">
        <f t="shared" si="2"/>
        <v>Campos Gerais - A03</v>
      </c>
    </row>
    <row r="76" spans="1:12" x14ac:dyDescent="0.2">
      <c r="A76" s="3" t="s">
        <v>53</v>
      </c>
      <c r="B76" s="147" t="s">
        <v>420</v>
      </c>
      <c r="C76" s="145" t="s">
        <v>424</v>
      </c>
      <c r="D76" s="4" t="s">
        <v>46</v>
      </c>
      <c r="E76" s="142">
        <f>VLOOKUP(D76,'IDHM (IBGE2022)'!$A$4:$N$402,14,FALSE)</f>
        <v>31175.22</v>
      </c>
      <c r="F76" s="90">
        <f>VLOOKUP(D76,'IDHM (IBGE2022)'!$A$4:$J$402,10,FALSE)</f>
        <v>0.629</v>
      </c>
      <c r="G76" s="92">
        <f t="shared" si="3"/>
        <v>0.70144597591717517</v>
      </c>
      <c r="H76" s="9">
        <f>VLOOKUP(D76,'IPDM_renda  (IPARDES-PR)'!$A$4:$N$420,14,FALSE)</f>
        <v>0.48671349829287064</v>
      </c>
      <c r="I76" s="9">
        <f>VLOOKUP(D76,'IPDM_educação  (IPARDES-PR)'!$A$4:$N$420,14,FALSE)</f>
        <v>0.84838639391918114</v>
      </c>
      <c r="J76" s="9">
        <f>VLOOKUP(D76,'IPDM_saúde   (IPARDES-PR)'!$A$4:$N$466,14,FALSE)</f>
        <v>0.76923803553947379</v>
      </c>
      <c r="L76" s="10" t="str">
        <f t="shared" si="2"/>
        <v>Campos Gerais - A04</v>
      </c>
    </row>
    <row r="77" spans="1:12" x14ac:dyDescent="0.2">
      <c r="A77" s="3" t="s">
        <v>53</v>
      </c>
      <c r="B77" s="147" t="s">
        <v>420</v>
      </c>
      <c r="C77" s="145" t="s">
        <v>424</v>
      </c>
      <c r="D77" s="4" t="s">
        <v>54</v>
      </c>
      <c r="E77" s="142">
        <f>VLOOKUP(D77,'IDHM (IBGE2022)'!$A$4:$N$402,14,FALSE)</f>
        <v>51786.1</v>
      </c>
      <c r="F77" s="90">
        <f>VLOOKUP(D77,'IDHM (IBGE2022)'!$A$4:$J$402,10,FALSE)</f>
        <v>0.64500000000000002</v>
      </c>
      <c r="G77" s="92">
        <f t="shared" si="3"/>
        <v>0.76598019190540156</v>
      </c>
      <c r="H77" s="9">
        <f>VLOOKUP(D77,'IPDM_renda  (IPARDES-PR)'!$A$4:$N$420,14,FALSE)</f>
        <v>0.43675583810374796</v>
      </c>
      <c r="I77" s="9">
        <f>VLOOKUP(D77,'IPDM_educação  (IPARDES-PR)'!$A$4:$N$420,14,FALSE)</f>
        <v>0.9042552229736549</v>
      </c>
      <c r="J77" s="9">
        <f>VLOOKUP(D77,'IPDM_saúde   (IPARDES-PR)'!$A$4:$N$466,14,FALSE)</f>
        <v>0.95692951463880183</v>
      </c>
      <c r="L77" s="10" t="str">
        <f t="shared" si="2"/>
        <v>Campos Gerais - A04</v>
      </c>
    </row>
    <row r="78" spans="1:12" x14ac:dyDescent="0.2">
      <c r="A78" s="3" t="s">
        <v>53</v>
      </c>
      <c r="B78" s="147" t="s">
        <v>420</v>
      </c>
      <c r="C78" s="145" t="s">
        <v>424</v>
      </c>
      <c r="D78" s="4" t="s">
        <v>55</v>
      </c>
      <c r="E78" s="142">
        <f>VLOOKUP(D78,'IDHM (IBGE2022)'!$A$4:$N$402,14,FALSE)</f>
        <v>54170.74</v>
      </c>
      <c r="F78" s="90">
        <f>VLOOKUP(D78,'IDHM (IBGE2022)'!$A$4:$J$402,10,FALSE)</f>
        <v>0.73099999999999998</v>
      </c>
      <c r="G78" s="92">
        <f t="shared" si="3"/>
        <v>0.80012819891196851</v>
      </c>
      <c r="H78" s="9">
        <f>VLOOKUP(D78,'IPDM_renda  (IPARDES-PR)'!$A$4:$N$420,14,FALSE)</f>
        <v>0.65639033117025125</v>
      </c>
      <c r="I78" s="9">
        <f>VLOOKUP(D78,'IPDM_educação  (IPARDES-PR)'!$A$4:$N$420,14,FALSE)</f>
        <v>0.88689857078519685</v>
      </c>
      <c r="J78" s="9">
        <f>VLOOKUP(D78,'IPDM_saúde   (IPARDES-PR)'!$A$4:$N$466,14,FALSE)</f>
        <v>0.85709569478045722</v>
      </c>
      <c r="L78" s="10" t="str">
        <f t="shared" si="2"/>
        <v>Campos Gerais - A04</v>
      </c>
    </row>
    <row r="79" spans="1:12" x14ac:dyDescent="0.2">
      <c r="A79" s="3" t="s">
        <v>53</v>
      </c>
      <c r="B79" s="147" t="s">
        <v>420</v>
      </c>
      <c r="C79" s="145" t="s">
        <v>424</v>
      </c>
      <c r="D79" s="4" t="s">
        <v>56</v>
      </c>
      <c r="E79" s="142">
        <f>VLOOKUP(D79,'IDHM (IBGE2022)'!$A$4:$N$402,14,FALSE)</f>
        <v>50241.2</v>
      </c>
      <c r="F79" s="90">
        <f>VLOOKUP(D79,'IDHM (IBGE2022)'!$A$4:$J$402,10,FALSE)</f>
        <v>0.66</v>
      </c>
      <c r="G79" s="92">
        <f t="shared" si="3"/>
        <v>0.75648205671881108</v>
      </c>
      <c r="H79" s="9">
        <f>VLOOKUP(D79,'IPDM_renda  (IPARDES-PR)'!$A$4:$N$420,14,FALSE)</f>
        <v>0.47117049695600677</v>
      </c>
      <c r="I79" s="9">
        <f>VLOOKUP(D79,'IPDM_educação  (IPARDES-PR)'!$A$4:$N$420,14,FALSE)</f>
        <v>0.89106370816958913</v>
      </c>
      <c r="J79" s="9">
        <f>VLOOKUP(D79,'IPDM_saúde   (IPARDES-PR)'!$A$4:$N$466,14,FALSE)</f>
        <v>0.90721196503083734</v>
      </c>
      <c r="L79" s="10" t="str">
        <f t="shared" si="2"/>
        <v>Campos Gerais - A04</v>
      </c>
    </row>
    <row r="80" spans="1:12" x14ac:dyDescent="0.2">
      <c r="A80" s="3" t="s">
        <v>53</v>
      </c>
      <c r="B80" s="147" t="s">
        <v>420</v>
      </c>
      <c r="C80" s="145" t="s">
        <v>424</v>
      </c>
      <c r="D80" s="4" t="s">
        <v>57</v>
      </c>
      <c r="E80" s="142">
        <f>VLOOKUP(D80,'IDHM (IBGE2022)'!$A$4:$N$402,14,FALSE)</f>
        <v>25847.91</v>
      </c>
      <c r="F80" s="90">
        <f>VLOOKUP(D80,'IDHM (IBGE2022)'!$A$4:$J$402,10,FALSE)</f>
        <v>0.6</v>
      </c>
      <c r="G80" s="92">
        <f t="shared" si="3"/>
        <v>0.70106313686013688</v>
      </c>
      <c r="H80" s="9">
        <f>VLOOKUP(D80,'IPDM_renda  (IPARDES-PR)'!$A$4:$N$420,14,FALSE)</f>
        <v>0.46151941571101623</v>
      </c>
      <c r="I80" s="9">
        <f>VLOOKUP(D80,'IPDM_educação  (IPARDES-PR)'!$A$4:$N$420,14,FALSE)</f>
        <v>0.78492809840531996</v>
      </c>
      <c r="J80" s="9">
        <f>VLOOKUP(D80,'IPDM_saúde   (IPARDES-PR)'!$A$4:$N$466,14,FALSE)</f>
        <v>0.85674189646407439</v>
      </c>
      <c r="L80" s="10" t="str">
        <f t="shared" si="2"/>
        <v>Campos Gerais - A04</v>
      </c>
    </row>
    <row r="81" spans="1:12" x14ac:dyDescent="0.2">
      <c r="A81" s="3" t="s">
        <v>53</v>
      </c>
      <c r="B81" s="147" t="s">
        <v>420</v>
      </c>
      <c r="C81" s="145" t="s">
        <v>424</v>
      </c>
      <c r="D81" s="4" t="s">
        <v>58</v>
      </c>
      <c r="E81" s="142">
        <f>VLOOKUP(D81,'IDHM (IBGE2022)'!$A$4:$N$402,14,FALSE)</f>
        <v>47529.86</v>
      </c>
      <c r="F81" s="90">
        <f>VLOOKUP(D81,'IDHM (IBGE2022)'!$A$4:$J$402,10,FALSE)</f>
        <v>0.72599999999999998</v>
      </c>
      <c r="G81" s="92">
        <f t="shared" si="3"/>
        <v>0.79302589906283771</v>
      </c>
      <c r="H81" s="9">
        <f>VLOOKUP(D81,'IPDM_renda  (IPARDES-PR)'!$A$4:$N$420,14,FALSE)</f>
        <v>0.51238466969128527</v>
      </c>
      <c r="I81" s="9">
        <f>VLOOKUP(D81,'IPDM_educação  (IPARDES-PR)'!$A$4:$N$420,14,FALSE)</f>
        <v>0.94521576286070053</v>
      </c>
      <c r="J81" s="9">
        <f>VLOOKUP(D81,'IPDM_saúde   (IPARDES-PR)'!$A$4:$N$466,14,FALSE)</f>
        <v>0.92147726463652757</v>
      </c>
      <c r="L81" s="10" t="str">
        <f t="shared" si="2"/>
        <v>Campos Gerais - A04</v>
      </c>
    </row>
    <row r="82" spans="1:12" x14ac:dyDescent="0.2">
      <c r="A82" s="3" t="s">
        <v>53</v>
      </c>
      <c r="B82" s="147" t="s">
        <v>420</v>
      </c>
      <c r="C82" s="145" t="s">
        <v>424</v>
      </c>
      <c r="D82" s="4" t="s">
        <v>50</v>
      </c>
      <c r="E82" s="142">
        <f>VLOOKUP(D82,'IDHM (IBGE2022)'!$A$4:$N$402,14,FALSE)</f>
        <v>53751.06</v>
      </c>
      <c r="F82" s="90">
        <f>VLOOKUP(D82,'IDHM (IBGE2022)'!$A$4:$J$402,10,FALSE)</f>
        <v>0.65100000000000002</v>
      </c>
      <c r="G82" s="92">
        <f t="shared" si="3"/>
        <v>0.73258719775825487</v>
      </c>
      <c r="H82" s="9">
        <f>VLOOKUP(D82,'IPDM_renda  (IPARDES-PR)'!$A$4:$N$420,14,FALSE)</f>
        <v>0.41730316519907307</v>
      </c>
      <c r="I82" s="9">
        <f>VLOOKUP(D82,'IPDM_educação  (IPARDES-PR)'!$A$4:$N$420,14,FALSE)</f>
        <v>0.90950081995655707</v>
      </c>
      <c r="J82" s="9">
        <f>VLOOKUP(D82,'IPDM_saúde   (IPARDES-PR)'!$A$4:$N$466,14,FALSE)</f>
        <v>0.8709576081191347</v>
      </c>
      <c r="L82" s="10" t="str">
        <f t="shared" si="2"/>
        <v>Campos Gerais - A04</v>
      </c>
    </row>
    <row r="83" spans="1:12" x14ac:dyDescent="0.2">
      <c r="A83" s="3" t="s">
        <v>53</v>
      </c>
      <c r="B83" s="147" t="s">
        <v>420</v>
      </c>
      <c r="C83" s="145" t="s">
        <v>424</v>
      </c>
      <c r="D83" s="4" t="s">
        <v>43</v>
      </c>
      <c r="E83" s="142">
        <f>VLOOKUP(D83,'IDHM (IBGE2022)'!$A$4:$N$402,14,FALSE)</f>
        <v>71387.820000000007</v>
      </c>
      <c r="F83" s="90">
        <f>VLOOKUP(D83,'IDHM (IBGE2022)'!$A$4:$J$402,10,FALSE)</f>
        <v>0.76300000000000001</v>
      </c>
      <c r="G83" s="92">
        <f t="shared" si="3"/>
        <v>0.79579616067857539</v>
      </c>
      <c r="H83" s="9">
        <f>VLOOKUP(D83,'IPDM_renda  (IPARDES-PR)'!$A$4:$N$420,14,FALSE)</f>
        <v>0.62173663683337199</v>
      </c>
      <c r="I83" s="9">
        <f>VLOOKUP(D83,'IPDM_educação  (IPARDES-PR)'!$A$4:$N$420,14,FALSE)</f>
        <v>0.91212796236383464</v>
      </c>
      <c r="J83" s="9">
        <f>VLOOKUP(D83,'IPDM_saúde   (IPARDES-PR)'!$A$4:$N$466,14,FALSE)</f>
        <v>0.85352388283851932</v>
      </c>
      <c r="L83" s="10" t="str">
        <f t="shared" si="2"/>
        <v>Campos Gerais - A04</v>
      </c>
    </row>
    <row r="84" spans="1:12" x14ac:dyDescent="0.2">
      <c r="A84" s="3" t="s">
        <v>53</v>
      </c>
      <c r="B84" s="147" t="s">
        <v>420</v>
      </c>
      <c r="C84" s="145" t="s">
        <v>424</v>
      </c>
      <c r="D84" s="4" t="s">
        <v>59</v>
      </c>
      <c r="E84" s="142">
        <f>VLOOKUP(D84,'IDHM (IBGE2022)'!$A$4:$N$402,14,FALSE)</f>
        <v>38587.32</v>
      </c>
      <c r="F84" s="90">
        <f>VLOOKUP(D84,'IDHM (IBGE2022)'!$A$4:$J$402,10,FALSE)</f>
        <v>0.67600000000000005</v>
      </c>
      <c r="G84" s="92">
        <f t="shared" si="3"/>
        <v>0.76949036686521943</v>
      </c>
      <c r="H84" s="9">
        <f>VLOOKUP(D84,'IPDM_renda  (IPARDES-PR)'!$A$4:$N$420,14,FALSE)</f>
        <v>0.46949682102180001</v>
      </c>
      <c r="I84" s="9">
        <f>VLOOKUP(D84,'IPDM_educação  (IPARDES-PR)'!$A$4:$N$420,14,FALSE)</f>
        <v>0.93785060458418612</v>
      </c>
      <c r="J84" s="9">
        <f>VLOOKUP(D84,'IPDM_saúde   (IPARDES-PR)'!$A$4:$N$466,14,FALSE)</f>
        <v>0.90112367498967227</v>
      </c>
      <c r="L84" s="10" t="str">
        <f t="shared" si="2"/>
        <v>Campos Gerais - A04</v>
      </c>
    </row>
    <row r="85" spans="1:12" x14ac:dyDescent="0.2">
      <c r="A85" s="3" t="s">
        <v>53</v>
      </c>
      <c r="B85" s="147" t="s">
        <v>420</v>
      </c>
      <c r="C85" s="145" t="s">
        <v>424</v>
      </c>
      <c r="D85" s="4" t="s">
        <v>60</v>
      </c>
      <c r="E85" s="142">
        <f>VLOOKUP(D85,'IDHM (IBGE2022)'!$A$4:$N$402,14,FALSE)</f>
        <v>43802.69</v>
      </c>
      <c r="F85" s="90">
        <f>VLOOKUP(D85,'IDHM (IBGE2022)'!$A$4:$J$402,10,FALSE)</f>
        <v>0.67200000000000004</v>
      </c>
      <c r="G85" s="92">
        <f t="shared" si="3"/>
        <v>0.73508218464033492</v>
      </c>
      <c r="H85" s="9">
        <f>VLOOKUP(D85,'IPDM_renda  (IPARDES-PR)'!$A$4:$N$420,14,FALSE)</f>
        <v>0.40051758011099842</v>
      </c>
      <c r="I85" s="9">
        <f>VLOOKUP(D85,'IPDM_educação  (IPARDES-PR)'!$A$4:$N$420,14,FALSE)</f>
        <v>0.85387276832176662</v>
      </c>
      <c r="J85" s="9">
        <f>VLOOKUP(D85,'IPDM_saúde   (IPARDES-PR)'!$A$4:$N$466,14,FALSE)</f>
        <v>0.95085620548823979</v>
      </c>
      <c r="L85" s="10" t="str">
        <f t="shared" si="2"/>
        <v>Campos Gerais - A04</v>
      </c>
    </row>
    <row r="86" spans="1:12" x14ac:dyDescent="0.2">
      <c r="A86" s="3" t="s">
        <v>53</v>
      </c>
      <c r="B86" s="147" t="s">
        <v>420</v>
      </c>
      <c r="C86" s="145" t="s">
        <v>424</v>
      </c>
      <c r="D86" s="4" t="s">
        <v>51</v>
      </c>
      <c r="E86" s="142">
        <f>VLOOKUP(D86,'IDHM (IBGE2022)'!$A$4:$N$402,14,FALSE)</f>
        <v>31106.12</v>
      </c>
      <c r="F86" s="90">
        <f>VLOOKUP(D86,'IDHM (IBGE2022)'!$A$4:$J$402,10,FALSE)</f>
        <v>0.61799999999999999</v>
      </c>
      <c r="G86" s="92">
        <f t="shared" si="3"/>
        <v>0.68103546169170814</v>
      </c>
      <c r="H86" s="9">
        <f>VLOOKUP(D86,'IPDM_renda  (IPARDES-PR)'!$A$4:$N$420,14,FALSE)</f>
        <v>0.45897888561253575</v>
      </c>
      <c r="I86" s="9">
        <f>VLOOKUP(D86,'IPDM_educação  (IPARDES-PR)'!$A$4:$N$420,14,FALSE)</f>
        <v>0.87539357701667697</v>
      </c>
      <c r="J86" s="9">
        <f>VLOOKUP(D86,'IPDM_saúde   (IPARDES-PR)'!$A$4:$N$466,14,FALSE)</f>
        <v>0.70873392244591182</v>
      </c>
      <c r="L86" s="10" t="str">
        <f t="shared" si="2"/>
        <v>Campos Gerais - A04</v>
      </c>
    </row>
    <row r="87" spans="1:12" x14ac:dyDescent="0.2">
      <c r="A87" s="3" t="s">
        <v>53</v>
      </c>
      <c r="B87" s="147" t="s">
        <v>420</v>
      </c>
      <c r="C87" s="145" t="s">
        <v>424</v>
      </c>
      <c r="D87" s="4" t="s">
        <v>61</v>
      </c>
      <c r="E87" s="142">
        <f>VLOOKUP(D87,'IDHM (IBGE2022)'!$A$4:$N$402,14,FALSE)</f>
        <v>66312.25</v>
      </c>
      <c r="F87" s="90">
        <f>VLOOKUP(D87,'IDHM (IBGE2022)'!$A$4:$J$402,10,FALSE)</f>
        <v>0.67100000000000004</v>
      </c>
      <c r="G87" s="92">
        <f t="shared" si="3"/>
        <v>0.76281447882870379</v>
      </c>
      <c r="H87" s="9">
        <f>VLOOKUP(D87,'IPDM_renda  (IPARDES-PR)'!$A$4:$N$420,14,FALSE)</f>
        <v>0.51526129383155028</v>
      </c>
      <c r="I87" s="9">
        <f>VLOOKUP(D87,'IPDM_educação  (IPARDES-PR)'!$A$4:$N$420,14,FALSE)</f>
        <v>0.84074580434826907</v>
      </c>
      <c r="J87" s="9">
        <f>VLOOKUP(D87,'IPDM_saúde   (IPARDES-PR)'!$A$4:$N$466,14,FALSE)</f>
        <v>0.9324363383062918</v>
      </c>
      <c r="L87" s="10" t="str">
        <f t="shared" si="2"/>
        <v>Campos Gerais - A04</v>
      </c>
    </row>
    <row r="88" spans="1:12" x14ac:dyDescent="0.2">
      <c r="A88" s="3" t="s">
        <v>62</v>
      </c>
      <c r="B88" s="147" t="s">
        <v>420</v>
      </c>
      <c r="C88" s="7" t="s">
        <v>425</v>
      </c>
      <c r="D88" s="4" t="s">
        <v>63</v>
      </c>
      <c r="E88" s="142">
        <f>VLOOKUP(D88,'IDHM (IBGE2022)'!$A$4:$N$402,14,FALSE)</f>
        <v>72838.58</v>
      </c>
      <c r="F88" s="90">
        <f>VLOOKUP(D88,'IDHM (IBGE2022)'!$A$4:$J$402,10,FALSE)</f>
        <v>0.65500000000000003</v>
      </c>
      <c r="G88" s="92">
        <f t="shared" si="3"/>
        <v>0.72232678391250837</v>
      </c>
      <c r="H88" s="9">
        <f>VLOOKUP(D88,'IPDM_renda  (IPARDES-PR)'!$A$4:$N$420,14,FALSE)</f>
        <v>0.41093298831492703</v>
      </c>
      <c r="I88" s="9">
        <f>VLOOKUP(D88,'IPDM_educação  (IPARDES-PR)'!$A$4:$N$420,14,FALSE)</f>
        <v>0.86204558114415386</v>
      </c>
      <c r="J88" s="9">
        <f>VLOOKUP(D88,'IPDM_saúde   (IPARDES-PR)'!$A$4:$N$466,14,FALSE)</f>
        <v>0.89400178227844418</v>
      </c>
      <c r="L88" s="10" t="str">
        <f t="shared" si="2"/>
        <v>Campos Gerais - A05</v>
      </c>
    </row>
    <row r="89" spans="1:12" x14ac:dyDescent="0.2">
      <c r="A89" s="3" t="s">
        <v>62</v>
      </c>
      <c r="B89" s="147" t="s">
        <v>420</v>
      </c>
      <c r="C89" s="7" t="s">
        <v>425</v>
      </c>
      <c r="D89" s="4" t="s">
        <v>64</v>
      </c>
      <c r="E89" s="142">
        <f>VLOOKUP(D89,'IDHM (IBGE2022)'!$A$4:$N$402,14,FALSE)</f>
        <v>49573.09</v>
      </c>
      <c r="F89" s="90">
        <f>VLOOKUP(D89,'IDHM (IBGE2022)'!$A$4:$J$402,10,FALSE)</f>
        <v>0.63</v>
      </c>
      <c r="G89" s="92">
        <f t="shared" si="3"/>
        <v>0.69820548198520838</v>
      </c>
      <c r="H89" s="9">
        <f>VLOOKUP(D89,'IPDM_renda  (IPARDES-PR)'!$A$4:$N$420,14,FALSE)</f>
        <v>0.48245690592634216</v>
      </c>
      <c r="I89" s="9">
        <f>VLOOKUP(D89,'IPDM_educação  (IPARDES-PR)'!$A$4:$N$420,14,FALSE)</f>
        <v>0.85142732252393316</v>
      </c>
      <c r="J89" s="9">
        <f>VLOOKUP(D89,'IPDM_saúde   (IPARDES-PR)'!$A$4:$N$466,14,FALSE)</f>
        <v>0.76073221750534958</v>
      </c>
      <c r="L89" s="10" t="str">
        <f t="shared" si="2"/>
        <v>Campos Gerais - A05</v>
      </c>
    </row>
    <row r="90" spans="1:12" x14ac:dyDescent="0.2">
      <c r="A90" s="3" t="s">
        <v>62</v>
      </c>
      <c r="B90" s="147" t="s">
        <v>420</v>
      </c>
      <c r="C90" s="7" t="s">
        <v>425</v>
      </c>
      <c r="D90" s="4" t="s">
        <v>65</v>
      </c>
      <c r="E90" s="142">
        <f>VLOOKUP(D90,'IDHM (IBGE2022)'!$A$4:$N$402,14,FALSE)</f>
        <v>60204.94</v>
      </c>
      <c r="F90" s="90">
        <f>VLOOKUP(D90,'IDHM (IBGE2022)'!$A$4:$J$402,10,FALSE)</f>
        <v>0.63500000000000001</v>
      </c>
      <c r="G90" s="92">
        <f t="shared" si="3"/>
        <v>0.75860592604137567</v>
      </c>
      <c r="H90" s="9">
        <f>VLOOKUP(D90,'IPDM_renda  (IPARDES-PR)'!$A$4:$N$420,14,FALSE)</f>
        <v>0.55566245640684475</v>
      </c>
      <c r="I90" s="9">
        <f>VLOOKUP(D90,'IPDM_educação  (IPARDES-PR)'!$A$4:$N$420,14,FALSE)</f>
        <v>0.83839130384531479</v>
      </c>
      <c r="J90" s="9">
        <f>VLOOKUP(D90,'IPDM_saúde   (IPARDES-PR)'!$A$4:$N$466,14,FALSE)</f>
        <v>0.88176401787196734</v>
      </c>
      <c r="L90" s="10" t="str">
        <f t="shared" si="2"/>
        <v>Campos Gerais - A05</v>
      </c>
    </row>
    <row r="91" spans="1:12" x14ac:dyDescent="0.2">
      <c r="A91" s="3" t="s">
        <v>62</v>
      </c>
      <c r="B91" s="147" t="s">
        <v>420</v>
      </c>
      <c r="C91" s="7" t="s">
        <v>425</v>
      </c>
      <c r="D91" s="4" t="s">
        <v>394</v>
      </c>
      <c r="E91" s="142">
        <f>VLOOKUP(D91,'IDHM (IBGE2022)'!$A$4:$N$402,14,FALSE)</f>
        <v>35372.19</v>
      </c>
      <c r="F91" s="90">
        <f>VLOOKUP(D91,'IDHM (IBGE2022)'!$A$4:$J$402,10,FALSE)</f>
        <v>0.63500000000000001</v>
      </c>
      <c r="G91" s="92">
        <f t="shared" si="3"/>
        <v>0.69487412702051932</v>
      </c>
      <c r="H91" s="9">
        <f>VLOOKUP(D91,'IPDM_renda  (IPARDES-PR)'!$A$4:$N$420,14,FALSE)</f>
        <v>0.43456007068819663</v>
      </c>
      <c r="I91" s="9">
        <f>VLOOKUP(D91,'IPDM_educação  (IPARDES-PR)'!$A$4:$N$420,14,FALSE)</f>
        <v>0.89159033555537981</v>
      </c>
      <c r="J91" s="9">
        <f>VLOOKUP(D91,'IPDM_saúde   (IPARDES-PR)'!$A$4:$N$466,14,FALSE)</f>
        <v>0.75847197481798156</v>
      </c>
      <c r="L91" s="10" t="str">
        <f t="shared" si="2"/>
        <v>Campos Gerais - A05</v>
      </c>
    </row>
    <row r="92" spans="1:12" x14ac:dyDescent="0.2">
      <c r="A92" s="3" t="s">
        <v>62</v>
      </c>
      <c r="B92" s="147" t="s">
        <v>420</v>
      </c>
      <c r="C92" s="7" t="s">
        <v>425</v>
      </c>
      <c r="D92" s="4" t="s">
        <v>66</v>
      </c>
      <c r="E92" s="142">
        <f>VLOOKUP(D92,'IDHM (IBGE2022)'!$A$4:$N$402,14,FALSE)</f>
        <v>47001.54</v>
      </c>
      <c r="F92" s="90">
        <f>VLOOKUP(D92,'IDHM (IBGE2022)'!$A$4:$J$402,10,FALSE)</f>
        <v>0.64100000000000001</v>
      </c>
      <c r="G92" s="92">
        <f t="shared" si="3"/>
        <v>0.74701296781794368</v>
      </c>
      <c r="H92" s="9">
        <f>VLOOKUP(D92,'IPDM_renda  (IPARDES-PR)'!$A$4:$N$420,14,FALSE)</f>
        <v>0.48365986299760122</v>
      </c>
      <c r="I92" s="9">
        <f>VLOOKUP(D92,'IPDM_educação  (IPARDES-PR)'!$A$4:$N$420,14,FALSE)</f>
        <v>0.8621307733275545</v>
      </c>
      <c r="J92" s="9">
        <f>VLOOKUP(D92,'IPDM_saúde   (IPARDES-PR)'!$A$4:$N$466,14,FALSE)</f>
        <v>0.89524826712867522</v>
      </c>
      <c r="L92" s="10" t="str">
        <f t="shared" si="2"/>
        <v>Campos Gerais - A05</v>
      </c>
    </row>
    <row r="93" spans="1:12" x14ac:dyDescent="0.2">
      <c r="A93" s="3" t="s">
        <v>62</v>
      </c>
      <c r="B93" s="147" t="s">
        <v>420</v>
      </c>
      <c r="C93" s="7" t="s">
        <v>425</v>
      </c>
      <c r="D93" s="4" t="s">
        <v>55</v>
      </c>
      <c r="E93" s="142">
        <f>VLOOKUP(D93,'IDHM (IBGE2022)'!$A$4:$N$402,14,FALSE)</f>
        <v>54170.74</v>
      </c>
      <c r="F93" s="90">
        <f>VLOOKUP(D93,'IDHM (IBGE2022)'!$A$4:$J$402,10,FALSE)</f>
        <v>0.73099999999999998</v>
      </c>
      <c r="G93" s="92">
        <f t="shared" si="3"/>
        <v>0.80012819891196851</v>
      </c>
      <c r="H93" s="9">
        <f>VLOOKUP(D93,'IPDM_renda  (IPARDES-PR)'!$A$4:$N$420,14,FALSE)</f>
        <v>0.65639033117025125</v>
      </c>
      <c r="I93" s="9">
        <f>VLOOKUP(D93,'IPDM_educação  (IPARDES-PR)'!$A$4:$N$420,14,FALSE)</f>
        <v>0.88689857078519685</v>
      </c>
      <c r="J93" s="9">
        <f>VLOOKUP(D93,'IPDM_saúde   (IPARDES-PR)'!$A$4:$N$466,14,FALSE)</f>
        <v>0.85709569478045722</v>
      </c>
      <c r="L93" s="10" t="str">
        <f t="shared" si="2"/>
        <v>Campos Gerais - A05</v>
      </c>
    </row>
    <row r="94" spans="1:12" x14ac:dyDescent="0.2">
      <c r="A94" s="3" t="s">
        <v>62</v>
      </c>
      <c r="B94" s="147" t="s">
        <v>420</v>
      </c>
      <c r="C94" s="7" t="s">
        <v>425</v>
      </c>
      <c r="D94" s="4" t="s">
        <v>395</v>
      </c>
      <c r="E94" s="142">
        <f>VLOOKUP(D94,'IDHM (IBGE2022)'!$A$4:$N$402,14,FALSE)</f>
        <v>29896.39</v>
      </c>
      <c r="F94" s="90">
        <f>VLOOKUP(D94,'IDHM (IBGE2022)'!$A$4:$J$402,10,FALSE)</f>
        <v>0.61399999999999999</v>
      </c>
      <c r="G94" s="92">
        <f t="shared" si="3"/>
        <v>0.77134155469772148</v>
      </c>
      <c r="H94" s="9">
        <f>VLOOKUP(D94,'IPDM_renda  (IPARDES-PR)'!$A$4:$N$420,14,FALSE)</f>
        <v>0.48246283402288259</v>
      </c>
      <c r="I94" s="9">
        <f>VLOOKUP(D94,'IPDM_educação  (IPARDES-PR)'!$A$4:$N$420,14,FALSE)</f>
        <v>0.91641724509604028</v>
      </c>
      <c r="J94" s="9">
        <f>VLOOKUP(D94,'IPDM_saúde   (IPARDES-PR)'!$A$4:$N$466,14,FALSE)</f>
        <v>0.91514458497424156</v>
      </c>
      <c r="L94" s="10" t="str">
        <f t="shared" si="2"/>
        <v>Campos Gerais - A05</v>
      </c>
    </row>
    <row r="95" spans="1:12" x14ac:dyDescent="0.2">
      <c r="A95" s="3" t="s">
        <v>62</v>
      </c>
      <c r="B95" s="147" t="s">
        <v>420</v>
      </c>
      <c r="C95" s="7" t="s">
        <v>425</v>
      </c>
      <c r="D95" s="4" t="s">
        <v>67</v>
      </c>
      <c r="E95" s="142">
        <f>VLOOKUP(D95,'IDHM (IBGE2022)'!$A$4:$N$402,14,FALSE)</f>
        <v>61938.97</v>
      </c>
      <c r="F95" s="90">
        <f>VLOOKUP(D95,'IDHM (IBGE2022)'!$A$4:$J$402,10,FALSE)</f>
        <v>0.65400000000000003</v>
      </c>
      <c r="G95" s="92">
        <f t="shared" si="3"/>
        <v>0.70328978550041388</v>
      </c>
      <c r="H95" s="9">
        <f>VLOOKUP(D95,'IPDM_renda  (IPARDES-PR)'!$A$4:$N$420,14,FALSE)</f>
        <v>0.49523627750087573</v>
      </c>
      <c r="I95" s="9">
        <f>VLOOKUP(D95,'IPDM_educação  (IPARDES-PR)'!$A$4:$N$420,14,FALSE)</f>
        <v>0.76996944105367948</v>
      </c>
      <c r="J95" s="9">
        <f>VLOOKUP(D95,'IPDM_saúde   (IPARDES-PR)'!$A$4:$N$466,14,FALSE)</f>
        <v>0.8446636379466862</v>
      </c>
      <c r="L95" s="10" t="str">
        <f t="shared" si="2"/>
        <v>Campos Gerais - A05</v>
      </c>
    </row>
    <row r="96" spans="1:12" x14ac:dyDescent="0.2">
      <c r="A96" s="3" t="s">
        <v>62</v>
      </c>
      <c r="B96" s="147" t="s">
        <v>420</v>
      </c>
      <c r="C96" s="7" t="s">
        <v>425</v>
      </c>
      <c r="D96" s="4" t="s">
        <v>68</v>
      </c>
      <c r="E96" s="142">
        <f>VLOOKUP(D96,'IDHM (IBGE2022)'!$A$4:$N$402,14,FALSE)</f>
        <v>43017.52</v>
      </c>
      <c r="F96" s="90">
        <f>VLOOKUP(D96,'IDHM (IBGE2022)'!$A$4:$J$402,10,FALSE)</f>
        <v>0.70199999999999996</v>
      </c>
      <c r="G96" s="92">
        <f t="shared" si="3"/>
        <v>0.73610478046847572</v>
      </c>
      <c r="H96" s="9">
        <f>VLOOKUP(D96,'IPDM_renda  (IPARDES-PR)'!$A$4:$N$420,14,FALSE)</f>
        <v>0.46668982923620927</v>
      </c>
      <c r="I96" s="9">
        <f>VLOOKUP(D96,'IPDM_educação  (IPARDES-PR)'!$A$4:$N$420,14,FALSE)</f>
        <v>0.8804391302640886</v>
      </c>
      <c r="J96" s="9">
        <f>VLOOKUP(D96,'IPDM_saúde   (IPARDES-PR)'!$A$4:$N$466,14,FALSE)</f>
        <v>0.86118538190512905</v>
      </c>
      <c r="L96" s="10" t="str">
        <f t="shared" si="2"/>
        <v>Campos Gerais - A05</v>
      </c>
    </row>
    <row r="97" spans="1:12" x14ac:dyDescent="0.2">
      <c r="A97" s="3" t="s">
        <v>62</v>
      </c>
      <c r="B97" s="147" t="s">
        <v>420</v>
      </c>
      <c r="C97" s="7" t="s">
        <v>425</v>
      </c>
      <c r="D97" s="4" t="s">
        <v>69</v>
      </c>
      <c r="E97" s="142">
        <f>VLOOKUP(D97,'IDHM (IBGE2022)'!$A$4:$N$402,14,FALSE)</f>
        <v>39346.76</v>
      </c>
      <c r="F97" s="90">
        <f>VLOOKUP(D97,'IDHM (IBGE2022)'!$A$4:$J$402,10,FALSE)</f>
        <v>0.64800000000000002</v>
      </c>
      <c r="G97" s="92">
        <f t="shared" si="3"/>
        <v>0.71921090115546038</v>
      </c>
      <c r="H97" s="9">
        <f>VLOOKUP(D97,'IPDM_renda  (IPARDES-PR)'!$A$4:$N$420,14,FALSE)</f>
        <v>0.51887257440644752</v>
      </c>
      <c r="I97" s="9">
        <f>VLOOKUP(D97,'IPDM_educação  (IPARDES-PR)'!$A$4:$N$420,14,FALSE)</f>
        <v>0.74426636746256269</v>
      </c>
      <c r="J97" s="9">
        <f>VLOOKUP(D97,'IPDM_saúde   (IPARDES-PR)'!$A$4:$N$466,14,FALSE)</f>
        <v>0.89449376159737082</v>
      </c>
      <c r="L97" s="10" t="str">
        <f t="shared" si="2"/>
        <v>Campos Gerais - A05</v>
      </c>
    </row>
    <row r="98" spans="1:12" x14ac:dyDescent="0.2">
      <c r="A98" s="3" t="s">
        <v>62</v>
      </c>
      <c r="B98" s="147" t="s">
        <v>420</v>
      </c>
      <c r="C98" s="7" t="s">
        <v>425</v>
      </c>
      <c r="D98" s="4" t="s">
        <v>70</v>
      </c>
      <c r="E98" s="142">
        <f>VLOOKUP(D98,'IDHM (IBGE2022)'!$A$4:$N$402,14,FALSE)</f>
        <v>49038.74</v>
      </c>
      <c r="F98" s="90">
        <f>VLOOKUP(D98,'IDHM (IBGE2022)'!$A$4:$J$402,10,FALSE)</f>
        <v>0.67200000000000004</v>
      </c>
      <c r="G98" s="92">
        <f t="shared" si="3"/>
        <v>0.72817219883324535</v>
      </c>
      <c r="H98" s="9">
        <f>VLOOKUP(D98,'IPDM_renda  (IPARDES-PR)'!$A$4:$N$420,14,FALSE)</f>
        <v>0.47586976382208157</v>
      </c>
      <c r="I98" s="9">
        <f>VLOOKUP(D98,'IPDM_educação  (IPARDES-PR)'!$A$4:$N$420,14,FALSE)</f>
        <v>0.81517076268991284</v>
      </c>
      <c r="J98" s="9">
        <f>VLOOKUP(D98,'IPDM_saúde   (IPARDES-PR)'!$A$4:$N$466,14,FALSE)</f>
        <v>0.89347606998774187</v>
      </c>
      <c r="L98" s="10" t="str">
        <f t="shared" si="2"/>
        <v>Campos Gerais - A05</v>
      </c>
    </row>
    <row r="99" spans="1:12" x14ac:dyDescent="0.2">
      <c r="A99" s="5" t="s">
        <v>71</v>
      </c>
      <c r="B99" s="147" t="s">
        <v>420</v>
      </c>
      <c r="C99" s="145" t="s">
        <v>426</v>
      </c>
      <c r="D99" s="4" t="s">
        <v>46</v>
      </c>
      <c r="E99" s="142">
        <f>VLOOKUP(D99,'IDHM (IBGE2022)'!$A$4:$N$402,14,FALSE)</f>
        <v>31175.22</v>
      </c>
      <c r="F99" s="90">
        <f>VLOOKUP(D99,'IDHM (IBGE2022)'!$A$4:$J$402,10,FALSE)</f>
        <v>0.629</v>
      </c>
      <c r="G99" s="92">
        <f t="shared" si="3"/>
        <v>0.70144597591717517</v>
      </c>
      <c r="H99" s="9">
        <f>VLOOKUP(D99,'IPDM_renda  (IPARDES-PR)'!$A$4:$N$420,14,FALSE)</f>
        <v>0.48671349829287064</v>
      </c>
      <c r="I99" s="9">
        <f>VLOOKUP(D99,'IPDM_educação  (IPARDES-PR)'!$A$4:$N$420,14,FALSE)</f>
        <v>0.84838639391918114</v>
      </c>
      <c r="J99" s="9">
        <f>VLOOKUP(D99,'IPDM_saúde   (IPARDES-PR)'!$A$4:$N$466,14,FALSE)</f>
        <v>0.76923803553947379</v>
      </c>
      <c r="L99" s="10" t="str">
        <f t="shared" si="2"/>
        <v>Campos Gerais - A06</v>
      </c>
    </row>
    <row r="100" spans="1:12" x14ac:dyDescent="0.2">
      <c r="A100" s="5" t="s">
        <v>71</v>
      </c>
      <c r="B100" s="147" t="s">
        <v>420</v>
      </c>
      <c r="C100" s="145" t="s">
        <v>426</v>
      </c>
      <c r="D100" s="4" t="s">
        <v>72</v>
      </c>
      <c r="E100" s="142">
        <f>VLOOKUP(D100,'IDHM (IBGE2022)'!$A$4:$N$402,14,FALSE)</f>
        <v>38330.959999999999</v>
      </c>
      <c r="F100" s="90">
        <f>VLOOKUP(D100,'IDHM (IBGE2022)'!$A$4:$J$402,10,FALSE)</f>
        <v>0.66500000000000004</v>
      </c>
      <c r="G100" s="92">
        <f t="shared" si="3"/>
        <v>0.72710866663495333</v>
      </c>
      <c r="H100" s="9">
        <f>VLOOKUP(D100,'IPDM_renda  (IPARDES-PR)'!$A$4:$N$420,14,FALSE)</f>
        <v>0.46896956546745033</v>
      </c>
      <c r="I100" s="9">
        <f>VLOOKUP(D100,'IPDM_educação  (IPARDES-PR)'!$A$4:$N$420,14,FALSE)</f>
        <v>0.87987400224992751</v>
      </c>
      <c r="J100" s="9">
        <f>VLOOKUP(D100,'IPDM_saúde   (IPARDES-PR)'!$A$4:$N$466,14,FALSE)</f>
        <v>0.83248243218748208</v>
      </c>
      <c r="L100" s="10" t="str">
        <f t="shared" si="2"/>
        <v>Campos Gerais - A06</v>
      </c>
    </row>
    <row r="101" spans="1:12" x14ac:dyDescent="0.2">
      <c r="A101" s="5" t="s">
        <v>71</v>
      </c>
      <c r="B101" s="147" t="s">
        <v>420</v>
      </c>
      <c r="C101" s="145" t="s">
        <v>426</v>
      </c>
      <c r="D101" s="4" t="s">
        <v>73</v>
      </c>
      <c r="E101" s="142">
        <f>VLOOKUP(D101,'IDHM (IBGE2022)'!$A$4:$N$402,14,FALSE)</f>
        <v>22407.71</v>
      </c>
      <c r="F101" s="90">
        <f>VLOOKUP(D101,'IDHM (IBGE2022)'!$A$4:$J$402,10,FALSE)</f>
        <v>0.58499999999999996</v>
      </c>
      <c r="G101" s="92">
        <f t="shared" si="3"/>
        <v>0.68906649184649982</v>
      </c>
      <c r="H101" s="9">
        <f>VLOOKUP(D101,'IPDM_renda  (IPARDES-PR)'!$A$4:$N$420,14,FALSE)</f>
        <v>0.43387859397018258</v>
      </c>
      <c r="I101" s="9">
        <f>VLOOKUP(D101,'IPDM_educação  (IPARDES-PR)'!$A$4:$N$420,14,FALSE)</f>
        <v>0.77423051110009444</v>
      </c>
      <c r="J101" s="9">
        <f>VLOOKUP(D101,'IPDM_saúde   (IPARDES-PR)'!$A$4:$N$466,14,FALSE)</f>
        <v>0.85909037046922221</v>
      </c>
      <c r="L101" s="10" t="str">
        <f t="shared" si="2"/>
        <v>Campos Gerais - A06</v>
      </c>
    </row>
    <row r="102" spans="1:12" x14ac:dyDescent="0.2">
      <c r="A102" s="5" t="s">
        <v>71</v>
      </c>
      <c r="B102" s="147" t="s">
        <v>420</v>
      </c>
      <c r="C102" s="145" t="s">
        <v>426</v>
      </c>
      <c r="D102" s="4" t="s">
        <v>74</v>
      </c>
      <c r="E102" s="142">
        <f>VLOOKUP(D102,'IDHM (IBGE2022)'!$A$4:$N$402,14,FALSE)</f>
        <v>46081.2</v>
      </c>
      <c r="F102" s="90">
        <f>VLOOKUP(D102,'IDHM (IBGE2022)'!$A$4:$J$402,10,FALSE)</f>
        <v>0.71599999999999997</v>
      </c>
      <c r="G102" s="92">
        <f t="shared" si="3"/>
        <v>0.66894323685091683</v>
      </c>
      <c r="H102" s="9">
        <f>VLOOKUP(D102,'IPDM_renda  (IPARDES-PR)'!$A$4:$N$420,14,FALSE)</f>
        <v>0.5119697978837503</v>
      </c>
      <c r="I102" s="9">
        <f>VLOOKUP(D102,'IPDM_educação  (IPARDES-PR)'!$A$4:$N$420,14,FALSE)</f>
        <v>0.69870253646071445</v>
      </c>
      <c r="J102" s="9">
        <f>VLOOKUP(D102,'IPDM_saúde   (IPARDES-PR)'!$A$4:$N$466,14,FALSE)</f>
        <v>0.79615737620828597</v>
      </c>
      <c r="L102" s="10" t="str">
        <f t="shared" si="2"/>
        <v>Campos Gerais - A06</v>
      </c>
    </row>
    <row r="103" spans="1:12" x14ac:dyDescent="0.2">
      <c r="A103" s="5" t="s">
        <v>71</v>
      </c>
      <c r="B103" s="147" t="s">
        <v>420</v>
      </c>
      <c r="C103" s="145" t="s">
        <v>426</v>
      </c>
      <c r="D103" s="4" t="s">
        <v>75</v>
      </c>
      <c r="E103" s="142">
        <f>VLOOKUP(D103,'IDHM (IBGE2022)'!$A$4:$N$402,14,FALSE)</f>
        <v>48162.76</v>
      </c>
      <c r="F103" s="90">
        <f>VLOOKUP(D103,'IDHM (IBGE2022)'!$A$4:$J$402,10,FALSE)</f>
        <v>0.63200000000000001</v>
      </c>
      <c r="G103" s="92">
        <f t="shared" si="3"/>
        <v>0.70239034479517126</v>
      </c>
      <c r="H103" s="9">
        <f>VLOOKUP(D103,'IPDM_renda  (IPARDES-PR)'!$A$4:$N$420,14,FALSE)</f>
        <v>0.45612456983148819</v>
      </c>
      <c r="I103" s="9">
        <f>VLOOKUP(D103,'IPDM_educação  (IPARDES-PR)'!$A$4:$N$420,14,FALSE)</f>
        <v>0.86814562834850983</v>
      </c>
      <c r="J103" s="9">
        <f>VLOOKUP(D103,'IPDM_saúde   (IPARDES-PR)'!$A$4:$N$466,14,FALSE)</f>
        <v>0.78290083620551554</v>
      </c>
      <c r="L103" s="10" t="str">
        <f t="shared" si="2"/>
        <v>Campos Gerais - A06</v>
      </c>
    </row>
    <row r="104" spans="1:12" x14ac:dyDescent="0.2">
      <c r="A104" s="5" t="s">
        <v>71</v>
      </c>
      <c r="B104" s="147" t="s">
        <v>420</v>
      </c>
      <c r="C104" s="145" t="s">
        <v>426</v>
      </c>
      <c r="D104" s="4" t="s">
        <v>76</v>
      </c>
      <c r="E104" s="142">
        <f>VLOOKUP(D104,'IDHM (IBGE2022)'!$A$4:$N$402,14,FALSE)</f>
        <v>34638.129999999997</v>
      </c>
      <c r="F104" s="90">
        <f>VLOOKUP(D104,'IDHM (IBGE2022)'!$A$4:$J$402,10,FALSE)</f>
        <v>0.65100000000000002</v>
      </c>
      <c r="G104" s="92">
        <f t="shared" si="3"/>
        <v>0.70321589487352065</v>
      </c>
      <c r="H104" s="9">
        <f>VLOOKUP(D104,'IPDM_renda  (IPARDES-PR)'!$A$4:$N$420,14,FALSE)</f>
        <v>0.423131149543922</v>
      </c>
      <c r="I104" s="9">
        <f>VLOOKUP(D104,'IPDM_educação  (IPARDES-PR)'!$A$4:$N$420,14,FALSE)</f>
        <v>0.86239950070707805</v>
      </c>
      <c r="J104" s="9">
        <f>VLOOKUP(D104,'IPDM_saúde   (IPARDES-PR)'!$A$4:$N$466,14,FALSE)</f>
        <v>0.82411703436956207</v>
      </c>
      <c r="L104" s="10" t="str">
        <f t="shared" si="2"/>
        <v>Campos Gerais - A06</v>
      </c>
    </row>
    <row r="105" spans="1:12" x14ac:dyDescent="0.2">
      <c r="A105" s="5" t="s">
        <v>71</v>
      </c>
      <c r="B105" s="147" t="s">
        <v>420</v>
      </c>
      <c r="C105" s="145" t="s">
        <v>426</v>
      </c>
      <c r="D105" s="4" t="s">
        <v>77</v>
      </c>
      <c r="E105" s="142">
        <f>VLOOKUP(D105,'IDHM (IBGE2022)'!$A$4:$N$402,14,FALSE)</f>
        <v>31211.59</v>
      </c>
      <c r="F105" s="90">
        <f>VLOOKUP(D105,'IDHM (IBGE2022)'!$A$4:$J$402,10,FALSE)</f>
        <v>0.63900000000000001</v>
      </c>
      <c r="G105" s="92">
        <f t="shared" si="3"/>
        <v>0.73323891752761983</v>
      </c>
      <c r="H105" s="9">
        <f>VLOOKUP(D105,'IPDM_renda  (IPARDES-PR)'!$A$4:$N$420,14,FALSE)</f>
        <v>0.45117119473309752</v>
      </c>
      <c r="I105" s="9">
        <f>VLOOKUP(D105,'IPDM_educação  (IPARDES-PR)'!$A$4:$N$420,14,FALSE)</f>
        <v>0.86652927163979132</v>
      </c>
      <c r="J105" s="9">
        <f>VLOOKUP(D105,'IPDM_saúde   (IPARDES-PR)'!$A$4:$N$466,14,FALSE)</f>
        <v>0.88201628620997097</v>
      </c>
      <c r="L105" s="10" t="str">
        <f t="shared" si="2"/>
        <v>Campos Gerais - A06</v>
      </c>
    </row>
    <row r="106" spans="1:12" x14ac:dyDescent="0.2">
      <c r="A106" s="5" t="s">
        <v>71</v>
      </c>
      <c r="B106" s="147" t="s">
        <v>420</v>
      </c>
      <c r="C106" s="145" t="s">
        <v>426</v>
      </c>
      <c r="D106" s="4" t="s">
        <v>68</v>
      </c>
      <c r="E106" s="142">
        <f>VLOOKUP(D106,'IDHM (IBGE2022)'!$A$4:$N$402,14,FALSE)</f>
        <v>43017.52</v>
      </c>
      <c r="F106" s="90">
        <f>VLOOKUP(D106,'IDHM (IBGE2022)'!$A$4:$J$402,10,FALSE)</f>
        <v>0.70199999999999996</v>
      </c>
      <c r="G106" s="92">
        <f t="shared" si="3"/>
        <v>0.73610478046847572</v>
      </c>
      <c r="H106" s="9">
        <f>VLOOKUP(D106,'IPDM_renda  (IPARDES-PR)'!$A$4:$N$420,14,FALSE)</f>
        <v>0.46668982923620927</v>
      </c>
      <c r="I106" s="9">
        <f>VLOOKUP(D106,'IPDM_educação  (IPARDES-PR)'!$A$4:$N$420,14,FALSE)</f>
        <v>0.8804391302640886</v>
      </c>
      <c r="J106" s="9">
        <f>VLOOKUP(D106,'IPDM_saúde   (IPARDES-PR)'!$A$4:$N$466,14,FALSE)</f>
        <v>0.86118538190512905</v>
      </c>
      <c r="L106" s="10" t="str">
        <f t="shared" si="2"/>
        <v>Campos Gerais - A06</v>
      </c>
    </row>
    <row r="107" spans="1:12" x14ac:dyDescent="0.2">
      <c r="A107" s="5" t="s">
        <v>71</v>
      </c>
      <c r="B107" s="147" t="s">
        <v>420</v>
      </c>
      <c r="C107" s="145" t="s">
        <v>426</v>
      </c>
      <c r="D107" s="4" t="s">
        <v>258</v>
      </c>
      <c r="E107" s="142">
        <f>VLOOKUP(D107,'IDHM (IBGE2022)'!$A$4:$N$402,14,FALSE)</f>
        <v>56837.11</v>
      </c>
      <c r="F107" s="90">
        <f>VLOOKUP(D107,'IDHM (IBGE2022)'!$A$4:$J$402,10,FALSE)</f>
        <v>0.68100000000000005</v>
      </c>
      <c r="G107" s="92">
        <f t="shared" si="3"/>
        <v>0.71398516931419154</v>
      </c>
      <c r="H107" s="9">
        <f>VLOOKUP(D107,'IPDM_renda  (IPARDES-PR)'!$A$4:$N$420,14,FALSE)</f>
        <v>0.48678278953563731</v>
      </c>
      <c r="I107" s="9">
        <f>VLOOKUP(D107,'IPDM_educação  (IPARDES-PR)'!$A$4:$N$420,14,FALSE)</f>
        <v>0.89311277883496898</v>
      </c>
      <c r="J107" s="9">
        <f>VLOOKUP(D107,'IPDM_saúde   (IPARDES-PR)'!$A$4:$N$466,14,FALSE)</f>
        <v>0.76205993957196816</v>
      </c>
      <c r="L107" s="10" t="str">
        <f t="shared" si="2"/>
        <v>Campos Gerais - A06</v>
      </c>
    </row>
    <row r="108" spans="1:12" x14ac:dyDescent="0.2">
      <c r="A108" s="5" t="s">
        <v>71</v>
      </c>
      <c r="B108" s="147" t="s">
        <v>420</v>
      </c>
      <c r="C108" s="145" t="s">
        <v>426</v>
      </c>
      <c r="D108" s="4" t="s">
        <v>78</v>
      </c>
      <c r="E108" s="142">
        <f>VLOOKUP(D108,'IDHM (IBGE2022)'!$A$4:$N$402,14,FALSE)</f>
        <v>35195.519999999997</v>
      </c>
      <c r="F108" s="90">
        <f>VLOOKUP(D108,'IDHM (IBGE2022)'!$A$4:$J$402,10,FALSE)</f>
        <v>0.60899999999999999</v>
      </c>
      <c r="G108" s="92">
        <f t="shared" si="3"/>
        <v>0.63212953550487416</v>
      </c>
      <c r="H108" s="9">
        <f>VLOOKUP(D108,'IPDM_renda  (IPARDES-PR)'!$A$4:$N$420,14,FALSE)</f>
        <v>0.46733350238146781</v>
      </c>
      <c r="I108" s="9">
        <f>VLOOKUP(D108,'IPDM_educação  (IPARDES-PR)'!$A$4:$N$420,14,FALSE)</f>
        <v>0.71798334771399996</v>
      </c>
      <c r="J108" s="9">
        <f>VLOOKUP(D108,'IPDM_saúde   (IPARDES-PR)'!$A$4:$N$466,14,FALSE)</f>
        <v>0.71107175641915477</v>
      </c>
      <c r="L108" s="10" t="str">
        <f t="shared" si="2"/>
        <v>Campos Gerais - A06</v>
      </c>
    </row>
    <row r="109" spans="1:12" x14ac:dyDescent="0.2">
      <c r="A109" s="5" t="s">
        <v>79</v>
      </c>
      <c r="B109" s="147" t="s">
        <v>420</v>
      </c>
      <c r="C109" s="7" t="s">
        <v>427</v>
      </c>
      <c r="D109" s="4" t="s">
        <v>65</v>
      </c>
      <c r="E109" s="142">
        <f>VLOOKUP(D109,'IDHM (IBGE2022)'!$A$4:$N$402,14,FALSE)</f>
        <v>60204.94</v>
      </c>
      <c r="F109" s="90">
        <f>VLOOKUP(D109,'IDHM (IBGE2022)'!$A$4:$J$402,10,FALSE)</f>
        <v>0.63500000000000001</v>
      </c>
      <c r="G109" s="92">
        <f t="shared" si="3"/>
        <v>0.75860592604137567</v>
      </c>
      <c r="H109" s="9">
        <f>VLOOKUP(D109,'IPDM_renda  (IPARDES-PR)'!$A$4:$N$420,14,FALSE)</f>
        <v>0.55566245640684475</v>
      </c>
      <c r="I109" s="9">
        <f>VLOOKUP(D109,'IPDM_educação  (IPARDES-PR)'!$A$4:$N$420,14,FALSE)</f>
        <v>0.83839130384531479</v>
      </c>
      <c r="J109" s="9">
        <f>VLOOKUP(D109,'IPDM_saúde   (IPARDES-PR)'!$A$4:$N$466,14,FALSE)</f>
        <v>0.88176401787196734</v>
      </c>
      <c r="L109" s="10" t="str">
        <f t="shared" si="2"/>
        <v>Campos Gerais - A07</v>
      </c>
    </row>
    <row r="110" spans="1:12" x14ac:dyDescent="0.2">
      <c r="A110" s="5" t="s">
        <v>79</v>
      </c>
      <c r="B110" s="147" t="s">
        <v>420</v>
      </c>
      <c r="C110" s="7" t="s">
        <v>427</v>
      </c>
      <c r="D110" s="4" t="s">
        <v>80</v>
      </c>
      <c r="E110" s="142">
        <f>VLOOKUP(D110,'IDHM (IBGE2022)'!$A$4:$N$402,14,FALSE)</f>
        <v>42057.85</v>
      </c>
      <c r="F110" s="90">
        <f>VLOOKUP(D110,'IDHM (IBGE2022)'!$A$4:$J$402,10,FALSE)</f>
        <v>0.63600000000000001</v>
      </c>
      <c r="G110" s="92">
        <f t="shared" si="3"/>
        <v>0.74632382208507153</v>
      </c>
      <c r="H110" s="9">
        <f>VLOOKUP(D110,'IPDM_renda  (IPARDES-PR)'!$A$4:$N$420,14,FALSE)</f>
        <v>0.46887928402702994</v>
      </c>
      <c r="I110" s="9">
        <f>VLOOKUP(D110,'IPDM_educação  (IPARDES-PR)'!$A$4:$N$420,14,FALSE)</f>
        <v>0.81363324575070317</v>
      </c>
      <c r="J110" s="9">
        <f>VLOOKUP(D110,'IPDM_saúde   (IPARDES-PR)'!$A$4:$N$466,14,FALSE)</f>
        <v>0.95645893647748148</v>
      </c>
      <c r="L110" s="10" t="str">
        <f t="shared" si="2"/>
        <v>Campos Gerais - A07</v>
      </c>
    </row>
    <row r="111" spans="1:12" x14ac:dyDescent="0.2">
      <c r="A111" s="5" t="s">
        <v>79</v>
      </c>
      <c r="B111" s="147" t="s">
        <v>420</v>
      </c>
      <c r="C111" s="7" t="s">
        <v>427</v>
      </c>
      <c r="D111" s="4" t="s">
        <v>81</v>
      </c>
      <c r="E111" s="142">
        <f>VLOOKUP(D111,'IDHM (IBGE2022)'!$A$4:$N$402,14,FALSE)</f>
        <v>38120.67</v>
      </c>
      <c r="F111" s="90">
        <f>VLOOKUP(D111,'IDHM (IBGE2022)'!$A$4:$J$402,10,FALSE)</f>
        <v>0.64500000000000002</v>
      </c>
      <c r="G111" s="92">
        <f t="shared" si="3"/>
        <v>0.68258857122212113</v>
      </c>
      <c r="H111" s="9">
        <f>VLOOKUP(D111,'IPDM_renda  (IPARDES-PR)'!$A$4:$N$420,14,FALSE)</f>
        <v>0.46366419311080542</v>
      </c>
      <c r="I111" s="9">
        <f>VLOOKUP(D111,'IPDM_educação  (IPARDES-PR)'!$A$4:$N$420,14,FALSE)</f>
        <v>0.73114086565827108</v>
      </c>
      <c r="J111" s="9">
        <f>VLOOKUP(D111,'IPDM_saúde   (IPARDES-PR)'!$A$4:$N$466,14,FALSE)</f>
        <v>0.8529606548972869</v>
      </c>
      <c r="L111" s="10" t="str">
        <f t="shared" si="2"/>
        <v>Campos Gerais - A07</v>
      </c>
    </row>
    <row r="112" spans="1:12" x14ac:dyDescent="0.2">
      <c r="A112" s="5" t="s">
        <v>79</v>
      </c>
      <c r="B112" s="147" t="s">
        <v>420</v>
      </c>
      <c r="C112" s="7" t="s">
        <v>427</v>
      </c>
      <c r="D112" s="4" t="s">
        <v>82</v>
      </c>
      <c r="E112" s="142">
        <f>VLOOKUP(D112,'IDHM (IBGE2022)'!$A$4:$N$402,14,FALSE)</f>
        <v>38195.42</v>
      </c>
      <c r="F112" s="90">
        <f>VLOOKUP(D112,'IDHM (IBGE2022)'!$A$4:$J$402,10,FALSE)</f>
        <v>0.70599999999999996</v>
      </c>
      <c r="G112" s="92">
        <f t="shared" si="3"/>
        <v>0.75703366773555913</v>
      </c>
      <c r="H112" s="9">
        <f>VLOOKUP(D112,'IPDM_renda  (IPARDES-PR)'!$A$4:$N$420,14,FALSE)</f>
        <v>0.47917985348383446</v>
      </c>
      <c r="I112" s="9">
        <f>VLOOKUP(D112,'IPDM_educação  (IPARDES-PR)'!$A$4:$N$420,14,FALSE)</f>
        <v>0.87459943385550465</v>
      </c>
      <c r="J112" s="9">
        <f>VLOOKUP(D112,'IPDM_saúde   (IPARDES-PR)'!$A$4:$N$466,14,FALSE)</f>
        <v>0.91732171586733824</v>
      </c>
      <c r="L112" s="10" t="str">
        <f t="shared" si="2"/>
        <v>Campos Gerais - A07</v>
      </c>
    </row>
    <row r="113" spans="1:12" x14ac:dyDescent="0.2">
      <c r="A113" s="5" t="s">
        <v>79</v>
      </c>
      <c r="B113" s="147" t="s">
        <v>420</v>
      </c>
      <c r="C113" s="7" t="s">
        <v>427</v>
      </c>
      <c r="D113" s="4" t="s">
        <v>83</v>
      </c>
      <c r="E113" s="142">
        <f>VLOOKUP(D113,'IDHM (IBGE2022)'!$A$4:$N$402,14,FALSE)</f>
        <v>31337.75</v>
      </c>
      <c r="F113" s="90">
        <f>VLOOKUP(D113,'IDHM (IBGE2022)'!$A$4:$J$402,10,FALSE)</f>
        <v>0.64200000000000002</v>
      </c>
      <c r="G113" s="92">
        <f t="shared" si="3"/>
        <v>0.62501000696995146</v>
      </c>
      <c r="H113" s="9">
        <f>VLOOKUP(D113,'IPDM_renda  (IPARDES-PR)'!$A$4:$N$420,14,FALSE)</f>
        <v>0.42582918256696844</v>
      </c>
      <c r="I113" s="9">
        <f>VLOOKUP(D113,'IPDM_educação  (IPARDES-PR)'!$A$4:$N$420,14,FALSE)</f>
        <v>0.76199120058729586</v>
      </c>
      <c r="J113" s="9">
        <f>VLOOKUP(D113,'IPDM_saúde   (IPARDES-PR)'!$A$4:$N$466,14,FALSE)</f>
        <v>0.6872096377555903</v>
      </c>
      <c r="L113" s="10" t="str">
        <f t="shared" si="2"/>
        <v>Campos Gerais - A07</v>
      </c>
    </row>
    <row r="114" spans="1:12" x14ac:dyDescent="0.2">
      <c r="A114" s="5" t="s">
        <v>79</v>
      </c>
      <c r="B114" s="147" t="s">
        <v>420</v>
      </c>
      <c r="C114" s="7" t="s">
        <v>427</v>
      </c>
      <c r="D114" s="4" t="s">
        <v>67</v>
      </c>
      <c r="E114" s="142">
        <f>VLOOKUP(D114,'IDHM (IBGE2022)'!$A$4:$N$402,14,FALSE)</f>
        <v>61938.97</v>
      </c>
      <c r="F114" s="90">
        <f>VLOOKUP(D114,'IDHM (IBGE2022)'!$A$4:$J$402,10,FALSE)</f>
        <v>0.65400000000000003</v>
      </c>
      <c r="G114" s="92">
        <f t="shared" si="3"/>
        <v>0.70328978550041388</v>
      </c>
      <c r="H114" s="9">
        <f>VLOOKUP(D114,'IPDM_renda  (IPARDES-PR)'!$A$4:$N$420,14,FALSE)</f>
        <v>0.49523627750087573</v>
      </c>
      <c r="I114" s="9">
        <f>VLOOKUP(D114,'IPDM_educação  (IPARDES-PR)'!$A$4:$N$420,14,FALSE)</f>
        <v>0.76996944105367948</v>
      </c>
      <c r="J114" s="9">
        <f>VLOOKUP(D114,'IPDM_saúde   (IPARDES-PR)'!$A$4:$N$466,14,FALSE)</f>
        <v>0.8446636379466862</v>
      </c>
      <c r="L114" s="10" t="str">
        <f t="shared" si="2"/>
        <v>Campos Gerais - A07</v>
      </c>
    </row>
    <row r="115" spans="1:12" x14ac:dyDescent="0.2">
      <c r="A115" s="5" t="s">
        <v>79</v>
      </c>
      <c r="B115" s="147" t="s">
        <v>420</v>
      </c>
      <c r="C115" s="7" t="s">
        <v>427</v>
      </c>
      <c r="D115" s="4" t="s">
        <v>84</v>
      </c>
      <c r="E115" s="142">
        <f>VLOOKUP(D115,'IDHM (IBGE2022)'!$A$4:$N$402,14,FALSE)</f>
        <v>54394.82</v>
      </c>
      <c r="F115" s="90">
        <f>VLOOKUP(D115,'IDHM (IBGE2022)'!$A$4:$J$402,10,FALSE)</f>
        <v>0.68799999999999994</v>
      </c>
      <c r="G115" s="92">
        <f t="shared" si="3"/>
        <v>0.791663280658785</v>
      </c>
      <c r="H115" s="9">
        <f>VLOOKUP(D115,'IPDM_renda  (IPARDES-PR)'!$A$4:$N$420,14,FALSE)</f>
        <v>0.58987883687251186</v>
      </c>
      <c r="I115" s="9">
        <f>VLOOKUP(D115,'IPDM_educação  (IPARDES-PR)'!$A$4:$N$420,14,FALSE)</f>
        <v>0.89182027596923552</v>
      </c>
      <c r="J115" s="9">
        <f>VLOOKUP(D115,'IPDM_saúde   (IPARDES-PR)'!$A$4:$N$466,14,FALSE)</f>
        <v>0.89329072913460783</v>
      </c>
      <c r="L115" s="10" t="str">
        <f t="shared" si="2"/>
        <v>Campos Gerais - A07</v>
      </c>
    </row>
    <row r="116" spans="1:12" x14ac:dyDescent="0.2">
      <c r="A116" s="5" t="s">
        <v>79</v>
      </c>
      <c r="B116" s="147" t="s">
        <v>420</v>
      </c>
      <c r="C116" s="7" t="s">
        <v>427</v>
      </c>
      <c r="D116" s="4" t="s">
        <v>85</v>
      </c>
      <c r="E116" s="142">
        <f>VLOOKUP(D116,'IDHM (IBGE2022)'!$A$4:$N$402,14,FALSE)</f>
        <v>62721.88</v>
      </c>
      <c r="F116" s="90">
        <f>VLOOKUP(D116,'IDHM (IBGE2022)'!$A$4:$J$402,10,FALSE)</f>
        <v>0.68100000000000005</v>
      </c>
      <c r="G116" s="92">
        <f t="shared" si="3"/>
        <v>0.73788182700052518</v>
      </c>
      <c r="H116" s="9">
        <f>VLOOKUP(D116,'IPDM_renda  (IPARDES-PR)'!$A$4:$N$420,14,FALSE)</f>
        <v>0.46539811712609308</v>
      </c>
      <c r="I116" s="9">
        <f>VLOOKUP(D116,'IPDM_educação  (IPARDES-PR)'!$A$4:$N$420,14,FALSE)</f>
        <v>0.88873169402504404</v>
      </c>
      <c r="J116" s="9">
        <f>VLOOKUP(D116,'IPDM_saúde   (IPARDES-PR)'!$A$4:$N$466,14,FALSE)</f>
        <v>0.85951566985043859</v>
      </c>
      <c r="L116" s="10" t="str">
        <f t="shared" si="2"/>
        <v>Campos Gerais - A07</v>
      </c>
    </row>
    <row r="117" spans="1:12" x14ac:dyDescent="0.2">
      <c r="A117" s="5" t="s">
        <v>79</v>
      </c>
      <c r="B117" s="147" t="s">
        <v>420</v>
      </c>
      <c r="C117" s="7" t="s">
        <v>427</v>
      </c>
      <c r="D117" s="4" t="s">
        <v>69</v>
      </c>
      <c r="E117" s="142">
        <f>VLOOKUP(D117,'IDHM (IBGE2022)'!$A$4:$N$402,14,FALSE)</f>
        <v>39346.76</v>
      </c>
      <c r="F117" s="90">
        <f>VLOOKUP(D117,'IDHM (IBGE2022)'!$A$4:$J$402,10,FALSE)</f>
        <v>0.64800000000000002</v>
      </c>
      <c r="G117" s="92">
        <f t="shared" si="3"/>
        <v>0.71921090115546038</v>
      </c>
      <c r="H117" s="9">
        <f>VLOOKUP(D117,'IPDM_renda  (IPARDES-PR)'!$A$4:$N$420,14,FALSE)</f>
        <v>0.51887257440644752</v>
      </c>
      <c r="I117" s="9">
        <f>VLOOKUP(D117,'IPDM_educação  (IPARDES-PR)'!$A$4:$N$420,14,FALSE)</f>
        <v>0.74426636746256269</v>
      </c>
      <c r="J117" s="9">
        <f>VLOOKUP(D117,'IPDM_saúde   (IPARDES-PR)'!$A$4:$N$466,14,FALSE)</f>
        <v>0.89449376159737082</v>
      </c>
      <c r="L117" s="10" t="str">
        <f t="shared" si="2"/>
        <v>Campos Gerais - A07</v>
      </c>
    </row>
    <row r="118" spans="1:12" x14ac:dyDescent="0.2">
      <c r="A118" s="5" t="s">
        <v>79</v>
      </c>
      <c r="B118" s="147" t="s">
        <v>420</v>
      </c>
      <c r="C118" s="7" t="s">
        <v>427</v>
      </c>
      <c r="D118" s="4" t="s">
        <v>86</v>
      </c>
      <c r="E118" s="142">
        <f>VLOOKUP(D118,'IDHM (IBGE2022)'!$A$4:$N$402,14,FALSE)</f>
        <v>36921.86</v>
      </c>
      <c r="F118" s="90">
        <f>VLOOKUP(D118,'IDHM (IBGE2022)'!$A$4:$J$402,10,FALSE)</f>
        <v>0.629</v>
      </c>
      <c r="G118" s="92">
        <f t="shared" si="3"/>
        <v>0.6975695280486679</v>
      </c>
      <c r="H118" s="9">
        <f>VLOOKUP(D118,'IPDM_renda  (IPARDES-PR)'!$A$4:$N$420,14,FALSE)</f>
        <v>0.43371347060287202</v>
      </c>
      <c r="I118" s="9">
        <f>VLOOKUP(D118,'IPDM_educação  (IPARDES-PR)'!$A$4:$N$420,14,FALSE)</f>
        <v>0.86731052228274064</v>
      </c>
      <c r="J118" s="9">
        <f>VLOOKUP(D118,'IPDM_saúde   (IPARDES-PR)'!$A$4:$N$466,14,FALSE)</f>
        <v>0.79168459126039092</v>
      </c>
      <c r="L118" s="10" t="str">
        <f t="shared" si="2"/>
        <v>Campos Gerais - A07</v>
      </c>
    </row>
    <row r="119" spans="1:12" x14ac:dyDescent="0.2">
      <c r="A119" s="5" t="s">
        <v>87</v>
      </c>
      <c r="B119" s="148" t="s">
        <v>419</v>
      </c>
      <c r="C119" s="145" t="s">
        <v>421</v>
      </c>
      <c r="D119" s="4" t="s">
        <v>88</v>
      </c>
      <c r="E119" s="142">
        <f>VLOOKUP(D119,'IDHM (IBGE2022)'!$A$4:$N$402,14,FALSE)</f>
        <v>47973.54</v>
      </c>
      <c r="F119" s="90">
        <f>VLOOKUP(D119,'IDHM (IBGE2022)'!$A$4:$J$402,10,FALSE)</f>
        <v>0.748</v>
      </c>
      <c r="G119" s="92">
        <f t="shared" si="3"/>
        <v>0.81973294580938327</v>
      </c>
      <c r="H119" s="9">
        <f>VLOOKUP(D119,'IPDM_renda  (IPARDES-PR)'!$A$4:$N$420,14,FALSE)</f>
        <v>0.60669812711885618</v>
      </c>
      <c r="I119" s="9">
        <f>VLOOKUP(D119,'IPDM_educação  (IPARDES-PR)'!$A$4:$N$420,14,FALSE)</f>
        <v>0.9501264408266592</v>
      </c>
      <c r="J119" s="9">
        <f>VLOOKUP(D119,'IPDM_saúde   (IPARDES-PR)'!$A$4:$N$466,14,FALSE)</f>
        <v>0.90237426948263444</v>
      </c>
      <c r="L119" s="10" t="str">
        <f t="shared" si="2"/>
        <v>Norte - A01</v>
      </c>
    </row>
    <row r="120" spans="1:12" x14ac:dyDescent="0.2">
      <c r="A120" s="5" t="s">
        <v>87</v>
      </c>
      <c r="B120" s="148" t="s">
        <v>419</v>
      </c>
      <c r="C120" s="145" t="s">
        <v>421</v>
      </c>
      <c r="D120" s="4" t="s">
        <v>89</v>
      </c>
      <c r="E120" s="142">
        <f>VLOOKUP(D120,'IDHM (IBGE2022)'!$A$4:$N$402,14,FALSE)</f>
        <v>45723.88</v>
      </c>
      <c r="F120" s="90">
        <f>VLOOKUP(D120,'IDHM (IBGE2022)'!$A$4:$J$402,10,FALSE)</f>
        <v>0.747</v>
      </c>
      <c r="G120" s="92">
        <f t="shared" si="3"/>
        <v>0.76889257225075047</v>
      </c>
      <c r="H120" s="9">
        <f>VLOOKUP(D120,'IPDM_renda  (IPARDES-PR)'!$A$4:$N$420,14,FALSE)</f>
        <v>0.51691449189380712</v>
      </c>
      <c r="I120" s="9">
        <f>VLOOKUP(D120,'IPDM_educação  (IPARDES-PR)'!$A$4:$N$420,14,FALSE)</f>
        <v>0.94351706317864792</v>
      </c>
      <c r="J120" s="9">
        <f>VLOOKUP(D120,'IPDM_saúde   (IPARDES-PR)'!$A$4:$N$466,14,FALSE)</f>
        <v>0.84624616167979649</v>
      </c>
      <c r="L120" s="10" t="str">
        <f t="shared" si="2"/>
        <v>Norte - A01</v>
      </c>
    </row>
    <row r="121" spans="1:12" x14ac:dyDescent="0.2">
      <c r="A121" s="5" t="s">
        <v>87</v>
      </c>
      <c r="B121" s="148" t="s">
        <v>419</v>
      </c>
      <c r="C121" s="145" t="s">
        <v>421</v>
      </c>
      <c r="D121" s="4" t="s">
        <v>90</v>
      </c>
      <c r="E121" s="142">
        <f>VLOOKUP(D121,'IDHM (IBGE2022)'!$A$4:$N$402,14,FALSE)</f>
        <v>34760.43</v>
      </c>
      <c r="F121" s="90">
        <f>VLOOKUP(D121,'IDHM (IBGE2022)'!$A$4:$J$402,10,FALSE)</f>
        <v>0.66800000000000004</v>
      </c>
      <c r="G121" s="92">
        <f t="shared" si="3"/>
        <v>0.77279777524379278</v>
      </c>
      <c r="H121" s="9">
        <f>VLOOKUP(D121,'IPDM_renda  (IPARDES-PR)'!$A$4:$N$420,14,FALSE)</f>
        <v>0.53365166869141412</v>
      </c>
      <c r="I121" s="9">
        <f>VLOOKUP(D121,'IPDM_educação  (IPARDES-PR)'!$A$4:$N$420,14,FALSE)</f>
        <v>0.91626315413168558</v>
      </c>
      <c r="J121" s="9">
        <f>VLOOKUP(D121,'IPDM_saúde   (IPARDES-PR)'!$A$4:$N$466,14,FALSE)</f>
        <v>0.86847850290827866</v>
      </c>
      <c r="L121" s="10" t="str">
        <f t="shared" si="2"/>
        <v>Norte - A01</v>
      </c>
    </row>
    <row r="122" spans="1:12" x14ac:dyDescent="0.2">
      <c r="A122" s="5" t="s">
        <v>87</v>
      </c>
      <c r="B122" s="148" t="s">
        <v>419</v>
      </c>
      <c r="C122" s="145" t="s">
        <v>421</v>
      </c>
      <c r="D122" s="4" t="s">
        <v>91</v>
      </c>
      <c r="E122" s="142">
        <f>VLOOKUP(D122,'IDHM (IBGE2022)'!$A$4:$N$402,14,FALSE)</f>
        <v>54502.22</v>
      </c>
      <c r="F122" s="90">
        <f>VLOOKUP(D122,'IDHM (IBGE2022)'!$A$4:$J$402,10,FALSE)</f>
        <v>0.70099999999999996</v>
      </c>
      <c r="G122" s="92">
        <f t="shared" si="3"/>
        <v>0.74160648639287219</v>
      </c>
      <c r="H122" s="9">
        <f>VLOOKUP(D122,'IPDM_renda  (IPARDES-PR)'!$A$4:$N$420,14,FALSE)</f>
        <v>0.53579738929308918</v>
      </c>
      <c r="I122" s="9">
        <f>VLOOKUP(D122,'IPDM_educação  (IPARDES-PR)'!$A$4:$N$420,14,FALSE)</f>
        <v>0.83397107599035658</v>
      </c>
      <c r="J122" s="9">
        <f>VLOOKUP(D122,'IPDM_saúde   (IPARDES-PR)'!$A$4:$N$466,14,FALSE)</f>
        <v>0.85505099389517103</v>
      </c>
      <c r="L122" s="10" t="str">
        <f t="shared" si="2"/>
        <v>Norte - A01</v>
      </c>
    </row>
    <row r="123" spans="1:12" x14ac:dyDescent="0.2">
      <c r="A123" s="5" t="s">
        <v>87</v>
      </c>
      <c r="B123" s="148" t="s">
        <v>419</v>
      </c>
      <c r="C123" s="145" t="s">
        <v>421</v>
      </c>
      <c r="D123" s="4" t="s">
        <v>92</v>
      </c>
      <c r="E123" s="142">
        <f>VLOOKUP(D123,'IDHM (IBGE2022)'!$A$4:$N$402,14,FALSE)</f>
        <v>40499.33</v>
      </c>
      <c r="F123" s="90">
        <f>VLOOKUP(D123,'IDHM (IBGE2022)'!$A$4:$J$402,10,FALSE)</f>
        <v>0.69799999999999995</v>
      </c>
      <c r="G123" s="92">
        <f t="shared" si="3"/>
        <v>0.72874473217607638</v>
      </c>
      <c r="H123" s="9">
        <f>VLOOKUP(D123,'IPDM_renda  (IPARDES-PR)'!$A$4:$N$420,14,FALSE)</f>
        <v>0.54269246292209705</v>
      </c>
      <c r="I123" s="9">
        <f>VLOOKUP(D123,'IPDM_educação  (IPARDES-PR)'!$A$4:$N$420,14,FALSE)</f>
        <v>0.9288628401941359</v>
      </c>
      <c r="J123" s="9">
        <f>VLOOKUP(D123,'IPDM_saúde   (IPARDES-PR)'!$A$4:$N$466,14,FALSE)</f>
        <v>0.71467889341199609</v>
      </c>
      <c r="L123" s="10" t="str">
        <f t="shared" si="2"/>
        <v>Norte - A01</v>
      </c>
    </row>
    <row r="124" spans="1:12" x14ac:dyDescent="0.2">
      <c r="A124" s="5" t="s">
        <v>87</v>
      </c>
      <c r="B124" s="148" t="s">
        <v>419</v>
      </c>
      <c r="C124" s="145" t="s">
        <v>421</v>
      </c>
      <c r="D124" s="4" t="s">
        <v>93</v>
      </c>
      <c r="E124" s="142">
        <f>VLOOKUP(D124,'IDHM (IBGE2022)'!$A$4:$N$402,14,FALSE)</f>
        <v>96051.01</v>
      </c>
      <c r="F124" s="90">
        <f>VLOOKUP(D124,'IDHM (IBGE2022)'!$A$4:$J$402,10,FALSE)</f>
        <v>0.71499999999999997</v>
      </c>
      <c r="G124" s="92">
        <f t="shared" si="3"/>
        <v>0.78351517736642318</v>
      </c>
      <c r="H124" s="9">
        <f>VLOOKUP(D124,'IPDM_renda  (IPARDES-PR)'!$A$4:$N$420,14,FALSE)</f>
        <v>0.63724135519052749</v>
      </c>
      <c r="I124" s="9">
        <f>VLOOKUP(D124,'IPDM_educação  (IPARDES-PR)'!$A$4:$N$420,14,FALSE)</f>
        <v>0.82452875156800998</v>
      </c>
      <c r="J124" s="9">
        <f>VLOOKUP(D124,'IPDM_saúde   (IPARDES-PR)'!$A$4:$N$466,14,FALSE)</f>
        <v>0.88877542534073195</v>
      </c>
      <c r="L124" s="10" t="str">
        <f t="shared" si="2"/>
        <v>Norte - A01</v>
      </c>
    </row>
    <row r="125" spans="1:12" x14ac:dyDescent="0.2">
      <c r="A125" s="5" t="s">
        <v>87</v>
      </c>
      <c r="B125" s="148" t="s">
        <v>419</v>
      </c>
      <c r="C125" s="145" t="s">
        <v>421</v>
      </c>
      <c r="D125" s="4" t="s">
        <v>94</v>
      </c>
      <c r="E125" s="142">
        <f>VLOOKUP(D125,'IDHM (IBGE2022)'!$A$4:$N$402,14,FALSE)</f>
        <v>35296.980000000003</v>
      </c>
      <c r="F125" s="90">
        <f>VLOOKUP(D125,'IDHM (IBGE2022)'!$A$4:$J$402,10,FALSE)</f>
        <v>0.748</v>
      </c>
      <c r="G125" s="92">
        <f t="shared" si="3"/>
        <v>0.70500151051482252</v>
      </c>
      <c r="H125" s="9">
        <f>VLOOKUP(D125,'IPDM_renda  (IPARDES-PR)'!$A$4:$N$420,14,FALSE)</f>
        <v>0.48971176638595815</v>
      </c>
      <c r="I125" s="9">
        <f>VLOOKUP(D125,'IPDM_educação  (IPARDES-PR)'!$A$4:$N$420,14,FALSE)</f>
        <v>0.69415753886618337</v>
      </c>
      <c r="J125" s="9">
        <f>VLOOKUP(D125,'IPDM_saúde   (IPARDES-PR)'!$A$4:$N$466,14,FALSE)</f>
        <v>0.93113522629232615</v>
      </c>
      <c r="L125" s="10" t="str">
        <f t="shared" si="2"/>
        <v>Norte - A01</v>
      </c>
    </row>
    <row r="126" spans="1:12" x14ac:dyDescent="0.2">
      <c r="A126" s="5" t="s">
        <v>87</v>
      </c>
      <c r="B126" s="148" t="s">
        <v>419</v>
      </c>
      <c r="C126" s="145" t="s">
        <v>421</v>
      </c>
      <c r="D126" s="4" t="s">
        <v>95</v>
      </c>
      <c r="E126" s="142">
        <f>VLOOKUP(D126,'IDHM (IBGE2022)'!$A$4:$N$402,14,FALSE)</f>
        <v>34590.58</v>
      </c>
      <c r="F126" s="90">
        <f>VLOOKUP(D126,'IDHM (IBGE2022)'!$A$4:$J$402,10,FALSE)</f>
        <v>0.70899999999999996</v>
      </c>
      <c r="G126" s="92">
        <f t="shared" si="3"/>
        <v>0.71644038305974567</v>
      </c>
      <c r="H126" s="9">
        <f>VLOOKUP(D126,'IPDM_renda  (IPARDES-PR)'!$A$4:$N$420,14,FALSE)</f>
        <v>0.45708693803356348</v>
      </c>
      <c r="I126" s="9">
        <f>VLOOKUP(D126,'IPDM_educação  (IPARDES-PR)'!$A$4:$N$420,14,FALSE)</f>
        <v>0.75462833813136543</v>
      </c>
      <c r="J126" s="9">
        <f>VLOOKUP(D126,'IPDM_saúde   (IPARDES-PR)'!$A$4:$N$466,14,FALSE)</f>
        <v>0.93760587301430798</v>
      </c>
      <c r="L126" s="10" t="str">
        <f t="shared" si="2"/>
        <v>Norte - A01</v>
      </c>
    </row>
    <row r="127" spans="1:12" x14ac:dyDescent="0.2">
      <c r="A127" s="5" t="s">
        <v>87</v>
      </c>
      <c r="B127" s="148" t="s">
        <v>419</v>
      </c>
      <c r="C127" s="145" t="s">
        <v>421</v>
      </c>
      <c r="D127" s="4" t="s">
        <v>96</v>
      </c>
      <c r="E127" s="142">
        <f>VLOOKUP(D127,'IDHM (IBGE2022)'!$A$4:$N$402,14,FALSE)</f>
        <v>52715.86</v>
      </c>
      <c r="F127" s="90">
        <f>VLOOKUP(D127,'IDHM (IBGE2022)'!$A$4:$J$402,10,FALSE)</f>
        <v>0.71</v>
      </c>
      <c r="G127" s="92">
        <f t="shared" si="3"/>
        <v>0.76835356898562557</v>
      </c>
      <c r="H127" s="9">
        <f>VLOOKUP(D127,'IPDM_renda  (IPARDES-PR)'!$A$4:$N$420,14,FALSE)</f>
        <v>0.44025348178595541</v>
      </c>
      <c r="I127" s="9">
        <f>VLOOKUP(D127,'IPDM_educação  (IPARDES-PR)'!$A$4:$N$420,14,FALSE)</f>
        <v>0.90777017429660267</v>
      </c>
      <c r="J127" s="9">
        <f>VLOOKUP(D127,'IPDM_saúde   (IPARDES-PR)'!$A$4:$N$466,14,FALSE)</f>
        <v>0.95703705087431878</v>
      </c>
      <c r="L127" s="10" t="str">
        <f t="shared" si="2"/>
        <v>Norte - A01</v>
      </c>
    </row>
    <row r="128" spans="1:12" x14ac:dyDescent="0.2">
      <c r="A128" s="5" t="s">
        <v>87</v>
      </c>
      <c r="B128" s="148" t="s">
        <v>419</v>
      </c>
      <c r="C128" s="145" t="s">
        <v>421</v>
      </c>
      <c r="D128" s="4" t="s">
        <v>97</v>
      </c>
      <c r="E128" s="142">
        <f>VLOOKUP(D128,'IDHM (IBGE2022)'!$A$4:$N$402,14,FALSE)</f>
        <v>56067.67</v>
      </c>
      <c r="F128" s="90">
        <f>VLOOKUP(D128,'IDHM (IBGE2022)'!$A$4:$J$402,10,FALSE)</f>
        <v>0.71</v>
      </c>
      <c r="G128" s="92">
        <f t="shared" si="3"/>
        <v>0.73680362888916962</v>
      </c>
      <c r="H128" s="9">
        <f>VLOOKUP(D128,'IPDM_renda  (IPARDES-PR)'!$A$4:$N$420,14,FALSE)</f>
        <v>0.56609869720069739</v>
      </c>
      <c r="I128" s="9">
        <f>VLOOKUP(D128,'IPDM_educação  (IPARDES-PR)'!$A$4:$N$420,14,FALSE)</f>
        <v>0.83197451545145762</v>
      </c>
      <c r="J128" s="9">
        <f>VLOOKUP(D128,'IPDM_saúde   (IPARDES-PR)'!$A$4:$N$466,14,FALSE)</f>
        <v>0.81233767401535373</v>
      </c>
      <c r="L128" s="10" t="str">
        <f t="shared" si="2"/>
        <v>Norte - A01</v>
      </c>
    </row>
    <row r="129" spans="1:12" x14ac:dyDescent="0.2">
      <c r="A129" s="5" t="s">
        <v>87</v>
      </c>
      <c r="B129" s="148" t="s">
        <v>419</v>
      </c>
      <c r="C129" s="145" t="s">
        <v>421</v>
      </c>
      <c r="D129" s="4" t="s">
        <v>98</v>
      </c>
      <c r="E129" s="142">
        <f>VLOOKUP(D129,'IDHM (IBGE2022)'!$A$4:$N$402,14,FALSE)</f>
        <v>64220.79</v>
      </c>
      <c r="F129" s="90">
        <f>VLOOKUP(D129,'IDHM (IBGE2022)'!$A$4:$J$402,10,FALSE)</f>
        <v>0.73899999999999999</v>
      </c>
      <c r="G129" s="92">
        <f t="shared" si="3"/>
        <v>0.80490950145181106</v>
      </c>
      <c r="H129" s="9">
        <f>VLOOKUP(D129,'IPDM_renda  (IPARDES-PR)'!$A$4:$N$420,14,FALSE)</f>
        <v>0.63384671066016096</v>
      </c>
      <c r="I129" s="9">
        <f>VLOOKUP(D129,'IPDM_educação  (IPARDES-PR)'!$A$4:$N$420,14,FALSE)</f>
        <v>0.91460673631301426</v>
      </c>
      <c r="J129" s="9">
        <f>VLOOKUP(D129,'IPDM_saúde   (IPARDES-PR)'!$A$4:$N$466,14,FALSE)</f>
        <v>0.86627505738225785</v>
      </c>
      <c r="L129" s="10" t="str">
        <f t="shared" si="2"/>
        <v>Norte - A01</v>
      </c>
    </row>
    <row r="130" spans="1:12" x14ac:dyDescent="0.2">
      <c r="A130" s="5" t="s">
        <v>87</v>
      </c>
      <c r="B130" s="148" t="s">
        <v>419</v>
      </c>
      <c r="C130" s="145" t="s">
        <v>421</v>
      </c>
      <c r="D130" s="4" t="s">
        <v>99</v>
      </c>
      <c r="E130" s="142">
        <f>VLOOKUP(D130,'IDHM (IBGE2022)'!$A$4:$N$402,14,FALSE)</f>
        <v>84033.62</v>
      </c>
      <c r="F130" s="90">
        <f>VLOOKUP(D130,'IDHM (IBGE2022)'!$A$4:$J$402,10,FALSE)</f>
        <v>0.74</v>
      </c>
      <c r="G130" s="92">
        <f t="shared" si="3"/>
        <v>0.83603273129160149</v>
      </c>
      <c r="H130" s="9">
        <f>VLOOKUP(D130,'IPDM_renda  (IPARDES-PR)'!$A$4:$N$420,14,FALSE)</f>
        <v>0.65239118148222808</v>
      </c>
      <c r="I130" s="9">
        <f>VLOOKUP(D130,'IPDM_educação  (IPARDES-PR)'!$A$4:$N$420,14,FALSE)</f>
        <v>0.93074960339295576</v>
      </c>
      <c r="J130" s="9">
        <f>VLOOKUP(D130,'IPDM_saúde   (IPARDES-PR)'!$A$4:$N$466,14,FALSE)</f>
        <v>0.92495740899962087</v>
      </c>
      <c r="L130" s="10" t="str">
        <f t="shared" si="2"/>
        <v>Norte - A01</v>
      </c>
    </row>
    <row r="131" spans="1:12" x14ac:dyDescent="0.2">
      <c r="A131" s="5" t="s">
        <v>100</v>
      </c>
      <c r="B131" s="148" t="s">
        <v>419</v>
      </c>
      <c r="C131" s="7" t="s">
        <v>422</v>
      </c>
      <c r="D131" s="4" t="s">
        <v>101</v>
      </c>
      <c r="E131" s="142">
        <f>VLOOKUP(D131,'IDHM (IBGE2022)'!$A$4:$N$402,14,FALSE)</f>
        <v>42266.400000000001</v>
      </c>
      <c r="F131" s="90">
        <f>VLOOKUP(D131,'IDHM (IBGE2022)'!$A$4:$J$402,10,FALSE)</f>
        <v>0.70799999999999996</v>
      </c>
      <c r="G131" s="92">
        <f t="shared" si="3"/>
        <v>0.74697633600698554</v>
      </c>
      <c r="H131" s="9">
        <f>VLOOKUP(D131,'IPDM_renda  (IPARDES-PR)'!$A$4:$N$420,14,FALSE)</f>
        <v>0.48083085255725572</v>
      </c>
      <c r="I131" s="9">
        <f>VLOOKUP(D131,'IPDM_educação  (IPARDES-PR)'!$A$4:$N$420,14,FALSE)</f>
        <v>0.80356727446122156</v>
      </c>
      <c r="J131" s="9">
        <f>VLOOKUP(D131,'IPDM_saúde   (IPARDES-PR)'!$A$4:$N$466,14,FALSE)</f>
        <v>0.95653088100247929</v>
      </c>
      <c r="L131" s="10" t="str">
        <f t="shared" si="2"/>
        <v>Norte - A02</v>
      </c>
    </row>
    <row r="132" spans="1:12" x14ac:dyDescent="0.2">
      <c r="A132" s="5" t="s">
        <v>100</v>
      </c>
      <c r="B132" s="148" t="s">
        <v>419</v>
      </c>
      <c r="C132" s="7" t="s">
        <v>422</v>
      </c>
      <c r="D132" s="4" t="s">
        <v>102</v>
      </c>
      <c r="E132" s="142">
        <f>VLOOKUP(D132,'IDHM (IBGE2022)'!$A$4:$N$402,14,FALSE)</f>
        <v>38026.959999999999</v>
      </c>
      <c r="F132" s="90">
        <f>VLOOKUP(D132,'IDHM (IBGE2022)'!$A$4:$J$402,10,FALSE)</f>
        <v>0.71599999999999997</v>
      </c>
      <c r="G132" s="92">
        <f t="shared" si="3"/>
        <v>0.72617810156212625</v>
      </c>
      <c r="H132" s="9">
        <f>VLOOKUP(D132,'IPDM_renda  (IPARDES-PR)'!$A$4:$N$420,14,FALSE)</f>
        <v>0.4668120122545304</v>
      </c>
      <c r="I132" s="9">
        <f>VLOOKUP(D132,'IPDM_educação  (IPARDES-PR)'!$A$4:$N$420,14,FALSE)</f>
        <v>0.82979813183903395</v>
      </c>
      <c r="J132" s="9">
        <f>VLOOKUP(D132,'IPDM_saúde   (IPARDES-PR)'!$A$4:$N$466,14,FALSE)</f>
        <v>0.8819241605928142</v>
      </c>
      <c r="L132" s="10" t="str">
        <f t="shared" ref="L132:L195" si="4">B132&amp;" - "&amp;C132</f>
        <v>Norte - A02</v>
      </c>
    </row>
    <row r="133" spans="1:12" x14ac:dyDescent="0.2">
      <c r="A133" s="5" t="s">
        <v>100</v>
      </c>
      <c r="B133" s="148" t="s">
        <v>419</v>
      </c>
      <c r="C133" s="7" t="s">
        <v>422</v>
      </c>
      <c r="D133" s="4" t="s">
        <v>103</v>
      </c>
      <c r="E133" s="142">
        <f>VLOOKUP(D133,'IDHM (IBGE2022)'!$A$4:$N$402,14,FALSE)</f>
        <v>46262.76</v>
      </c>
      <c r="F133" s="90">
        <f>VLOOKUP(D133,'IDHM (IBGE2022)'!$A$4:$J$402,10,FALSE)</f>
        <v>0.69299999999999995</v>
      </c>
      <c r="G133" s="92">
        <f t="shared" ref="G133:G196" si="5">AVERAGE(H133:J133)</f>
        <v>0.79694390596124542</v>
      </c>
      <c r="H133" s="9">
        <f>VLOOKUP(D133,'IPDM_renda  (IPARDES-PR)'!$A$4:$N$420,14,FALSE)</f>
        <v>0.50182611781863329</v>
      </c>
      <c r="I133" s="9">
        <f>VLOOKUP(D133,'IPDM_educação  (IPARDES-PR)'!$A$4:$N$420,14,FALSE)</f>
        <v>0.93814362841564491</v>
      </c>
      <c r="J133" s="9">
        <f>VLOOKUP(D133,'IPDM_saúde   (IPARDES-PR)'!$A$4:$N$466,14,FALSE)</f>
        <v>0.95086197164945807</v>
      </c>
      <c r="L133" s="10" t="str">
        <f t="shared" si="4"/>
        <v>Norte - A02</v>
      </c>
    </row>
    <row r="134" spans="1:12" x14ac:dyDescent="0.2">
      <c r="A134" s="5" t="s">
        <v>100</v>
      </c>
      <c r="B134" s="148" t="s">
        <v>419</v>
      </c>
      <c r="C134" s="7" t="s">
        <v>422</v>
      </c>
      <c r="D134" s="4" t="s">
        <v>104</v>
      </c>
      <c r="E134" s="142">
        <f>VLOOKUP(D134,'IDHM (IBGE2022)'!$A$4:$N$402,14,FALSE)</f>
        <v>63159.21</v>
      </c>
      <c r="F134" s="90">
        <f>VLOOKUP(D134,'IDHM (IBGE2022)'!$A$4:$J$402,10,FALSE)</f>
        <v>0.73399999999999999</v>
      </c>
      <c r="G134" s="92">
        <f t="shared" si="5"/>
        <v>0.77205684532657448</v>
      </c>
      <c r="H134" s="9">
        <f>VLOOKUP(D134,'IPDM_renda  (IPARDES-PR)'!$A$4:$N$420,14,FALSE)</f>
        <v>0.56910358192604993</v>
      </c>
      <c r="I134" s="9">
        <f>VLOOKUP(D134,'IPDM_educação  (IPARDES-PR)'!$A$4:$N$420,14,FALSE)</f>
        <v>0.88635259547485101</v>
      </c>
      <c r="J134" s="9">
        <f>VLOOKUP(D134,'IPDM_saúde   (IPARDES-PR)'!$A$4:$N$466,14,FALSE)</f>
        <v>0.8607143585788225</v>
      </c>
      <c r="L134" s="10" t="str">
        <f t="shared" si="4"/>
        <v>Norte - A02</v>
      </c>
    </row>
    <row r="135" spans="1:12" x14ac:dyDescent="0.2">
      <c r="A135" s="5" t="s">
        <v>100</v>
      </c>
      <c r="B135" s="148" t="s">
        <v>419</v>
      </c>
      <c r="C135" s="7" t="s">
        <v>422</v>
      </c>
      <c r="D135" s="4" t="s">
        <v>90</v>
      </c>
      <c r="E135" s="142">
        <f>VLOOKUP(D135,'IDHM (IBGE2022)'!$A$4:$N$402,14,FALSE)</f>
        <v>34760.43</v>
      </c>
      <c r="F135" s="90">
        <f>VLOOKUP(D135,'IDHM (IBGE2022)'!$A$4:$J$402,10,FALSE)</f>
        <v>0.66800000000000004</v>
      </c>
      <c r="G135" s="92">
        <f t="shared" si="5"/>
        <v>0.77279777524379278</v>
      </c>
      <c r="H135" s="9">
        <f>VLOOKUP(D135,'IPDM_renda  (IPARDES-PR)'!$A$4:$N$420,14,FALSE)</f>
        <v>0.53365166869141412</v>
      </c>
      <c r="I135" s="9">
        <f>VLOOKUP(D135,'IPDM_educação  (IPARDES-PR)'!$A$4:$N$420,14,FALSE)</f>
        <v>0.91626315413168558</v>
      </c>
      <c r="J135" s="9">
        <f>VLOOKUP(D135,'IPDM_saúde   (IPARDES-PR)'!$A$4:$N$466,14,FALSE)</f>
        <v>0.86847850290827866</v>
      </c>
      <c r="L135" s="10" t="str">
        <f t="shared" si="4"/>
        <v>Norte - A02</v>
      </c>
    </row>
    <row r="136" spans="1:12" x14ac:dyDescent="0.2">
      <c r="A136" s="5" t="s">
        <v>100</v>
      </c>
      <c r="B136" s="148" t="s">
        <v>419</v>
      </c>
      <c r="C136" s="7" t="s">
        <v>422</v>
      </c>
      <c r="D136" s="4" t="s">
        <v>91</v>
      </c>
      <c r="E136" s="142">
        <f>VLOOKUP(D136,'IDHM (IBGE2022)'!$A$4:$N$402,14,FALSE)</f>
        <v>54502.22</v>
      </c>
      <c r="F136" s="90">
        <f>VLOOKUP(D136,'IDHM (IBGE2022)'!$A$4:$J$402,10,FALSE)</f>
        <v>0.70099999999999996</v>
      </c>
      <c r="G136" s="92">
        <f t="shared" si="5"/>
        <v>0.74160648639287219</v>
      </c>
      <c r="H136" s="9">
        <f>VLOOKUP(D136,'IPDM_renda  (IPARDES-PR)'!$A$4:$N$420,14,FALSE)</f>
        <v>0.53579738929308918</v>
      </c>
      <c r="I136" s="9">
        <f>VLOOKUP(D136,'IPDM_educação  (IPARDES-PR)'!$A$4:$N$420,14,FALSE)</f>
        <v>0.83397107599035658</v>
      </c>
      <c r="J136" s="9">
        <f>VLOOKUP(D136,'IPDM_saúde   (IPARDES-PR)'!$A$4:$N$466,14,FALSE)</f>
        <v>0.85505099389517103</v>
      </c>
      <c r="L136" s="10" t="str">
        <f t="shared" si="4"/>
        <v>Norte - A02</v>
      </c>
    </row>
    <row r="137" spans="1:12" x14ac:dyDescent="0.2">
      <c r="A137" s="5" t="s">
        <v>100</v>
      </c>
      <c r="B137" s="148" t="s">
        <v>419</v>
      </c>
      <c r="C137" s="7" t="s">
        <v>422</v>
      </c>
      <c r="D137" s="4" t="s">
        <v>105</v>
      </c>
      <c r="E137" s="142">
        <f>VLOOKUP(D137,'IDHM (IBGE2022)'!$A$4:$N$402,14,FALSE)</f>
        <v>50362.05</v>
      </c>
      <c r="F137" s="90">
        <f>VLOOKUP(D137,'IDHM (IBGE2022)'!$A$4:$J$402,10,FALSE)</f>
        <v>0.77800000000000002</v>
      </c>
      <c r="G137" s="92">
        <f t="shared" si="5"/>
        <v>0.81793821133764855</v>
      </c>
      <c r="H137" s="9">
        <f>VLOOKUP(D137,'IPDM_renda  (IPARDES-PR)'!$A$4:$N$420,14,FALSE)</f>
        <v>0.66672471995545668</v>
      </c>
      <c r="I137" s="9">
        <f>VLOOKUP(D137,'IPDM_educação  (IPARDES-PR)'!$A$4:$N$420,14,FALSE)</f>
        <v>0.92894398614727924</v>
      </c>
      <c r="J137" s="9">
        <f>VLOOKUP(D137,'IPDM_saúde   (IPARDES-PR)'!$A$4:$N$466,14,FALSE)</f>
        <v>0.8581459279102096</v>
      </c>
      <c r="L137" s="10" t="str">
        <f t="shared" si="4"/>
        <v>Norte - A02</v>
      </c>
    </row>
    <row r="138" spans="1:12" x14ac:dyDescent="0.2">
      <c r="A138" s="5" t="s">
        <v>100</v>
      </c>
      <c r="B138" s="148" t="s">
        <v>419</v>
      </c>
      <c r="C138" s="7" t="s">
        <v>422</v>
      </c>
      <c r="D138" s="4" t="s">
        <v>106</v>
      </c>
      <c r="E138" s="142">
        <f>VLOOKUP(D138,'IDHM (IBGE2022)'!$A$4:$N$402,14,FALSE)</f>
        <v>34250.14</v>
      </c>
      <c r="F138" s="90">
        <f>VLOOKUP(D138,'IDHM (IBGE2022)'!$A$4:$J$402,10,FALSE)</f>
        <v>0.71</v>
      </c>
      <c r="G138" s="92">
        <f t="shared" si="5"/>
        <v>0.68147075046336436</v>
      </c>
      <c r="H138" s="9">
        <f>VLOOKUP(D138,'IPDM_renda  (IPARDES-PR)'!$A$4:$N$420,14,FALSE)</f>
        <v>0.46394535901281431</v>
      </c>
      <c r="I138" s="9">
        <f>VLOOKUP(D138,'IPDM_educação  (IPARDES-PR)'!$A$4:$N$420,14,FALSE)</f>
        <v>0.82463662598017162</v>
      </c>
      <c r="J138" s="9">
        <f>VLOOKUP(D138,'IPDM_saúde   (IPARDES-PR)'!$A$4:$N$466,14,FALSE)</f>
        <v>0.75583026639710693</v>
      </c>
      <c r="L138" s="10" t="str">
        <f t="shared" si="4"/>
        <v>Norte - A02</v>
      </c>
    </row>
    <row r="139" spans="1:12" x14ac:dyDescent="0.2">
      <c r="A139" s="5" t="s">
        <v>100</v>
      </c>
      <c r="B139" s="148" t="s">
        <v>419</v>
      </c>
      <c r="C139" s="7" t="s">
        <v>422</v>
      </c>
      <c r="D139" s="4" t="s">
        <v>107</v>
      </c>
      <c r="E139" s="142">
        <f>VLOOKUP(D139,'IDHM (IBGE2022)'!$A$4:$N$402,14,FALSE)</f>
        <v>63054.76</v>
      </c>
      <c r="F139" s="90">
        <f>VLOOKUP(D139,'IDHM (IBGE2022)'!$A$4:$J$402,10,FALSE)</f>
        <v>0.73799999999999999</v>
      </c>
      <c r="G139" s="92">
        <f t="shared" si="5"/>
        <v>0.68574907122737427</v>
      </c>
      <c r="H139" s="9">
        <f>VLOOKUP(D139,'IPDM_renda  (IPARDES-PR)'!$A$4:$N$420,14,FALSE)</f>
        <v>0.42136770769959658</v>
      </c>
      <c r="I139" s="9">
        <f>VLOOKUP(D139,'IPDM_educação  (IPARDES-PR)'!$A$4:$N$420,14,FALSE)</f>
        <v>0.91514269644303914</v>
      </c>
      <c r="J139" s="9">
        <f>VLOOKUP(D139,'IPDM_saúde   (IPARDES-PR)'!$A$4:$N$466,14,FALSE)</f>
        <v>0.72073680953948716</v>
      </c>
      <c r="L139" s="10" t="str">
        <f t="shared" si="4"/>
        <v>Norte - A02</v>
      </c>
    </row>
    <row r="140" spans="1:12" x14ac:dyDescent="0.2">
      <c r="A140" s="5" t="s">
        <v>100</v>
      </c>
      <c r="B140" s="148" t="s">
        <v>419</v>
      </c>
      <c r="C140" s="7" t="s">
        <v>422</v>
      </c>
      <c r="D140" s="4" t="s">
        <v>97</v>
      </c>
      <c r="E140" s="142">
        <f>VLOOKUP(D140,'IDHM (IBGE2022)'!$A$4:$N$402,14,FALSE)</f>
        <v>56067.67</v>
      </c>
      <c r="F140" s="90">
        <f>VLOOKUP(D140,'IDHM (IBGE2022)'!$A$4:$J$402,10,FALSE)</f>
        <v>0.71</v>
      </c>
      <c r="G140" s="92">
        <f t="shared" si="5"/>
        <v>0.73680362888916962</v>
      </c>
      <c r="H140" s="9">
        <f>VLOOKUP(D140,'IPDM_renda  (IPARDES-PR)'!$A$4:$N$420,14,FALSE)</f>
        <v>0.56609869720069739</v>
      </c>
      <c r="I140" s="9">
        <f>VLOOKUP(D140,'IPDM_educação  (IPARDES-PR)'!$A$4:$N$420,14,FALSE)</f>
        <v>0.83197451545145762</v>
      </c>
      <c r="J140" s="9">
        <f>VLOOKUP(D140,'IPDM_saúde   (IPARDES-PR)'!$A$4:$N$466,14,FALSE)</f>
        <v>0.81233767401535373</v>
      </c>
      <c r="L140" s="10" t="str">
        <f t="shared" si="4"/>
        <v>Norte - A02</v>
      </c>
    </row>
    <row r="141" spans="1:12" x14ac:dyDescent="0.2">
      <c r="A141" s="5" t="s">
        <v>100</v>
      </c>
      <c r="B141" s="148" t="s">
        <v>419</v>
      </c>
      <c r="C141" s="7" t="s">
        <v>422</v>
      </c>
      <c r="D141" s="4" t="s">
        <v>108</v>
      </c>
      <c r="E141" s="142">
        <f>VLOOKUP(D141,'IDHM (IBGE2022)'!$A$4:$N$402,14,FALSE)</f>
        <v>45871.5</v>
      </c>
      <c r="F141" s="90">
        <f>VLOOKUP(D141,'IDHM (IBGE2022)'!$A$4:$J$402,10,FALSE)</f>
        <v>0.70099999999999996</v>
      </c>
      <c r="G141" s="92">
        <f t="shared" si="5"/>
        <v>0.65695056874631619</v>
      </c>
      <c r="H141" s="9">
        <f>VLOOKUP(D141,'IPDM_renda  (IPARDES-PR)'!$A$4:$N$420,14,FALSE)</f>
        <v>0.45313768526684484</v>
      </c>
      <c r="I141" s="9">
        <f>VLOOKUP(D141,'IPDM_educação  (IPARDES-PR)'!$A$4:$N$420,14,FALSE)</f>
        <v>0.6970145599109604</v>
      </c>
      <c r="J141" s="9">
        <f>VLOOKUP(D141,'IPDM_saúde   (IPARDES-PR)'!$A$4:$N$466,14,FALSE)</f>
        <v>0.82069946106114333</v>
      </c>
      <c r="L141" s="10" t="str">
        <f t="shared" si="4"/>
        <v>Norte - A02</v>
      </c>
    </row>
    <row r="142" spans="1:12" x14ac:dyDescent="0.2">
      <c r="A142" s="5" t="s">
        <v>100</v>
      </c>
      <c r="B142" s="148" t="s">
        <v>419</v>
      </c>
      <c r="C142" s="7" t="s">
        <v>422</v>
      </c>
      <c r="D142" s="4" t="s">
        <v>109</v>
      </c>
      <c r="E142" s="142">
        <f>VLOOKUP(D142,'IDHM (IBGE2022)'!$A$4:$N$402,14,FALSE)</f>
        <v>135370.89000000001</v>
      </c>
      <c r="F142" s="90">
        <f>VLOOKUP(D142,'IDHM (IBGE2022)'!$A$4:$J$402,10,FALSE)</f>
        <v>0.73899999999999999</v>
      </c>
      <c r="G142" s="92">
        <f t="shared" si="5"/>
        <v>0.85177502068984312</v>
      </c>
      <c r="H142" s="9">
        <f>VLOOKUP(D142,'IPDM_renda  (IPARDES-PR)'!$A$4:$N$420,14,FALSE)</f>
        <v>0.7530401714092384</v>
      </c>
      <c r="I142" s="9">
        <f>VLOOKUP(D142,'IPDM_educação  (IPARDES-PR)'!$A$4:$N$420,14,FALSE)</f>
        <v>0.89425548085174877</v>
      </c>
      <c r="J142" s="9">
        <f>VLOOKUP(D142,'IPDM_saúde   (IPARDES-PR)'!$A$4:$N$466,14,FALSE)</f>
        <v>0.9080294098085423</v>
      </c>
      <c r="L142" s="10" t="str">
        <f t="shared" si="4"/>
        <v>Norte - A02</v>
      </c>
    </row>
    <row r="143" spans="1:12" x14ac:dyDescent="0.2">
      <c r="A143" s="5" t="s">
        <v>110</v>
      </c>
      <c r="B143" s="148" t="s">
        <v>419</v>
      </c>
      <c r="C143" s="145" t="s">
        <v>423</v>
      </c>
      <c r="D143" s="4" t="s">
        <v>102</v>
      </c>
      <c r="E143" s="142">
        <f>VLOOKUP(D143,'IDHM (IBGE2022)'!$A$4:$N$402,14,FALSE)</f>
        <v>38026.959999999999</v>
      </c>
      <c r="F143" s="90">
        <f>VLOOKUP(D143,'IDHM (IBGE2022)'!$A$4:$J$402,10,FALSE)</f>
        <v>0.71599999999999997</v>
      </c>
      <c r="G143" s="92">
        <f t="shared" si="5"/>
        <v>0.72617810156212625</v>
      </c>
      <c r="H143" s="9">
        <f>VLOOKUP(D143,'IPDM_renda  (IPARDES-PR)'!$A$4:$N$420,14,FALSE)</f>
        <v>0.4668120122545304</v>
      </c>
      <c r="I143" s="9">
        <f>VLOOKUP(D143,'IPDM_educação  (IPARDES-PR)'!$A$4:$N$420,14,FALSE)</f>
        <v>0.82979813183903395</v>
      </c>
      <c r="J143" s="9">
        <f>VLOOKUP(D143,'IPDM_saúde   (IPARDES-PR)'!$A$4:$N$466,14,FALSE)</f>
        <v>0.8819241605928142</v>
      </c>
      <c r="L143" s="10" t="str">
        <f t="shared" si="4"/>
        <v>Norte - A03</v>
      </c>
    </row>
    <row r="144" spans="1:12" x14ac:dyDescent="0.2">
      <c r="A144" s="5" t="s">
        <v>110</v>
      </c>
      <c r="B144" s="148" t="s">
        <v>419</v>
      </c>
      <c r="C144" s="145" t="s">
        <v>423</v>
      </c>
      <c r="D144" s="4" t="s">
        <v>104</v>
      </c>
      <c r="E144" s="142">
        <f>VLOOKUP(D144,'IDHM (IBGE2022)'!$A$4:$N$402,14,FALSE)</f>
        <v>63159.21</v>
      </c>
      <c r="F144" s="90">
        <f>VLOOKUP(D144,'IDHM (IBGE2022)'!$A$4:$J$402,10,FALSE)</f>
        <v>0.73399999999999999</v>
      </c>
      <c r="G144" s="92">
        <f t="shared" si="5"/>
        <v>0.77205684532657448</v>
      </c>
      <c r="H144" s="9">
        <f>VLOOKUP(D144,'IPDM_renda  (IPARDES-PR)'!$A$4:$N$420,14,FALSE)</f>
        <v>0.56910358192604993</v>
      </c>
      <c r="I144" s="9">
        <f>VLOOKUP(D144,'IPDM_educação  (IPARDES-PR)'!$A$4:$N$420,14,FALSE)</f>
        <v>0.88635259547485101</v>
      </c>
      <c r="J144" s="9">
        <f>VLOOKUP(D144,'IPDM_saúde   (IPARDES-PR)'!$A$4:$N$466,14,FALSE)</f>
        <v>0.8607143585788225</v>
      </c>
      <c r="L144" s="10" t="str">
        <f t="shared" si="4"/>
        <v>Norte - A03</v>
      </c>
    </row>
    <row r="145" spans="1:12" x14ac:dyDescent="0.2">
      <c r="A145" s="5" t="s">
        <v>110</v>
      </c>
      <c r="B145" s="148" t="s">
        <v>419</v>
      </c>
      <c r="C145" s="145" t="s">
        <v>423</v>
      </c>
      <c r="D145" s="4" t="s">
        <v>111</v>
      </c>
      <c r="E145" s="142">
        <f>VLOOKUP(D145,'IDHM (IBGE2022)'!$A$4:$N$402,14,FALSE)</f>
        <v>78248.45</v>
      </c>
      <c r="F145" s="90">
        <f>VLOOKUP(D145,'IDHM (IBGE2022)'!$A$4:$J$402,10,FALSE)</f>
        <v>0.72599999999999998</v>
      </c>
      <c r="G145" s="92">
        <f t="shared" si="5"/>
        <v>0.78238177029794043</v>
      </c>
      <c r="H145" s="9">
        <f>VLOOKUP(D145,'IPDM_renda  (IPARDES-PR)'!$A$4:$N$420,14,FALSE)</f>
        <v>0.60382917551419857</v>
      </c>
      <c r="I145" s="9">
        <f>VLOOKUP(D145,'IPDM_educação  (IPARDES-PR)'!$A$4:$N$420,14,FALSE)</f>
        <v>0.88660812707116854</v>
      </c>
      <c r="J145" s="9">
        <f>VLOOKUP(D145,'IPDM_saúde   (IPARDES-PR)'!$A$4:$N$466,14,FALSE)</f>
        <v>0.85670800830845428</v>
      </c>
      <c r="L145" s="10" t="str">
        <f t="shared" si="4"/>
        <v>Norte - A03</v>
      </c>
    </row>
    <row r="146" spans="1:12" x14ac:dyDescent="0.2">
      <c r="A146" s="5" t="s">
        <v>110</v>
      </c>
      <c r="B146" s="148" t="s">
        <v>419</v>
      </c>
      <c r="C146" s="145" t="s">
        <v>423</v>
      </c>
      <c r="D146" s="4" t="s">
        <v>105</v>
      </c>
      <c r="E146" s="142">
        <f>VLOOKUP(D146,'IDHM (IBGE2022)'!$A$4:$N$402,14,FALSE)</f>
        <v>50362.05</v>
      </c>
      <c r="F146" s="90">
        <f>VLOOKUP(D146,'IDHM (IBGE2022)'!$A$4:$J$402,10,FALSE)</f>
        <v>0.77800000000000002</v>
      </c>
      <c r="G146" s="92">
        <f t="shared" si="5"/>
        <v>0.81793821133764855</v>
      </c>
      <c r="H146" s="9">
        <f>VLOOKUP(D146,'IPDM_renda  (IPARDES-PR)'!$A$4:$N$420,14,FALSE)</f>
        <v>0.66672471995545668</v>
      </c>
      <c r="I146" s="9">
        <f>VLOOKUP(D146,'IPDM_educação  (IPARDES-PR)'!$A$4:$N$420,14,FALSE)</f>
        <v>0.92894398614727924</v>
      </c>
      <c r="J146" s="9">
        <f>VLOOKUP(D146,'IPDM_saúde   (IPARDES-PR)'!$A$4:$N$466,14,FALSE)</f>
        <v>0.8581459279102096</v>
      </c>
      <c r="L146" s="10" t="str">
        <f t="shared" si="4"/>
        <v>Norte - A03</v>
      </c>
    </row>
    <row r="147" spans="1:12" x14ac:dyDescent="0.2">
      <c r="A147" s="5" t="s">
        <v>110</v>
      </c>
      <c r="B147" s="148" t="s">
        <v>419</v>
      </c>
      <c r="C147" s="145" t="s">
        <v>423</v>
      </c>
      <c r="D147" s="4" t="s">
        <v>108</v>
      </c>
      <c r="E147" s="142">
        <f>VLOOKUP(D147,'IDHM (IBGE2022)'!$A$4:$N$402,14,FALSE)</f>
        <v>45871.5</v>
      </c>
      <c r="F147" s="90">
        <f>VLOOKUP(D147,'IDHM (IBGE2022)'!$A$4:$J$402,10,FALSE)</f>
        <v>0.70099999999999996</v>
      </c>
      <c r="G147" s="92">
        <f t="shared" si="5"/>
        <v>0.65695056874631619</v>
      </c>
      <c r="H147" s="9">
        <f>VLOOKUP(D147,'IPDM_renda  (IPARDES-PR)'!$A$4:$N$420,14,FALSE)</f>
        <v>0.45313768526684484</v>
      </c>
      <c r="I147" s="9">
        <f>VLOOKUP(D147,'IPDM_educação  (IPARDES-PR)'!$A$4:$N$420,14,FALSE)</f>
        <v>0.6970145599109604</v>
      </c>
      <c r="J147" s="9">
        <f>VLOOKUP(D147,'IPDM_saúde   (IPARDES-PR)'!$A$4:$N$466,14,FALSE)</f>
        <v>0.82069946106114333</v>
      </c>
      <c r="L147" s="10" t="str">
        <f t="shared" si="4"/>
        <v>Norte - A03</v>
      </c>
    </row>
    <row r="148" spans="1:12" x14ac:dyDescent="0.2">
      <c r="A148" s="5" t="s">
        <v>110</v>
      </c>
      <c r="B148" s="148" t="s">
        <v>419</v>
      </c>
      <c r="C148" s="145" t="s">
        <v>423</v>
      </c>
      <c r="D148" s="4" t="s">
        <v>112</v>
      </c>
      <c r="E148" s="142">
        <f>VLOOKUP(D148,'IDHM (IBGE2022)'!$A$4:$N$402,14,FALSE)</f>
        <v>54232.95</v>
      </c>
      <c r="F148" s="90">
        <f>VLOOKUP(D148,'IDHM (IBGE2022)'!$A$4:$J$402,10,FALSE)</f>
        <v>0.72299999999999998</v>
      </c>
      <c r="G148" s="92">
        <f t="shared" si="5"/>
        <v>0.76087853692526031</v>
      </c>
      <c r="H148" s="9">
        <f>VLOOKUP(D148,'IPDM_renda  (IPARDES-PR)'!$A$4:$N$420,14,FALSE)</f>
        <v>0.53354738488017417</v>
      </c>
      <c r="I148" s="9">
        <f>VLOOKUP(D148,'IPDM_educação  (IPARDES-PR)'!$A$4:$N$420,14,FALSE)</f>
        <v>0.89020132276087938</v>
      </c>
      <c r="J148" s="9">
        <f>VLOOKUP(D148,'IPDM_saúde   (IPARDES-PR)'!$A$4:$N$466,14,FALSE)</f>
        <v>0.8588869031347276</v>
      </c>
      <c r="L148" s="10" t="str">
        <f t="shared" si="4"/>
        <v>Norte - A03</v>
      </c>
    </row>
    <row r="149" spans="1:12" x14ac:dyDescent="0.2">
      <c r="A149" s="5" t="s">
        <v>110</v>
      </c>
      <c r="B149" s="148" t="s">
        <v>419</v>
      </c>
      <c r="C149" s="145" t="s">
        <v>423</v>
      </c>
      <c r="D149" s="4" t="s">
        <v>113</v>
      </c>
      <c r="E149" s="142">
        <f>VLOOKUP(D149,'IDHM (IBGE2022)'!$A$4:$N$402,14,FALSE)</f>
        <v>44325.79</v>
      </c>
      <c r="F149" s="90">
        <f>VLOOKUP(D149,'IDHM (IBGE2022)'!$A$4:$J$402,10,FALSE)</f>
        <v>0.621</v>
      </c>
      <c r="G149" s="92">
        <f t="shared" si="5"/>
        <v>0.73385414143305117</v>
      </c>
      <c r="H149" s="9">
        <f>VLOOKUP(D149,'IPDM_renda  (IPARDES-PR)'!$A$4:$N$420,14,FALSE)</f>
        <v>0.53693044406813806</v>
      </c>
      <c r="I149" s="9">
        <f>VLOOKUP(D149,'IPDM_educação  (IPARDES-PR)'!$A$4:$N$420,14,FALSE)</f>
        <v>0.70870779727929811</v>
      </c>
      <c r="J149" s="9">
        <f>VLOOKUP(D149,'IPDM_saúde   (IPARDES-PR)'!$A$4:$N$466,14,FALSE)</f>
        <v>0.95592418295171733</v>
      </c>
      <c r="L149" s="10" t="str">
        <f t="shared" si="4"/>
        <v>Norte - A03</v>
      </c>
    </row>
    <row r="150" spans="1:12" x14ac:dyDescent="0.2">
      <c r="A150" s="5" t="s">
        <v>114</v>
      </c>
      <c r="B150" s="148" t="s">
        <v>419</v>
      </c>
      <c r="C150" s="7" t="s">
        <v>424</v>
      </c>
      <c r="D150" s="4" t="s">
        <v>115</v>
      </c>
      <c r="E150" s="142">
        <f>VLOOKUP(D150,'IDHM (IBGE2022)'!$A$4:$N$402,14,FALSE)</f>
        <v>46183.5</v>
      </c>
      <c r="F150" s="90">
        <f>VLOOKUP(D150,'IDHM (IBGE2022)'!$A$4:$J$402,10,FALSE)</f>
        <v>0.72799999999999998</v>
      </c>
      <c r="G150" s="92">
        <f t="shared" si="5"/>
        <v>0.76534303455059838</v>
      </c>
      <c r="H150" s="9">
        <f>VLOOKUP(D150,'IPDM_renda  (IPARDES-PR)'!$A$4:$N$420,14,FALSE)</f>
        <v>0.43611130220509042</v>
      </c>
      <c r="I150" s="9">
        <f>VLOOKUP(D150,'IPDM_educação  (IPARDES-PR)'!$A$4:$N$420,14,FALSE)</f>
        <v>0.91005716720191321</v>
      </c>
      <c r="J150" s="9">
        <f>VLOOKUP(D150,'IPDM_saúde   (IPARDES-PR)'!$A$4:$N$466,14,FALSE)</f>
        <v>0.94986063424479139</v>
      </c>
      <c r="L150" s="10" t="str">
        <f t="shared" si="4"/>
        <v>Norte - A04</v>
      </c>
    </row>
    <row r="151" spans="1:12" x14ac:dyDescent="0.2">
      <c r="A151" s="5" t="s">
        <v>114</v>
      </c>
      <c r="B151" s="148" t="s">
        <v>419</v>
      </c>
      <c r="C151" s="7" t="s">
        <v>424</v>
      </c>
      <c r="D151" s="4" t="s">
        <v>116</v>
      </c>
      <c r="E151" s="142">
        <f>VLOOKUP(D151,'IDHM (IBGE2022)'!$A$4:$N$402,14,FALSE)</f>
        <v>37201.519999999997</v>
      </c>
      <c r="F151" s="90">
        <f>VLOOKUP(D151,'IDHM (IBGE2022)'!$A$4:$J$402,10,FALSE)</f>
        <v>0.66800000000000004</v>
      </c>
      <c r="G151" s="92">
        <f t="shared" si="5"/>
        <v>0.68238382367676331</v>
      </c>
      <c r="H151" s="9">
        <f>VLOOKUP(D151,'IPDM_renda  (IPARDES-PR)'!$A$4:$N$420,14,FALSE)</f>
        <v>0.45214459894118708</v>
      </c>
      <c r="I151" s="9">
        <f>VLOOKUP(D151,'IPDM_educação  (IPARDES-PR)'!$A$4:$N$420,14,FALSE)</f>
        <v>0.75315215841734651</v>
      </c>
      <c r="J151" s="9">
        <f>VLOOKUP(D151,'IPDM_saúde   (IPARDES-PR)'!$A$4:$N$466,14,FALSE)</f>
        <v>0.84185471367175602</v>
      </c>
      <c r="L151" s="10" t="str">
        <f t="shared" si="4"/>
        <v>Norte - A04</v>
      </c>
    </row>
    <row r="152" spans="1:12" x14ac:dyDescent="0.2">
      <c r="A152" s="5" t="s">
        <v>114</v>
      </c>
      <c r="B152" s="148" t="s">
        <v>419</v>
      </c>
      <c r="C152" s="7" t="s">
        <v>424</v>
      </c>
      <c r="D152" s="4" t="s">
        <v>117</v>
      </c>
      <c r="E152" s="142">
        <f>VLOOKUP(D152,'IDHM (IBGE2022)'!$A$4:$N$402,14,FALSE)</f>
        <v>52697.46</v>
      </c>
      <c r="F152" s="90">
        <f>VLOOKUP(D152,'IDHM (IBGE2022)'!$A$4:$J$402,10,FALSE)</f>
        <v>0.75900000000000001</v>
      </c>
      <c r="G152" s="92">
        <f t="shared" si="5"/>
        <v>0.78064283454314232</v>
      </c>
      <c r="H152" s="9">
        <f>VLOOKUP(D152,'IPDM_renda  (IPARDES-PR)'!$A$4:$N$420,14,FALSE)</f>
        <v>0.60214706545049079</v>
      </c>
      <c r="I152" s="9">
        <f>VLOOKUP(D152,'IPDM_educação  (IPARDES-PR)'!$A$4:$N$420,14,FALSE)</f>
        <v>0.89036372078562143</v>
      </c>
      <c r="J152" s="9">
        <f>VLOOKUP(D152,'IPDM_saúde   (IPARDES-PR)'!$A$4:$N$466,14,FALSE)</f>
        <v>0.84941771739331473</v>
      </c>
      <c r="L152" s="10" t="str">
        <f t="shared" si="4"/>
        <v>Norte - A04</v>
      </c>
    </row>
    <row r="153" spans="1:12" x14ac:dyDescent="0.2">
      <c r="A153" s="5" t="s">
        <v>114</v>
      </c>
      <c r="B153" s="148" t="s">
        <v>419</v>
      </c>
      <c r="C153" s="7" t="s">
        <v>424</v>
      </c>
      <c r="D153" s="4" t="s">
        <v>118</v>
      </c>
      <c r="E153" s="142">
        <f>VLOOKUP(D153,'IDHM (IBGE2022)'!$A$4:$N$402,14,FALSE)</f>
        <v>25520.19</v>
      </c>
      <c r="F153" s="90">
        <f>VLOOKUP(D153,'IDHM (IBGE2022)'!$A$4:$J$402,10,FALSE)</f>
        <v>0.68700000000000006</v>
      </c>
      <c r="G153" s="92">
        <f t="shared" si="5"/>
        <v>0.67959968693396589</v>
      </c>
      <c r="H153" s="9">
        <f>VLOOKUP(D153,'IPDM_renda  (IPARDES-PR)'!$A$4:$N$420,14,FALSE)</f>
        <v>0.39219609023830787</v>
      </c>
      <c r="I153" s="9">
        <f>VLOOKUP(D153,'IPDM_educação  (IPARDES-PR)'!$A$4:$N$420,14,FALSE)</f>
        <v>0.81767451415728709</v>
      </c>
      <c r="J153" s="9">
        <f>VLOOKUP(D153,'IPDM_saúde   (IPARDES-PR)'!$A$4:$N$466,14,FALSE)</f>
        <v>0.82892845640630297</v>
      </c>
      <c r="L153" s="10" t="str">
        <f t="shared" si="4"/>
        <v>Norte - A04</v>
      </c>
    </row>
    <row r="154" spans="1:12" x14ac:dyDescent="0.2">
      <c r="A154" s="5" t="s">
        <v>114</v>
      </c>
      <c r="B154" s="148" t="s">
        <v>419</v>
      </c>
      <c r="C154" s="7" t="s">
        <v>424</v>
      </c>
      <c r="D154" s="4" t="s">
        <v>119</v>
      </c>
      <c r="E154" s="142">
        <f>VLOOKUP(D154,'IDHM (IBGE2022)'!$A$4:$N$402,14,FALSE)</f>
        <v>60266</v>
      </c>
      <c r="F154" s="90">
        <f>VLOOKUP(D154,'IDHM (IBGE2022)'!$A$4:$J$402,10,FALSE)</f>
        <v>0.70699999999999996</v>
      </c>
      <c r="G154" s="92">
        <f t="shared" si="5"/>
        <v>0.69967586727386799</v>
      </c>
      <c r="H154" s="9">
        <f>VLOOKUP(D154,'IPDM_renda  (IPARDES-PR)'!$A$4:$N$420,14,FALSE)</f>
        <v>0.36974980158405069</v>
      </c>
      <c r="I154" s="9">
        <f>VLOOKUP(D154,'IPDM_educação  (IPARDES-PR)'!$A$4:$N$420,14,FALSE)</f>
        <v>0.92980835095060665</v>
      </c>
      <c r="J154" s="9">
        <f>VLOOKUP(D154,'IPDM_saúde   (IPARDES-PR)'!$A$4:$N$466,14,FALSE)</f>
        <v>0.79946944928694663</v>
      </c>
      <c r="L154" s="10" t="str">
        <f t="shared" si="4"/>
        <v>Norte - A04</v>
      </c>
    </row>
    <row r="155" spans="1:12" x14ac:dyDescent="0.2">
      <c r="A155" s="5" t="s">
        <v>114</v>
      </c>
      <c r="B155" s="148" t="s">
        <v>419</v>
      </c>
      <c r="C155" s="7" t="s">
        <v>424</v>
      </c>
      <c r="D155" s="4" t="s">
        <v>120</v>
      </c>
      <c r="E155" s="142">
        <f>VLOOKUP(D155,'IDHM (IBGE2022)'!$A$4:$N$402,14,FALSE)</f>
        <v>32956.410000000003</v>
      </c>
      <c r="F155" s="90">
        <f>VLOOKUP(D155,'IDHM (IBGE2022)'!$A$4:$J$402,10,FALSE)</f>
        <v>0.69799999999999995</v>
      </c>
      <c r="G155" s="92">
        <f t="shared" si="5"/>
        <v>0.69448898744535292</v>
      </c>
      <c r="H155" s="9">
        <f>VLOOKUP(D155,'IPDM_renda  (IPARDES-PR)'!$A$4:$N$420,14,FALSE)</f>
        <v>0.50729229826291455</v>
      </c>
      <c r="I155" s="9">
        <f>VLOOKUP(D155,'IPDM_educação  (IPARDES-PR)'!$A$4:$N$420,14,FALSE)</f>
        <v>0.73449144380850662</v>
      </c>
      <c r="J155" s="9">
        <f>VLOOKUP(D155,'IPDM_saúde   (IPARDES-PR)'!$A$4:$N$466,14,FALSE)</f>
        <v>0.84168322026463771</v>
      </c>
      <c r="L155" s="10" t="str">
        <f t="shared" si="4"/>
        <v>Norte - A04</v>
      </c>
    </row>
    <row r="156" spans="1:12" x14ac:dyDescent="0.2">
      <c r="A156" s="5" t="s">
        <v>114</v>
      </c>
      <c r="B156" s="148" t="s">
        <v>419</v>
      </c>
      <c r="C156" s="7" t="s">
        <v>424</v>
      </c>
      <c r="D156" s="4" t="s">
        <v>121</v>
      </c>
      <c r="E156" s="142">
        <f>VLOOKUP(D156,'IDHM (IBGE2022)'!$A$4:$N$402,14,FALSE)</f>
        <v>45319.519999999997</v>
      </c>
      <c r="F156" s="90">
        <f>VLOOKUP(D156,'IDHM (IBGE2022)'!$A$4:$J$402,10,FALSE)</f>
        <v>0.68799999999999994</v>
      </c>
      <c r="G156" s="92">
        <f t="shared" si="5"/>
        <v>0.71708984081295968</v>
      </c>
      <c r="H156" s="9">
        <f>VLOOKUP(D156,'IPDM_renda  (IPARDES-PR)'!$A$4:$N$420,14,FALSE)</f>
        <v>0.40389749582871931</v>
      </c>
      <c r="I156" s="9">
        <f>VLOOKUP(D156,'IPDM_educação  (IPARDES-PR)'!$A$4:$N$420,14,FALSE)</f>
        <v>0.9147694169842594</v>
      </c>
      <c r="J156" s="9">
        <f>VLOOKUP(D156,'IPDM_saúde   (IPARDES-PR)'!$A$4:$N$466,14,FALSE)</f>
        <v>0.83260260962590016</v>
      </c>
      <c r="L156" s="10" t="str">
        <f t="shared" si="4"/>
        <v>Norte - A04</v>
      </c>
    </row>
    <row r="157" spans="1:12" x14ac:dyDescent="0.2">
      <c r="A157" s="5" t="s">
        <v>114</v>
      </c>
      <c r="B157" s="148" t="s">
        <v>419</v>
      </c>
      <c r="C157" s="7" t="s">
        <v>424</v>
      </c>
      <c r="D157" s="4" t="s">
        <v>122</v>
      </c>
      <c r="E157" s="142">
        <f>VLOOKUP(D157,'IDHM (IBGE2022)'!$A$4:$N$402,14,FALSE)</f>
        <v>31455.200000000001</v>
      </c>
      <c r="F157" s="90">
        <f>VLOOKUP(D157,'IDHM (IBGE2022)'!$A$4:$J$402,10,FALSE)</f>
        <v>0.68</v>
      </c>
      <c r="G157" s="92">
        <f t="shared" si="5"/>
        <v>0.68991083436035072</v>
      </c>
      <c r="H157" s="9">
        <f>VLOOKUP(D157,'IPDM_renda  (IPARDES-PR)'!$A$4:$N$420,14,FALSE)</f>
        <v>0.43150302529385509</v>
      </c>
      <c r="I157" s="9">
        <f>VLOOKUP(D157,'IPDM_educação  (IPARDES-PR)'!$A$4:$N$420,14,FALSE)</f>
        <v>0.83854922972934542</v>
      </c>
      <c r="J157" s="9">
        <f>VLOOKUP(D157,'IPDM_saúde   (IPARDES-PR)'!$A$4:$N$466,14,FALSE)</f>
        <v>0.79968024805785143</v>
      </c>
      <c r="L157" s="10" t="str">
        <f t="shared" si="4"/>
        <v>Norte - A04</v>
      </c>
    </row>
    <row r="158" spans="1:12" x14ac:dyDescent="0.2">
      <c r="A158" s="5" t="s">
        <v>114</v>
      </c>
      <c r="B158" s="148" t="s">
        <v>419</v>
      </c>
      <c r="C158" s="7" t="s">
        <v>424</v>
      </c>
      <c r="D158" s="4" t="s">
        <v>123</v>
      </c>
      <c r="E158" s="142">
        <f>VLOOKUP(D158,'IDHM (IBGE2022)'!$A$4:$N$402,14,FALSE)</f>
        <v>56141.77</v>
      </c>
      <c r="F158" s="90">
        <f>VLOOKUP(D158,'IDHM (IBGE2022)'!$A$4:$J$402,10,FALSE)</f>
        <v>0.70699999999999996</v>
      </c>
      <c r="G158" s="92">
        <f t="shared" si="5"/>
        <v>0.71282153539858406</v>
      </c>
      <c r="H158" s="9">
        <f>VLOOKUP(D158,'IPDM_renda  (IPARDES-PR)'!$A$4:$N$420,14,FALSE)</f>
        <v>0.46177695455262863</v>
      </c>
      <c r="I158" s="9">
        <f>VLOOKUP(D158,'IPDM_educação  (IPARDES-PR)'!$A$4:$N$420,14,FALSE)</f>
        <v>0.88981749281422873</v>
      </c>
      <c r="J158" s="9">
        <f>VLOOKUP(D158,'IPDM_saúde   (IPARDES-PR)'!$A$4:$N$466,14,FALSE)</f>
        <v>0.78687015882889477</v>
      </c>
      <c r="L158" s="10" t="str">
        <f t="shared" si="4"/>
        <v>Norte - A04</v>
      </c>
    </row>
    <row r="159" spans="1:12" x14ac:dyDescent="0.2">
      <c r="A159" s="5" t="s">
        <v>114</v>
      </c>
      <c r="B159" s="148" t="s">
        <v>419</v>
      </c>
      <c r="C159" s="7" t="s">
        <v>424</v>
      </c>
      <c r="D159" s="3" t="s">
        <v>478</v>
      </c>
      <c r="E159" s="142">
        <f>VLOOKUP(D159,'IDHM (IBGE2022)'!$A$4:$N$402,14,FALSE)</f>
        <v>53243.98</v>
      </c>
      <c r="F159" s="90">
        <f>VLOOKUP(D159,'IDHM (IBGE2022)'!$A$4:$J$402,10,FALSE)</f>
        <v>0.72299999999999998</v>
      </c>
      <c r="G159" s="92">
        <f t="shared" si="5"/>
        <v>0.68519942597772865</v>
      </c>
      <c r="H159" s="9">
        <f>VLOOKUP(D159,'IPDM_renda  (IPARDES-PR)'!$A$4:$N$420,14,FALSE)</f>
        <v>0.43454076980198159</v>
      </c>
      <c r="I159" s="9">
        <f>VLOOKUP(D159,'IPDM_educação  (IPARDES-PR)'!$A$4:$N$420,14,FALSE)</f>
        <v>0.83946549505501089</v>
      </c>
      <c r="J159" s="9">
        <f>VLOOKUP(D159,'IPDM_saúde   (IPARDES-PR)'!$A$4:$N$466,14,FALSE)</f>
        <v>0.78159201307619364</v>
      </c>
      <c r="L159" s="10" t="str">
        <f t="shared" si="4"/>
        <v>Norte - A04</v>
      </c>
    </row>
    <row r="160" spans="1:12" x14ac:dyDescent="0.2">
      <c r="A160" s="5" t="s">
        <v>114</v>
      </c>
      <c r="B160" s="148" t="s">
        <v>419</v>
      </c>
      <c r="C160" s="7" t="s">
        <v>424</v>
      </c>
      <c r="D160" s="4" t="s">
        <v>124</v>
      </c>
      <c r="E160" s="142">
        <f>VLOOKUP(D160,'IDHM (IBGE2022)'!$A$4:$N$402,14,FALSE)</f>
        <v>54023.07</v>
      </c>
      <c r="F160" s="90">
        <f>VLOOKUP(D160,'IDHM (IBGE2022)'!$A$4:$J$402,10,FALSE)</f>
        <v>0.71599999999999997</v>
      </c>
      <c r="G160" s="92">
        <f t="shared" si="5"/>
        <v>0.76753865094223139</v>
      </c>
      <c r="H160" s="9">
        <f>VLOOKUP(D160,'IPDM_renda  (IPARDES-PR)'!$A$4:$N$420,14,FALSE)</f>
        <v>0.46765433351098662</v>
      </c>
      <c r="I160" s="9">
        <f>VLOOKUP(D160,'IPDM_educação  (IPARDES-PR)'!$A$4:$N$420,14,FALSE)</f>
        <v>0.88135789355652205</v>
      </c>
      <c r="J160" s="9">
        <f>VLOOKUP(D160,'IPDM_saúde   (IPARDES-PR)'!$A$4:$N$466,14,FALSE)</f>
        <v>0.95360372575918573</v>
      </c>
      <c r="L160" s="10" t="str">
        <f t="shared" si="4"/>
        <v>Norte - A04</v>
      </c>
    </row>
    <row r="161" spans="1:12" x14ac:dyDescent="0.2">
      <c r="A161" s="5" t="s">
        <v>114</v>
      </c>
      <c r="B161" s="148" t="s">
        <v>419</v>
      </c>
      <c r="C161" s="7" t="s">
        <v>424</v>
      </c>
      <c r="D161" s="4" t="s">
        <v>125</v>
      </c>
      <c r="E161" s="142">
        <f>VLOOKUP(D161,'IDHM (IBGE2022)'!$A$4:$N$402,14,FALSE)</f>
        <v>32253.51</v>
      </c>
      <c r="F161" s="90">
        <f>VLOOKUP(D161,'IDHM (IBGE2022)'!$A$4:$J$402,10,FALSE)</f>
        <v>0.63700000000000001</v>
      </c>
      <c r="G161" s="92">
        <f t="shared" si="5"/>
        <v>0.59590117951432253</v>
      </c>
      <c r="H161" s="9">
        <f>VLOOKUP(D161,'IPDM_renda  (IPARDES-PR)'!$A$4:$N$420,14,FALSE)</f>
        <v>0.41091849164068078</v>
      </c>
      <c r="I161" s="9">
        <f>VLOOKUP(D161,'IPDM_educação  (IPARDES-PR)'!$A$4:$N$420,14,FALSE)</f>
        <v>0.67656555307439337</v>
      </c>
      <c r="J161" s="9">
        <f>VLOOKUP(D161,'IPDM_saúde   (IPARDES-PR)'!$A$4:$N$466,14,FALSE)</f>
        <v>0.70021949382789339</v>
      </c>
      <c r="L161" s="10" t="str">
        <f t="shared" si="4"/>
        <v>Norte - A04</v>
      </c>
    </row>
    <row r="162" spans="1:12" x14ac:dyDescent="0.2">
      <c r="A162" s="5" t="s">
        <v>114</v>
      </c>
      <c r="B162" s="148" t="s">
        <v>419</v>
      </c>
      <c r="C162" s="7" t="s">
        <v>424</v>
      </c>
      <c r="D162" s="4" t="s">
        <v>126</v>
      </c>
      <c r="E162" s="142">
        <f>VLOOKUP(D162,'IDHM (IBGE2022)'!$A$4:$N$402,14,FALSE)</f>
        <v>34424.99</v>
      </c>
      <c r="F162" s="90">
        <f>VLOOKUP(D162,'IDHM (IBGE2022)'!$A$4:$J$402,10,FALSE)</f>
        <v>0.71499999999999997</v>
      </c>
      <c r="G162" s="92">
        <f t="shared" si="5"/>
        <v>0.68911637196802411</v>
      </c>
      <c r="H162" s="9">
        <f>VLOOKUP(D162,'IPDM_renda  (IPARDES-PR)'!$A$4:$N$420,14,FALSE)</f>
        <v>0.41042276580998543</v>
      </c>
      <c r="I162" s="9">
        <f>VLOOKUP(D162,'IPDM_educação  (IPARDES-PR)'!$A$4:$N$420,14,FALSE)</f>
        <v>0.94135461028085121</v>
      </c>
      <c r="J162" s="9">
        <f>VLOOKUP(D162,'IPDM_saúde   (IPARDES-PR)'!$A$4:$N$466,14,FALSE)</f>
        <v>0.71557173981323541</v>
      </c>
      <c r="L162" s="10" t="str">
        <f t="shared" si="4"/>
        <v>Norte - A04</v>
      </c>
    </row>
    <row r="163" spans="1:12" x14ac:dyDescent="0.2">
      <c r="A163" s="5" t="s">
        <v>114</v>
      </c>
      <c r="B163" s="148" t="s">
        <v>419</v>
      </c>
      <c r="C163" s="7" t="s">
        <v>424</v>
      </c>
      <c r="D163" s="4" t="s">
        <v>127</v>
      </c>
      <c r="E163" s="142">
        <f>VLOOKUP(D163,'IDHM (IBGE2022)'!$A$4:$N$402,14,FALSE)</f>
        <v>27337.32</v>
      </c>
      <c r="F163" s="90">
        <f>VLOOKUP(D163,'IDHM (IBGE2022)'!$A$4:$J$402,10,FALSE)</f>
        <v>0.65500000000000003</v>
      </c>
      <c r="G163" s="92">
        <f t="shared" si="5"/>
        <v>0.74726222122199315</v>
      </c>
      <c r="H163" s="9">
        <f>VLOOKUP(D163,'IPDM_renda  (IPARDES-PR)'!$A$4:$N$420,14,FALSE)</f>
        <v>0.44295834598227929</v>
      </c>
      <c r="I163" s="9">
        <f>VLOOKUP(D163,'IPDM_educação  (IPARDES-PR)'!$A$4:$N$420,14,FALSE)</f>
        <v>0.88835404351438174</v>
      </c>
      <c r="J163" s="9">
        <f>VLOOKUP(D163,'IPDM_saúde   (IPARDES-PR)'!$A$4:$N$466,14,FALSE)</f>
        <v>0.91047427416931825</v>
      </c>
      <c r="L163" s="10" t="str">
        <f t="shared" si="4"/>
        <v>Norte - A04</v>
      </c>
    </row>
    <row r="164" spans="1:12" x14ac:dyDescent="0.2">
      <c r="A164" s="5" t="s">
        <v>114</v>
      </c>
      <c r="B164" s="148" t="s">
        <v>419</v>
      </c>
      <c r="C164" s="7" t="s">
        <v>424</v>
      </c>
      <c r="D164" s="4" t="s">
        <v>128</v>
      </c>
      <c r="E164" s="142">
        <f>VLOOKUP(D164,'IDHM (IBGE2022)'!$A$4:$N$402,14,FALSE)</f>
        <v>82925.929999999993</v>
      </c>
      <c r="F164" s="90">
        <f>VLOOKUP(D164,'IDHM (IBGE2022)'!$A$4:$J$402,10,FALSE)</f>
        <v>0.72499999999999998</v>
      </c>
      <c r="G164" s="92">
        <f t="shared" si="5"/>
        <v>0.78156722959168812</v>
      </c>
      <c r="H164" s="9">
        <f>VLOOKUP(D164,'IPDM_renda  (IPARDES-PR)'!$A$4:$N$420,14,FALSE)</f>
        <v>0.51538803911184183</v>
      </c>
      <c r="I164" s="9">
        <f>VLOOKUP(D164,'IPDM_educação  (IPARDES-PR)'!$A$4:$N$420,14,FALSE)</f>
        <v>0.89349297083337065</v>
      </c>
      <c r="J164" s="9">
        <f>VLOOKUP(D164,'IPDM_saúde   (IPARDES-PR)'!$A$4:$N$466,14,FALSE)</f>
        <v>0.93582067882985187</v>
      </c>
      <c r="L164" s="10" t="str">
        <f t="shared" si="4"/>
        <v>Norte - A04</v>
      </c>
    </row>
    <row r="165" spans="1:12" x14ac:dyDescent="0.2">
      <c r="A165" s="5" t="s">
        <v>114</v>
      </c>
      <c r="B165" s="148" t="s">
        <v>419</v>
      </c>
      <c r="C165" s="7" t="s">
        <v>424</v>
      </c>
      <c r="D165" s="4" t="s">
        <v>129</v>
      </c>
      <c r="E165" s="142">
        <f>VLOOKUP(D165,'IDHM (IBGE2022)'!$A$4:$N$402,14,FALSE)</f>
        <v>37963.93</v>
      </c>
      <c r="F165" s="90">
        <f>VLOOKUP(D165,'IDHM (IBGE2022)'!$A$4:$J$402,10,FALSE)</f>
        <v>0.72099999999999997</v>
      </c>
      <c r="G165" s="92">
        <f t="shared" si="5"/>
        <v>0.7467569846464005</v>
      </c>
      <c r="H165" s="9">
        <f>VLOOKUP(D165,'IPDM_renda  (IPARDES-PR)'!$A$4:$N$420,14,FALSE)</f>
        <v>0.43508632419533466</v>
      </c>
      <c r="I165" s="9">
        <f>VLOOKUP(D165,'IPDM_educação  (IPARDES-PR)'!$A$4:$N$420,14,FALSE)</f>
        <v>0.87126121060254846</v>
      </c>
      <c r="J165" s="9">
        <f>VLOOKUP(D165,'IPDM_saúde   (IPARDES-PR)'!$A$4:$N$466,14,FALSE)</f>
        <v>0.93392341914131849</v>
      </c>
      <c r="L165" s="10" t="str">
        <f t="shared" si="4"/>
        <v>Norte - A04</v>
      </c>
    </row>
    <row r="166" spans="1:12" x14ac:dyDescent="0.2">
      <c r="A166" s="5" t="s">
        <v>130</v>
      </c>
      <c r="B166" s="148" t="s">
        <v>419</v>
      </c>
      <c r="C166" s="145" t="s">
        <v>425</v>
      </c>
      <c r="D166" s="4" t="s">
        <v>131</v>
      </c>
      <c r="E166" s="142">
        <f>VLOOKUP(D166,'IDHM (IBGE2022)'!$A$4:$N$402,14,FALSE)</f>
        <v>41039.39</v>
      </c>
      <c r="F166" s="90">
        <f>VLOOKUP(D166,'IDHM (IBGE2022)'!$A$4:$J$402,10,FALSE)</f>
        <v>0.68700000000000006</v>
      </c>
      <c r="G166" s="92">
        <f t="shared" si="5"/>
        <v>0.75557039609927878</v>
      </c>
      <c r="H166" s="9">
        <f>VLOOKUP(D166,'IPDM_renda  (IPARDES-PR)'!$A$4:$N$420,14,FALSE)</f>
        <v>0.46624829824730585</v>
      </c>
      <c r="I166" s="9">
        <f>VLOOKUP(D166,'IPDM_educação  (IPARDES-PR)'!$A$4:$N$420,14,FALSE)</f>
        <v>0.84839757010865779</v>
      </c>
      <c r="J166" s="9">
        <f>VLOOKUP(D166,'IPDM_saúde   (IPARDES-PR)'!$A$4:$N$466,14,FALSE)</f>
        <v>0.95206531994187271</v>
      </c>
      <c r="L166" s="10" t="str">
        <f t="shared" si="4"/>
        <v>Norte - A05</v>
      </c>
    </row>
    <row r="167" spans="1:12" x14ac:dyDescent="0.2">
      <c r="A167" s="5" t="s">
        <v>130</v>
      </c>
      <c r="B167" s="148" t="s">
        <v>419</v>
      </c>
      <c r="C167" s="145" t="s">
        <v>425</v>
      </c>
      <c r="D167" s="4" t="s">
        <v>132</v>
      </c>
      <c r="E167" s="142">
        <f>VLOOKUP(D167,'IDHM (IBGE2022)'!$A$4:$N$402,14,FALSE)</f>
        <v>43559.41</v>
      </c>
      <c r="F167" s="90">
        <f>VLOOKUP(D167,'IDHM (IBGE2022)'!$A$4:$J$402,10,FALSE)</f>
        <v>0.72699999999999998</v>
      </c>
      <c r="G167" s="92">
        <f t="shared" si="5"/>
        <v>0.73902372773546698</v>
      </c>
      <c r="H167" s="9">
        <f>VLOOKUP(D167,'IPDM_renda  (IPARDES-PR)'!$A$4:$N$420,14,FALSE)</f>
        <v>0.49508941318899646</v>
      </c>
      <c r="I167" s="9">
        <f>VLOOKUP(D167,'IPDM_educação  (IPARDES-PR)'!$A$4:$N$420,14,FALSE)</f>
        <v>0.87282285623553058</v>
      </c>
      <c r="J167" s="9">
        <f>VLOOKUP(D167,'IPDM_saúde   (IPARDES-PR)'!$A$4:$N$466,14,FALSE)</f>
        <v>0.84915891378187369</v>
      </c>
      <c r="L167" s="10" t="str">
        <f t="shared" si="4"/>
        <v>Norte - A05</v>
      </c>
    </row>
    <row r="168" spans="1:12" x14ac:dyDescent="0.2">
      <c r="A168" s="5" t="s">
        <v>130</v>
      </c>
      <c r="B168" s="148" t="s">
        <v>419</v>
      </c>
      <c r="C168" s="145" t="s">
        <v>425</v>
      </c>
      <c r="D168" s="4" t="s">
        <v>116</v>
      </c>
      <c r="E168" s="142">
        <f>VLOOKUP(D168,'IDHM (IBGE2022)'!$A$4:$N$402,14,FALSE)</f>
        <v>37201.519999999997</v>
      </c>
      <c r="F168" s="90">
        <f>VLOOKUP(D168,'IDHM (IBGE2022)'!$A$4:$J$402,10,FALSE)</f>
        <v>0.66800000000000004</v>
      </c>
      <c r="G168" s="92">
        <f t="shared" si="5"/>
        <v>0.68238382367676331</v>
      </c>
      <c r="H168" s="9">
        <f>VLOOKUP(D168,'IPDM_renda  (IPARDES-PR)'!$A$4:$N$420,14,FALSE)</f>
        <v>0.45214459894118708</v>
      </c>
      <c r="I168" s="9">
        <f>VLOOKUP(D168,'IPDM_educação  (IPARDES-PR)'!$A$4:$N$420,14,FALSE)</f>
        <v>0.75315215841734651</v>
      </c>
      <c r="J168" s="9">
        <f>VLOOKUP(D168,'IPDM_saúde   (IPARDES-PR)'!$A$4:$N$466,14,FALSE)</f>
        <v>0.84185471367175602</v>
      </c>
      <c r="L168" s="10" t="str">
        <f t="shared" si="4"/>
        <v>Norte - A05</v>
      </c>
    </row>
    <row r="169" spans="1:12" x14ac:dyDescent="0.2">
      <c r="A169" s="5" t="s">
        <v>130</v>
      </c>
      <c r="B169" s="148" t="s">
        <v>419</v>
      </c>
      <c r="C169" s="145" t="s">
        <v>425</v>
      </c>
      <c r="D169" s="4" t="s">
        <v>133</v>
      </c>
      <c r="E169" s="142">
        <f>VLOOKUP(D169,'IDHM (IBGE2022)'!$A$4:$N$402,14,FALSE)</f>
        <v>48767.75</v>
      </c>
      <c r="F169" s="90">
        <f>VLOOKUP(D169,'IDHM (IBGE2022)'!$A$4:$J$402,10,FALSE)</f>
        <v>0.70699999999999996</v>
      </c>
      <c r="G169" s="92">
        <f t="shared" si="5"/>
        <v>0.71337516732988393</v>
      </c>
      <c r="H169" s="9">
        <f>VLOOKUP(D169,'IPDM_renda  (IPARDES-PR)'!$A$4:$N$420,14,FALSE)</f>
        <v>0.42848465213863329</v>
      </c>
      <c r="I169" s="9">
        <f>VLOOKUP(D169,'IPDM_educação  (IPARDES-PR)'!$A$4:$N$420,14,FALSE)</f>
        <v>0.91324770838417457</v>
      </c>
      <c r="J169" s="9">
        <f>VLOOKUP(D169,'IPDM_saúde   (IPARDES-PR)'!$A$4:$N$466,14,FALSE)</f>
        <v>0.79839314146684381</v>
      </c>
      <c r="L169" s="10" t="str">
        <f t="shared" si="4"/>
        <v>Norte - A05</v>
      </c>
    </row>
    <row r="170" spans="1:12" x14ac:dyDescent="0.2">
      <c r="A170" s="5" t="s">
        <v>130</v>
      </c>
      <c r="B170" s="148" t="s">
        <v>419</v>
      </c>
      <c r="C170" s="145" t="s">
        <v>425</v>
      </c>
      <c r="D170" s="4" t="s">
        <v>117</v>
      </c>
      <c r="E170" s="142">
        <f>VLOOKUP(D170,'IDHM (IBGE2022)'!$A$4:$N$402,14,FALSE)</f>
        <v>52697.46</v>
      </c>
      <c r="F170" s="90">
        <f>VLOOKUP(D170,'IDHM (IBGE2022)'!$A$4:$J$402,10,FALSE)</f>
        <v>0.75900000000000001</v>
      </c>
      <c r="G170" s="92">
        <f t="shared" si="5"/>
        <v>0.78064283454314232</v>
      </c>
      <c r="H170" s="9">
        <f>VLOOKUP(D170,'IPDM_renda  (IPARDES-PR)'!$A$4:$N$420,14,FALSE)</f>
        <v>0.60214706545049079</v>
      </c>
      <c r="I170" s="9">
        <f>VLOOKUP(D170,'IPDM_educação  (IPARDES-PR)'!$A$4:$N$420,14,FALSE)</f>
        <v>0.89036372078562143</v>
      </c>
      <c r="J170" s="9">
        <f>VLOOKUP(D170,'IPDM_saúde   (IPARDES-PR)'!$A$4:$N$466,14,FALSE)</f>
        <v>0.84941771739331473</v>
      </c>
      <c r="L170" s="10" t="str">
        <f t="shared" si="4"/>
        <v>Norte - A05</v>
      </c>
    </row>
    <row r="171" spans="1:12" x14ac:dyDescent="0.2">
      <c r="A171" s="5" t="s">
        <v>130</v>
      </c>
      <c r="B171" s="148" t="s">
        <v>419</v>
      </c>
      <c r="C171" s="145" t="s">
        <v>425</v>
      </c>
      <c r="D171" s="4" t="s">
        <v>134</v>
      </c>
      <c r="E171" s="142">
        <f>VLOOKUP(D171,'IDHM (IBGE2022)'!$A$4:$N$402,14,FALSE)</f>
        <v>42887.86</v>
      </c>
      <c r="F171" s="90">
        <f>VLOOKUP(D171,'IDHM (IBGE2022)'!$A$4:$J$402,10,FALSE)</f>
        <v>0.71</v>
      </c>
      <c r="G171" s="92">
        <f t="shared" si="5"/>
        <v>0.75249749101924135</v>
      </c>
      <c r="H171" s="9">
        <f>VLOOKUP(D171,'IPDM_renda  (IPARDES-PR)'!$A$4:$N$420,14,FALSE)</f>
        <v>0.48266689550387565</v>
      </c>
      <c r="I171" s="9">
        <f>VLOOKUP(D171,'IPDM_educação  (IPARDES-PR)'!$A$4:$N$420,14,FALSE)</f>
        <v>0.91122345350878675</v>
      </c>
      <c r="J171" s="9">
        <f>VLOOKUP(D171,'IPDM_saúde   (IPARDES-PR)'!$A$4:$N$466,14,FALSE)</f>
        <v>0.86360212404506187</v>
      </c>
      <c r="L171" s="10" t="str">
        <f t="shared" si="4"/>
        <v>Norte - A05</v>
      </c>
    </row>
    <row r="172" spans="1:12" x14ac:dyDescent="0.2">
      <c r="A172" s="5" t="s">
        <v>130</v>
      </c>
      <c r="B172" s="148" t="s">
        <v>419</v>
      </c>
      <c r="C172" s="145" t="s">
        <v>425</v>
      </c>
      <c r="D172" s="4" t="s">
        <v>168</v>
      </c>
      <c r="E172" s="142">
        <f>VLOOKUP(D172,'IDHM (IBGE2022)'!$A$4:$N$402,14,FALSE)</f>
        <v>34179.339999999997</v>
      </c>
      <c r="F172" s="90">
        <f>VLOOKUP(D172,'IDHM (IBGE2022)'!$A$4:$J$402,10,FALSE)</f>
        <v>0.69599999999999995</v>
      </c>
      <c r="G172" s="92">
        <f t="shared" si="5"/>
        <v>0.59702436622683919</v>
      </c>
      <c r="H172" s="9">
        <f>VLOOKUP(D172,'IPDM_renda  (IPARDES-PR)'!$A$4:$N$420,14,FALSE)</f>
        <v>0.42419309622658236</v>
      </c>
      <c r="I172" s="9">
        <f>VLOOKUP(D172,'IPDM_educação  (IPARDES-PR)'!$A$4:$N$420,14,FALSE)</f>
        <v>0.65409773144389649</v>
      </c>
      <c r="J172" s="9">
        <f>VLOOKUP(D172,'IPDM_saúde   (IPARDES-PR)'!$A$4:$N$466,14,FALSE)</f>
        <v>0.71278227101003866</v>
      </c>
      <c r="L172" s="10" t="str">
        <f t="shared" si="4"/>
        <v>Norte - A05</v>
      </c>
    </row>
    <row r="173" spans="1:12" x14ac:dyDescent="0.2">
      <c r="A173" s="5" t="s">
        <v>130</v>
      </c>
      <c r="B173" s="148" t="s">
        <v>419</v>
      </c>
      <c r="C173" s="145" t="s">
        <v>425</v>
      </c>
      <c r="D173" s="4" t="s">
        <v>135</v>
      </c>
      <c r="E173" s="142">
        <f>VLOOKUP(D173,'IDHM (IBGE2022)'!$A$4:$N$402,14,FALSE)</f>
        <v>47213.06</v>
      </c>
      <c r="F173" s="90">
        <f>VLOOKUP(D173,'IDHM (IBGE2022)'!$A$4:$J$402,10,FALSE)</f>
        <v>0.68799999999999994</v>
      </c>
      <c r="G173" s="92">
        <f t="shared" si="5"/>
        <v>0.70187999349931651</v>
      </c>
      <c r="H173" s="9">
        <f>VLOOKUP(D173,'IPDM_renda  (IPARDES-PR)'!$A$4:$N$420,14,FALSE)</f>
        <v>0.46519813237173957</v>
      </c>
      <c r="I173" s="9">
        <f>VLOOKUP(D173,'IPDM_educação  (IPARDES-PR)'!$A$4:$N$420,14,FALSE)</f>
        <v>0.85792317933238671</v>
      </c>
      <c r="J173" s="9">
        <f>VLOOKUP(D173,'IPDM_saúde   (IPARDES-PR)'!$A$4:$N$466,14,FALSE)</f>
        <v>0.78251866879382315</v>
      </c>
      <c r="L173" s="10" t="str">
        <f t="shared" si="4"/>
        <v>Norte - A05</v>
      </c>
    </row>
    <row r="174" spans="1:12" x14ac:dyDescent="0.2">
      <c r="A174" s="5" t="s">
        <v>130</v>
      </c>
      <c r="B174" s="148" t="s">
        <v>419</v>
      </c>
      <c r="C174" s="145" t="s">
        <v>425</v>
      </c>
      <c r="D174" s="4" t="s">
        <v>121</v>
      </c>
      <c r="E174" s="142">
        <f>VLOOKUP(D174,'IDHM (IBGE2022)'!$A$4:$N$402,14,FALSE)</f>
        <v>45319.519999999997</v>
      </c>
      <c r="F174" s="90">
        <f>VLOOKUP(D174,'IDHM (IBGE2022)'!$A$4:$J$402,10,FALSE)</f>
        <v>0.68799999999999994</v>
      </c>
      <c r="G174" s="92">
        <f t="shared" si="5"/>
        <v>0.71708984081295968</v>
      </c>
      <c r="H174" s="9">
        <f>VLOOKUP(D174,'IPDM_renda  (IPARDES-PR)'!$A$4:$N$420,14,FALSE)</f>
        <v>0.40389749582871931</v>
      </c>
      <c r="I174" s="9">
        <f>VLOOKUP(D174,'IPDM_educação  (IPARDES-PR)'!$A$4:$N$420,14,FALSE)</f>
        <v>0.9147694169842594</v>
      </c>
      <c r="J174" s="9">
        <f>VLOOKUP(D174,'IPDM_saúde   (IPARDES-PR)'!$A$4:$N$466,14,FALSE)</f>
        <v>0.83260260962590016</v>
      </c>
      <c r="L174" s="10" t="str">
        <f t="shared" si="4"/>
        <v>Norte - A05</v>
      </c>
    </row>
    <row r="175" spans="1:12" x14ac:dyDescent="0.2">
      <c r="A175" s="5" t="s">
        <v>130</v>
      </c>
      <c r="B175" s="148" t="s">
        <v>419</v>
      </c>
      <c r="C175" s="145" t="s">
        <v>425</v>
      </c>
      <c r="D175" s="4" t="s">
        <v>136</v>
      </c>
      <c r="E175" s="142">
        <f>VLOOKUP(D175,'IDHM (IBGE2022)'!$A$4:$N$402,14,FALSE)</f>
        <v>37360.89</v>
      </c>
      <c r="F175" s="90">
        <f>VLOOKUP(D175,'IDHM (IBGE2022)'!$A$4:$J$402,10,FALSE)</f>
        <v>0.70099999999999996</v>
      </c>
      <c r="G175" s="92">
        <f t="shared" si="5"/>
        <v>0.73017777805551198</v>
      </c>
      <c r="H175" s="9">
        <f>VLOOKUP(D175,'IPDM_renda  (IPARDES-PR)'!$A$4:$N$420,14,FALSE)</f>
        <v>0.48242464941165097</v>
      </c>
      <c r="I175" s="9">
        <f>VLOOKUP(D175,'IPDM_educação  (IPARDES-PR)'!$A$4:$N$420,14,FALSE)</f>
        <v>0.92910509912797512</v>
      </c>
      <c r="J175" s="9">
        <f>VLOOKUP(D175,'IPDM_saúde   (IPARDES-PR)'!$A$4:$N$466,14,FALSE)</f>
        <v>0.77900358562690997</v>
      </c>
      <c r="L175" s="10" t="str">
        <f t="shared" si="4"/>
        <v>Norte - A05</v>
      </c>
    </row>
    <row r="176" spans="1:12" x14ac:dyDescent="0.2">
      <c r="A176" s="5" t="s">
        <v>130</v>
      </c>
      <c r="B176" s="148" t="s">
        <v>419</v>
      </c>
      <c r="C176" s="145" t="s">
        <v>425</v>
      </c>
      <c r="D176" s="4" t="s">
        <v>137</v>
      </c>
      <c r="E176" s="142">
        <f>VLOOKUP(D176,'IDHM (IBGE2022)'!$A$4:$N$402,14,FALSE)</f>
        <v>41703.65</v>
      </c>
      <c r="F176" s="90">
        <f>VLOOKUP(D176,'IDHM (IBGE2022)'!$A$4:$J$402,10,FALSE)</f>
        <v>0.65300000000000002</v>
      </c>
      <c r="G176" s="92">
        <f t="shared" si="5"/>
        <v>0.63082293611196227</v>
      </c>
      <c r="H176" s="9">
        <f>VLOOKUP(D176,'IPDM_renda  (IPARDES-PR)'!$A$4:$N$420,14,FALSE)</f>
        <v>0.41794379287135397</v>
      </c>
      <c r="I176" s="9">
        <f>VLOOKUP(D176,'IPDM_educação  (IPARDES-PR)'!$A$4:$N$420,14,FALSE)</f>
        <v>0.80349255292215827</v>
      </c>
      <c r="J176" s="9">
        <f>VLOOKUP(D176,'IPDM_saúde   (IPARDES-PR)'!$A$4:$N$466,14,FALSE)</f>
        <v>0.67103246254237459</v>
      </c>
      <c r="L176" s="10" t="str">
        <f t="shared" si="4"/>
        <v>Norte - A05</v>
      </c>
    </row>
    <row r="177" spans="1:12" x14ac:dyDescent="0.2">
      <c r="A177" s="5" t="s">
        <v>138</v>
      </c>
      <c r="B177" s="148" t="s">
        <v>419</v>
      </c>
      <c r="C177" s="7" t="s">
        <v>426</v>
      </c>
      <c r="D177" s="4" t="s">
        <v>139</v>
      </c>
      <c r="E177" s="142">
        <f>VLOOKUP(D177,'IDHM (IBGE2022)'!$A$4:$N$402,14,FALSE)</f>
        <v>43322.9</v>
      </c>
      <c r="F177" s="90">
        <f>VLOOKUP(D177,'IDHM (IBGE2022)'!$A$4:$J$402,10,FALSE)</f>
        <v>0.72499999999999998</v>
      </c>
      <c r="G177" s="92">
        <f t="shared" si="5"/>
        <v>0.70642879036144135</v>
      </c>
      <c r="H177" s="9">
        <f>VLOOKUP(D177,'IPDM_renda  (IPARDES-PR)'!$A$4:$N$420,14,FALSE)</f>
        <v>0.48365068049492876</v>
      </c>
      <c r="I177" s="9">
        <f>VLOOKUP(D177,'IPDM_educação  (IPARDES-PR)'!$A$4:$N$420,14,FALSE)</f>
        <v>0.93581068477806262</v>
      </c>
      <c r="J177" s="9">
        <f>VLOOKUP(D177,'IPDM_saúde   (IPARDES-PR)'!$A$4:$N$466,14,FALSE)</f>
        <v>0.69982500581133245</v>
      </c>
      <c r="L177" s="10" t="str">
        <f t="shared" si="4"/>
        <v>Norte - A06</v>
      </c>
    </row>
    <row r="178" spans="1:12" x14ac:dyDescent="0.2">
      <c r="A178" s="5" t="s">
        <v>138</v>
      </c>
      <c r="B178" s="148" t="s">
        <v>419</v>
      </c>
      <c r="C178" s="7" t="s">
        <v>426</v>
      </c>
      <c r="D178" s="4" t="s">
        <v>132</v>
      </c>
      <c r="E178" s="142">
        <f>VLOOKUP(D178,'IDHM (IBGE2022)'!$A$4:$N$402,14,FALSE)</f>
        <v>43559.41</v>
      </c>
      <c r="F178" s="90">
        <f>VLOOKUP(D178,'IDHM (IBGE2022)'!$A$4:$J$402,10,FALSE)</f>
        <v>0.72699999999999998</v>
      </c>
      <c r="G178" s="92">
        <f t="shared" si="5"/>
        <v>0.73902372773546698</v>
      </c>
      <c r="H178" s="9">
        <f>VLOOKUP(D178,'IPDM_renda  (IPARDES-PR)'!$A$4:$N$420,14,FALSE)</f>
        <v>0.49508941318899646</v>
      </c>
      <c r="I178" s="9">
        <f>VLOOKUP(D178,'IPDM_educação  (IPARDES-PR)'!$A$4:$N$420,14,FALSE)</f>
        <v>0.87282285623553058</v>
      </c>
      <c r="J178" s="9">
        <f>VLOOKUP(D178,'IPDM_saúde   (IPARDES-PR)'!$A$4:$N$466,14,FALSE)</f>
        <v>0.84915891378187369</v>
      </c>
      <c r="L178" s="10" t="str">
        <f t="shared" si="4"/>
        <v>Norte - A06</v>
      </c>
    </row>
    <row r="179" spans="1:12" x14ac:dyDescent="0.2">
      <c r="A179" s="5" t="s">
        <v>138</v>
      </c>
      <c r="B179" s="148" t="s">
        <v>419</v>
      </c>
      <c r="C179" s="7" t="s">
        <v>426</v>
      </c>
      <c r="D179" s="4" t="s">
        <v>140</v>
      </c>
      <c r="E179" s="142">
        <f>VLOOKUP(D179,'IDHM (IBGE2022)'!$A$4:$N$402,14,FALSE)</f>
        <v>66502.509999999995</v>
      </c>
      <c r="F179" s="90">
        <f>VLOOKUP(D179,'IDHM (IBGE2022)'!$A$4:$J$402,10,FALSE)</f>
        <v>0.74399999999999999</v>
      </c>
      <c r="G179" s="92">
        <f t="shared" si="5"/>
        <v>0.70343327854735793</v>
      </c>
      <c r="H179" s="9">
        <f>VLOOKUP(D179,'IPDM_renda  (IPARDES-PR)'!$A$4:$N$420,14,FALSE)</f>
        <v>0.4541237958434382</v>
      </c>
      <c r="I179" s="9">
        <f>VLOOKUP(D179,'IPDM_educação  (IPARDES-PR)'!$A$4:$N$420,14,FALSE)</f>
        <v>0.91797833381791361</v>
      </c>
      <c r="J179" s="9">
        <f>VLOOKUP(D179,'IPDM_saúde   (IPARDES-PR)'!$A$4:$N$466,14,FALSE)</f>
        <v>0.73819770598072176</v>
      </c>
      <c r="L179" s="10" t="str">
        <f t="shared" si="4"/>
        <v>Norte - A06</v>
      </c>
    </row>
    <row r="180" spans="1:12" x14ac:dyDescent="0.2">
      <c r="A180" s="5" t="s">
        <v>138</v>
      </c>
      <c r="B180" s="148" t="s">
        <v>419</v>
      </c>
      <c r="C180" s="7" t="s">
        <v>426</v>
      </c>
      <c r="D180" s="4" t="s">
        <v>141</v>
      </c>
      <c r="E180" s="142">
        <f>VLOOKUP(D180,'IDHM (IBGE2022)'!$A$4:$N$402,14,FALSE)</f>
        <v>42457.02</v>
      </c>
      <c r="F180" s="90">
        <f>VLOOKUP(D180,'IDHM (IBGE2022)'!$A$4:$J$402,10,FALSE)</f>
        <v>0.72099999999999997</v>
      </c>
      <c r="G180" s="92">
        <f t="shared" si="5"/>
        <v>0.73716358819225769</v>
      </c>
      <c r="H180" s="9">
        <f>VLOOKUP(D180,'IPDM_renda  (IPARDES-PR)'!$A$4:$N$420,14,FALSE)</f>
        <v>0.5133282148574001</v>
      </c>
      <c r="I180" s="9">
        <f>VLOOKUP(D180,'IPDM_educação  (IPARDES-PR)'!$A$4:$N$420,14,FALSE)</f>
        <v>0.80916648136101266</v>
      </c>
      <c r="J180" s="9">
        <f>VLOOKUP(D180,'IPDM_saúde   (IPARDES-PR)'!$A$4:$N$466,14,FALSE)</f>
        <v>0.88899606835836031</v>
      </c>
      <c r="L180" s="10" t="str">
        <f t="shared" si="4"/>
        <v>Norte - A06</v>
      </c>
    </row>
    <row r="181" spans="1:12" x14ac:dyDescent="0.2">
      <c r="A181" s="5" t="s">
        <v>138</v>
      </c>
      <c r="B181" s="148" t="s">
        <v>419</v>
      </c>
      <c r="C181" s="7" t="s">
        <v>426</v>
      </c>
      <c r="D181" s="4" t="s">
        <v>142</v>
      </c>
      <c r="E181" s="142">
        <f>VLOOKUP(D181,'IDHM (IBGE2022)'!$A$4:$N$402,14,FALSE)</f>
        <v>34061.74</v>
      </c>
      <c r="F181" s="90">
        <f>VLOOKUP(D181,'IDHM (IBGE2022)'!$A$4:$J$402,10,FALSE)</f>
        <v>0.71299999999999997</v>
      </c>
      <c r="G181" s="92">
        <f t="shared" si="5"/>
        <v>0.70969052284695211</v>
      </c>
      <c r="H181" s="9">
        <f>VLOOKUP(D181,'IPDM_renda  (IPARDES-PR)'!$A$4:$N$420,14,FALSE)</f>
        <v>0.40578054911955691</v>
      </c>
      <c r="I181" s="9">
        <f>VLOOKUP(D181,'IPDM_educação  (IPARDES-PR)'!$A$4:$N$420,14,FALSE)</f>
        <v>0.89378367549844773</v>
      </c>
      <c r="J181" s="9">
        <f>VLOOKUP(D181,'IPDM_saúde   (IPARDES-PR)'!$A$4:$N$466,14,FALSE)</f>
        <v>0.82950734392285186</v>
      </c>
      <c r="L181" s="10" t="str">
        <f t="shared" si="4"/>
        <v>Norte - A06</v>
      </c>
    </row>
    <row r="182" spans="1:12" x14ac:dyDescent="0.2">
      <c r="A182" s="5" t="s">
        <v>138</v>
      </c>
      <c r="B182" s="148" t="s">
        <v>419</v>
      </c>
      <c r="C182" s="7" t="s">
        <v>426</v>
      </c>
      <c r="D182" s="4" t="s">
        <v>143</v>
      </c>
      <c r="E182" s="142">
        <f>VLOOKUP(D182,'IDHM (IBGE2022)'!$A$4:$N$402,14,FALSE)</f>
        <v>47300.82</v>
      </c>
      <c r="F182" s="90">
        <f>VLOOKUP(D182,'IDHM (IBGE2022)'!$A$4:$J$402,10,FALSE)</f>
        <v>0.69399999999999995</v>
      </c>
      <c r="G182" s="92">
        <f t="shared" si="5"/>
        <v>0.71491728690837242</v>
      </c>
      <c r="H182" s="9">
        <f>VLOOKUP(D182,'IPDM_renda  (IPARDES-PR)'!$A$4:$N$420,14,FALSE)</f>
        <v>0.41501621447550813</v>
      </c>
      <c r="I182" s="9">
        <f>VLOOKUP(D182,'IPDM_educação  (IPARDES-PR)'!$A$4:$N$420,14,FALSE)</f>
        <v>0.8464930594831992</v>
      </c>
      <c r="J182" s="9">
        <f>VLOOKUP(D182,'IPDM_saúde   (IPARDES-PR)'!$A$4:$N$466,14,FALSE)</f>
        <v>0.8832425867664101</v>
      </c>
      <c r="L182" s="10" t="str">
        <f t="shared" si="4"/>
        <v>Norte - A06</v>
      </c>
    </row>
    <row r="183" spans="1:12" x14ac:dyDescent="0.2">
      <c r="A183" s="5" t="s">
        <v>138</v>
      </c>
      <c r="B183" s="148" t="s">
        <v>419</v>
      </c>
      <c r="C183" s="7" t="s">
        <v>426</v>
      </c>
      <c r="D183" s="4" t="s">
        <v>144</v>
      </c>
      <c r="E183" s="142">
        <f>VLOOKUP(D183,'IDHM (IBGE2022)'!$A$4:$N$402,14,FALSE)</f>
        <v>48470.43</v>
      </c>
      <c r="F183" s="90">
        <f>VLOOKUP(D183,'IDHM (IBGE2022)'!$A$4:$J$402,10,FALSE)</f>
        <v>0.74299999999999999</v>
      </c>
      <c r="G183" s="92">
        <f t="shared" si="5"/>
        <v>0.75374710411463719</v>
      </c>
      <c r="H183" s="9">
        <f>VLOOKUP(D183,'IPDM_renda  (IPARDES-PR)'!$A$4:$N$420,14,FALSE)</f>
        <v>0.58473082532683029</v>
      </c>
      <c r="I183" s="9">
        <f>VLOOKUP(D183,'IPDM_educação  (IPARDES-PR)'!$A$4:$N$420,14,FALSE)</f>
        <v>0.76686574259287343</v>
      </c>
      <c r="J183" s="9">
        <f>VLOOKUP(D183,'IPDM_saúde   (IPARDES-PR)'!$A$4:$N$466,14,FALSE)</f>
        <v>0.90964474442420817</v>
      </c>
      <c r="L183" s="10" t="str">
        <f t="shared" si="4"/>
        <v>Norte - A06</v>
      </c>
    </row>
    <row r="184" spans="1:12" x14ac:dyDescent="0.2">
      <c r="A184" s="5" t="s">
        <v>138</v>
      </c>
      <c r="B184" s="148" t="s">
        <v>419</v>
      </c>
      <c r="C184" s="7" t="s">
        <v>426</v>
      </c>
      <c r="D184" s="4" t="s">
        <v>145</v>
      </c>
      <c r="E184" s="142">
        <f>VLOOKUP(D184,'IDHM (IBGE2022)'!$A$4:$N$402,14,FALSE)</f>
        <v>49315.87</v>
      </c>
      <c r="F184" s="90">
        <f>VLOOKUP(D184,'IDHM (IBGE2022)'!$A$4:$J$402,10,FALSE)</f>
        <v>0.71599999999999997</v>
      </c>
      <c r="G184" s="92">
        <f t="shared" si="5"/>
        <v>0.73858426593720328</v>
      </c>
      <c r="H184" s="9">
        <f>VLOOKUP(D184,'IPDM_renda  (IPARDES-PR)'!$A$4:$N$420,14,FALSE)</f>
        <v>0.49799292305467696</v>
      </c>
      <c r="I184" s="9">
        <f>VLOOKUP(D184,'IPDM_educação  (IPARDES-PR)'!$A$4:$N$420,14,FALSE)</f>
        <v>0.92819454351101749</v>
      </c>
      <c r="J184" s="9">
        <f>VLOOKUP(D184,'IPDM_saúde   (IPARDES-PR)'!$A$4:$N$466,14,FALSE)</f>
        <v>0.78956533124591555</v>
      </c>
      <c r="L184" s="10" t="str">
        <f t="shared" si="4"/>
        <v>Norte - A06</v>
      </c>
    </row>
    <row r="185" spans="1:12" x14ac:dyDescent="0.2">
      <c r="A185" s="5" t="s">
        <v>138</v>
      </c>
      <c r="B185" s="148" t="s">
        <v>419</v>
      </c>
      <c r="C185" s="7" t="s">
        <v>426</v>
      </c>
      <c r="D185" s="4" t="s">
        <v>146</v>
      </c>
      <c r="E185" s="142">
        <f>VLOOKUP(D185,'IDHM (IBGE2022)'!$A$4:$N$402,14,FALSE)</f>
        <v>44999.22</v>
      </c>
      <c r="F185" s="90">
        <f>VLOOKUP(D185,'IDHM (IBGE2022)'!$A$4:$J$402,10,FALSE)</f>
        <v>0.7</v>
      </c>
      <c r="G185" s="92">
        <f t="shared" si="5"/>
        <v>0.71663472484129576</v>
      </c>
      <c r="H185" s="9">
        <f>VLOOKUP(D185,'IPDM_renda  (IPARDES-PR)'!$A$4:$N$420,14,FALSE)</f>
        <v>0.47876688200491724</v>
      </c>
      <c r="I185" s="9">
        <f>VLOOKUP(D185,'IPDM_educação  (IPARDES-PR)'!$A$4:$N$420,14,FALSE)</f>
        <v>0.82565013710695645</v>
      </c>
      <c r="J185" s="9">
        <f>VLOOKUP(D185,'IPDM_saúde   (IPARDES-PR)'!$A$4:$N$466,14,FALSE)</f>
        <v>0.84548715541201347</v>
      </c>
      <c r="L185" s="10" t="str">
        <f t="shared" si="4"/>
        <v>Norte - A06</v>
      </c>
    </row>
    <row r="186" spans="1:12" x14ac:dyDescent="0.2">
      <c r="A186" s="5" t="s">
        <v>138</v>
      </c>
      <c r="B186" s="148" t="s">
        <v>419</v>
      </c>
      <c r="C186" s="7" t="s">
        <v>426</v>
      </c>
      <c r="D186" s="4" t="s">
        <v>147</v>
      </c>
      <c r="E186" s="142">
        <f>VLOOKUP(D186,'IDHM (IBGE2022)'!$A$4:$N$402,14,FALSE)</f>
        <v>41422.699999999997</v>
      </c>
      <c r="F186" s="90">
        <f>VLOOKUP(D186,'IDHM (IBGE2022)'!$A$4:$J$402,10,FALSE)</f>
        <v>0.71799999999999997</v>
      </c>
      <c r="G186" s="92">
        <f t="shared" si="5"/>
        <v>0.67972774924949075</v>
      </c>
      <c r="H186" s="9">
        <f>VLOOKUP(D186,'IPDM_renda  (IPARDES-PR)'!$A$4:$N$420,14,FALSE)</f>
        <v>0.49415338424210975</v>
      </c>
      <c r="I186" s="9">
        <f>VLOOKUP(D186,'IPDM_educação  (IPARDES-PR)'!$A$4:$N$420,14,FALSE)</f>
        <v>0.85724624175412556</v>
      </c>
      <c r="J186" s="9">
        <f>VLOOKUP(D186,'IPDM_saúde   (IPARDES-PR)'!$A$4:$N$466,14,FALSE)</f>
        <v>0.68778362175223695</v>
      </c>
      <c r="L186" s="10" t="str">
        <f t="shared" si="4"/>
        <v>Norte - A06</v>
      </c>
    </row>
    <row r="187" spans="1:12" x14ac:dyDescent="0.2">
      <c r="A187" s="5" t="s">
        <v>148</v>
      </c>
      <c r="B187" s="148" t="s">
        <v>419</v>
      </c>
      <c r="C187" s="145" t="s">
        <v>427</v>
      </c>
      <c r="D187" s="4" t="s">
        <v>149</v>
      </c>
      <c r="E187" s="142">
        <f>VLOOKUP(D187,'IDHM (IBGE2022)'!$A$4:$N$402,14,FALSE)</f>
        <v>37146.42</v>
      </c>
      <c r="F187" s="90">
        <f>VLOOKUP(D187,'IDHM (IBGE2022)'!$A$4:$J$402,10,FALSE)</f>
        <v>0.748</v>
      </c>
      <c r="G187" s="92">
        <f t="shared" si="5"/>
        <v>0.78430913827426441</v>
      </c>
      <c r="H187" s="9">
        <f>VLOOKUP(D187,'IPDM_renda  (IPARDES-PR)'!$A$4:$N$420,14,FALSE)</f>
        <v>0.54216835707136968</v>
      </c>
      <c r="I187" s="9">
        <f>VLOOKUP(D187,'IPDM_educação  (IPARDES-PR)'!$A$4:$N$420,14,FALSE)</f>
        <v>0.94446671173251417</v>
      </c>
      <c r="J187" s="9">
        <f>VLOOKUP(D187,'IPDM_saúde   (IPARDES-PR)'!$A$4:$N$466,14,FALSE)</f>
        <v>0.86629234601890925</v>
      </c>
      <c r="L187" s="10" t="str">
        <f t="shared" si="4"/>
        <v>Norte - A07</v>
      </c>
    </row>
    <row r="188" spans="1:12" x14ac:dyDescent="0.2">
      <c r="A188" s="5" t="s">
        <v>148</v>
      </c>
      <c r="B188" s="148" t="s">
        <v>419</v>
      </c>
      <c r="C188" s="145" t="s">
        <v>427</v>
      </c>
      <c r="D188" s="4" t="s">
        <v>150</v>
      </c>
      <c r="E188" s="142">
        <f>VLOOKUP(D188,'IDHM (IBGE2022)'!$A$4:$N$402,14,FALSE)</f>
        <v>43743.99</v>
      </c>
      <c r="F188" s="90">
        <f>VLOOKUP(D188,'IDHM (IBGE2022)'!$A$4:$J$402,10,FALSE)</f>
        <v>0.67600000000000005</v>
      </c>
      <c r="G188" s="92">
        <f t="shared" si="5"/>
        <v>0.74819221769247812</v>
      </c>
      <c r="H188" s="9">
        <f>VLOOKUP(D188,'IPDM_renda  (IPARDES-PR)'!$A$4:$N$420,14,FALSE)</f>
        <v>0.47375418698726557</v>
      </c>
      <c r="I188" s="9">
        <f>VLOOKUP(D188,'IPDM_educação  (IPARDES-PR)'!$A$4:$N$420,14,FALSE)</f>
        <v>0.89851819050583881</v>
      </c>
      <c r="J188" s="9">
        <f>VLOOKUP(D188,'IPDM_saúde   (IPARDES-PR)'!$A$4:$N$466,14,FALSE)</f>
        <v>0.87230427558432966</v>
      </c>
      <c r="L188" s="10" t="str">
        <f t="shared" si="4"/>
        <v>Norte - A07</v>
      </c>
    </row>
    <row r="189" spans="1:12" x14ac:dyDescent="0.2">
      <c r="A189" s="5" t="s">
        <v>148</v>
      </c>
      <c r="B189" s="148" t="s">
        <v>419</v>
      </c>
      <c r="C189" s="145" t="s">
        <v>427</v>
      </c>
      <c r="D189" s="4" t="s">
        <v>151</v>
      </c>
      <c r="E189" s="142">
        <f>VLOOKUP(D189,'IDHM (IBGE2022)'!$A$4:$N$402,14,FALSE)</f>
        <v>62246.84</v>
      </c>
      <c r="F189" s="90">
        <f>VLOOKUP(D189,'IDHM (IBGE2022)'!$A$4:$J$402,10,FALSE)</f>
        <v>0.67</v>
      </c>
      <c r="G189" s="92">
        <f t="shared" si="5"/>
        <v>0.79674080991056329</v>
      </c>
      <c r="H189" s="9">
        <f>VLOOKUP(D189,'IPDM_renda  (IPARDES-PR)'!$A$4:$N$420,14,FALSE)</f>
        <v>0.48297051161183813</v>
      </c>
      <c r="I189" s="9">
        <f>VLOOKUP(D189,'IPDM_educação  (IPARDES-PR)'!$A$4:$N$420,14,FALSE)</f>
        <v>0.98067655818387989</v>
      </c>
      <c r="J189" s="9">
        <f>VLOOKUP(D189,'IPDM_saúde   (IPARDES-PR)'!$A$4:$N$466,14,FALSE)</f>
        <v>0.92657535993597173</v>
      </c>
      <c r="L189" s="10" t="str">
        <f t="shared" si="4"/>
        <v>Norte - A07</v>
      </c>
    </row>
    <row r="190" spans="1:12" x14ac:dyDescent="0.2">
      <c r="A190" s="5" t="s">
        <v>148</v>
      </c>
      <c r="B190" s="148" t="s">
        <v>419</v>
      </c>
      <c r="C190" s="145" t="s">
        <v>427</v>
      </c>
      <c r="D190" s="4" t="s">
        <v>152</v>
      </c>
      <c r="E190" s="142">
        <f>VLOOKUP(D190,'IDHM (IBGE2022)'!$A$4:$N$402,14,FALSE)</f>
        <v>38327.769999999997</v>
      </c>
      <c r="F190" s="90">
        <f>VLOOKUP(D190,'IDHM (IBGE2022)'!$A$4:$J$402,10,FALSE)</f>
        <v>0.71699999999999997</v>
      </c>
      <c r="G190" s="92">
        <f t="shared" si="5"/>
        <v>0.76168538387160589</v>
      </c>
      <c r="H190" s="9">
        <f>VLOOKUP(D190,'IPDM_renda  (IPARDES-PR)'!$A$4:$N$420,14,FALSE)</f>
        <v>0.41561940492067373</v>
      </c>
      <c r="I190" s="9">
        <f>VLOOKUP(D190,'IPDM_educação  (IPARDES-PR)'!$A$4:$N$420,14,FALSE)</f>
        <v>0.94568108119710315</v>
      </c>
      <c r="J190" s="9">
        <f>VLOOKUP(D190,'IPDM_saúde   (IPARDES-PR)'!$A$4:$N$466,14,FALSE)</f>
        <v>0.92375566549704058</v>
      </c>
      <c r="L190" s="10" t="str">
        <f t="shared" si="4"/>
        <v>Norte - A07</v>
      </c>
    </row>
    <row r="191" spans="1:12" x14ac:dyDescent="0.2">
      <c r="A191" s="5" t="s">
        <v>148</v>
      </c>
      <c r="B191" s="148" t="s">
        <v>419</v>
      </c>
      <c r="C191" s="145" t="s">
        <v>427</v>
      </c>
      <c r="D191" s="4" t="s">
        <v>153</v>
      </c>
      <c r="E191" s="142">
        <f>VLOOKUP(D191,'IDHM (IBGE2022)'!$A$4:$N$402,14,FALSE)</f>
        <v>36931.019999999997</v>
      </c>
      <c r="F191" s="90">
        <f>VLOOKUP(D191,'IDHM (IBGE2022)'!$A$4:$J$402,10,FALSE)</f>
        <v>0.72499999999999998</v>
      </c>
      <c r="G191" s="92">
        <f t="shared" si="5"/>
        <v>0.80737069176020693</v>
      </c>
      <c r="H191" s="9">
        <f>VLOOKUP(D191,'IPDM_renda  (IPARDES-PR)'!$A$4:$N$420,14,FALSE)</f>
        <v>0.52881881909377249</v>
      </c>
      <c r="I191" s="9">
        <f>VLOOKUP(D191,'IPDM_educação  (IPARDES-PR)'!$A$4:$N$420,14,FALSE)</f>
        <v>0.90227202042437071</v>
      </c>
      <c r="J191" s="9">
        <f>VLOOKUP(D191,'IPDM_saúde   (IPARDES-PR)'!$A$4:$N$466,14,FALSE)</f>
        <v>0.99102123576247747</v>
      </c>
      <c r="L191" s="10" t="str">
        <f t="shared" si="4"/>
        <v>Norte - A07</v>
      </c>
    </row>
    <row r="192" spans="1:12" x14ac:dyDescent="0.2">
      <c r="A192" s="5" t="s">
        <v>148</v>
      </c>
      <c r="B192" s="148" t="s">
        <v>419</v>
      </c>
      <c r="C192" s="145" t="s">
        <v>427</v>
      </c>
      <c r="D192" s="4" t="s">
        <v>154</v>
      </c>
      <c r="E192" s="142">
        <f>VLOOKUP(D192,'IDHM (IBGE2022)'!$A$4:$N$402,14,FALSE)</f>
        <v>65430.04</v>
      </c>
      <c r="F192" s="90">
        <f>VLOOKUP(D192,'IDHM (IBGE2022)'!$A$4:$J$402,10,FALSE)</f>
        <v>0.66600000000000004</v>
      </c>
      <c r="G192" s="92">
        <f t="shared" si="5"/>
        <v>0.7739679202745734</v>
      </c>
      <c r="H192" s="9">
        <f>VLOOKUP(D192,'IPDM_renda  (IPARDES-PR)'!$A$4:$N$420,14,FALSE)</f>
        <v>0.48820189119374241</v>
      </c>
      <c r="I192" s="9">
        <f>VLOOKUP(D192,'IPDM_educação  (IPARDES-PR)'!$A$4:$N$420,14,FALSE)</f>
        <v>0.8699306238595268</v>
      </c>
      <c r="J192" s="9">
        <f>VLOOKUP(D192,'IPDM_saúde   (IPARDES-PR)'!$A$4:$N$466,14,FALSE)</f>
        <v>0.96377124577045092</v>
      </c>
      <c r="L192" s="10" t="str">
        <f t="shared" si="4"/>
        <v>Norte - A07</v>
      </c>
    </row>
    <row r="193" spans="1:12" x14ac:dyDescent="0.2">
      <c r="A193" s="5" t="s">
        <v>148</v>
      </c>
      <c r="B193" s="148" t="s">
        <v>419</v>
      </c>
      <c r="C193" s="145" t="s">
        <v>427</v>
      </c>
      <c r="D193" s="4" t="s">
        <v>155</v>
      </c>
      <c r="E193" s="142">
        <f>VLOOKUP(D193,'IDHM (IBGE2022)'!$A$4:$N$402,14,FALSE)</f>
        <v>54234.99</v>
      </c>
      <c r="F193" s="90">
        <f>VLOOKUP(D193,'IDHM (IBGE2022)'!$A$4:$J$402,10,FALSE)</f>
        <v>0.71599999999999997</v>
      </c>
      <c r="G193" s="92">
        <f t="shared" si="5"/>
        <v>0.71724689610999681</v>
      </c>
      <c r="H193" s="9">
        <f>VLOOKUP(D193,'IPDM_renda  (IPARDES-PR)'!$A$4:$N$420,14,FALSE)</f>
        <v>0.45867810841797607</v>
      </c>
      <c r="I193" s="9">
        <f>VLOOKUP(D193,'IPDM_educação  (IPARDES-PR)'!$A$4:$N$420,14,FALSE)</f>
        <v>0.80575879820057028</v>
      </c>
      <c r="J193" s="9">
        <f>VLOOKUP(D193,'IPDM_saúde   (IPARDES-PR)'!$A$4:$N$466,14,FALSE)</f>
        <v>0.88730378171144419</v>
      </c>
      <c r="L193" s="10" t="str">
        <f t="shared" si="4"/>
        <v>Norte - A07</v>
      </c>
    </row>
    <row r="194" spans="1:12" x14ac:dyDescent="0.2">
      <c r="A194" s="5" t="s">
        <v>148</v>
      </c>
      <c r="B194" s="148" t="s">
        <v>419</v>
      </c>
      <c r="C194" s="145" t="s">
        <v>427</v>
      </c>
      <c r="D194" s="4" t="s">
        <v>156</v>
      </c>
      <c r="E194" s="142">
        <f>VLOOKUP(D194,'IDHM (IBGE2022)'!$A$4:$N$402,14,FALSE)</f>
        <v>32291.91</v>
      </c>
      <c r="F194" s="90">
        <f>VLOOKUP(D194,'IDHM (IBGE2022)'!$A$4:$J$402,10,FALSE)</f>
        <v>0.67500000000000004</v>
      </c>
      <c r="G194" s="92">
        <f t="shared" si="5"/>
        <v>0.73876714684099032</v>
      </c>
      <c r="H194" s="9">
        <f>VLOOKUP(D194,'IPDM_renda  (IPARDES-PR)'!$A$4:$N$420,14,FALSE)</f>
        <v>0.43802235875717721</v>
      </c>
      <c r="I194" s="9">
        <f>VLOOKUP(D194,'IPDM_educação  (IPARDES-PR)'!$A$4:$N$420,14,FALSE)</f>
        <v>0.93896576775028306</v>
      </c>
      <c r="J194" s="9">
        <f>VLOOKUP(D194,'IPDM_saúde   (IPARDES-PR)'!$A$4:$N$466,14,FALSE)</f>
        <v>0.83931331401551068</v>
      </c>
      <c r="L194" s="10" t="str">
        <f t="shared" si="4"/>
        <v>Norte - A07</v>
      </c>
    </row>
    <row r="195" spans="1:12" x14ac:dyDescent="0.2">
      <c r="A195" s="5" t="s">
        <v>148</v>
      </c>
      <c r="B195" s="148" t="s">
        <v>419</v>
      </c>
      <c r="C195" s="145" t="s">
        <v>427</v>
      </c>
      <c r="D195" s="4" t="s">
        <v>157</v>
      </c>
      <c r="E195" s="142">
        <f>VLOOKUP(D195,'IDHM (IBGE2022)'!$A$4:$N$402,14,FALSE)</f>
        <v>34910.339999999997</v>
      </c>
      <c r="F195" s="90">
        <f>VLOOKUP(D195,'IDHM (IBGE2022)'!$A$4:$J$402,10,FALSE)</f>
        <v>0.73</v>
      </c>
      <c r="G195" s="92">
        <f t="shared" si="5"/>
        <v>0.747149728902328</v>
      </c>
      <c r="H195" s="9">
        <f>VLOOKUP(D195,'IPDM_renda  (IPARDES-PR)'!$A$4:$N$420,14,FALSE)</f>
        <v>0.45684270762064821</v>
      </c>
      <c r="I195" s="9">
        <f>VLOOKUP(D195,'IPDM_educação  (IPARDES-PR)'!$A$4:$N$420,14,FALSE)</f>
        <v>0.9478560496858438</v>
      </c>
      <c r="J195" s="9">
        <f>VLOOKUP(D195,'IPDM_saúde   (IPARDES-PR)'!$A$4:$N$466,14,FALSE)</f>
        <v>0.83675042940049182</v>
      </c>
      <c r="L195" s="10" t="str">
        <f t="shared" si="4"/>
        <v>Norte - A07</v>
      </c>
    </row>
    <row r="196" spans="1:12" x14ac:dyDescent="0.2">
      <c r="A196" s="5" t="s">
        <v>148</v>
      </c>
      <c r="B196" s="148" t="s">
        <v>419</v>
      </c>
      <c r="C196" s="145" t="s">
        <v>427</v>
      </c>
      <c r="D196" s="4" t="s">
        <v>158</v>
      </c>
      <c r="E196" s="142">
        <f>VLOOKUP(D196,'IDHM (IBGE2022)'!$A$4:$N$402,14,FALSE)</f>
        <v>35358.97</v>
      </c>
      <c r="F196" s="90">
        <f>VLOOKUP(D196,'IDHM (IBGE2022)'!$A$4:$J$402,10,FALSE)</f>
        <v>0.68899999999999995</v>
      </c>
      <c r="G196" s="92">
        <f t="shared" si="5"/>
        <v>0.67465077051777111</v>
      </c>
      <c r="H196" s="9">
        <f>VLOOKUP(D196,'IPDM_renda  (IPARDES-PR)'!$A$4:$N$420,14,FALSE)</f>
        <v>0.46918945566493248</v>
      </c>
      <c r="I196" s="9">
        <f>VLOOKUP(D196,'IPDM_educação  (IPARDES-PR)'!$A$4:$N$420,14,FALSE)</f>
        <v>0.79098566275772275</v>
      </c>
      <c r="J196" s="9">
        <f>VLOOKUP(D196,'IPDM_saúde   (IPARDES-PR)'!$A$4:$N$466,14,FALSE)</f>
        <v>0.76377719313065817</v>
      </c>
      <c r="L196" s="10" t="str">
        <f t="shared" ref="L196:L259" si="6">B196&amp;" - "&amp;C196</f>
        <v>Norte - A07</v>
      </c>
    </row>
    <row r="197" spans="1:12" x14ac:dyDescent="0.2">
      <c r="A197" s="5" t="s">
        <v>148</v>
      </c>
      <c r="B197" s="148" t="s">
        <v>419</v>
      </c>
      <c r="C197" s="145" t="s">
        <v>427</v>
      </c>
      <c r="D197" s="4" t="s">
        <v>159</v>
      </c>
      <c r="E197" s="142">
        <f>VLOOKUP(D197,'IDHM (IBGE2022)'!$A$4:$N$402,14,FALSE)</f>
        <v>43918.879999999997</v>
      </c>
      <c r="F197" s="90">
        <f>VLOOKUP(D197,'IDHM (IBGE2022)'!$A$4:$J$402,10,FALSE)</f>
        <v>0.72099999999999997</v>
      </c>
      <c r="G197" s="92">
        <f t="shared" ref="G197:G260" si="7">AVERAGE(H197:J197)</f>
        <v>0.76196962874763086</v>
      </c>
      <c r="H197" s="9">
        <f>VLOOKUP(D197,'IPDM_renda  (IPARDES-PR)'!$A$4:$N$420,14,FALSE)</f>
        <v>0.41267406151385549</v>
      </c>
      <c r="I197" s="9">
        <f>VLOOKUP(D197,'IPDM_educação  (IPARDES-PR)'!$A$4:$N$420,14,FALSE)</f>
        <v>0.95521512254230945</v>
      </c>
      <c r="J197" s="9">
        <f>VLOOKUP(D197,'IPDM_saúde   (IPARDES-PR)'!$A$4:$N$466,14,FALSE)</f>
        <v>0.91801970218672757</v>
      </c>
      <c r="L197" s="10" t="str">
        <f t="shared" si="6"/>
        <v>Norte - A07</v>
      </c>
    </row>
    <row r="198" spans="1:12" x14ac:dyDescent="0.2">
      <c r="A198" s="5" t="s">
        <v>148</v>
      </c>
      <c r="B198" s="148" t="s">
        <v>419</v>
      </c>
      <c r="C198" s="145" t="s">
        <v>427</v>
      </c>
      <c r="D198" s="4" t="s">
        <v>160</v>
      </c>
      <c r="E198" s="142">
        <f>VLOOKUP(D198,'IDHM (IBGE2022)'!$A$4:$N$402,14,FALSE)</f>
        <v>37287.160000000003</v>
      </c>
      <c r="F198" s="90">
        <f>VLOOKUP(D198,'IDHM (IBGE2022)'!$A$4:$J$402,10,FALSE)</f>
        <v>0.68</v>
      </c>
      <c r="G198" s="92">
        <f t="shared" si="7"/>
        <v>0.74436213760088077</v>
      </c>
      <c r="H198" s="9">
        <f>VLOOKUP(D198,'IPDM_renda  (IPARDES-PR)'!$A$4:$N$420,14,FALSE)</f>
        <v>0.46136228351529135</v>
      </c>
      <c r="I198" s="9">
        <f>VLOOKUP(D198,'IPDM_educação  (IPARDES-PR)'!$A$4:$N$420,14,FALSE)</f>
        <v>0.97019062948778612</v>
      </c>
      <c r="J198" s="9">
        <f>VLOOKUP(D198,'IPDM_saúde   (IPARDES-PR)'!$A$4:$N$466,14,FALSE)</f>
        <v>0.80153349979956501</v>
      </c>
      <c r="L198" s="10" t="str">
        <f t="shared" si="6"/>
        <v>Norte - A07</v>
      </c>
    </row>
    <row r="199" spans="1:12" x14ac:dyDescent="0.2">
      <c r="A199" s="5" t="s">
        <v>148</v>
      </c>
      <c r="B199" s="148" t="s">
        <v>419</v>
      </c>
      <c r="C199" s="145" t="s">
        <v>427</v>
      </c>
      <c r="D199" s="4" t="s">
        <v>161</v>
      </c>
      <c r="E199" s="142">
        <f>VLOOKUP(D199,'IDHM (IBGE2022)'!$A$4:$N$402,14,FALSE)</f>
        <v>30231.87</v>
      </c>
      <c r="F199" s="90">
        <f>VLOOKUP(D199,'IDHM (IBGE2022)'!$A$4:$J$402,10,FALSE)</f>
        <v>0.69</v>
      </c>
      <c r="G199" s="92">
        <f t="shared" si="7"/>
        <v>0.75849301380671585</v>
      </c>
      <c r="H199" s="9">
        <f>VLOOKUP(D199,'IPDM_renda  (IPARDES-PR)'!$A$4:$N$420,14,FALSE)</f>
        <v>0.39517895074236259</v>
      </c>
      <c r="I199" s="9">
        <f>VLOOKUP(D199,'IPDM_educação  (IPARDES-PR)'!$A$4:$N$420,14,FALSE)</f>
        <v>0.9300472572400299</v>
      </c>
      <c r="J199" s="9">
        <f>VLOOKUP(D199,'IPDM_saúde   (IPARDES-PR)'!$A$4:$N$466,14,FALSE)</f>
        <v>0.95025283343775513</v>
      </c>
      <c r="L199" s="10" t="str">
        <f t="shared" si="6"/>
        <v>Norte - A07</v>
      </c>
    </row>
    <row r="200" spans="1:12" x14ac:dyDescent="0.2">
      <c r="A200" s="5" t="s">
        <v>148</v>
      </c>
      <c r="B200" s="148" t="s">
        <v>419</v>
      </c>
      <c r="C200" s="145" t="s">
        <v>427</v>
      </c>
      <c r="D200" s="4" t="s">
        <v>74</v>
      </c>
      <c r="E200" s="142">
        <f>VLOOKUP(D200,'IDHM (IBGE2022)'!$A$4:$N$402,14,FALSE)</f>
        <v>46081.2</v>
      </c>
      <c r="F200" s="90">
        <f>VLOOKUP(D200,'IDHM (IBGE2022)'!$A$4:$J$402,10,FALSE)</f>
        <v>0.71599999999999997</v>
      </c>
      <c r="G200" s="92">
        <f t="shared" si="7"/>
        <v>0.66894323685091683</v>
      </c>
      <c r="H200" s="9">
        <f>VLOOKUP(D200,'IPDM_renda  (IPARDES-PR)'!$A$4:$N$420,14,FALSE)</f>
        <v>0.5119697978837503</v>
      </c>
      <c r="I200" s="9">
        <f>VLOOKUP(D200,'IPDM_educação  (IPARDES-PR)'!$A$4:$N$420,14,FALSE)</f>
        <v>0.69870253646071445</v>
      </c>
      <c r="J200" s="9">
        <f>VLOOKUP(D200,'IPDM_saúde   (IPARDES-PR)'!$A$4:$N$466,14,FALSE)</f>
        <v>0.79615737620828597</v>
      </c>
      <c r="L200" s="10" t="str">
        <f t="shared" si="6"/>
        <v>Norte - A07</v>
      </c>
    </row>
    <row r="201" spans="1:12" x14ac:dyDescent="0.2">
      <c r="A201" s="5" t="s">
        <v>148</v>
      </c>
      <c r="B201" s="148" t="s">
        <v>419</v>
      </c>
      <c r="C201" s="145" t="s">
        <v>427</v>
      </c>
      <c r="D201" s="4" t="s">
        <v>162</v>
      </c>
      <c r="E201" s="142">
        <f>VLOOKUP(D201,'IDHM (IBGE2022)'!$A$4:$N$402,14,FALSE)</f>
        <v>39975.22</v>
      </c>
      <c r="F201" s="90">
        <f>VLOOKUP(D201,'IDHM (IBGE2022)'!$A$4:$J$402,10,FALSE)</f>
        <v>0.71</v>
      </c>
      <c r="G201" s="92">
        <f t="shared" si="7"/>
        <v>0.65798958713632638</v>
      </c>
      <c r="H201" s="9">
        <f>VLOOKUP(D201,'IPDM_renda  (IPARDES-PR)'!$A$4:$N$420,14,FALSE)</f>
        <v>0.4532489093304779</v>
      </c>
      <c r="I201" s="9">
        <f>VLOOKUP(D201,'IPDM_educação  (IPARDES-PR)'!$A$4:$N$420,14,FALSE)</f>
        <v>0.90039702763661389</v>
      </c>
      <c r="J201" s="9">
        <f>VLOOKUP(D201,'IPDM_saúde   (IPARDES-PR)'!$A$4:$N$466,14,FALSE)</f>
        <v>0.62032282444188747</v>
      </c>
      <c r="L201" s="10" t="str">
        <f t="shared" si="6"/>
        <v>Norte - A07</v>
      </c>
    </row>
    <row r="202" spans="1:12" x14ac:dyDescent="0.2">
      <c r="A202" s="5" t="s">
        <v>148</v>
      </c>
      <c r="B202" s="148" t="s">
        <v>419</v>
      </c>
      <c r="C202" s="145" t="s">
        <v>427</v>
      </c>
      <c r="D202" s="4" t="s">
        <v>163</v>
      </c>
      <c r="E202" s="142">
        <f>VLOOKUP(D202,'IDHM (IBGE2022)'!$A$4:$N$402,14,FALSE)</f>
        <v>38494.18</v>
      </c>
      <c r="F202" s="90">
        <f>VLOOKUP(D202,'IDHM (IBGE2022)'!$A$4:$J$402,10,FALSE)</f>
        <v>0.69299999999999995</v>
      </c>
      <c r="G202" s="92">
        <f t="shared" si="7"/>
        <v>0.73972919546853599</v>
      </c>
      <c r="H202" s="9">
        <f>VLOOKUP(D202,'IPDM_renda  (IPARDES-PR)'!$A$4:$N$420,14,FALSE)</f>
        <v>0.40597097711693647</v>
      </c>
      <c r="I202" s="9">
        <f>VLOOKUP(D202,'IPDM_educação  (IPARDES-PR)'!$A$4:$N$420,14,FALSE)</f>
        <v>0.95306872643611618</v>
      </c>
      <c r="J202" s="9">
        <f>VLOOKUP(D202,'IPDM_saúde   (IPARDES-PR)'!$A$4:$N$466,14,FALSE)</f>
        <v>0.86014788285255539</v>
      </c>
      <c r="L202" s="10" t="str">
        <f t="shared" si="6"/>
        <v>Norte - A07</v>
      </c>
    </row>
    <row r="203" spans="1:12" x14ac:dyDescent="0.2">
      <c r="A203" s="5" t="s">
        <v>148</v>
      </c>
      <c r="B203" s="148" t="s">
        <v>419</v>
      </c>
      <c r="C203" s="145" t="s">
        <v>427</v>
      </c>
      <c r="D203" s="4" t="s">
        <v>164</v>
      </c>
      <c r="E203" s="142">
        <f>VLOOKUP(D203,'IDHM (IBGE2022)'!$A$4:$N$402,14,FALSE)</f>
        <v>52135.59</v>
      </c>
      <c r="F203" s="90">
        <f>VLOOKUP(D203,'IDHM (IBGE2022)'!$A$4:$J$402,10,FALSE)</f>
        <v>0.71699999999999997</v>
      </c>
      <c r="G203" s="92">
        <f t="shared" si="7"/>
        <v>0.74820886505354078</v>
      </c>
      <c r="H203" s="9">
        <f>VLOOKUP(D203,'IPDM_renda  (IPARDES-PR)'!$A$4:$N$420,14,FALSE)</f>
        <v>0.49225021365444205</v>
      </c>
      <c r="I203" s="9">
        <f>VLOOKUP(D203,'IPDM_educação  (IPARDES-PR)'!$A$4:$N$420,14,FALSE)</f>
        <v>0.93533286678953786</v>
      </c>
      <c r="J203" s="9">
        <f>VLOOKUP(D203,'IPDM_saúde   (IPARDES-PR)'!$A$4:$N$466,14,FALSE)</f>
        <v>0.8170435147166426</v>
      </c>
      <c r="L203" s="10" t="str">
        <f t="shared" si="6"/>
        <v>Norte - A07</v>
      </c>
    </row>
    <row r="204" spans="1:12" x14ac:dyDescent="0.2">
      <c r="A204" s="5" t="s">
        <v>165</v>
      </c>
      <c r="B204" s="148" t="s">
        <v>419</v>
      </c>
      <c r="C204" s="7" t="s">
        <v>428</v>
      </c>
      <c r="D204" s="4" t="s">
        <v>34</v>
      </c>
      <c r="E204" s="142">
        <f>VLOOKUP(D204,'IDHM (IBGE2022)'!$A$4:$N$402,14,FALSE)</f>
        <v>63347.91</v>
      </c>
      <c r="F204" s="90">
        <f>VLOOKUP(D204,'IDHM (IBGE2022)'!$A$4:$J$402,10,FALSE)</f>
        <v>0.72299999999999998</v>
      </c>
      <c r="G204" s="92">
        <f t="shared" si="7"/>
        <v>0.79147991679128016</v>
      </c>
      <c r="H204" s="9">
        <f>VLOOKUP(D204,'IPDM_renda  (IPARDES-PR)'!$A$4:$N$420,14,FALSE)</f>
        <v>0.62716884126243233</v>
      </c>
      <c r="I204" s="9">
        <f>VLOOKUP(D204,'IPDM_educação  (IPARDES-PR)'!$A$4:$N$420,14,FALSE)</f>
        <v>0.93214933657938148</v>
      </c>
      <c r="J204" s="9">
        <f>VLOOKUP(D204,'IPDM_saúde   (IPARDES-PR)'!$A$4:$N$466,14,FALSE)</f>
        <v>0.81512157253202655</v>
      </c>
      <c r="L204" s="10" t="str">
        <f t="shared" si="6"/>
        <v>Norte - A08</v>
      </c>
    </row>
    <row r="205" spans="1:12" x14ac:dyDescent="0.2">
      <c r="A205" s="5" t="s">
        <v>165</v>
      </c>
      <c r="B205" s="148" t="s">
        <v>419</v>
      </c>
      <c r="C205" s="7" t="s">
        <v>428</v>
      </c>
      <c r="D205" s="4" t="s">
        <v>133</v>
      </c>
      <c r="E205" s="142">
        <f>VLOOKUP(D205,'IDHM (IBGE2022)'!$A$4:$N$402,14,FALSE)</f>
        <v>48767.75</v>
      </c>
      <c r="F205" s="90">
        <f>VLOOKUP(D205,'IDHM (IBGE2022)'!$A$4:$J$402,10,FALSE)</f>
        <v>0.70699999999999996</v>
      </c>
      <c r="G205" s="92">
        <f t="shared" si="7"/>
        <v>0.71337516732988393</v>
      </c>
      <c r="H205" s="9">
        <f>VLOOKUP(D205,'IPDM_renda  (IPARDES-PR)'!$A$4:$N$420,14,FALSE)</f>
        <v>0.42848465213863329</v>
      </c>
      <c r="I205" s="9">
        <f>VLOOKUP(D205,'IPDM_educação  (IPARDES-PR)'!$A$4:$N$420,14,FALSE)</f>
        <v>0.91324770838417457</v>
      </c>
      <c r="J205" s="9">
        <f>VLOOKUP(D205,'IPDM_saúde   (IPARDES-PR)'!$A$4:$N$466,14,FALSE)</f>
        <v>0.79839314146684381</v>
      </c>
      <c r="L205" s="10" t="str">
        <f t="shared" si="6"/>
        <v>Norte - A08</v>
      </c>
    </row>
    <row r="206" spans="1:12" x14ac:dyDescent="0.2">
      <c r="A206" s="5" t="s">
        <v>165</v>
      </c>
      <c r="B206" s="148" t="s">
        <v>419</v>
      </c>
      <c r="C206" s="7" t="s">
        <v>428</v>
      </c>
      <c r="D206" s="4" t="s">
        <v>47</v>
      </c>
      <c r="E206" s="142">
        <f>VLOOKUP(D206,'IDHM (IBGE2022)'!$A$4:$N$402,14,FALSE)</f>
        <v>24397.599999999999</v>
      </c>
      <c r="F206" s="90">
        <f>VLOOKUP(D206,'IDHM (IBGE2022)'!$A$4:$J$402,10,FALSE)</f>
        <v>0.65600000000000003</v>
      </c>
      <c r="G206" s="92">
        <f t="shared" si="7"/>
        <v>0.70085411639745399</v>
      </c>
      <c r="H206" s="9">
        <f>VLOOKUP(D206,'IPDM_renda  (IPARDES-PR)'!$A$4:$N$420,14,FALSE)</f>
        <v>0.41467758693279094</v>
      </c>
      <c r="I206" s="9">
        <f>VLOOKUP(D206,'IPDM_educação  (IPARDES-PR)'!$A$4:$N$420,14,FALSE)</f>
        <v>0.83335022701027894</v>
      </c>
      <c r="J206" s="9">
        <f>VLOOKUP(D206,'IPDM_saúde   (IPARDES-PR)'!$A$4:$N$466,14,FALSE)</f>
        <v>0.85453453524929224</v>
      </c>
      <c r="L206" s="10" t="str">
        <f t="shared" si="6"/>
        <v>Norte - A08</v>
      </c>
    </row>
    <row r="207" spans="1:12" x14ac:dyDescent="0.2">
      <c r="A207" s="5" t="s">
        <v>165</v>
      </c>
      <c r="B207" s="148" t="s">
        <v>419</v>
      </c>
      <c r="C207" s="7" t="s">
        <v>428</v>
      </c>
      <c r="D207" s="4" t="s">
        <v>166</v>
      </c>
      <c r="E207" s="142">
        <f>VLOOKUP(D207,'IDHM (IBGE2022)'!$A$4:$N$402,14,FALSE)</f>
        <v>23775.93</v>
      </c>
      <c r="F207" s="90">
        <f>VLOOKUP(D207,'IDHM (IBGE2022)'!$A$4:$J$402,10,FALSE)</f>
        <v>0.67700000000000005</v>
      </c>
      <c r="G207" s="92">
        <f t="shared" si="7"/>
        <v>0.73702142818771799</v>
      </c>
      <c r="H207" s="9">
        <f>VLOOKUP(D207,'IPDM_renda  (IPARDES-PR)'!$A$4:$N$420,14,FALSE)</f>
        <v>0.44705557225626419</v>
      </c>
      <c r="I207" s="9">
        <f>VLOOKUP(D207,'IPDM_educação  (IPARDES-PR)'!$A$4:$N$420,14,FALSE)</f>
        <v>0.89344214261393351</v>
      </c>
      <c r="J207" s="9">
        <f>VLOOKUP(D207,'IPDM_saúde   (IPARDES-PR)'!$A$4:$N$466,14,FALSE)</f>
        <v>0.87056656969295598</v>
      </c>
      <c r="L207" s="10" t="str">
        <f t="shared" si="6"/>
        <v>Norte - A08</v>
      </c>
    </row>
    <row r="208" spans="1:12" x14ac:dyDescent="0.2">
      <c r="A208" s="5" t="s">
        <v>165</v>
      </c>
      <c r="B208" s="148" t="s">
        <v>419</v>
      </c>
      <c r="C208" s="7" t="s">
        <v>428</v>
      </c>
      <c r="D208" s="4" t="s">
        <v>134</v>
      </c>
      <c r="E208" s="142">
        <f>VLOOKUP(D208,'IDHM (IBGE2022)'!$A$4:$N$402,14,FALSE)</f>
        <v>42887.86</v>
      </c>
      <c r="F208" s="90">
        <f>VLOOKUP(D208,'IDHM (IBGE2022)'!$A$4:$J$402,10,FALSE)</f>
        <v>0.71</v>
      </c>
      <c r="G208" s="92">
        <f t="shared" si="7"/>
        <v>0.75249749101924135</v>
      </c>
      <c r="H208" s="9">
        <f>VLOOKUP(D208,'IPDM_renda  (IPARDES-PR)'!$A$4:$N$420,14,FALSE)</f>
        <v>0.48266689550387565</v>
      </c>
      <c r="I208" s="9">
        <f>VLOOKUP(D208,'IPDM_educação  (IPARDES-PR)'!$A$4:$N$420,14,FALSE)</f>
        <v>0.91122345350878675</v>
      </c>
      <c r="J208" s="9">
        <f>VLOOKUP(D208,'IPDM_saúde   (IPARDES-PR)'!$A$4:$N$466,14,FALSE)</f>
        <v>0.86360212404506187</v>
      </c>
      <c r="L208" s="10" t="str">
        <f t="shared" si="6"/>
        <v>Norte - A08</v>
      </c>
    </row>
    <row r="209" spans="1:12" x14ac:dyDescent="0.2">
      <c r="A209" s="5" t="s">
        <v>165</v>
      </c>
      <c r="B209" s="148" t="s">
        <v>419</v>
      </c>
      <c r="C209" s="7" t="s">
        <v>428</v>
      </c>
      <c r="D209" s="4" t="s">
        <v>167</v>
      </c>
      <c r="E209" s="142">
        <f>VLOOKUP(D209,'IDHM (IBGE2022)'!$A$4:$N$402,14,FALSE)</f>
        <v>28851.21</v>
      </c>
      <c r="F209" s="90">
        <f>VLOOKUP(D209,'IDHM (IBGE2022)'!$A$4:$J$402,10,FALSE)</f>
        <v>0.71799999999999997</v>
      </c>
      <c r="G209" s="92">
        <f t="shared" si="7"/>
        <v>0.70607385198445638</v>
      </c>
      <c r="H209" s="9">
        <f>VLOOKUP(D209,'IPDM_renda  (IPARDES-PR)'!$A$4:$N$420,14,FALSE)</f>
        <v>0.38690984751269974</v>
      </c>
      <c r="I209" s="9">
        <f>VLOOKUP(D209,'IPDM_educação  (IPARDES-PR)'!$A$4:$N$420,14,FALSE)</f>
        <v>0.88697867174661815</v>
      </c>
      <c r="J209" s="9">
        <f>VLOOKUP(D209,'IPDM_saúde   (IPARDES-PR)'!$A$4:$N$466,14,FALSE)</f>
        <v>0.84433303669405146</v>
      </c>
      <c r="L209" s="10" t="str">
        <f t="shared" si="6"/>
        <v>Norte - A08</v>
      </c>
    </row>
    <row r="210" spans="1:12" x14ac:dyDescent="0.2">
      <c r="A210" s="5" t="s">
        <v>165</v>
      </c>
      <c r="B210" s="148" t="s">
        <v>419</v>
      </c>
      <c r="C210" s="7" t="s">
        <v>428</v>
      </c>
      <c r="D210" s="4" t="s">
        <v>168</v>
      </c>
      <c r="E210" s="142">
        <f>VLOOKUP(D210,'IDHM (IBGE2022)'!$A$4:$N$402,14,FALSE)</f>
        <v>34179.339999999997</v>
      </c>
      <c r="F210" s="90">
        <f>VLOOKUP(D210,'IDHM (IBGE2022)'!$A$4:$J$402,10,FALSE)</f>
        <v>0.69599999999999995</v>
      </c>
      <c r="G210" s="92">
        <f t="shared" si="7"/>
        <v>0.59702436622683919</v>
      </c>
      <c r="H210" s="9">
        <f>VLOOKUP(D210,'IPDM_renda  (IPARDES-PR)'!$A$4:$N$420,14,FALSE)</f>
        <v>0.42419309622658236</v>
      </c>
      <c r="I210" s="9">
        <f>VLOOKUP(D210,'IPDM_educação  (IPARDES-PR)'!$A$4:$N$420,14,FALSE)</f>
        <v>0.65409773144389649</v>
      </c>
      <c r="J210" s="9">
        <f>VLOOKUP(D210,'IPDM_saúde   (IPARDES-PR)'!$A$4:$N$466,14,FALSE)</f>
        <v>0.71278227101003866</v>
      </c>
      <c r="L210" s="10" t="str">
        <f t="shared" si="6"/>
        <v>Norte - A08</v>
      </c>
    </row>
    <row r="211" spans="1:12" x14ac:dyDescent="0.2">
      <c r="A211" s="5" t="s">
        <v>165</v>
      </c>
      <c r="B211" s="148" t="s">
        <v>419</v>
      </c>
      <c r="C211" s="7" t="s">
        <v>428</v>
      </c>
      <c r="D211" s="4" t="s">
        <v>169</v>
      </c>
      <c r="E211" s="142">
        <f>VLOOKUP(D211,'IDHM (IBGE2022)'!$A$4:$N$402,14,FALSE)</f>
        <v>38365.93</v>
      </c>
      <c r="F211" s="90">
        <f>VLOOKUP(D211,'IDHM (IBGE2022)'!$A$4:$J$402,10,FALSE)</f>
        <v>0.69699999999999995</v>
      </c>
      <c r="G211" s="92">
        <f t="shared" si="7"/>
        <v>0.70782612955540136</v>
      </c>
      <c r="H211" s="9">
        <f>VLOOKUP(D211,'IPDM_renda  (IPARDES-PR)'!$A$4:$N$420,14,FALSE)</f>
        <v>0.27263334349362056</v>
      </c>
      <c r="I211" s="9">
        <f>VLOOKUP(D211,'IPDM_educação  (IPARDES-PR)'!$A$4:$N$420,14,FALSE)</f>
        <v>0.90780953160989886</v>
      </c>
      <c r="J211" s="9">
        <f>VLOOKUP(D211,'IPDM_saúde   (IPARDES-PR)'!$A$4:$N$466,14,FALSE)</f>
        <v>0.94303551356268456</v>
      </c>
      <c r="L211" s="10" t="str">
        <f t="shared" si="6"/>
        <v>Norte - A08</v>
      </c>
    </row>
    <row r="212" spans="1:12" x14ac:dyDescent="0.2">
      <c r="A212" s="5" t="s">
        <v>165</v>
      </c>
      <c r="B212" s="148" t="s">
        <v>419</v>
      </c>
      <c r="C212" s="7" t="s">
        <v>428</v>
      </c>
      <c r="D212" s="4" t="s">
        <v>127</v>
      </c>
      <c r="E212" s="142">
        <f>VLOOKUP(D212,'IDHM (IBGE2022)'!$A$4:$N$402,14,FALSE)</f>
        <v>27337.32</v>
      </c>
      <c r="F212" s="90">
        <f>VLOOKUP(D212,'IDHM (IBGE2022)'!$A$4:$J$402,10,FALSE)</f>
        <v>0.65500000000000003</v>
      </c>
      <c r="G212" s="92">
        <f t="shared" si="7"/>
        <v>0.74726222122199315</v>
      </c>
      <c r="H212" s="9">
        <f>VLOOKUP(D212,'IPDM_renda  (IPARDES-PR)'!$A$4:$N$420,14,FALSE)</f>
        <v>0.44295834598227929</v>
      </c>
      <c r="I212" s="9">
        <f>VLOOKUP(D212,'IPDM_educação  (IPARDES-PR)'!$A$4:$N$420,14,FALSE)</f>
        <v>0.88835404351438174</v>
      </c>
      <c r="J212" s="9">
        <f>VLOOKUP(D212,'IPDM_saúde   (IPARDES-PR)'!$A$4:$N$466,14,FALSE)</f>
        <v>0.91047427416931825</v>
      </c>
      <c r="L212" s="10" t="str">
        <f t="shared" si="6"/>
        <v>Norte - A08</v>
      </c>
    </row>
    <row r="213" spans="1:12" x14ac:dyDescent="0.2">
      <c r="A213" s="5" t="s">
        <v>165</v>
      </c>
      <c r="B213" s="148" t="s">
        <v>419</v>
      </c>
      <c r="C213" s="7" t="s">
        <v>428</v>
      </c>
      <c r="D213" s="4" t="s">
        <v>52</v>
      </c>
      <c r="E213" s="142">
        <f>VLOOKUP(D213,'IDHM (IBGE2022)'!$A$4:$N$402,14,FALSE)</f>
        <v>85411.18</v>
      </c>
      <c r="F213" s="90">
        <f>VLOOKUP(D213,'IDHM (IBGE2022)'!$A$4:$J$402,10,FALSE)</f>
        <v>0.73399999999999999</v>
      </c>
      <c r="G213" s="92">
        <f t="shared" si="7"/>
        <v>0.81189028798199558</v>
      </c>
      <c r="H213" s="9">
        <f>VLOOKUP(D213,'IPDM_renda  (IPARDES-PR)'!$A$4:$N$420,14,FALSE)</f>
        <v>0.63970115406192207</v>
      </c>
      <c r="I213" s="9">
        <f>VLOOKUP(D213,'IPDM_educação  (IPARDES-PR)'!$A$4:$N$420,14,FALSE)</f>
        <v>0.91759275586457067</v>
      </c>
      <c r="J213" s="9">
        <f>VLOOKUP(D213,'IPDM_saúde   (IPARDES-PR)'!$A$4:$N$466,14,FALSE)</f>
        <v>0.87837695401949389</v>
      </c>
      <c r="L213" s="10" t="str">
        <f t="shared" si="6"/>
        <v>Norte - A08</v>
      </c>
    </row>
    <row r="214" spans="1:12" x14ac:dyDescent="0.2">
      <c r="A214" s="5" t="s">
        <v>165</v>
      </c>
      <c r="B214" s="148" t="s">
        <v>419</v>
      </c>
      <c r="C214" s="7" t="s">
        <v>428</v>
      </c>
      <c r="D214" s="4" t="s">
        <v>170</v>
      </c>
      <c r="E214" s="142">
        <f>VLOOKUP(D214,'IDHM (IBGE2022)'!$A$4:$N$402,14,FALSE)</f>
        <v>41593.230000000003</v>
      </c>
      <c r="F214" s="90">
        <f>VLOOKUP(D214,'IDHM (IBGE2022)'!$A$4:$J$402,10,FALSE)</f>
        <v>0.69899999999999995</v>
      </c>
      <c r="G214" s="92">
        <f t="shared" si="7"/>
        <v>0.74608041206231457</v>
      </c>
      <c r="H214" s="9">
        <f>VLOOKUP(D214,'IPDM_renda  (IPARDES-PR)'!$A$4:$N$420,14,FALSE)</f>
        <v>0.42893082538573923</v>
      </c>
      <c r="I214" s="9">
        <f>VLOOKUP(D214,'IPDM_educação  (IPARDES-PR)'!$A$4:$N$420,14,FALSE)</f>
        <v>0.88420043595179187</v>
      </c>
      <c r="J214" s="9">
        <f>VLOOKUP(D214,'IPDM_saúde   (IPARDES-PR)'!$A$4:$N$466,14,FALSE)</f>
        <v>0.92510997484941271</v>
      </c>
      <c r="L214" s="10" t="str">
        <f t="shared" si="6"/>
        <v>Norte - A08</v>
      </c>
    </row>
    <row r="215" spans="1:12" x14ac:dyDescent="0.2">
      <c r="A215" s="5" t="s">
        <v>165</v>
      </c>
      <c r="B215" s="148" t="s">
        <v>419</v>
      </c>
      <c r="C215" s="7" t="s">
        <v>428</v>
      </c>
      <c r="D215" s="4" t="s">
        <v>40</v>
      </c>
      <c r="E215" s="142">
        <f>VLOOKUP(D215,'IDHM (IBGE2022)'!$A$4:$N$402,14,FALSE)</f>
        <v>39126.519999999997</v>
      </c>
      <c r="F215" s="90">
        <f>VLOOKUP(D215,'IDHM (IBGE2022)'!$A$4:$J$402,10,FALSE)</f>
        <v>0.65</v>
      </c>
      <c r="G215" s="92">
        <f t="shared" si="7"/>
        <v>0.69553382421877219</v>
      </c>
      <c r="H215" s="9">
        <f>VLOOKUP(D215,'IPDM_renda  (IPARDES-PR)'!$A$4:$N$420,14,FALSE)</f>
        <v>0.51451757893850025</v>
      </c>
      <c r="I215" s="9">
        <f>VLOOKUP(D215,'IPDM_educação  (IPARDES-PR)'!$A$4:$N$420,14,FALSE)</f>
        <v>0.8068162441922424</v>
      </c>
      <c r="J215" s="9">
        <f>VLOOKUP(D215,'IPDM_saúde   (IPARDES-PR)'!$A$4:$N$466,14,FALSE)</f>
        <v>0.7652676495255738</v>
      </c>
      <c r="L215" s="10" t="str">
        <f t="shared" si="6"/>
        <v>Norte - A08</v>
      </c>
    </row>
    <row r="216" spans="1:12" x14ac:dyDescent="0.2">
      <c r="A216" s="5" t="s">
        <v>171</v>
      </c>
      <c r="B216" s="148" t="s">
        <v>419</v>
      </c>
      <c r="C216" s="145" t="s">
        <v>429</v>
      </c>
      <c r="D216" s="4" t="s">
        <v>131</v>
      </c>
      <c r="E216" s="142">
        <f>VLOOKUP(D216,'IDHM (IBGE2022)'!$A$4:$N$402,14,FALSE)</f>
        <v>41039.39</v>
      </c>
      <c r="F216" s="90">
        <f>VLOOKUP(D216,'IDHM (IBGE2022)'!$A$4:$J$402,10,FALSE)</f>
        <v>0.68700000000000006</v>
      </c>
      <c r="G216" s="92">
        <f t="shared" si="7"/>
        <v>0.75557039609927878</v>
      </c>
      <c r="H216" s="9">
        <f>VLOOKUP(D216,'IPDM_renda  (IPARDES-PR)'!$A$4:$N$420,14,FALSE)</f>
        <v>0.46624829824730585</v>
      </c>
      <c r="I216" s="9">
        <f>VLOOKUP(D216,'IPDM_educação  (IPARDES-PR)'!$A$4:$N$420,14,FALSE)</f>
        <v>0.84839757010865779</v>
      </c>
      <c r="J216" s="9">
        <f>VLOOKUP(D216,'IPDM_saúde   (IPARDES-PR)'!$A$4:$N$466,14,FALSE)</f>
        <v>0.95206531994187271</v>
      </c>
      <c r="L216" s="10" t="str">
        <f t="shared" si="6"/>
        <v>Norte - A09</v>
      </c>
    </row>
    <row r="217" spans="1:12" x14ac:dyDescent="0.2">
      <c r="A217" s="5" t="s">
        <v>171</v>
      </c>
      <c r="B217" s="148" t="s">
        <v>419</v>
      </c>
      <c r="C217" s="145" t="s">
        <v>429</v>
      </c>
      <c r="D217" s="4" t="s">
        <v>142</v>
      </c>
      <c r="E217" s="142">
        <f>VLOOKUP(D217,'IDHM (IBGE2022)'!$A$4:$N$402,14,FALSE)</f>
        <v>34061.74</v>
      </c>
      <c r="F217" s="90">
        <f>VLOOKUP(D217,'IDHM (IBGE2022)'!$A$4:$J$402,10,FALSE)</f>
        <v>0.71299999999999997</v>
      </c>
      <c r="G217" s="92">
        <f t="shared" si="7"/>
        <v>0.70969052284695211</v>
      </c>
      <c r="H217" s="9">
        <f>VLOOKUP(D217,'IPDM_renda  (IPARDES-PR)'!$A$4:$N$420,14,FALSE)</f>
        <v>0.40578054911955691</v>
      </c>
      <c r="I217" s="9">
        <f>VLOOKUP(D217,'IPDM_educação  (IPARDES-PR)'!$A$4:$N$420,14,FALSE)</f>
        <v>0.89378367549844773</v>
      </c>
      <c r="J217" s="9">
        <f>VLOOKUP(D217,'IPDM_saúde   (IPARDES-PR)'!$A$4:$N$466,14,FALSE)</f>
        <v>0.82950734392285186</v>
      </c>
      <c r="L217" s="10" t="str">
        <f t="shared" si="6"/>
        <v>Norte - A09</v>
      </c>
    </row>
    <row r="218" spans="1:12" x14ac:dyDescent="0.2">
      <c r="A218" s="5" t="s">
        <v>171</v>
      </c>
      <c r="B218" s="148" t="s">
        <v>419</v>
      </c>
      <c r="C218" s="145" t="s">
        <v>429</v>
      </c>
      <c r="D218" s="4" t="s">
        <v>172</v>
      </c>
      <c r="E218" s="142">
        <f>VLOOKUP(D218,'IDHM (IBGE2022)'!$A$4:$N$402,14,FALSE)</f>
        <v>49485.22</v>
      </c>
      <c r="F218" s="90">
        <f>VLOOKUP(D218,'IDHM (IBGE2022)'!$A$4:$J$402,10,FALSE)</f>
        <v>0.70199999999999996</v>
      </c>
      <c r="G218" s="92">
        <f t="shared" si="7"/>
        <v>0.65965073860989998</v>
      </c>
      <c r="H218" s="9">
        <f>VLOOKUP(D218,'IPDM_renda  (IPARDES-PR)'!$A$4:$N$420,14,FALSE)</f>
        <v>0.30802426148926965</v>
      </c>
      <c r="I218" s="9">
        <f>VLOOKUP(D218,'IPDM_educação  (IPARDES-PR)'!$A$4:$N$420,14,FALSE)</f>
        <v>0.88703951785001833</v>
      </c>
      <c r="J218" s="9">
        <f>VLOOKUP(D218,'IPDM_saúde   (IPARDES-PR)'!$A$4:$N$466,14,FALSE)</f>
        <v>0.78388843649041184</v>
      </c>
      <c r="L218" s="10" t="str">
        <f t="shared" si="6"/>
        <v>Norte - A09</v>
      </c>
    </row>
    <row r="219" spans="1:12" x14ac:dyDescent="0.2">
      <c r="A219" s="5" t="s">
        <v>171</v>
      </c>
      <c r="B219" s="148" t="s">
        <v>419</v>
      </c>
      <c r="C219" s="145" t="s">
        <v>429</v>
      </c>
      <c r="D219" s="4" t="s">
        <v>173</v>
      </c>
      <c r="E219" s="142">
        <f>VLOOKUP(D219,'IDHM (IBGE2022)'!$A$4:$N$402,14,FALSE)</f>
        <v>73021.84</v>
      </c>
      <c r="F219" s="90">
        <f>VLOOKUP(D219,'IDHM (IBGE2022)'!$A$4:$J$402,10,FALSE)</f>
        <v>0.7</v>
      </c>
      <c r="G219" s="92">
        <f t="shared" si="7"/>
        <v>0.80169034574204812</v>
      </c>
      <c r="H219" s="9">
        <f>VLOOKUP(D219,'IPDM_renda  (IPARDES-PR)'!$A$4:$N$420,14,FALSE)</f>
        <v>0.66053220871570495</v>
      </c>
      <c r="I219" s="9">
        <f>VLOOKUP(D219,'IPDM_educação  (IPARDES-PR)'!$A$4:$N$420,14,FALSE)</f>
        <v>0.92552663399923629</v>
      </c>
      <c r="J219" s="9">
        <f>VLOOKUP(D219,'IPDM_saúde   (IPARDES-PR)'!$A$4:$N$466,14,FALSE)</f>
        <v>0.81901219451120288</v>
      </c>
      <c r="L219" s="10" t="str">
        <f t="shared" si="6"/>
        <v>Norte - A09</v>
      </c>
    </row>
    <row r="220" spans="1:12" x14ac:dyDescent="0.2">
      <c r="A220" s="5" t="s">
        <v>171</v>
      </c>
      <c r="B220" s="148" t="s">
        <v>419</v>
      </c>
      <c r="C220" s="145" t="s">
        <v>429</v>
      </c>
      <c r="D220" s="4" t="s">
        <v>135</v>
      </c>
      <c r="E220" s="142">
        <f>VLOOKUP(D220,'IDHM (IBGE2022)'!$A$4:$N$402,14,FALSE)</f>
        <v>47213.06</v>
      </c>
      <c r="F220" s="90">
        <f>VLOOKUP(D220,'IDHM (IBGE2022)'!$A$4:$J$402,10,FALSE)</f>
        <v>0.68799999999999994</v>
      </c>
      <c r="G220" s="92">
        <f t="shared" si="7"/>
        <v>0.70187999349931651</v>
      </c>
      <c r="H220" s="9">
        <f>VLOOKUP(D220,'IPDM_renda  (IPARDES-PR)'!$A$4:$N$420,14,FALSE)</f>
        <v>0.46519813237173957</v>
      </c>
      <c r="I220" s="9">
        <f>VLOOKUP(D220,'IPDM_educação  (IPARDES-PR)'!$A$4:$N$420,14,FALSE)</f>
        <v>0.85792317933238671</v>
      </c>
      <c r="J220" s="9">
        <f>VLOOKUP(D220,'IPDM_saúde   (IPARDES-PR)'!$A$4:$N$466,14,FALSE)</f>
        <v>0.78251866879382315</v>
      </c>
      <c r="L220" s="10" t="str">
        <f t="shared" si="6"/>
        <v>Norte - A09</v>
      </c>
    </row>
    <row r="221" spans="1:12" x14ac:dyDescent="0.2">
      <c r="A221" s="5" t="s">
        <v>171</v>
      </c>
      <c r="B221" s="148" t="s">
        <v>419</v>
      </c>
      <c r="C221" s="145" t="s">
        <v>429</v>
      </c>
      <c r="D221" s="4" t="s">
        <v>174</v>
      </c>
      <c r="E221" s="142">
        <f>VLOOKUP(D221,'IDHM (IBGE2022)'!$A$4:$N$402,14,FALSE)</f>
        <v>30189.72</v>
      </c>
      <c r="F221" s="90">
        <f>VLOOKUP(D221,'IDHM (IBGE2022)'!$A$4:$J$402,10,FALSE)</f>
        <v>0.71399999999999997</v>
      </c>
      <c r="G221" s="92">
        <f t="shared" si="7"/>
        <v>0.72725546549064901</v>
      </c>
      <c r="H221" s="9">
        <f>VLOOKUP(D221,'IPDM_renda  (IPARDES-PR)'!$A$4:$N$420,14,FALSE)</f>
        <v>0.45573662636918055</v>
      </c>
      <c r="I221" s="9">
        <f>VLOOKUP(D221,'IPDM_educação  (IPARDES-PR)'!$A$4:$N$420,14,FALSE)</f>
        <v>0.94515551635010819</v>
      </c>
      <c r="J221" s="9">
        <f>VLOOKUP(D221,'IPDM_saúde   (IPARDES-PR)'!$A$4:$N$466,14,FALSE)</f>
        <v>0.7808742537526584</v>
      </c>
      <c r="L221" s="10" t="str">
        <f t="shared" si="6"/>
        <v>Norte - A09</v>
      </c>
    </row>
    <row r="222" spans="1:12" x14ac:dyDescent="0.2">
      <c r="A222" s="5" t="s">
        <v>171</v>
      </c>
      <c r="B222" s="148" t="s">
        <v>419</v>
      </c>
      <c r="C222" s="145" t="s">
        <v>429</v>
      </c>
      <c r="D222" s="4" t="s">
        <v>136</v>
      </c>
      <c r="E222" s="142">
        <f>VLOOKUP(D222,'IDHM (IBGE2022)'!$A$4:$N$402,14,FALSE)</f>
        <v>37360.89</v>
      </c>
      <c r="F222" s="90">
        <f>VLOOKUP(D222,'IDHM (IBGE2022)'!$A$4:$J$402,10,FALSE)</f>
        <v>0.70099999999999996</v>
      </c>
      <c r="G222" s="92">
        <f t="shared" si="7"/>
        <v>0.73017777805551198</v>
      </c>
      <c r="H222" s="9">
        <f>VLOOKUP(D222,'IPDM_renda  (IPARDES-PR)'!$A$4:$N$420,14,FALSE)</f>
        <v>0.48242464941165097</v>
      </c>
      <c r="I222" s="9">
        <f>VLOOKUP(D222,'IPDM_educação  (IPARDES-PR)'!$A$4:$N$420,14,FALSE)</f>
        <v>0.92910509912797512</v>
      </c>
      <c r="J222" s="9">
        <f>VLOOKUP(D222,'IPDM_saúde   (IPARDES-PR)'!$A$4:$N$466,14,FALSE)</f>
        <v>0.77900358562690997</v>
      </c>
      <c r="L222" s="10" t="str">
        <f t="shared" si="6"/>
        <v>Norte - A09</v>
      </c>
    </row>
    <row r="223" spans="1:12" x14ac:dyDescent="0.2">
      <c r="A223" s="5" t="s">
        <v>171</v>
      </c>
      <c r="B223" s="148" t="s">
        <v>419</v>
      </c>
      <c r="C223" s="145" t="s">
        <v>429</v>
      </c>
      <c r="D223" s="4" t="s">
        <v>175</v>
      </c>
      <c r="E223" s="142">
        <f>VLOOKUP(D223,'IDHM (IBGE2022)'!$A$4:$N$402,14,FALSE)</f>
        <v>23913.67</v>
      </c>
      <c r="F223" s="90">
        <f>VLOOKUP(D223,'IDHM (IBGE2022)'!$A$4:$J$402,10,FALSE)</f>
        <v>0.70399999999999996</v>
      </c>
      <c r="G223" s="92">
        <f t="shared" si="7"/>
        <v>0.71194670936904136</v>
      </c>
      <c r="H223" s="9">
        <f>VLOOKUP(D223,'IPDM_renda  (IPARDES-PR)'!$A$4:$N$420,14,FALSE)</f>
        <v>0.24039712645231656</v>
      </c>
      <c r="I223" s="9">
        <f>VLOOKUP(D223,'IPDM_educação  (IPARDES-PR)'!$A$4:$N$420,14,FALSE)</f>
        <v>0.94215034321111668</v>
      </c>
      <c r="J223" s="9">
        <f>VLOOKUP(D223,'IPDM_saúde   (IPARDES-PR)'!$A$4:$N$466,14,FALSE)</f>
        <v>0.95329265844369082</v>
      </c>
      <c r="L223" s="10" t="str">
        <f t="shared" si="6"/>
        <v>Norte - A09</v>
      </c>
    </row>
    <row r="224" spans="1:12" x14ac:dyDescent="0.2">
      <c r="A224" s="5" t="s">
        <v>171</v>
      </c>
      <c r="B224" s="148" t="s">
        <v>419</v>
      </c>
      <c r="C224" s="145" t="s">
        <v>429</v>
      </c>
      <c r="D224" s="4" t="s">
        <v>38</v>
      </c>
      <c r="E224" s="142">
        <f>VLOOKUP(D224,'IDHM (IBGE2022)'!$A$4:$N$402,14,FALSE)</f>
        <v>33377.18</v>
      </c>
      <c r="F224" s="90">
        <f>VLOOKUP(D224,'IDHM (IBGE2022)'!$A$4:$J$402,10,FALSE)</f>
        <v>0.68700000000000006</v>
      </c>
      <c r="G224" s="92">
        <f t="shared" si="7"/>
        <v>0.7486106940210786</v>
      </c>
      <c r="H224" s="9">
        <f>VLOOKUP(D224,'IPDM_renda  (IPARDES-PR)'!$A$4:$N$420,14,FALSE)</f>
        <v>0.41012328991351105</v>
      </c>
      <c r="I224" s="9">
        <f>VLOOKUP(D224,'IPDM_educação  (IPARDES-PR)'!$A$4:$N$420,14,FALSE)</f>
        <v>0.91075505959503311</v>
      </c>
      <c r="J224" s="9">
        <f>VLOOKUP(D224,'IPDM_saúde   (IPARDES-PR)'!$A$4:$N$466,14,FALSE)</f>
        <v>0.92495373255469182</v>
      </c>
      <c r="L224" s="10" t="str">
        <f t="shared" si="6"/>
        <v>Norte - A09</v>
      </c>
    </row>
    <row r="225" spans="1:12" x14ac:dyDescent="0.2">
      <c r="A225" s="5" t="s">
        <v>171</v>
      </c>
      <c r="B225" s="148" t="s">
        <v>419</v>
      </c>
      <c r="C225" s="145" t="s">
        <v>429</v>
      </c>
      <c r="D225" s="4" t="s">
        <v>147</v>
      </c>
      <c r="E225" s="142">
        <f>VLOOKUP(D225,'IDHM (IBGE2022)'!$A$4:$N$402,14,FALSE)</f>
        <v>41422.699999999997</v>
      </c>
      <c r="F225" s="90">
        <f>VLOOKUP(D225,'IDHM (IBGE2022)'!$A$4:$J$402,10,FALSE)</f>
        <v>0.71799999999999997</v>
      </c>
      <c r="G225" s="92">
        <f t="shared" si="7"/>
        <v>0.67972774924949075</v>
      </c>
      <c r="H225" s="9">
        <f>VLOOKUP(D225,'IPDM_renda  (IPARDES-PR)'!$A$4:$N$420,14,FALSE)</f>
        <v>0.49415338424210975</v>
      </c>
      <c r="I225" s="9">
        <f>VLOOKUP(D225,'IPDM_educação  (IPARDES-PR)'!$A$4:$N$420,14,FALSE)</f>
        <v>0.85724624175412556</v>
      </c>
      <c r="J225" s="9">
        <f>VLOOKUP(D225,'IPDM_saúde   (IPARDES-PR)'!$A$4:$N$466,14,FALSE)</f>
        <v>0.68778362175223695</v>
      </c>
      <c r="L225" s="10" t="str">
        <f t="shared" si="6"/>
        <v>Norte - A09</v>
      </c>
    </row>
    <row r="226" spans="1:12" x14ac:dyDescent="0.2">
      <c r="A226" s="5" t="s">
        <v>171</v>
      </c>
      <c r="B226" s="148" t="s">
        <v>419</v>
      </c>
      <c r="C226" s="145" t="s">
        <v>429</v>
      </c>
      <c r="D226" s="4" t="s">
        <v>176</v>
      </c>
      <c r="E226" s="142">
        <f>VLOOKUP(D226,'IDHM (IBGE2022)'!$A$4:$N$402,14,FALSE)</f>
        <v>37311.870000000003</v>
      </c>
      <c r="F226" s="90">
        <f>VLOOKUP(D226,'IDHM (IBGE2022)'!$A$4:$J$402,10,FALSE)</f>
        <v>0.70399999999999996</v>
      </c>
      <c r="G226" s="92">
        <f t="shared" si="7"/>
        <v>0.80667351693531097</v>
      </c>
      <c r="H226" s="9">
        <f>VLOOKUP(D226,'IPDM_renda  (IPARDES-PR)'!$A$4:$N$420,14,FALSE)</f>
        <v>0.57189185673574194</v>
      </c>
      <c r="I226" s="9">
        <f>VLOOKUP(D226,'IPDM_educação  (IPARDES-PR)'!$A$4:$N$420,14,FALSE)</f>
        <v>0.93311590693436197</v>
      </c>
      <c r="J226" s="9">
        <f>VLOOKUP(D226,'IPDM_saúde   (IPARDES-PR)'!$A$4:$N$466,14,FALSE)</f>
        <v>0.9150127871358289</v>
      </c>
      <c r="L226" s="10" t="str">
        <f t="shared" si="6"/>
        <v>Norte - A09</v>
      </c>
    </row>
    <row r="227" spans="1:12" x14ac:dyDescent="0.2">
      <c r="A227" s="5" t="s">
        <v>171</v>
      </c>
      <c r="B227" s="148" t="s">
        <v>419</v>
      </c>
      <c r="C227" s="145" t="s">
        <v>429</v>
      </c>
      <c r="D227" s="4" t="s">
        <v>170</v>
      </c>
      <c r="E227" s="142">
        <f>VLOOKUP(D227,'IDHM (IBGE2022)'!$A$4:$N$402,14,FALSE)</f>
        <v>41593.230000000003</v>
      </c>
      <c r="F227" s="90">
        <f>VLOOKUP(D227,'IDHM (IBGE2022)'!$A$4:$J$402,10,FALSE)</f>
        <v>0.69899999999999995</v>
      </c>
      <c r="G227" s="92">
        <f t="shared" si="7"/>
        <v>0.74608041206231457</v>
      </c>
      <c r="H227" s="9">
        <f>VLOOKUP(D227,'IPDM_renda  (IPARDES-PR)'!$A$4:$N$420,14,FALSE)</f>
        <v>0.42893082538573923</v>
      </c>
      <c r="I227" s="9">
        <f>VLOOKUP(D227,'IPDM_educação  (IPARDES-PR)'!$A$4:$N$420,14,FALSE)</f>
        <v>0.88420043595179187</v>
      </c>
      <c r="J227" s="9">
        <f>VLOOKUP(D227,'IPDM_saúde   (IPARDES-PR)'!$A$4:$N$466,14,FALSE)</f>
        <v>0.92510997484941271</v>
      </c>
      <c r="L227" s="10" t="str">
        <f t="shared" si="6"/>
        <v>Norte - A09</v>
      </c>
    </row>
    <row r="228" spans="1:12" x14ac:dyDescent="0.2">
      <c r="A228" s="5" t="s">
        <v>171</v>
      </c>
      <c r="B228" s="148" t="s">
        <v>419</v>
      </c>
      <c r="C228" s="145" t="s">
        <v>429</v>
      </c>
      <c r="D228" s="4" t="s">
        <v>41</v>
      </c>
      <c r="E228" s="142">
        <f>VLOOKUP(D228,'IDHM (IBGE2022)'!$A$4:$N$402,14,FALSE)</f>
        <v>39986.239999999998</v>
      </c>
      <c r="F228" s="90">
        <f>VLOOKUP(D228,'IDHM (IBGE2022)'!$A$4:$J$402,10,FALSE)</f>
        <v>0.68700000000000006</v>
      </c>
      <c r="G228" s="92">
        <f t="shared" si="7"/>
        <v>0.74059716329125125</v>
      </c>
      <c r="H228" s="9">
        <f>VLOOKUP(D228,'IPDM_renda  (IPARDES-PR)'!$A$4:$N$420,14,FALSE)</f>
        <v>0.39509691582024331</v>
      </c>
      <c r="I228" s="9">
        <f>VLOOKUP(D228,'IPDM_educação  (IPARDES-PR)'!$A$4:$N$420,14,FALSE)</f>
        <v>0.91913420065485385</v>
      </c>
      <c r="J228" s="9">
        <f>VLOOKUP(D228,'IPDM_saúde   (IPARDES-PR)'!$A$4:$N$466,14,FALSE)</f>
        <v>0.90756037339865647</v>
      </c>
      <c r="L228" s="10" t="str">
        <f t="shared" si="6"/>
        <v>Norte - A09</v>
      </c>
    </row>
    <row r="229" spans="1:12" x14ac:dyDescent="0.2">
      <c r="A229" s="5" t="s">
        <v>177</v>
      </c>
      <c r="B229" s="148" t="s">
        <v>419</v>
      </c>
      <c r="C229" s="7" t="s">
        <v>430</v>
      </c>
      <c r="D229" s="4" t="s">
        <v>149</v>
      </c>
      <c r="E229" s="142">
        <f>VLOOKUP(D229,'IDHM (IBGE2022)'!$A$4:$N$402,14,FALSE)</f>
        <v>37146.42</v>
      </c>
      <c r="F229" s="90">
        <f>VLOOKUP(D229,'IDHM (IBGE2022)'!$A$4:$J$402,10,FALSE)</f>
        <v>0.748</v>
      </c>
      <c r="G229" s="92">
        <f t="shared" si="7"/>
        <v>0.78430913827426441</v>
      </c>
      <c r="H229" s="9">
        <f>VLOOKUP(D229,'IPDM_renda  (IPARDES-PR)'!$A$4:$N$420,14,FALSE)</f>
        <v>0.54216835707136968</v>
      </c>
      <c r="I229" s="9">
        <f>VLOOKUP(D229,'IPDM_educação  (IPARDES-PR)'!$A$4:$N$420,14,FALSE)</f>
        <v>0.94446671173251417</v>
      </c>
      <c r="J229" s="9">
        <f>VLOOKUP(D229,'IPDM_saúde   (IPARDES-PR)'!$A$4:$N$466,14,FALSE)</f>
        <v>0.86629234601890925</v>
      </c>
      <c r="L229" s="10" t="str">
        <f t="shared" si="6"/>
        <v>Norte - A10</v>
      </c>
    </row>
    <row r="230" spans="1:12" x14ac:dyDescent="0.2">
      <c r="A230" s="5" t="s">
        <v>177</v>
      </c>
      <c r="B230" s="148" t="s">
        <v>419</v>
      </c>
      <c r="C230" s="7" t="s">
        <v>430</v>
      </c>
      <c r="D230" s="4" t="s">
        <v>46</v>
      </c>
      <c r="E230" s="142">
        <f>VLOOKUP(D230,'IDHM (IBGE2022)'!$A$4:$N$402,14,FALSE)</f>
        <v>31175.22</v>
      </c>
      <c r="F230" s="90">
        <f>VLOOKUP(D230,'IDHM (IBGE2022)'!$A$4:$J$402,10,FALSE)</f>
        <v>0.629</v>
      </c>
      <c r="G230" s="92">
        <f t="shared" si="7"/>
        <v>0.70144597591717517</v>
      </c>
      <c r="H230" s="9">
        <f>VLOOKUP(D230,'IPDM_renda  (IPARDES-PR)'!$A$4:$N$420,14,FALSE)</f>
        <v>0.48671349829287064</v>
      </c>
      <c r="I230" s="9">
        <f>VLOOKUP(D230,'IPDM_educação  (IPARDES-PR)'!$A$4:$N$420,14,FALSE)</f>
        <v>0.84838639391918114</v>
      </c>
      <c r="J230" s="9">
        <f>VLOOKUP(D230,'IPDM_saúde   (IPARDES-PR)'!$A$4:$N$466,14,FALSE)</f>
        <v>0.76923803553947379</v>
      </c>
      <c r="L230" s="10" t="str">
        <f t="shared" si="6"/>
        <v>Norte - A10</v>
      </c>
    </row>
    <row r="231" spans="1:12" x14ac:dyDescent="0.2">
      <c r="A231" s="5" t="s">
        <v>177</v>
      </c>
      <c r="B231" s="148" t="s">
        <v>419</v>
      </c>
      <c r="C231" s="7" t="s">
        <v>430</v>
      </c>
      <c r="D231" s="4" t="s">
        <v>154</v>
      </c>
      <c r="E231" s="142">
        <f>VLOOKUP(D231,'IDHM (IBGE2022)'!$A$4:$N$402,14,FALSE)</f>
        <v>65430.04</v>
      </c>
      <c r="F231" s="90">
        <f>VLOOKUP(D231,'IDHM (IBGE2022)'!$A$4:$J$402,10,FALSE)</f>
        <v>0.66600000000000004</v>
      </c>
      <c r="G231" s="92">
        <f t="shared" si="7"/>
        <v>0.7739679202745734</v>
      </c>
      <c r="H231" s="9">
        <f>VLOOKUP(D231,'IPDM_renda  (IPARDES-PR)'!$A$4:$N$420,14,FALSE)</f>
        <v>0.48820189119374241</v>
      </c>
      <c r="I231" s="9">
        <f>VLOOKUP(D231,'IPDM_educação  (IPARDES-PR)'!$A$4:$N$420,14,FALSE)</f>
        <v>0.8699306238595268</v>
      </c>
      <c r="J231" s="9">
        <f>VLOOKUP(D231,'IPDM_saúde   (IPARDES-PR)'!$A$4:$N$466,14,FALSE)</f>
        <v>0.96377124577045092</v>
      </c>
      <c r="L231" s="10" t="str">
        <f t="shared" si="6"/>
        <v>Norte - A10</v>
      </c>
    </row>
    <row r="232" spans="1:12" x14ac:dyDescent="0.2">
      <c r="A232" s="5" t="s">
        <v>177</v>
      </c>
      <c r="B232" s="148" t="s">
        <v>419</v>
      </c>
      <c r="C232" s="7" t="s">
        <v>430</v>
      </c>
      <c r="D232" s="4" t="s">
        <v>178</v>
      </c>
      <c r="E232" s="142">
        <f>VLOOKUP(D232,'IDHM (IBGE2022)'!$A$4:$N$402,14,FALSE)</f>
        <v>38140.129999999997</v>
      </c>
      <c r="F232" s="90">
        <f>VLOOKUP(D232,'IDHM (IBGE2022)'!$A$4:$J$402,10,FALSE)</f>
        <v>0.68700000000000006</v>
      </c>
      <c r="G232" s="92">
        <f t="shared" si="7"/>
        <v>0.74861742459049552</v>
      </c>
      <c r="H232" s="9">
        <f>VLOOKUP(D232,'IPDM_renda  (IPARDES-PR)'!$A$4:$N$420,14,FALSE)</f>
        <v>0.4771616759770726</v>
      </c>
      <c r="I232" s="9">
        <f>VLOOKUP(D232,'IPDM_educação  (IPARDES-PR)'!$A$4:$N$420,14,FALSE)</f>
        <v>0.91124402532689208</v>
      </c>
      <c r="J232" s="9">
        <f>VLOOKUP(D232,'IPDM_saúde   (IPARDES-PR)'!$A$4:$N$466,14,FALSE)</f>
        <v>0.85744657246752165</v>
      </c>
      <c r="L232" s="10" t="str">
        <f t="shared" si="6"/>
        <v>Norte - A10</v>
      </c>
    </row>
    <row r="233" spans="1:12" x14ac:dyDescent="0.2">
      <c r="A233" s="5" t="s">
        <v>177</v>
      </c>
      <c r="B233" s="148" t="s">
        <v>419</v>
      </c>
      <c r="C233" s="7" t="s">
        <v>430</v>
      </c>
      <c r="D233" s="4" t="s">
        <v>179</v>
      </c>
      <c r="E233" s="142">
        <f>VLOOKUP(D233,'IDHM (IBGE2022)'!$A$4:$N$402,14,FALSE)</f>
        <v>31475.87</v>
      </c>
      <c r="F233" s="90">
        <f>VLOOKUP(D233,'IDHM (IBGE2022)'!$A$4:$J$402,10,FALSE)</f>
        <v>0.65800000000000003</v>
      </c>
      <c r="G233" s="92">
        <f t="shared" si="7"/>
        <v>0.71128489439292741</v>
      </c>
      <c r="H233" s="9">
        <f>VLOOKUP(D233,'IPDM_renda  (IPARDES-PR)'!$A$4:$N$420,14,FALSE)</f>
        <v>0.40669355838225818</v>
      </c>
      <c r="I233" s="9">
        <f>VLOOKUP(D233,'IPDM_educação  (IPARDES-PR)'!$A$4:$N$420,14,FALSE)</f>
        <v>0.87536829102917435</v>
      </c>
      <c r="J233" s="9">
        <f>VLOOKUP(D233,'IPDM_saúde   (IPARDES-PR)'!$A$4:$N$466,14,FALSE)</f>
        <v>0.85179283376734982</v>
      </c>
      <c r="L233" s="10" t="str">
        <f t="shared" si="6"/>
        <v>Norte - A10</v>
      </c>
    </row>
    <row r="234" spans="1:12" x14ac:dyDescent="0.2">
      <c r="A234" s="5" t="s">
        <v>177</v>
      </c>
      <c r="B234" s="148" t="s">
        <v>419</v>
      </c>
      <c r="C234" s="7" t="s">
        <v>430</v>
      </c>
      <c r="D234" s="4" t="s">
        <v>105</v>
      </c>
      <c r="E234" s="142">
        <f>VLOOKUP(D234,'IDHM (IBGE2022)'!$A$4:$N$402,14,FALSE)</f>
        <v>50362.05</v>
      </c>
      <c r="F234" s="90">
        <f>VLOOKUP(D234,'IDHM (IBGE2022)'!$A$4:$J$402,10,FALSE)</f>
        <v>0.77800000000000002</v>
      </c>
      <c r="G234" s="92">
        <f t="shared" si="7"/>
        <v>0.81793821133764855</v>
      </c>
      <c r="H234" s="9">
        <f>VLOOKUP(D234,'IPDM_renda  (IPARDES-PR)'!$A$4:$N$420,14,FALSE)</f>
        <v>0.66672471995545668</v>
      </c>
      <c r="I234" s="9">
        <f>VLOOKUP(D234,'IPDM_educação  (IPARDES-PR)'!$A$4:$N$420,14,FALSE)</f>
        <v>0.92894398614727924</v>
      </c>
      <c r="J234" s="9">
        <f>VLOOKUP(D234,'IPDM_saúde   (IPARDES-PR)'!$A$4:$N$466,14,FALSE)</f>
        <v>0.8581459279102096</v>
      </c>
      <c r="L234" s="10" t="str">
        <f t="shared" si="6"/>
        <v>Norte - A10</v>
      </c>
    </row>
    <row r="235" spans="1:12" x14ac:dyDescent="0.2">
      <c r="A235" s="5" t="s">
        <v>177</v>
      </c>
      <c r="B235" s="148" t="s">
        <v>419</v>
      </c>
      <c r="C235" s="7" t="s">
        <v>430</v>
      </c>
      <c r="D235" s="4" t="s">
        <v>180</v>
      </c>
      <c r="E235" s="142">
        <f>VLOOKUP(D235,'IDHM (IBGE2022)'!$A$4:$N$402,14,FALSE)</f>
        <v>58806.98</v>
      </c>
      <c r="F235" s="90">
        <f>VLOOKUP(D235,'IDHM (IBGE2022)'!$A$4:$J$402,10,FALSE)</f>
        <v>0.69099999999999995</v>
      </c>
      <c r="G235" s="92">
        <f t="shared" si="7"/>
        <v>0.73619879438339675</v>
      </c>
      <c r="H235" s="9">
        <f>VLOOKUP(D235,'IPDM_renda  (IPARDES-PR)'!$A$4:$N$420,14,FALSE)</f>
        <v>0.4843388485031227</v>
      </c>
      <c r="I235" s="9">
        <f>VLOOKUP(D235,'IPDM_educação  (IPARDES-PR)'!$A$4:$N$420,14,FALSE)</f>
        <v>0.86874233717392335</v>
      </c>
      <c r="J235" s="9">
        <f>VLOOKUP(D235,'IPDM_saúde   (IPARDES-PR)'!$A$4:$N$466,14,FALSE)</f>
        <v>0.85551519747314408</v>
      </c>
      <c r="L235" s="10" t="str">
        <f t="shared" si="6"/>
        <v>Norte - A10</v>
      </c>
    </row>
    <row r="236" spans="1:12" x14ac:dyDescent="0.2">
      <c r="A236" s="5" t="s">
        <v>177</v>
      </c>
      <c r="B236" s="148" t="s">
        <v>419</v>
      </c>
      <c r="C236" s="7" t="s">
        <v>430</v>
      </c>
      <c r="D236" s="4" t="s">
        <v>181</v>
      </c>
      <c r="E236" s="142">
        <f>VLOOKUP(D236,'IDHM (IBGE2022)'!$A$4:$N$402,14,FALSE)</f>
        <v>56188.01</v>
      </c>
      <c r="F236" s="90">
        <f>VLOOKUP(D236,'IDHM (IBGE2022)'!$A$4:$J$402,10,FALSE)</f>
        <v>0.65200000000000002</v>
      </c>
      <c r="G236" s="92">
        <f t="shared" si="7"/>
        <v>0.73166199569699586</v>
      </c>
      <c r="H236" s="9">
        <f>VLOOKUP(D236,'IPDM_renda  (IPARDES-PR)'!$A$4:$N$420,14,FALSE)</f>
        <v>0.51378186298949569</v>
      </c>
      <c r="I236" s="9">
        <f>VLOOKUP(D236,'IPDM_educação  (IPARDES-PR)'!$A$4:$N$420,14,FALSE)</f>
        <v>0.83851596083576319</v>
      </c>
      <c r="J236" s="9">
        <f>VLOOKUP(D236,'IPDM_saúde   (IPARDES-PR)'!$A$4:$N$466,14,FALSE)</f>
        <v>0.84268816326572882</v>
      </c>
      <c r="L236" s="10" t="str">
        <f t="shared" si="6"/>
        <v>Norte - A10</v>
      </c>
    </row>
    <row r="237" spans="1:12" x14ac:dyDescent="0.2">
      <c r="A237" s="5" t="s">
        <v>177</v>
      </c>
      <c r="B237" s="148" t="s">
        <v>419</v>
      </c>
      <c r="C237" s="7" t="s">
        <v>430</v>
      </c>
      <c r="D237" s="4" t="s">
        <v>182</v>
      </c>
      <c r="E237" s="142">
        <f>VLOOKUP(D237,'IDHM (IBGE2022)'!$A$4:$N$402,14,FALSE)</f>
        <v>148490</v>
      </c>
      <c r="F237" s="90">
        <f>VLOOKUP(D237,'IDHM (IBGE2022)'!$A$4:$J$402,10,FALSE)</f>
        <v>0.60899999999999999</v>
      </c>
      <c r="G237" s="92">
        <f t="shared" si="7"/>
        <v>0.77933044929580308</v>
      </c>
      <c r="H237" s="9">
        <f>VLOOKUP(D237,'IPDM_renda  (IPARDES-PR)'!$A$4:$N$420,14,FALSE)</f>
        <v>0.7759600725990361</v>
      </c>
      <c r="I237" s="9">
        <f>VLOOKUP(D237,'IPDM_educação  (IPARDES-PR)'!$A$4:$N$420,14,FALSE)</f>
        <v>0.80090873118581263</v>
      </c>
      <c r="J237" s="9">
        <f>VLOOKUP(D237,'IPDM_saúde   (IPARDES-PR)'!$A$4:$N$466,14,FALSE)</f>
        <v>0.76112254410256064</v>
      </c>
      <c r="L237" s="10" t="str">
        <f t="shared" si="6"/>
        <v>Norte - A10</v>
      </c>
    </row>
    <row r="238" spans="1:12" x14ac:dyDescent="0.2">
      <c r="A238" s="5" t="s">
        <v>177</v>
      </c>
      <c r="B238" s="148" t="s">
        <v>419</v>
      </c>
      <c r="C238" s="7" t="s">
        <v>430</v>
      </c>
      <c r="D238" s="4" t="s">
        <v>183</v>
      </c>
      <c r="E238" s="142">
        <f>VLOOKUP(D238,'IDHM (IBGE2022)'!$A$4:$N$402,14,FALSE)</f>
        <v>37164.629999999997</v>
      </c>
      <c r="F238" s="90">
        <f>VLOOKUP(D238,'IDHM (IBGE2022)'!$A$4:$J$402,10,FALSE)</f>
        <v>0.72899999999999998</v>
      </c>
      <c r="G238" s="92">
        <f t="shared" si="7"/>
        <v>0.68173556475276531</v>
      </c>
      <c r="H238" s="9">
        <f>VLOOKUP(D238,'IPDM_renda  (IPARDES-PR)'!$A$4:$N$420,14,FALSE)</f>
        <v>0.26524690569046805</v>
      </c>
      <c r="I238" s="9">
        <f>VLOOKUP(D238,'IPDM_educação  (IPARDES-PR)'!$A$4:$N$420,14,FALSE)</f>
        <v>0.91997402893527025</v>
      </c>
      <c r="J238" s="9">
        <f>VLOOKUP(D238,'IPDM_saúde   (IPARDES-PR)'!$A$4:$N$466,14,FALSE)</f>
        <v>0.85998575963255763</v>
      </c>
      <c r="L238" s="10" t="str">
        <f t="shared" si="6"/>
        <v>Norte - A10</v>
      </c>
    </row>
    <row r="239" spans="1:12" x14ac:dyDescent="0.2">
      <c r="A239" s="5" t="s">
        <v>177</v>
      </c>
      <c r="B239" s="148" t="s">
        <v>419</v>
      </c>
      <c r="C239" s="7" t="s">
        <v>430</v>
      </c>
      <c r="D239" s="4" t="s">
        <v>184</v>
      </c>
      <c r="E239" s="142">
        <f>VLOOKUP(D239,'IDHM (IBGE2022)'!$A$4:$N$402,14,FALSE)</f>
        <v>45876.97</v>
      </c>
      <c r="F239" s="90">
        <f>VLOOKUP(D239,'IDHM (IBGE2022)'!$A$4:$J$402,10,FALSE)</f>
        <v>0.64</v>
      </c>
      <c r="G239" s="92">
        <f t="shared" si="7"/>
        <v>0.7127845899634967</v>
      </c>
      <c r="H239" s="9">
        <f>VLOOKUP(D239,'IPDM_renda  (IPARDES-PR)'!$A$4:$N$420,14,FALSE)</f>
        <v>0.50404023301705736</v>
      </c>
      <c r="I239" s="9">
        <f>VLOOKUP(D239,'IPDM_educação  (IPARDES-PR)'!$A$4:$N$420,14,FALSE)</f>
        <v>0.9115665039830716</v>
      </c>
      <c r="J239" s="9">
        <f>VLOOKUP(D239,'IPDM_saúde   (IPARDES-PR)'!$A$4:$N$466,14,FALSE)</f>
        <v>0.72274703289036102</v>
      </c>
      <c r="L239" s="10" t="str">
        <f t="shared" si="6"/>
        <v>Norte - A10</v>
      </c>
    </row>
    <row r="240" spans="1:12" x14ac:dyDescent="0.2">
      <c r="A240" s="5" t="s">
        <v>177</v>
      </c>
      <c r="B240" s="148" t="s">
        <v>419</v>
      </c>
      <c r="C240" s="7" t="s">
        <v>430</v>
      </c>
      <c r="D240" s="4" t="s">
        <v>185</v>
      </c>
      <c r="E240" s="142">
        <f>VLOOKUP(D240,'IDHM (IBGE2022)'!$A$4:$N$402,14,FALSE)</f>
        <v>30660.21</v>
      </c>
      <c r="F240" s="90">
        <f>VLOOKUP(D240,'IDHM (IBGE2022)'!$A$4:$J$402,10,FALSE)</f>
        <v>0.66200000000000003</v>
      </c>
      <c r="G240" s="92">
        <f t="shared" si="7"/>
        <v>0.74135512514122548</v>
      </c>
      <c r="H240" s="9">
        <f>VLOOKUP(D240,'IPDM_renda  (IPARDES-PR)'!$A$4:$N$420,14,FALSE)</f>
        <v>0.391016153397378</v>
      </c>
      <c r="I240" s="9">
        <f>VLOOKUP(D240,'IPDM_educação  (IPARDES-PR)'!$A$4:$N$420,14,FALSE)</f>
        <v>0.93905831425328223</v>
      </c>
      <c r="J240" s="9">
        <f>VLOOKUP(D240,'IPDM_saúde   (IPARDES-PR)'!$A$4:$N$466,14,FALSE)</f>
        <v>0.89399090777301637</v>
      </c>
      <c r="L240" s="10" t="str">
        <f t="shared" si="6"/>
        <v>Norte - A10</v>
      </c>
    </row>
    <row r="241" spans="1:12" x14ac:dyDescent="0.2">
      <c r="A241" s="5" t="s">
        <v>177</v>
      </c>
      <c r="B241" s="148" t="s">
        <v>419</v>
      </c>
      <c r="C241" s="7" t="s">
        <v>430</v>
      </c>
      <c r="D241" s="4" t="s">
        <v>52</v>
      </c>
      <c r="E241" s="142">
        <f>VLOOKUP(D241,'IDHM (IBGE2022)'!$A$4:$N$402,14,FALSE)</f>
        <v>85411.18</v>
      </c>
      <c r="F241" s="90">
        <f>VLOOKUP(D241,'IDHM (IBGE2022)'!$A$4:$J$402,10,FALSE)</f>
        <v>0.73399999999999999</v>
      </c>
      <c r="G241" s="92">
        <f t="shared" si="7"/>
        <v>0.81189028798199558</v>
      </c>
      <c r="H241" s="9">
        <f>VLOOKUP(D241,'IPDM_renda  (IPARDES-PR)'!$A$4:$N$420,14,FALSE)</f>
        <v>0.63970115406192207</v>
      </c>
      <c r="I241" s="9">
        <f>VLOOKUP(D241,'IPDM_educação  (IPARDES-PR)'!$A$4:$N$420,14,FALSE)</f>
        <v>0.91759275586457067</v>
      </c>
      <c r="J241" s="9">
        <f>VLOOKUP(D241,'IPDM_saúde   (IPARDES-PR)'!$A$4:$N$466,14,FALSE)</f>
        <v>0.87837695401949389</v>
      </c>
      <c r="L241" s="10" t="str">
        <f t="shared" si="6"/>
        <v>Norte - A10</v>
      </c>
    </row>
    <row r="242" spans="1:12" x14ac:dyDescent="0.2">
      <c r="A242" s="5" t="s">
        <v>186</v>
      </c>
      <c r="B242" s="149" t="s">
        <v>418</v>
      </c>
      <c r="C242" s="145" t="s">
        <v>421</v>
      </c>
      <c r="D242" s="4" t="s">
        <v>187</v>
      </c>
      <c r="E242" s="142">
        <f>VLOOKUP(D242,'IDHM (IBGE2022)'!$A$4:$N$402,14,FALSE)</f>
        <v>55572.79</v>
      </c>
      <c r="F242" s="90">
        <f>VLOOKUP(D242,'IDHM (IBGE2022)'!$A$4:$J$402,10,FALSE)</f>
        <v>0.72099999999999997</v>
      </c>
      <c r="G242" s="92">
        <f t="shared" si="7"/>
        <v>0.78620065651691073</v>
      </c>
      <c r="H242" s="9">
        <f>VLOOKUP(D242,'IPDM_renda  (IPARDES-PR)'!$A$4:$N$420,14,FALSE)</f>
        <v>0.49082507298549982</v>
      </c>
      <c r="I242" s="9">
        <f>VLOOKUP(D242,'IPDM_educação  (IPARDES-PR)'!$A$4:$N$420,14,FALSE)</f>
        <v>0.89489046835444719</v>
      </c>
      <c r="J242" s="9">
        <f>VLOOKUP(D242,'IPDM_saúde   (IPARDES-PR)'!$A$4:$N$466,14,FALSE)</f>
        <v>0.97288642821078553</v>
      </c>
      <c r="L242" s="10" t="str">
        <f t="shared" si="6"/>
        <v>Noroeste - A01</v>
      </c>
    </row>
    <row r="243" spans="1:12" x14ac:dyDescent="0.2">
      <c r="A243" s="5" t="s">
        <v>186</v>
      </c>
      <c r="B243" s="149" t="s">
        <v>418</v>
      </c>
      <c r="C243" s="145" t="s">
        <v>421</v>
      </c>
      <c r="D243" s="4" t="s">
        <v>89</v>
      </c>
      <c r="E243" s="142">
        <f>VLOOKUP(D243,'IDHM (IBGE2022)'!$A$4:$N$402,14,FALSE)</f>
        <v>45723.88</v>
      </c>
      <c r="F243" s="90">
        <f>VLOOKUP(D243,'IDHM (IBGE2022)'!$A$4:$J$402,10,FALSE)</f>
        <v>0.747</v>
      </c>
      <c r="G243" s="92">
        <f t="shared" si="7"/>
        <v>0.76889257225075047</v>
      </c>
      <c r="H243" s="9">
        <f>VLOOKUP(D243,'IPDM_renda  (IPARDES-PR)'!$A$4:$N$420,14,FALSE)</f>
        <v>0.51691449189380712</v>
      </c>
      <c r="I243" s="9">
        <f>VLOOKUP(D243,'IPDM_educação  (IPARDES-PR)'!$A$4:$N$420,14,FALSE)</f>
        <v>0.94351706317864792</v>
      </c>
      <c r="J243" s="9">
        <f>VLOOKUP(D243,'IPDM_saúde   (IPARDES-PR)'!$A$4:$N$466,14,FALSE)</f>
        <v>0.84624616167979649</v>
      </c>
      <c r="L243" s="10" t="str">
        <f t="shared" si="6"/>
        <v>Noroeste - A01</v>
      </c>
    </row>
    <row r="244" spans="1:12" x14ac:dyDescent="0.2">
      <c r="A244" s="5" t="s">
        <v>186</v>
      </c>
      <c r="B244" s="149" t="s">
        <v>418</v>
      </c>
      <c r="C244" s="145" t="s">
        <v>421</v>
      </c>
      <c r="D244" s="4" t="s">
        <v>103</v>
      </c>
      <c r="E244" s="142">
        <f>VLOOKUP(D244,'IDHM (IBGE2022)'!$A$4:$N$402,14,FALSE)</f>
        <v>46262.76</v>
      </c>
      <c r="F244" s="90">
        <f>VLOOKUP(D244,'IDHM (IBGE2022)'!$A$4:$J$402,10,FALSE)</f>
        <v>0.69299999999999995</v>
      </c>
      <c r="G244" s="92">
        <f t="shared" si="7"/>
        <v>0.79694390596124542</v>
      </c>
      <c r="H244" s="9">
        <f>VLOOKUP(D244,'IPDM_renda  (IPARDES-PR)'!$A$4:$N$420,14,FALSE)</f>
        <v>0.50182611781863329</v>
      </c>
      <c r="I244" s="9">
        <f>VLOOKUP(D244,'IPDM_educação  (IPARDES-PR)'!$A$4:$N$420,14,FALSE)</f>
        <v>0.93814362841564491</v>
      </c>
      <c r="J244" s="9">
        <f>VLOOKUP(D244,'IPDM_saúde   (IPARDES-PR)'!$A$4:$N$466,14,FALSE)</f>
        <v>0.95086197164945807</v>
      </c>
      <c r="L244" s="10" t="str">
        <f t="shared" si="6"/>
        <v>Noroeste - A01</v>
      </c>
    </row>
    <row r="245" spans="1:12" x14ac:dyDescent="0.2">
      <c r="A245" s="5" t="s">
        <v>186</v>
      </c>
      <c r="B245" s="149" t="s">
        <v>418</v>
      </c>
      <c r="C245" s="145" t="s">
        <v>421</v>
      </c>
      <c r="D245" s="4" t="s">
        <v>188</v>
      </c>
      <c r="E245" s="142">
        <f>VLOOKUP(D245,'IDHM (IBGE2022)'!$A$4:$N$402,14,FALSE)</f>
        <v>51174.35</v>
      </c>
      <c r="F245" s="90">
        <f>VLOOKUP(D245,'IDHM (IBGE2022)'!$A$4:$J$402,10,FALSE)</f>
        <v>0.73</v>
      </c>
      <c r="G245" s="92">
        <f t="shared" si="7"/>
        <v>0.77873391225673982</v>
      </c>
      <c r="H245" s="9">
        <f>VLOOKUP(D245,'IPDM_renda  (IPARDES-PR)'!$A$4:$N$420,14,FALSE)</f>
        <v>0.59354421787938361</v>
      </c>
      <c r="I245" s="9">
        <f>VLOOKUP(D245,'IPDM_educação  (IPARDES-PR)'!$A$4:$N$420,14,FALSE)</f>
        <v>0.88757281104975627</v>
      </c>
      <c r="J245" s="9">
        <f>VLOOKUP(D245,'IPDM_saúde   (IPARDES-PR)'!$A$4:$N$466,14,FALSE)</f>
        <v>0.85508470784107982</v>
      </c>
      <c r="L245" s="10" t="str">
        <f t="shared" si="6"/>
        <v>Noroeste - A01</v>
      </c>
    </row>
    <row r="246" spans="1:12" x14ac:dyDescent="0.2">
      <c r="A246" s="5" t="s">
        <v>186</v>
      </c>
      <c r="B246" s="149" t="s">
        <v>418</v>
      </c>
      <c r="C246" s="145" t="s">
        <v>421</v>
      </c>
      <c r="D246" s="4" t="s">
        <v>92</v>
      </c>
      <c r="E246" s="142">
        <f>VLOOKUP(D246,'IDHM (IBGE2022)'!$A$4:$N$402,14,FALSE)</f>
        <v>40499.33</v>
      </c>
      <c r="F246" s="90">
        <f>VLOOKUP(D246,'IDHM (IBGE2022)'!$A$4:$J$402,10,FALSE)</f>
        <v>0.69799999999999995</v>
      </c>
      <c r="G246" s="92">
        <f t="shared" si="7"/>
        <v>0.72874473217607638</v>
      </c>
      <c r="H246" s="9">
        <f>VLOOKUP(D246,'IPDM_renda  (IPARDES-PR)'!$A$4:$N$420,14,FALSE)</f>
        <v>0.54269246292209705</v>
      </c>
      <c r="I246" s="9">
        <f>VLOOKUP(D246,'IPDM_educação  (IPARDES-PR)'!$A$4:$N$420,14,FALSE)</f>
        <v>0.9288628401941359</v>
      </c>
      <c r="J246" s="9">
        <f>VLOOKUP(D246,'IPDM_saúde   (IPARDES-PR)'!$A$4:$N$466,14,FALSE)</f>
        <v>0.71467889341199609</v>
      </c>
      <c r="L246" s="10" t="str">
        <f t="shared" si="6"/>
        <v>Noroeste - A01</v>
      </c>
    </row>
    <row r="247" spans="1:12" x14ac:dyDescent="0.2">
      <c r="A247" s="5" t="s">
        <v>186</v>
      </c>
      <c r="B247" s="149" t="s">
        <v>418</v>
      </c>
      <c r="C247" s="145" t="s">
        <v>421</v>
      </c>
      <c r="D247" s="4" t="s">
        <v>189</v>
      </c>
      <c r="E247" s="142">
        <f>VLOOKUP(D247,'IDHM (IBGE2022)'!$A$4:$N$402,14,FALSE)</f>
        <v>50048.33</v>
      </c>
      <c r="F247" s="90">
        <f>VLOOKUP(D247,'IDHM (IBGE2022)'!$A$4:$J$402,10,FALSE)</f>
        <v>0.75800000000000001</v>
      </c>
      <c r="G247" s="92">
        <f t="shared" si="7"/>
        <v>0.78301186361775876</v>
      </c>
      <c r="H247" s="9">
        <f>VLOOKUP(D247,'IPDM_renda  (IPARDES-PR)'!$A$4:$N$420,14,FALSE)</f>
        <v>0.52016252254665996</v>
      </c>
      <c r="I247" s="9">
        <f>VLOOKUP(D247,'IPDM_educação  (IPARDES-PR)'!$A$4:$N$420,14,FALSE)</f>
        <v>0.90541355551687952</v>
      </c>
      <c r="J247" s="9">
        <f>VLOOKUP(D247,'IPDM_saúde   (IPARDES-PR)'!$A$4:$N$466,14,FALSE)</f>
        <v>0.9234595127897367</v>
      </c>
      <c r="L247" s="10" t="str">
        <f t="shared" si="6"/>
        <v>Noroeste - A01</v>
      </c>
    </row>
    <row r="248" spans="1:12" x14ac:dyDescent="0.2">
      <c r="A248" s="5" t="s">
        <v>186</v>
      </c>
      <c r="B248" s="149" t="s">
        <v>418</v>
      </c>
      <c r="C248" s="145" t="s">
        <v>421</v>
      </c>
      <c r="D248" s="4" t="s">
        <v>190</v>
      </c>
      <c r="E248" s="142">
        <f>VLOOKUP(D248,'IDHM (IBGE2022)'!$A$4:$N$402,14,FALSE)</f>
        <v>36664.75</v>
      </c>
      <c r="F248" s="90">
        <f>VLOOKUP(D248,'IDHM (IBGE2022)'!$A$4:$J$402,10,FALSE)</f>
        <v>0.70699999999999996</v>
      </c>
      <c r="G248" s="92">
        <f t="shared" si="7"/>
        <v>0.74290208566138904</v>
      </c>
      <c r="H248" s="9">
        <f>VLOOKUP(D248,'IPDM_renda  (IPARDES-PR)'!$A$4:$N$420,14,FALSE)</f>
        <v>0.4091433977264522</v>
      </c>
      <c r="I248" s="9">
        <f>VLOOKUP(D248,'IPDM_educação  (IPARDES-PR)'!$A$4:$N$420,14,FALSE)</f>
        <v>0.85885567437677879</v>
      </c>
      <c r="J248" s="9">
        <f>VLOOKUP(D248,'IPDM_saúde   (IPARDES-PR)'!$A$4:$N$466,14,FALSE)</f>
        <v>0.96070718488093598</v>
      </c>
      <c r="L248" s="10" t="str">
        <f t="shared" si="6"/>
        <v>Noroeste - A01</v>
      </c>
    </row>
    <row r="249" spans="1:12" x14ac:dyDescent="0.2">
      <c r="A249" s="5" t="s">
        <v>186</v>
      </c>
      <c r="B249" s="149" t="s">
        <v>418</v>
      </c>
      <c r="C249" s="145" t="s">
        <v>421</v>
      </c>
      <c r="D249" s="4" t="s">
        <v>191</v>
      </c>
      <c r="E249" s="142">
        <f>VLOOKUP(D249,'IDHM (IBGE2022)'!$A$4:$N$402,14,FALSE)</f>
        <v>72455.61</v>
      </c>
      <c r="F249" s="90">
        <f>VLOOKUP(D249,'IDHM (IBGE2022)'!$A$4:$J$402,10,FALSE)</f>
        <v>0.74399999999999999</v>
      </c>
      <c r="G249" s="92">
        <f t="shared" si="7"/>
        <v>0.70943366898669302</v>
      </c>
      <c r="H249" s="9">
        <f>VLOOKUP(D249,'IPDM_renda  (IPARDES-PR)'!$A$4:$N$420,14,FALSE)</f>
        <v>0.51143897990338294</v>
      </c>
      <c r="I249" s="9">
        <f>VLOOKUP(D249,'IPDM_educação  (IPARDES-PR)'!$A$4:$N$420,14,FALSE)</f>
        <v>0.95373756729207404</v>
      </c>
      <c r="J249" s="9">
        <f>VLOOKUP(D249,'IPDM_saúde   (IPARDES-PR)'!$A$4:$N$466,14,FALSE)</f>
        <v>0.66312445976462231</v>
      </c>
      <c r="L249" s="10" t="str">
        <f t="shared" si="6"/>
        <v>Noroeste - A01</v>
      </c>
    </row>
    <row r="250" spans="1:12" x14ac:dyDescent="0.2">
      <c r="A250" s="5" t="s">
        <v>186</v>
      </c>
      <c r="B250" s="149" t="s">
        <v>418</v>
      </c>
      <c r="C250" s="145" t="s">
        <v>421</v>
      </c>
      <c r="D250" s="4" t="s">
        <v>192</v>
      </c>
      <c r="E250" s="142">
        <f>VLOOKUP(D250,'IDHM (IBGE2022)'!$A$4:$N$402,14,FALSE)</f>
        <v>67903.990000000005</v>
      </c>
      <c r="F250" s="90">
        <f>VLOOKUP(D250,'IDHM (IBGE2022)'!$A$4:$J$402,10,FALSE)</f>
        <v>0.80800000000000005</v>
      </c>
      <c r="G250" s="92">
        <f t="shared" si="7"/>
        <v>0.8463961733077543</v>
      </c>
      <c r="H250" s="9">
        <f>VLOOKUP(D250,'IPDM_renda  (IPARDES-PR)'!$A$4:$N$420,14,FALSE)</f>
        <v>0.70112007088836847</v>
      </c>
      <c r="I250" s="9">
        <f>VLOOKUP(D250,'IPDM_educação  (IPARDES-PR)'!$A$4:$N$420,14,FALSE)</f>
        <v>0.94514757117122794</v>
      </c>
      <c r="J250" s="9">
        <f>VLOOKUP(D250,'IPDM_saúde   (IPARDES-PR)'!$A$4:$N$466,14,FALSE)</f>
        <v>0.89292087786366625</v>
      </c>
      <c r="L250" s="10" t="str">
        <f t="shared" si="6"/>
        <v>Noroeste - A01</v>
      </c>
    </row>
    <row r="251" spans="1:12" x14ac:dyDescent="0.2">
      <c r="A251" s="5" t="s">
        <v>186</v>
      </c>
      <c r="B251" s="149" t="s">
        <v>418</v>
      </c>
      <c r="C251" s="145" t="s">
        <v>421</v>
      </c>
      <c r="D251" s="3" t="s">
        <v>479</v>
      </c>
      <c r="E251" s="142">
        <f>VLOOKUP(D251,'IDHM (IBGE2022)'!$A$4:$N$402,14,FALSE)</f>
        <v>44713.57</v>
      </c>
      <c r="F251" s="90">
        <f>VLOOKUP(D251,'IDHM (IBGE2022)'!$A$4:$J$402,10,FALSE)</f>
        <v>0.72599999999999998</v>
      </c>
      <c r="G251" s="92">
        <f t="shared" si="7"/>
        <v>0.762649523415042</v>
      </c>
      <c r="H251" s="9">
        <f>VLOOKUP(D251,'IPDM_renda  (IPARDES-PR)'!$A$4:$N$420,14,FALSE)</f>
        <v>0.44623875845880939</v>
      </c>
      <c r="I251" s="9">
        <f>VLOOKUP(D251,'IPDM_educação  (IPARDES-PR)'!$A$4:$N$420,14,FALSE)</f>
        <v>0.91882408380437608</v>
      </c>
      <c r="J251" s="9">
        <f>VLOOKUP(D251,'IPDM_saúde   (IPARDES-PR)'!$A$4:$N$466,14,FALSE)</f>
        <v>0.92288572798194035</v>
      </c>
      <c r="L251" s="10" t="str">
        <f t="shared" si="6"/>
        <v>Noroeste - A01</v>
      </c>
    </row>
    <row r="252" spans="1:12" x14ac:dyDescent="0.2">
      <c r="A252" s="5" t="s">
        <v>186</v>
      </c>
      <c r="B252" s="149" t="s">
        <v>418</v>
      </c>
      <c r="C252" s="145" t="s">
        <v>421</v>
      </c>
      <c r="D252" s="4" t="s">
        <v>95</v>
      </c>
      <c r="E252" s="142">
        <f>VLOOKUP(D252,'IDHM (IBGE2022)'!$A$4:$N$402,14,FALSE)</f>
        <v>34590.58</v>
      </c>
      <c r="F252" s="90">
        <f>VLOOKUP(D252,'IDHM (IBGE2022)'!$A$4:$J$402,10,FALSE)</f>
        <v>0.70899999999999996</v>
      </c>
      <c r="G252" s="92">
        <f t="shared" si="7"/>
        <v>0.71644038305974567</v>
      </c>
      <c r="H252" s="9">
        <f>VLOOKUP(D252,'IPDM_renda  (IPARDES-PR)'!$A$4:$N$420,14,FALSE)</f>
        <v>0.45708693803356348</v>
      </c>
      <c r="I252" s="9">
        <f>VLOOKUP(D252,'IPDM_educação  (IPARDES-PR)'!$A$4:$N$420,14,FALSE)</f>
        <v>0.75462833813136543</v>
      </c>
      <c r="J252" s="9">
        <f>VLOOKUP(D252,'IPDM_saúde   (IPARDES-PR)'!$A$4:$N$466,14,FALSE)</f>
        <v>0.93760587301430798</v>
      </c>
      <c r="L252" s="10" t="str">
        <f t="shared" si="6"/>
        <v>Noroeste - A01</v>
      </c>
    </row>
    <row r="253" spans="1:12" x14ac:dyDescent="0.2">
      <c r="A253" s="5" t="s">
        <v>186</v>
      </c>
      <c r="B253" s="149" t="s">
        <v>418</v>
      </c>
      <c r="C253" s="145" t="s">
        <v>421</v>
      </c>
      <c r="D253" s="4" t="s">
        <v>193</v>
      </c>
      <c r="E253" s="142">
        <f>VLOOKUP(D253,'IDHM (IBGE2022)'!$A$4:$N$402,14,FALSE)</f>
        <v>39541.74</v>
      </c>
      <c r="F253" s="90">
        <f>VLOOKUP(D253,'IDHM (IBGE2022)'!$A$4:$J$402,10,FALSE)</f>
        <v>0.70499999999999996</v>
      </c>
      <c r="G253" s="92">
        <f t="shared" si="7"/>
        <v>0.78413018170404669</v>
      </c>
      <c r="H253" s="9">
        <f>VLOOKUP(D253,'IPDM_renda  (IPARDES-PR)'!$A$4:$N$420,14,FALSE)</f>
        <v>0.47528289958314884</v>
      </c>
      <c r="I253" s="9">
        <f>VLOOKUP(D253,'IPDM_educação  (IPARDES-PR)'!$A$4:$N$420,14,FALSE)</f>
        <v>0.91699915098093387</v>
      </c>
      <c r="J253" s="9">
        <f>VLOOKUP(D253,'IPDM_saúde   (IPARDES-PR)'!$A$4:$N$466,14,FALSE)</f>
        <v>0.96010849454805758</v>
      </c>
      <c r="L253" s="10" t="str">
        <f t="shared" si="6"/>
        <v>Noroeste - A01</v>
      </c>
    </row>
    <row r="254" spans="1:12" x14ac:dyDescent="0.2">
      <c r="A254" s="5" t="s">
        <v>186</v>
      </c>
      <c r="B254" s="149" t="s">
        <v>418</v>
      </c>
      <c r="C254" s="145" t="s">
        <v>421</v>
      </c>
      <c r="D254" s="4" t="s">
        <v>194</v>
      </c>
      <c r="E254" s="142">
        <f>VLOOKUP(D254,'IDHM (IBGE2022)'!$A$4:$N$402,14,FALSE)</f>
        <v>48715.71</v>
      </c>
      <c r="F254" s="90">
        <f>VLOOKUP(D254,'IDHM (IBGE2022)'!$A$4:$J$402,10,FALSE)</f>
        <v>0.71699999999999997</v>
      </c>
      <c r="G254" s="92">
        <f t="shared" si="7"/>
        <v>0.71552637241347217</v>
      </c>
      <c r="H254" s="9">
        <f>VLOOKUP(D254,'IPDM_renda  (IPARDES-PR)'!$A$4:$N$420,14,FALSE)</f>
        <v>0.44156382340974815</v>
      </c>
      <c r="I254" s="9">
        <f>VLOOKUP(D254,'IPDM_educação  (IPARDES-PR)'!$A$4:$N$420,14,FALSE)</f>
        <v>0.79899045705675553</v>
      </c>
      <c r="J254" s="9">
        <f>VLOOKUP(D254,'IPDM_saúde   (IPARDES-PR)'!$A$4:$N$466,14,FALSE)</f>
        <v>0.90602483677391288</v>
      </c>
      <c r="L254" s="10" t="str">
        <f t="shared" si="6"/>
        <v>Noroeste - A01</v>
      </c>
    </row>
    <row r="255" spans="1:12" x14ac:dyDescent="0.2">
      <c r="A255" s="5" t="s">
        <v>186</v>
      </c>
      <c r="B255" s="149" t="s">
        <v>418</v>
      </c>
      <c r="C255" s="145" t="s">
        <v>421</v>
      </c>
      <c r="D255" s="4" t="s">
        <v>109</v>
      </c>
      <c r="E255" s="142">
        <f>VLOOKUP(D255,'IDHM (IBGE2022)'!$A$4:$N$402,14,FALSE)</f>
        <v>135370.89000000001</v>
      </c>
      <c r="F255" s="90">
        <f>VLOOKUP(D255,'IDHM (IBGE2022)'!$A$4:$J$402,10,FALSE)</f>
        <v>0.73899999999999999</v>
      </c>
      <c r="G255" s="92">
        <f t="shared" si="7"/>
        <v>0.85177502068984312</v>
      </c>
      <c r="H255" s="9">
        <f>VLOOKUP(D255,'IPDM_renda  (IPARDES-PR)'!$A$4:$N$420,14,FALSE)</f>
        <v>0.7530401714092384</v>
      </c>
      <c r="I255" s="9">
        <f>VLOOKUP(D255,'IPDM_educação  (IPARDES-PR)'!$A$4:$N$420,14,FALSE)</f>
        <v>0.89425548085174877</v>
      </c>
      <c r="J255" s="9">
        <f>VLOOKUP(D255,'IPDM_saúde   (IPARDES-PR)'!$A$4:$N$466,14,FALSE)</f>
        <v>0.9080294098085423</v>
      </c>
      <c r="L255" s="10" t="str">
        <f t="shared" si="6"/>
        <v>Noroeste - A01</v>
      </c>
    </row>
    <row r="256" spans="1:12" x14ac:dyDescent="0.2">
      <c r="A256" s="5" t="s">
        <v>195</v>
      </c>
      <c r="B256" s="149" t="s">
        <v>418</v>
      </c>
      <c r="C256" s="7" t="s">
        <v>422</v>
      </c>
      <c r="D256" s="4" t="s">
        <v>196</v>
      </c>
      <c r="E256" s="142">
        <f>VLOOKUP(D256,'IDHM (IBGE2022)'!$A$4:$N$402,14,FALSE)</f>
        <v>31695.71</v>
      </c>
      <c r="F256" s="90">
        <f>VLOOKUP(D256,'IDHM (IBGE2022)'!$A$4:$J$402,10,FALSE)</f>
        <v>0.69599999999999995</v>
      </c>
      <c r="G256" s="92">
        <f t="shared" si="7"/>
        <v>0.7279074604881961</v>
      </c>
      <c r="H256" s="9">
        <f>VLOOKUP(D256,'IPDM_renda  (IPARDES-PR)'!$A$4:$N$420,14,FALSE)</f>
        <v>0.41263178508311144</v>
      </c>
      <c r="I256" s="9">
        <f>VLOOKUP(D256,'IPDM_educação  (IPARDES-PR)'!$A$4:$N$420,14,FALSE)</f>
        <v>0.86253929687958952</v>
      </c>
      <c r="J256" s="9">
        <f>VLOOKUP(D256,'IPDM_saúde   (IPARDES-PR)'!$A$4:$N$466,14,FALSE)</f>
        <v>0.9085512995018874</v>
      </c>
      <c r="L256" s="10" t="str">
        <f t="shared" si="6"/>
        <v>Noroeste - A02</v>
      </c>
    </row>
    <row r="257" spans="1:12" x14ac:dyDescent="0.2">
      <c r="A257" s="5" t="s">
        <v>195</v>
      </c>
      <c r="B257" s="149" t="s">
        <v>418</v>
      </c>
      <c r="C257" s="7" t="s">
        <v>422</v>
      </c>
      <c r="D257" s="4" t="s">
        <v>197</v>
      </c>
      <c r="E257" s="142">
        <f>VLOOKUP(D257,'IDHM (IBGE2022)'!$A$4:$N$402,14,FALSE)</f>
        <v>33681.51</v>
      </c>
      <c r="F257" s="90">
        <f>VLOOKUP(D257,'IDHM (IBGE2022)'!$A$4:$J$402,10,FALSE)</f>
        <v>0.68600000000000005</v>
      </c>
      <c r="G257" s="92">
        <f t="shared" si="7"/>
        <v>0.73035693255316814</v>
      </c>
      <c r="H257" s="9">
        <f>VLOOKUP(D257,'IPDM_renda  (IPARDES-PR)'!$A$4:$N$420,14,FALSE)</f>
        <v>0.41814260388599422</v>
      </c>
      <c r="I257" s="9">
        <f>VLOOKUP(D257,'IPDM_educação  (IPARDES-PR)'!$A$4:$N$420,14,FALSE)</f>
        <v>0.86590643707345716</v>
      </c>
      <c r="J257" s="9">
        <f>VLOOKUP(D257,'IPDM_saúde   (IPARDES-PR)'!$A$4:$N$466,14,FALSE)</f>
        <v>0.90702175670005303</v>
      </c>
      <c r="L257" s="10" t="str">
        <f t="shared" si="6"/>
        <v>Noroeste - A02</v>
      </c>
    </row>
    <row r="258" spans="1:12" x14ac:dyDescent="0.2">
      <c r="A258" s="5" t="s">
        <v>195</v>
      </c>
      <c r="B258" s="149" t="s">
        <v>418</v>
      </c>
      <c r="C258" s="7" t="s">
        <v>422</v>
      </c>
      <c r="D258" s="4" t="s">
        <v>198</v>
      </c>
      <c r="E258" s="142">
        <f>VLOOKUP(D258,'IDHM (IBGE2022)'!$A$4:$N$402,14,FALSE)</f>
        <v>27908.16</v>
      </c>
      <c r="F258" s="90">
        <f>VLOOKUP(D258,'IDHM (IBGE2022)'!$A$4:$J$402,10,FALSE)</f>
        <v>0.63800000000000001</v>
      </c>
      <c r="G258" s="92">
        <f t="shared" si="7"/>
        <v>0.6985636187372154</v>
      </c>
      <c r="H258" s="9">
        <f>VLOOKUP(D258,'IPDM_renda  (IPARDES-PR)'!$A$4:$N$420,14,FALSE)</f>
        <v>0.44252239704367258</v>
      </c>
      <c r="I258" s="9">
        <f>VLOOKUP(D258,'IPDM_educação  (IPARDES-PR)'!$A$4:$N$420,14,FALSE)</f>
        <v>0.87700109250842162</v>
      </c>
      <c r="J258" s="9">
        <f>VLOOKUP(D258,'IPDM_saúde   (IPARDES-PR)'!$A$4:$N$466,14,FALSE)</f>
        <v>0.77616736665955199</v>
      </c>
      <c r="L258" s="10" t="str">
        <f t="shared" si="6"/>
        <v>Noroeste - A02</v>
      </c>
    </row>
    <row r="259" spans="1:12" x14ac:dyDescent="0.2">
      <c r="A259" s="5" t="s">
        <v>195</v>
      </c>
      <c r="B259" s="149" t="s">
        <v>418</v>
      </c>
      <c r="C259" s="7" t="s">
        <v>422</v>
      </c>
      <c r="D259" s="4" t="s">
        <v>199</v>
      </c>
      <c r="E259" s="142">
        <f>VLOOKUP(D259,'IDHM (IBGE2022)'!$A$4:$N$402,14,FALSE)</f>
        <v>56098.46</v>
      </c>
      <c r="F259" s="90">
        <f>VLOOKUP(D259,'IDHM (IBGE2022)'!$A$4:$J$402,10,FALSE)</f>
        <v>0.73</v>
      </c>
      <c r="G259" s="92">
        <f t="shared" si="7"/>
        <v>0.73386467711440595</v>
      </c>
      <c r="H259" s="9">
        <f>VLOOKUP(D259,'IPDM_renda  (IPARDES-PR)'!$A$4:$N$420,14,FALSE)</f>
        <v>0.47338622700226485</v>
      </c>
      <c r="I259" s="9">
        <f>VLOOKUP(D259,'IPDM_educação  (IPARDES-PR)'!$A$4:$N$420,14,FALSE)</f>
        <v>0.96103161426648032</v>
      </c>
      <c r="J259" s="9">
        <f>VLOOKUP(D259,'IPDM_saúde   (IPARDES-PR)'!$A$4:$N$466,14,FALSE)</f>
        <v>0.76717619007447269</v>
      </c>
      <c r="L259" s="10" t="str">
        <f t="shared" si="6"/>
        <v>Noroeste - A02</v>
      </c>
    </row>
    <row r="260" spans="1:12" x14ac:dyDescent="0.2">
      <c r="A260" s="5" t="s">
        <v>195</v>
      </c>
      <c r="B260" s="149" t="s">
        <v>418</v>
      </c>
      <c r="C260" s="7" t="s">
        <v>422</v>
      </c>
      <c r="D260" s="4" t="s">
        <v>155</v>
      </c>
      <c r="E260" s="142">
        <f>VLOOKUP(D260,'IDHM (IBGE2022)'!$A$4:$N$402,14,FALSE)</f>
        <v>54234.99</v>
      </c>
      <c r="F260" s="90">
        <f>VLOOKUP(D260,'IDHM (IBGE2022)'!$A$4:$J$402,10,FALSE)</f>
        <v>0.71599999999999997</v>
      </c>
      <c r="G260" s="92">
        <f t="shared" si="7"/>
        <v>0.71724689610999681</v>
      </c>
      <c r="H260" s="9">
        <f>VLOOKUP(D260,'IPDM_renda  (IPARDES-PR)'!$A$4:$N$420,14,FALSE)</f>
        <v>0.45867810841797607</v>
      </c>
      <c r="I260" s="9">
        <f>VLOOKUP(D260,'IPDM_educação  (IPARDES-PR)'!$A$4:$N$420,14,FALSE)</f>
        <v>0.80575879820057028</v>
      </c>
      <c r="J260" s="9">
        <f>VLOOKUP(D260,'IPDM_saúde   (IPARDES-PR)'!$A$4:$N$466,14,FALSE)</f>
        <v>0.88730378171144419</v>
      </c>
      <c r="L260" s="10" t="str">
        <f t="shared" ref="L260:L323" si="8">B260&amp;" - "&amp;C260</f>
        <v>Noroeste - A02</v>
      </c>
    </row>
    <row r="261" spans="1:12" x14ac:dyDescent="0.2">
      <c r="A261" s="5" t="s">
        <v>195</v>
      </c>
      <c r="B261" s="149" t="s">
        <v>418</v>
      </c>
      <c r="C261" s="7" t="s">
        <v>422</v>
      </c>
      <c r="D261" s="4" t="s">
        <v>200</v>
      </c>
      <c r="E261" s="142">
        <f>VLOOKUP(D261,'IDHM (IBGE2022)'!$A$4:$N$402,14,FALSE)</f>
        <v>34828.85</v>
      </c>
      <c r="F261" s="90">
        <f>VLOOKUP(D261,'IDHM (IBGE2022)'!$A$4:$J$402,10,FALSE)</f>
        <v>0.73599999999999999</v>
      </c>
      <c r="G261" s="92">
        <f t="shared" ref="G261:G324" si="9">AVERAGE(H261:J261)</f>
        <v>0.76425394329325069</v>
      </c>
      <c r="H261" s="9">
        <f>VLOOKUP(D261,'IPDM_renda  (IPARDES-PR)'!$A$4:$N$420,14,FALSE)</f>
        <v>0.44863317210890569</v>
      </c>
      <c r="I261" s="9">
        <f>VLOOKUP(D261,'IPDM_educação  (IPARDES-PR)'!$A$4:$N$420,14,FALSE)</f>
        <v>0.87292350234992711</v>
      </c>
      <c r="J261" s="9">
        <f>VLOOKUP(D261,'IPDM_saúde   (IPARDES-PR)'!$A$4:$N$466,14,FALSE)</f>
        <v>0.97120515542091945</v>
      </c>
      <c r="L261" s="10" t="str">
        <f t="shared" si="8"/>
        <v>Noroeste - A02</v>
      </c>
    </row>
    <row r="262" spans="1:12" x14ac:dyDescent="0.2">
      <c r="A262" s="5" t="s">
        <v>195</v>
      </c>
      <c r="B262" s="149" t="s">
        <v>418</v>
      </c>
      <c r="C262" s="7" t="s">
        <v>422</v>
      </c>
      <c r="D262" s="4" t="s">
        <v>201</v>
      </c>
      <c r="E262" s="142">
        <f>VLOOKUP(D262,'IDHM (IBGE2022)'!$A$4:$N$402,14,FALSE)</f>
        <v>45168.14</v>
      </c>
      <c r="F262" s="90">
        <f>VLOOKUP(D262,'IDHM (IBGE2022)'!$A$4:$J$402,10,FALSE)</f>
        <v>0.746</v>
      </c>
      <c r="G262" s="92">
        <f t="shared" si="9"/>
        <v>0.70240597316732289</v>
      </c>
      <c r="H262" s="9">
        <f>VLOOKUP(D262,'IPDM_renda  (IPARDES-PR)'!$A$4:$N$420,14,FALSE)</f>
        <v>0.44861594240926134</v>
      </c>
      <c r="I262" s="9">
        <f>VLOOKUP(D262,'IPDM_educação  (IPARDES-PR)'!$A$4:$N$420,14,FALSE)</f>
        <v>0.89630519396828279</v>
      </c>
      <c r="J262" s="9">
        <f>VLOOKUP(D262,'IPDM_saúde   (IPARDES-PR)'!$A$4:$N$466,14,FALSE)</f>
        <v>0.7622967831244245</v>
      </c>
      <c r="L262" s="10" t="str">
        <f t="shared" si="8"/>
        <v>Noroeste - A02</v>
      </c>
    </row>
    <row r="263" spans="1:12" x14ac:dyDescent="0.2">
      <c r="A263" s="5" t="s">
        <v>195</v>
      </c>
      <c r="B263" s="149" t="s">
        <v>418</v>
      </c>
      <c r="C263" s="7" t="s">
        <v>422</v>
      </c>
      <c r="D263" s="4" t="s">
        <v>202</v>
      </c>
      <c r="E263" s="142">
        <f>VLOOKUP(D263,'IDHM (IBGE2022)'!$A$4:$N$402,14,FALSE)</f>
        <v>44978.71</v>
      </c>
      <c r="F263" s="90">
        <f>VLOOKUP(D263,'IDHM (IBGE2022)'!$A$4:$J$402,10,FALSE)</f>
        <v>0.747</v>
      </c>
      <c r="G263" s="92">
        <f t="shared" si="9"/>
        <v>0.80278532149177406</v>
      </c>
      <c r="H263" s="9">
        <f>VLOOKUP(D263,'IPDM_renda  (IPARDES-PR)'!$A$4:$N$420,14,FALSE)</f>
        <v>0.54583601940808157</v>
      </c>
      <c r="I263" s="9">
        <f>VLOOKUP(D263,'IPDM_educação  (IPARDES-PR)'!$A$4:$N$420,14,FALSE)</f>
        <v>0.95829550098026217</v>
      </c>
      <c r="J263" s="9">
        <f>VLOOKUP(D263,'IPDM_saúde   (IPARDES-PR)'!$A$4:$N$466,14,FALSE)</f>
        <v>0.90422444408697844</v>
      </c>
      <c r="L263" s="10" t="str">
        <f t="shared" si="8"/>
        <v>Noroeste - A02</v>
      </c>
    </row>
    <row r="264" spans="1:12" x14ac:dyDescent="0.2">
      <c r="A264" s="5" t="s">
        <v>195</v>
      </c>
      <c r="B264" s="149" t="s">
        <v>418</v>
      </c>
      <c r="C264" s="7" t="s">
        <v>422</v>
      </c>
      <c r="D264" s="4" t="s">
        <v>159</v>
      </c>
      <c r="E264" s="142">
        <f>VLOOKUP(D264,'IDHM (IBGE2022)'!$A$4:$N$402,14,FALSE)</f>
        <v>43918.879999999997</v>
      </c>
      <c r="F264" s="90">
        <f>VLOOKUP(D264,'IDHM (IBGE2022)'!$A$4:$J$402,10,FALSE)</f>
        <v>0.72099999999999997</v>
      </c>
      <c r="G264" s="92">
        <f t="shared" si="9"/>
        <v>0.76196962874763086</v>
      </c>
      <c r="H264" s="9">
        <f>VLOOKUP(D264,'IPDM_renda  (IPARDES-PR)'!$A$4:$N$420,14,FALSE)</f>
        <v>0.41267406151385549</v>
      </c>
      <c r="I264" s="9">
        <f>VLOOKUP(D264,'IPDM_educação  (IPARDES-PR)'!$A$4:$N$420,14,FALSE)</f>
        <v>0.95521512254230945</v>
      </c>
      <c r="J264" s="9">
        <f>VLOOKUP(D264,'IPDM_saúde   (IPARDES-PR)'!$A$4:$N$466,14,FALSE)</f>
        <v>0.91801970218672757</v>
      </c>
      <c r="L264" s="10" t="str">
        <f t="shared" si="8"/>
        <v>Noroeste - A02</v>
      </c>
    </row>
    <row r="265" spans="1:12" x14ac:dyDescent="0.2">
      <c r="A265" s="5" t="s">
        <v>195</v>
      </c>
      <c r="B265" s="149" t="s">
        <v>418</v>
      </c>
      <c r="C265" s="7" t="s">
        <v>422</v>
      </c>
      <c r="D265" s="4" t="s">
        <v>203</v>
      </c>
      <c r="E265" s="142">
        <f>VLOOKUP(D265,'IDHM (IBGE2022)'!$A$4:$N$402,14,FALSE)</f>
        <v>70837.509999999995</v>
      </c>
      <c r="F265" s="90">
        <f>VLOOKUP(D265,'IDHM (IBGE2022)'!$A$4:$J$402,10,FALSE)</f>
        <v>0.73499999999999999</v>
      </c>
      <c r="G265" s="92">
        <f t="shared" si="9"/>
        <v>0.80582819873993772</v>
      </c>
      <c r="H265" s="9">
        <f>VLOOKUP(D265,'IPDM_renda  (IPARDES-PR)'!$A$4:$N$420,14,FALSE)</f>
        <v>0.57778420809006015</v>
      </c>
      <c r="I265" s="9">
        <f>VLOOKUP(D265,'IPDM_educação  (IPARDES-PR)'!$A$4:$N$420,14,FALSE)</f>
        <v>0.93041147325433182</v>
      </c>
      <c r="J265" s="9">
        <f>VLOOKUP(D265,'IPDM_saúde   (IPARDES-PR)'!$A$4:$N$466,14,FALSE)</f>
        <v>0.90928891487542085</v>
      </c>
      <c r="L265" s="10" t="str">
        <f t="shared" si="8"/>
        <v>Noroeste - A02</v>
      </c>
    </row>
    <row r="266" spans="1:12" x14ac:dyDescent="0.2">
      <c r="A266" s="5" t="s">
        <v>195</v>
      </c>
      <c r="B266" s="149" t="s">
        <v>418</v>
      </c>
      <c r="C266" s="7" t="s">
        <v>422</v>
      </c>
      <c r="D266" s="4" t="s">
        <v>204</v>
      </c>
      <c r="E266" s="142">
        <f>VLOOKUP(D266,'IDHM (IBGE2022)'!$A$4:$N$402,14,FALSE)</f>
        <v>28583.37</v>
      </c>
      <c r="F266" s="90">
        <f>VLOOKUP(D266,'IDHM (IBGE2022)'!$A$4:$J$402,10,FALSE)</f>
        <v>0.72099999999999997</v>
      </c>
      <c r="G266" s="92">
        <f t="shared" si="9"/>
        <v>0.72064206327388447</v>
      </c>
      <c r="H266" s="9">
        <f>VLOOKUP(D266,'IPDM_renda  (IPARDES-PR)'!$A$4:$N$420,14,FALSE)</f>
        <v>0.33910984426527307</v>
      </c>
      <c r="I266" s="9">
        <f>VLOOKUP(D266,'IPDM_educação  (IPARDES-PR)'!$A$4:$N$420,14,FALSE)</f>
        <v>0.91999878368357635</v>
      </c>
      <c r="J266" s="9">
        <f>VLOOKUP(D266,'IPDM_saúde   (IPARDES-PR)'!$A$4:$N$466,14,FALSE)</f>
        <v>0.90281756187280393</v>
      </c>
      <c r="L266" s="10" t="str">
        <f t="shared" si="8"/>
        <v>Noroeste - A02</v>
      </c>
    </row>
    <row r="267" spans="1:12" x14ac:dyDescent="0.2">
      <c r="A267" s="5" t="s">
        <v>195</v>
      </c>
      <c r="B267" s="149" t="s">
        <v>418</v>
      </c>
      <c r="C267" s="7" t="s">
        <v>422</v>
      </c>
      <c r="D267" s="4" t="s">
        <v>205</v>
      </c>
      <c r="E267" s="142">
        <f>VLOOKUP(D267,'IDHM (IBGE2022)'!$A$4:$N$402,14,FALSE)</f>
        <v>62978.03</v>
      </c>
      <c r="F267" s="90">
        <f>VLOOKUP(D267,'IDHM (IBGE2022)'!$A$4:$J$402,10,FALSE)</f>
        <v>0.71499999999999997</v>
      </c>
      <c r="G267" s="92">
        <f t="shared" si="9"/>
        <v>0.71344771803272122</v>
      </c>
      <c r="H267" s="9">
        <f>VLOOKUP(D267,'IPDM_renda  (IPARDES-PR)'!$A$4:$N$420,14,FALSE)</f>
        <v>0.42265020959416016</v>
      </c>
      <c r="I267" s="9">
        <f>VLOOKUP(D267,'IPDM_educação  (IPARDES-PR)'!$A$4:$N$420,14,FALSE)</f>
        <v>0.8649362165766461</v>
      </c>
      <c r="J267" s="9">
        <f>VLOOKUP(D267,'IPDM_saúde   (IPARDES-PR)'!$A$4:$N$466,14,FALSE)</f>
        <v>0.85275672792735724</v>
      </c>
      <c r="L267" s="10" t="str">
        <f t="shared" si="8"/>
        <v>Noroeste - A02</v>
      </c>
    </row>
    <row r="268" spans="1:12" x14ac:dyDescent="0.2">
      <c r="A268" s="5" t="s">
        <v>195</v>
      </c>
      <c r="B268" s="149" t="s">
        <v>418</v>
      </c>
      <c r="C268" s="7" t="s">
        <v>422</v>
      </c>
      <c r="D268" s="4" t="s">
        <v>164</v>
      </c>
      <c r="E268" s="142">
        <f>VLOOKUP(D268,'IDHM (IBGE2022)'!$A$4:$N$402,14,FALSE)</f>
        <v>52135.59</v>
      </c>
      <c r="F268" s="90">
        <f>VLOOKUP(D268,'IDHM (IBGE2022)'!$A$4:$J$402,10,FALSE)</f>
        <v>0.71699999999999997</v>
      </c>
      <c r="G268" s="92">
        <f t="shared" si="9"/>
        <v>0.74820886505354078</v>
      </c>
      <c r="H268" s="9">
        <f>VLOOKUP(D268,'IPDM_renda  (IPARDES-PR)'!$A$4:$N$420,14,FALSE)</f>
        <v>0.49225021365444205</v>
      </c>
      <c r="I268" s="9">
        <f>VLOOKUP(D268,'IPDM_educação  (IPARDES-PR)'!$A$4:$N$420,14,FALSE)</f>
        <v>0.93533286678953786</v>
      </c>
      <c r="J268" s="9">
        <f>VLOOKUP(D268,'IPDM_saúde   (IPARDES-PR)'!$A$4:$N$466,14,FALSE)</f>
        <v>0.8170435147166426</v>
      </c>
      <c r="L268" s="10" t="str">
        <f t="shared" si="8"/>
        <v>Noroeste - A02</v>
      </c>
    </row>
    <row r="269" spans="1:12" x14ac:dyDescent="0.2">
      <c r="A269" s="5" t="s">
        <v>195</v>
      </c>
      <c r="B269" s="149" t="s">
        <v>418</v>
      </c>
      <c r="C269" s="7" t="s">
        <v>422</v>
      </c>
      <c r="D269" s="4" t="s">
        <v>206</v>
      </c>
      <c r="E269" s="142">
        <f>VLOOKUP(D269,'IDHM (IBGE2022)'!$A$4:$N$402,14,FALSE)</f>
        <v>40409.980000000003</v>
      </c>
      <c r="F269" s="90">
        <f>VLOOKUP(D269,'IDHM (IBGE2022)'!$A$4:$J$402,10,FALSE)</f>
        <v>0.72799999999999998</v>
      </c>
      <c r="G269" s="92">
        <f t="shared" si="9"/>
        <v>0.78092651621589482</v>
      </c>
      <c r="H269" s="9">
        <f>VLOOKUP(D269,'IPDM_renda  (IPARDES-PR)'!$A$4:$N$420,14,FALSE)</f>
        <v>0.51917401176664835</v>
      </c>
      <c r="I269" s="9">
        <f>VLOOKUP(D269,'IPDM_educação  (IPARDES-PR)'!$A$4:$N$420,14,FALSE)</f>
        <v>0.92049715020444467</v>
      </c>
      <c r="J269" s="9">
        <f>VLOOKUP(D269,'IPDM_saúde   (IPARDES-PR)'!$A$4:$N$466,14,FALSE)</f>
        <v>0.90310838667659132</v>
      </c>
      <c r="L269" s="10" t="str">
        <f t="shared" si="8"/>
        <v>Noroeste - A02</v>
      </c>
    </row>
    <row r="270" spans="1:12" x14ac:dyDescent="0.2">
      <c r="A270" s="5" t="s">
        <v>207</v>
      </c>
      <c r="B270" s="149" t="s">
        <v>418</v>
      </c>
      <c r="C270" s="145" t="s">
        <v>423</v>
      </c>
      <c r="D270" s="4" t="s">
        <v>208</v>
      </c>
      <c r="E270" s="142">
        <f>VLOOKUP(D270,'IDHM (IBGE2022)'!$A$4:$N$402,14,FALSE)</f>
        <v>50130.1</v>
      </c>
      <c r="F270" s="90">
        <f>VLOOKUP(D270,'IDHM (IBGE2022)'!$A$4:$J$402,10,FALSE)</f>
        <v>0.755</v>
      </c>
      <c r="G270" s="92">
        <f t="shared" si="9"/>
        <v>0.81997444184265234</v>
      </c>
      <c r="H270" s="9">
        <f>VLOOKUP(D270,'IPDM_renda  (IPARDES-PR)'!$A$4:$N$420,14,FALSE)</f>
        <v>0.58726561702663682</v>
      </c>
      <c r="I270" s="9">
        <f>VLOOKUP(D270,'IPDM_educação  (IPARDES-PR)'!$A$4:$N$420,14,FALSE)</f>
        <v>0.94837845207385441</v>
      </c>
      <c r="J270" s="9">
        <f>VLOOKUP(D270,'IPDM_saúde   (IPARDES-PR)'!$A$4:$N$466,14,FALSE)</f>
        <v>0.92427925642746578</v>
      </c>
      <c r="L270" s="10" t="str">
        <f t="shared" si="8"/>
        <v>Noroeste - A03</v>
      </c>
    </row>
    <row r="271" spans="1:12" x14ac:dyDescent="0.2">
      <c r="A271" s="5" t="s">
        <v>207</v>
      </c>
      <c r="B271" s="149" t="s">
        <v>418</v>
      </c>
      <c r="C271" s="145" t="s">
        <v>423</v>
      </c>
      <c r="D271" s="4" t="s">
        <v>209</v>
      </c>
      <c r="E271" s="142">
        <f>VLOOKUP(D271,'IDHM (IBGE2022)'!$A$4:$N$402,14,FALSE)</f>
        <v>38349.19</v>
      </c>
      <c r="F271" s="90">
        <f>VLOOKUP(D271,'IDHM (IBGE2022)'!$A$4:$J$402,10,FALSE)</f>
        <v>0.746</v>
      </c>
      <c r="G271" s="92">
        <f t="shared" si="9"/>
        <v>0.74377442559076767</v>
      </c>
      <c r="H271" s="9">
        <f>VLOOKUP(D271,'IPDM_renda  (IPARDES-PR)'!$A$4:$N$420,14,FALSE)</f>
        <v>0.40223043262280395</v>
      </c>
      <c r="I271" s="9">
        <f>VLOOKUP(D271,'IPDM_educação  (IPARDES-PR)'!$A$4:$N$420,14,FALSE)</f>
        <v>0.97705813535178021</v>
      </c>
      <c r="J271" s="9">
        <f>VLOOKUP(D271,'IPDM_saúde   (IPARDES-PR)'!$A$4:$N$466,14,FALSE)</f>
        <v>0.85203470879771903</v>
      </c>
      <c r="L271" s="10" t="str">
        <f t="shared" si="8"/>
        <v>Noroeste - A03</v>
      </c>
    </row>
    <row r="272" spans="1:12" x14ac:dyDescent="0.2">
      <c r="A272" s="5" t="s">
        <v>207</v>
      </c>
      <c r="B272" s="149" t="s">
        <v>418</v>
      </c>
      <c r="C272" s="145" t="s">
        <v>423</v>
      </c>
      <c r="D272" s="4" t="s">
        <v>210</v>
      </c>
      <c r="E272" s="142">
        <f>VLOOKUP(D272,'IDHM (IBGE2022)'!$A$4:$N$402,14,FALSE)</f>
        <v>64824.800000000003</v>
      </c>
      <c r="F272" s="90">
        <f>VLOOKUP(D272,'IDHM (IBGE2022)'!$A$4:$J$402,10,FALSE)</f>
        <v>0.745</v>
      </c>
      <c r="G272" s="92">
        <f t="shared" si="9"/>
        <v>0.78663743621356585</v>
      </c>
      <c r="H272" s="9">
        <f>VLOOKUP(D272,'IPDM_renda  (IPARDES-PR)'!$A$4:$N$420,14,FALSE)</f>
        <v>0.4561073990525451</v>
      </c>
      <c r="I272" s="9">
        <f>VLOOKUP(D272,'IPDM_educação  (IPARDES-PR)'!$A$4:$N$420,14,FALSE)</f>
        <v>0.92604404369943261</v>
      </c>
      <c r="J272" s="9">
        <f>VLOOKUP(D272,'IPDM_saúde   (IPARDES-PR)'!$A$4:$N$466,14,FALSE)</f>
        <v>0.9777608658887198</v>
      </c>
      <c r="L272" s="10" t="str">
        <f t="shared" si="8"/>
        <v>Noroeste - A03</v>
      </c>
    </row>
    <row r="273" spans="1:12" x14ac:dyDescent="0.2">
      <c r="A273" s="5" t="s">
        <v>207</v>
      </c>
      <c r="B273" s="149" t="s">
        <v>418</v>
      </c>
      <c r="C273" s="145" t="s">
        <v>423</v>
      </c>
      <c r="D273" s="4" t="s">
        <v>200</v>
      </c>
      <c r="E273" s="142">
        <f>VLOOKUP(D273,'IDHM (IBGE2022)'!$A$4:$N$402,14,FALSE)</f>
        <v>34828.85</v>
      </c>
      <c r="F273" s="90">
        <f>VLOOKUP(D273,'IDHM (IBGE2022)'!$A$4:$J$402,10,FALSE)</f>
        <v>0.73599999999999999</v>
      </c>
      <c r="G273" s="92">
        <f t="shared" si="9"/>
        <v>0.76425394329325069</v>
      </c>
      <c r="H273" s="9">
        <f>VLOOKUP(D273,'IPDM_renda  (IPARDES-PR)'!$A$4:$N$420,14,FALSE)</f>
        <v>0.44863317210890569</v>
      </c>
      <c r="I273" s="9">
        <f>VLOOKUP(D273,'IPDM_educação  (IPARDES-PR)'!$A$4:$N$420,14,FALSE)</f>
        <v>0.87292350234992711</v>
      </c>
      <c r="J273" s="9">
        <f>VLOOKUP(D273,'IPDM_saúde   (IPARDES-PR)'!$A$4:$N$466,14,FALSE)</f>
        <v>0.97120515542091945</v>
      </c>
      <c r="L273" s="10" t="str">
        <f t="shared" si="8"/>
        <v>Noroeste - A03</v>
      </c>
    </row>
    <row r="274" spans="1:12" x14ac:dyDescent="0.2">
      <c r="A274" s="5" t="s">
        <v>207</v>
      </c>
      <c r="B274" s="149" t="s">
        <v>418</v>
      </c>
      <c r="C274" s="145" t="s">
        <v>423</v>
      </c>
      <c r="D274" s="4" t="s">
        <v>211</v>
      </c>
      <c r="E274" s="142">
        <f>VLOOKUP(D274,'IDHM (IBGE2022)'!$A$4:$N$402,14,FALSE)</f>
        <v>173682.59</v>
      </c>
      <c r="F274" s="90">
        <f>VLOOKUP(D274,'IDHM (IBGE2022)'!$A$4:$J$402,10,FALSE)</f>
        <v>0.72399999999999998</v>
      </c>
      <c r="G274" s="92">
        <f t="shared" si="9"/>
        <v>0.7623787662560445</v>
      </c>
      <c r="H274" s="9">
        <f>VLOOKUP(D274,'IPDM_renda  (IPARDES-PR)'!$A$4:$N$420,14,FALSE)</f>
        <v>0.55020482004357485</v>
      </c>
      <c r="I274" s="9">
        <f>VLOOKUP(D274,'IPDM_educação  (IPARDES-PR)'!$A$4:$N$420,14,FALSE)</f>
        <v>0.88403149205609322</v>
      </c>
      <c r="J274" s="9">
        <f>VLOOKUP(D274,'IPDM_saúde   (IPARDES-PR)'!$A$4:$N$466,14,FALSE)</f>
        <v>0.85289998666846545</v>
      </c>
      <c r="L274" s="10" t="str">
        <f t="shared" si="8"/>
        <v>Noroeste - A03</v>
      </c>
    </row>
    <row r="275" spans="1:12" x14ac:dyDescent="0.2">
      <c r="A275" s="5" t="s">
        <v>207</v>
      </c>
      <c r="B275" s="149" t="s">
        <v>418</v>
      </c>
      <c r="C275" s="145" t="s">
        <v>423</v>
      </c>
      <c r="D275" s="4" t="s">
        <v>212</v>
      </c>
      <c r="E275" s="142">
        <f>VLOOKUP(D275,'IDHM (IBGE2022)'!$A$4:$N$402,14,FALSE)</f>
        <v>61748.43</v>
      </c>
      <c r="F275" s="90">
        <f>VLOOKUP(D275,'IDHM (IBGE2022)'!$A$4:$J$402,10,FALSE)</f>
        <v>0.76600000000000001</v>
      </c>
      <c r="G275" s="92">
        <f t="shared" si="9"/>
        <v>0.77041922743319668</v>
      </c>
      <c r="H275" s="9">
        <f>VLOOKUP(D275,'IPDM_renda  (IPARDES-PR)'!$A$4:$N$420,14,FALSE)</f>
        <v>0.54344756488125123</v>
      </c>
      <c r="I275" s="9">
        <f>VLOOKUP(D275,'IPDM_educação  (IPARDES-PR)'!$A$4:$N$420,14,FALSE)</f>
        <v>0.9511386152494653</v>
      </c>
      <c r="J275" s="9">
        <f>VLOOKUP(D275,'IPDM_saúde   (IPARDES-PR)'!$A$4:$N$466,14,FALSE)</f>
        <v>0.81667150216887363</v>
      </c>
      <c r="L275" s="10" t="str">
        <f t="shared" si="8"/>
        <v>Noroeste - A03</v>
      </c>
    </row>
    <row r="276" spans="1:12" x14ac:dyDescent="0.2">
      <c r="A276" s="5" t="s">
        <v>207</v>
      </c>
      <c r="B276" s="149" t="s">
        <v>418</v>
      </c>
      <c r="C276" s="145" t="s">
        <v>423</v>
      </c>
      <c r="D276" s="4" t="s">
        <v>213</v>
      </c>
      <c r="E276" s="142">
        <f>VLOOKUP(D276,'IDHM (IBGE2022)'!$A$4:$N$402,14,FALSE)</f>
        <v>48327.59</v>
      </c>
      <c r="F276" s="90">
        <f>VLOOKUP(D276,'IDHM (IBGE2022)'!$A$4:$J$402,10,FALSE)</f>
        <v>0.71199999999999997</v>
      </c>
      <c r="G276" s="92">
        <f t="shared" si="9"/>
        <v>0.77508001481897448</v>
      </c>
      <c r="H276" s="9">
        <f>VLOOKUP(D276,'IPDM_renda  (IPARDES-PR)'!$A$4:$N$420,14,FALSE)</f>
        <v>0.53232550063874762</v>
      </c>
      <c r="I276" s="9">
        <f>VLOOKUP(D276,'IPDM_educação  (IPARDES-PR)'!$A$4:$N$420,14,FALSE)</f>
        <v>0.97232555791174391</v>
      </c>
      <c r="J276" s="9">
        <f>VLOOKUP(D276,'IPDM_saúde   (IPARDES-PR)'!$A$4:$N$466,14,FALSE)</f>
        <v>0.82058898590643181</v>
      </c>
      <c r="L276" s="10" t="str">
        <f t="shared" si="8"/>
        <v>Noroeste - A03</v>
      </c>
    </row>
    <row r="277" spans="1:12" x14ac:dyDescent="0.2">
      <c r="A277" s="5" t="s">
        <v>207</v>
      </c>
      <c r="B277" s="149" t="s">
        <v>418</v>
      </c>
      <c r="C277" s="145" t="s">
        <v>423</v>
      </c>
      <c r="D277" s="4" t="s">
        <v>214</v>
      </c>
      <c r="E277" s="142">
        <f>VLOOKUP(D277,'IDHM (IBGE2022)'!$A$4:$N$402,14,FALSE)</f>
        <v>55375.88</v>
      </c>
      <c r="F277" s="90">
        <f>VLOOKUP(D277,'IDHM (IBGE2022)'!$A$4:$J$402,10,FALSE)</f>
        <v>0.71799999999999997</v>
      </c>
      <c r="G277" s="92">
        <f t="shared" si="9"/>
        <v>0.80126571493941912</v>
      </c>
      <c r="H277" s="9">
        <f>VLOOKUP(D277,'IPDM_renda  (IPARDES-PR)'!$A$4:$N$420,14,FALSE)</f>
        <v>0.72635542356385951</v>
      </c>
      <c r="I277" s="9">
        <f>VLOOKUP(D277,'IPDM_educação  (IPARDES-PR)'!$A$4:$N$420,14,FALSE)</f>
        <v>0.88055348331219585</v>
      </c>
      <c r="J277" s="9">
        <f>VLOOKUP(D277,'IPDM_saúde   (IPARDES-PR)'!$A$4:$N$466,14,FALSE)</f>
        <v>0.79688823794220198</v>
      </c>
      <c r="L277" s="10" t="str">
        <f t="shared" si="8"/>
        <v>Noroeste - A03</v>
      </c>
    </row>
    <row r="278" spans="1:12" x14ac:dyDescent="0.2">
      <c r="A278" s="5" t="s">
        <v>207</v>
      </c>
      <c r="B278" s="149" t="s">
        <v>418</v>
      </c>
      <c r="C278" s="145" t="s">
        <v>423</v>
      </c>
      <c r="D278" s="4" t="s">
        <v>215</v>
      </c>
      <c r="E278" s="142">
        <f>VLOOKUP(D278,'IDHM (IBGE2022)'!$A$4:$N$402,14,FALSE)</f>
        <v>31643.51</v>
      </c>
      <c r="F278" s="90">
        <f>VLOOKUP(D278,'IDHM (IBGE2022)'!$A$4:$J$402,10,FALSE)</f>
        <v>0.71799999999999997</v>
      </c>
      <c r="G278" s="92">
        <f t="shared" si="9"/>
        <v>0.73809694664151149</v>
      </c>
      <c r="H278" s="9">
        <f>VLOOKUP(D278,'IPDM_renda  (IPARDES-PR)'!$A$4:$N$420,14,FALSE)</f>
        <v>0.47313302041450267</v>
      </c>
      <c r="I278" s="9">
        <f>VLOOKUP(D278,'IPDM_educação  (IPARDES-PR)'!$A$4:$N$420,14,FALSE)</f>
        <v>0.92418142995022035</v>
      </c>
      <c r="J278" s="9">
        <f>VLOOKUP(D278,'IPDM_saúde   (IPARDES-PR)'!$A$4:$N$466,14,FALSE)</f>
        <v>0.81697638955981144</v>
      </c>
      <c r="L278" s="10" t="str">
        <f t="shared" si="8"/>
        <v>Noroeste - A03</v>
      </c>
    </row>
    <row r="279" spans="1:12" x14ac:dyDescent="0.2">
      <c r="A279" s="5" t="s">
        <v>207</v>
      </c>
      <c r="B279" s="149" t="s">
        <v>418</v>
      </c>
      <c r="C279" s="145" t="s">
        <v>423</v>
      </c>
      <c r="D279" s="4" t="s">
        <v>216</v>
      </c>
      <c r="E279" s="142">
        <f>VLOOKUP(D279,'IDHM (IBGE2022)'!$A$4:$N$402,14,FALSE)</f>
        <v>47150.58</v>
      </c>
      <c r="F279" s="90">
        <f>VLOOKUP(D279,'IDHM (IBGE2022)'!$A$4:$J$402,10,FALSE)</f>
        <v>0.72199999999999998</v>
      </c>
      <c r="G279" s="92">
        <f t="shared" si="9"/>
        <v>0.77922251501033102</v>
      </c>
      <c r="H279" s="9">
        <f>VLOOKUP(D279,'IPDM_renda  (IPARDES-PR)'!$A$4:$N$420,14,FALSE)</f>
        <v>0.48110984022892916</v>
      </c>
      <c r="I279" s="9">
        <f>VLOOKUP(D279,'IPDM_educação  (IPARDES-PR)'!$A$4:$N$420,14,FALSE)</f>
        <v>0.94626496207555943</v>
      </c>
      <c r="J279" s="9">
        <f>VLOOKUP(D279,'IPDM_saúde   (IPARDES-PR)'!$A$4:$N$466,14,FALSE)</f>
        <v>0.9102927427265044</v>
      </c>
      <c r="L279" s="10" t="str">
        <f t="shared" si="8"/>
        <v>Noroeste - A03</v>
      </c>
    </row>
    <row r="280" spans="1:12" x14ac:dyDescent="0.2">
      <c r="A280" s="5" t="s">
        <v>207</v>
      </c>
      <c r="B280" s="149" t="s">
        <v>418</v>
      </c>
      <c r="C280" s="145" t="s">
        <v>423</v>
      </c>
      <c r="D280" s="4" t="s">
        <v>217</v>
      </c>
      <c r="E280" s="142">
        <f>VLOOKUP(D280,'IDHM (IBGE2022)'!$A$4:$N$402,14,FALSE)</f>
        <v>58541.87</v>
      </c>
      <c r="F280" s="90">
        <f>VLOOKUP(D280,'IDHM (IBGE2022)'!$A$4:$J$402,10,FALSE)</f>
        <v>0.72</v>
      </c>
      <c r="G280" s="92">
        <f t="shared" si="9"/>
        <v>0.77148470643935729</v>
      </c>
      <c r="H280" s="9">
        <f>VLOOKUP(D280,'IPDM_renda  (IPARDES-PR)'!$A$4:$N$420,14,FALSE)</f>
        <v>0.4351108042570842</v>
      </c>
      <c r="I280" s="9">
        <f>VLOOKUP(D280,'IPDM_educação  (IPARDES-PR)'!$A$4:$N$420,14,FALSE)</f>
        <v>0.91037775099602636</v>
      </c>
      <c r="J280" s="9">
        <f>VLOOKUP(D280,'IPDM_saúde   (IPARDES-PR)'!$A$4:$N$466,14,FALSE)</f>
        <v>0.96896556406496115</v>
      </c>
      <c r="L280" s="10" t="str">
        <f t="shared" si="8"/>
        <v>Noroeste - A03</v>
      </c>
    </row>
    <row r="281" spans="1:12" x14ac:dyDescent="0.2">
      <c r="A281" s="5" t="s">
        <v>207</v>
      </c>
      <c r="B281" s="149" t="s">
        <v>418</v>
      </c>
      <c r="C281" s="145" t="s">
        <v>423</v>
      </c>
      <c r="D281" s="4" t="s">
        <v>218</v>
      </c>
      <c r="E281" s="142">
        <f>VLOOKUP(D281,'IDHM (IBGE2022)'!$A$4:$N$402,14,FALSE)</f>
        <v>45464.85</v>
      </c>
      <c r="F281" s="90">
        <f>VLOOKUP(D281,'IDHM (IBGE2022)'!$A$4:$J$402,10,FALSE)</f>
        <v>0.71299999999999997</v>
      </c>
      <c r="G281" s="92">
        <f t="shared" si="9"/>
        <v>0.66686812949767216</v>
      </c>
      <c r="H281" s="9">
        <f>VLOOKUP(D281,'IPDM_renda  (IPARDES-PR)'!$A$4:$N$420,14,FALSE)</f>
        <v>0.43525065787155975</v>
      </c>
      <c r="I281" s="9">
        <f>VLOOKUP(D281,'IPDM_educação  (IPARDES-PR)'!$A$4:$N$420,14,FALSE)</f>
        <v>0.87553285569407657</v>
      </c>
      <c r="J281" s="9">
        <f>VLOOKUP(D281,'IPDM_saúde   (IPARDES-PR)'!$A$4:$N$466,14,FALSE)</f>
        <v>0.68982087492738009</v>
      </c>
      <c r="L281" s="10" t="str">
        <f t="shared" si="8"/>
        <v>Noroeste - A03</v>
      </c>
    </row>
    <row r="282" spans="1:12" x14ac:dyDescent="0.2">
      <c r="A282" s="5" t="s">
        <v>207</v>
      </c>
      <c r="B282" s="149" t="s">
        <v>418</v>
      </c>
      <c r="C282" s="145" t="s">
        <v>423</v>
      </c>
      <c r="D282" s="4" t="s">
        <v>219</v>
      </c>
      <c r="E282" s="142">
        <f>VLOOKUP(D282,'IDHM (IBGE2022)'!$A$4:$N$402,14,FALSE)</f>
        <v>86205.53</v>
      </c>
      <c r="F282" s="90">
        <f>VLOOKUP(D282,'IDHM (IBGE2022)'!$A$4:$J$402,10,FALSE)</f>
        <v>0.68200000000000005</v>
      </c>
      <c r="G282" s="92">
        <f t="shared" si="9"/>
        <v>0.79596095512806697</v>
      </c>
      <c r="H282" s="9">
        <f>VLOOKUP(D282,'IPDM_renda  (IPARDES-PR)'!$A$4:$N$420,14,FALSE)</f>
        <v>0.58967941054030415</v>
      </c>
      <c r="I282" s="9">
        <f>VLOOKUP(D282,'IPDM_educação  (IPARDES-PR)'!$A$4:$N$420,14,FALSE)</f>
        <v>0.84860949941412489</v>
      </c>
      <c r="J282" s="9">
        <f>VLOOKUP(D282,'IPDM_saúde   (IPARDES-PR)'!$A$4:$N$466,14,FALSE)</f>
        <v>0.94959395542977187</v>
      </c>
      <c r="L282" s="10" t="str">
        <f t="shared" si="8"/>
        <v>Noroeste - A03</v>
      </c>
    </row>
    <row r="283" spans="1:12" x14ac:dyDescent="0.2">
      <c r="A283" s="5" t="s">
        <v>207</v>
      </c>
      <c r="B283" s="149" t="s">
        <v>418</v>
      </c>
      <c r="C283" s="145" t="s">
        <v>423</v>
      </c>
      <c r="D283" s="4" t="s">
        <v>220</v>
      </c>
      <c r="E283" s="142">
        <f>VLOOKUP(D283,'IDHM (IBGE2022)'!$A$4:$N$402,14,FALSE)</f>
        <v>80750.080000000002</v>
      </c>
      <c r="F283" s="90">
        <f>VLOOKUP(D283,'IDHM (IBGE2022)'!$A$4:$J$402,10,FALSE)</f>
        <v>0.74299999999999999</v>
      </c>
      <c r="G283" s="92">
        <f t="shared" si="9"/>
        <v>0.78518031310039482</v>
      </c>
      <c r="H283" s="9">
        <f>VLOOKUP(D283,'IPDM_renda  (IPARDES-PR)'!$A$4:$N$420,14,FALSE)</f>
        <v>0.50016120256085161</v>
      </c>
      <c r="I283" s="9">
        <f>VLOOKUP(D283,'IPDM_educação  (IPARDES-PR)'!$A$4:$N$420,14,FALSE)</f>
        <v>0.93582668457384899</v>
      </c>
      <c r="J283" s="9">
        <f>VLOOKUP(D283,'IPDM_saúde   (IPARDES-PR)'!$A$4:$N$466,14,FALSE)</f>
        <v>0.91955305216648353</v>
      </c>
      <c r="L283" s="10" t="str">
        <f t="shared" si="8"/>
        <v>Noroeste - A03</v>
      </c>
    </row>
    <row r="284" spans="1:12" x14ac:dyDescent="0.2">
      <c r="A284" s="5" t="s">
        <v>207</v>
      </c>
      <c r="B284" s="149" t="s">
        <v>418</v>
      </c>
      <c r="C284" s="145" t="s">
        <v>423</v>
      </c>
      <c r="D284" s="4" t="s">
        <v>221</v>
      </c>
      <c r="E284" s="142">
        <f>VLOOKUP(D284,'IDHM (IBGE2022)'!$A$4:$N$402,14,FALSE)</f>
        <v>38835.58</v>
      </c>
      <c r="F284" s="90">
        <f>VLOOKUP(D284,'IDHM (IBGE2022)'!$A$4:$J$402,10,FALSE)</f>
        <v>0.72499999999999998</v>
      </c>
      <c r="G284" s="92">
        <f t="shared" si="9"/>
        <v>0.81694477959156597</v>
      </c>
      <c r="H284" s="9">
        <f>VLOOKUP(D284,'IPDM_renda  (IPARDES-PR)'!$A$4:$N$420,14,FALSE)</f>
        <v>0.49338006212907148</v>
      </c>
      <c r="I284" s="9">
        <f>VLOOKUP(D284,'IPDM_educação  (IPARDES-PR)'!$A$4:$N$420,14,FALSE)</f>
        <v>0.97710947524819347</v>
      </c>
      <c r="J284" s="9">
        <f>VLOOKUP(D284,'IPDM_saúde   (IPARDES-PR)'!$A$4:$N$466,14,FALSE)</f>
        <v>0.98034480139743296</v>
      </c>
      <c r="L284" s="10" t="str">
        <f t="shared" si="8"/>
        <v>Noroeste - A03</v>
      </c>
    </row>
    <row r="285" spans="1:12" x14ac:dyDescent="0.2">
      <c r="A285" s="5" t="s">
        <v>207</v>
      </c>
      <c r="B285" s="149" t="s">
        <v>418</v>
      </c>
      <c r="C285" s="145" t="s">
        <v>423</v>
      </c>
      <c r="D285" s="4" t="s">
        <v>222</v>
      </c>
      <c r="E285" s="142">
        <f>VLOOKUP(D285,'IDHM (IBGE2022)'!$A$4:$N$402,14,FALSE)</f>
        <v>42277.13</v>
      </c>
      <c r="F285" s="90">
        <f>VLOOKUP(D285,'IDHM (IBGE2022)'!$A$4:$J$402,10,FALSE)</f>
        <v>0.72499999999999998</v>
      </c>
      <c r="G285" s="92">
        <f t="shared" si="9"/>
        <v>0.74631785201502465</v>
      </c>
      <c r="H285" s="9">
        <f>VLOOKUP(D285,'IPDM_renda  (IPARDES-PR)'!$A$4:$N$420,14,FALSE)</f>
        <v>0.44256351257701226</v>
      </c>
      <c r="I285" s="9">
        <f>VLOOKUP(D285,'IPDM_educação  (IPARDES-PR)'!$A$4:$N$420,14,FALSE)</f>
        <v>0.93307970946892593</v>
      </c>
      <c r="J285" s="9">
        <f>VLOOKUP(D285,'IPDM_saúde   (IPARDES-PR)'!$A$4:$N$466,14,FALSE)</f>
        <v>0.86331033399913559</v>
      </c>
      <c r="L285" s="10" t="str">
        <f t="shared" si="8"/>
        <v>Noroeste - A03</v>
      </c>
    </row>
    <row r="286" spans="1:12" x14ac:dyDescent="0.2">
      <c r="A286" s="5" t="s">
        <v>207</v>
      </c>
      <c r="B286" s="149" t="s">
        <v>418</v>
      </c>
      <c r="C286" s="145" t="s">
        <v>423</v>
      </c>
      <c r="D286" s="4" t="s">
        <v>206</v>
      </c>
      <c r="E286" s="142">
        <f>VLOOKUP(D286,'IDHM (IBGE2022)'!$A$4:$N$402,14,FALSE)</f>
        <v>40409.980000000003</v>
      </c>
      <c r="F286" s="90">
        <f>VLOOKUP(D286,'IDHM (IBGE2022)'!$A$4:$J$402,10,FALSE)</f>
        <v>0.72799999999999998</v>
      </c>
      <c r="G286" s="92">
        <f t="shared" si="9"/>
        <v>0.78092651621589482</v>
      </c>
      <c r="H286" s="9">
        <f>VLOOKUP(D286,'IPDM_renda  (IPARDES-PR)'!$A$4:$N$420,14,FALSE)</f>
        <v>0.51917401176664835</v>
      </c>
      <c r="I286" s="9">
        <f>VLOOKUP(D286,'IPDM_educação  (IPARDES-PR)'!$A$4:$N$420,14,FALSE)</f>
        <v>0.92049715020444467</v>
      </c>
      <c r="J286" s="9">
        <f>VLOOKUP(D286,'IPDM_saúde   (IPARDES-PR)'!$A$4:$N$466,14,FALSE)</f>
        <v>0.90310838667659132</v>
      </c>
      <c r="L286" s="10" t="str">
        <f t="shared" si="8"/>
        <v>Noroeste - A03</v>
      </c>
    </row>
    <row r="287" spans="1:12" x14ac:dyDescent="0.2">
      <c r="A287" s="5" t="s">
        <v>223</v>
      </c>
      <c r="B287" s="149" t="s">
        <v>418</v>
      </c>
      <c r="C287" s="7" t="s">
        <v>424</v>
      </c>
      <c r="D287" s="4" t="s">
        <v>224</v>
      </c>
      <c r="E287" s="142">
        <f>VLOOKUP(D287,'IDHM (IBGE2022)'!$A$4:$N$402,14,FALSE)</f>
        <v>40453.42</v>
      </c>
      <c r="F287" s="90">
        <f>VLOOKUP(D287,'IDHM (IBGE2022)'!$A$4:$J$402,10,FALSE)</f>
        <v>0.69599999999999995</v>
      </c>
      <c r="G287" s="92">
        <f t="shared" si="9"/>
        <v>0.68877462205909723</v>
      </c>
      <c r="H287" s="9">
        <f>VLOOKUP(D287,'IPDM_renda  (IPARDES-PR)'!$A$4:$N$420,14,FALSE)</f>
        <v>0.42681702016792644</v>
      </c>
      <c r="I287" s="9">
        <f>VLOOKUP(D287,'IPDM_educação  (IPARDES-PR)'!$A$4:$N$420,14,FALSE)</f>
        <v>0.84501970375761803</v>
      </c>
      <c r="J287" s="9">
        <f>VLOOKUP(D287,'IPDM_saúde   (IPARDES-PR)'!$A$4:$N$466,14,FALSE)</f>
        <v>0.79448714225174744</v>
      </c>
      <c r="L287" s="10" t="str">
        <f t="shared" si="8"/>
        <v>Noroeste - A04</v>
      </c>
    </row>
    <row r="288" spans="1:12" x14ac:dyDescent="0.2">
      <c r="A288" s="5" t="s">
        <v>223</v>
      </c>
      <c r="B288" s="149" t="s">
        <v>418</v>
      </c>
      <c r="C288" s="7" t="s">
        <v>424</v>
      </c>
      <c r="D288" s="4" t="s">
        <v>187</v>
      </c>
      <c r="E288" s="142">
        <f>VLOOKUP(D288,'IDHM (IBGE2022)'!$A$4:$N$402,14,FALSE)</f>
        <v>55572.79</v>
      </c>
      <c r="F288" s="90">
        <f>VLOOKUP(D288,'IDHM (IBGE2022)'!$A$4:$J$402,10,FALSE)</f>
        <v>0.72099999999999997</v>
      </c>
      <c r="G288" s="92">
        <f t="shared" si="9"/>
        <v>0.78620065651691073</v>
      </c>
      <c r="H288" s="9">
        <f>VLOOKUP(D288,'IPDM_renda  (IPARDES-PR)'!$A$4:$N$420,14,FALSE)</f>
        <v>0.49082507298549982</v>
      </c>
      <c r="I288" s="9">
        <f>VLOOKUP(D288,'IPDM_educação  (IPARDES-PR)'!$A$4:$N$420,14,FALSE)</f>
        <v>0.89489046835444719</v>
      </c>
      <c r="J288" s="9">
        <f>VLOOKUP(D288,'IPDM_saúde   (IPARDES-PR)'!$A$4:$N$466,14,FALSE)</f>
        <v>0.97288642821078553</v>
      </c>
      <c r="L288" s="10" t="str">
        <f t="shared" si="8"/>
        <v>Noroeste - A04</v>
      </c>
    </row>
    <row r="289" spans="1:12" x14ac:dyDescent="0.2">
      <c r="A289" s="5" t="s">
        <v>223</v>
      </c>
      <c r="B289" s="149" t="s">
        <v>418</v>
      </c>
      <c r="C289" s="7" t="s">
        <v>424</v>
      </c>
      <c r="D289" s="4" t="s">
        <v>225</v>
      </c>
      <c r="E289" s="142">
        <f>VLOOKUP(D289,'IDHM (IBGE2022)'!$A$4:$N$402,14,FALSE)</f>
        <v>64007.95</v>
      </c>
      <c r="F289" s="90">
        <f>VLOOKUP(D289,'IDHM (IBGE2022)'!$A$4:$J$402,10,FALSE)</f>
        <v>0.73599999999999999</v>
      </c>
      <c r="G289" s="92">
        <f t="shared" si="9"/>
        <v>0.6846285996120911</v>
      </c>
      <c r="H289" s="9">
        <f>VLOOKUP(D289,'IPDM_renda  (IPARDES-PR)'!$A$4:$N$420,14,FALSE)</f>
        <v>0.49503388221535766</v>
      </c>
      <c r="I289" s="9">
        <f>VLOOKUP(D289,'IPDM_educação  (IPARDES-PR)'!$A$4:$N$420,14,FALSE)</f>
        <v>0.98294129562453614</v>
      </c>
      <c r="J289" s="9">
        <f>VLOOKUP(D289,'IPDM_saúde   (IPARDES-PR)'!$A$4:$N$466,14,FALSE)</f>
        <v>0.57591062099637946</v>
      </c>
      <c r="L289" s="10" t="str">
        <f t="shared" si="8"/>
        <v>Noroeste - A04</v>
      </c>
    </row>
    <row r="290" spans="1:12" x14ac:dyDescent="0.2">
      <c r="A290" s="5" t="s">
        <v>223</v>
      </c>
      <c r="B290" s="149" t="s">
        <v>418</v>
      </c>
      <c r="C290" s="7" t="s">
        <v>424</v>
      </c>
      <c r="D290" s="4" t="s">
        <v>226</v>
      </c>
      <c r="E290" s="142">
        <f>VLOOKUP(D290,'IDHM (IBGE2022)'!$A$4:$N$402,14,FALSE)</f>
        <v>62589.03</v>
      </c>
      <c r="F290" s="90">
        <f>VLOOKUP(D290,'IDHM (IBGE2022)'!$A$4:$J$402,10,FALSE)</f>
        <v>0.71299999999999997</v>
      </c>
      <c r="G290" s="92">
        <f t="shared" si="9"/>
        <v>0.69153600939316551</v>
      </c>
      <c r="H290" s="9">
        <f>VLOOKUP(D290,'IPDM_renda  (IPARDES-PR)'!$A$4:$N$420,14,FALSE)</f>
        <v>0.41960642908305518</v>
      </c>
      <c r="I290" s="9">
        <f>VLOOKUP(D290,'IPDM_educação  (IPARDES-PR)'!$A$4:$N$420,14,FALSE)</f>
        <v>0.89759146519452004</v>
      </c>
      <c r="J290" s="9">
        <f>VLOOKUP(D290,'IPDM_saúde   (IPARDES-PR)'!$A$4:$N$466,14,FALSE)</f>
        <v>0.75741013390192113</v>
      </c>
      <c r="L290" s="10" t="str">
        <f t="shared" si="8"/>
        <v>Noroeste - A04</v>
      </c>
    </row>
    <row r="291" spans="1:12" x14ac:dyDescent="0.2">
      <c r="A291" s="5" t="s">
        <v>223</v>
      </c>
      <c r="B291" s="149" t="s">
        <v>418</v>
      </c>
      <c r="C291" s="7" t="s">
        <v>424</v>
      </c>
      <c r="D291" s="4" t="s">
        <v>227</v>
      </c>
      <c r="E291" s="142">
        <f>VLOOKUP(D291,'IDHM (IBGE2022)'!$A$4:$N$402,14,FALSE)</f>
        <v>38182.92</v>
      </c>
      <c r="F291" s="90">
        <f>VLOOKUP(D291,'IDHM (IBGE2022)'!$A$4:$J$402,10,FALSE)</f>
        <v>0.73199999999999998</v>
      </c>
      <c r="G291" s="92">
        <f t="shared" si="9"/>
        <v>0.69756227297161322</v>
      </c>
      <c r="H291" s="9">
        <f>VLOOKUP(D291,'IPDM_renda  (IPARDES-PR)'!$A$4:$N$420,14,FALSE)</f>
        <v>0.46623389415923655</v>
      </c>
      <c r="I291" s="9">
        <f>VLOOKUP(D291,'IPDM_educação  (IPARDES-PR)'!$A$4:$N$420,14,FALSE)</f>
        <v>0.84616069383883252</v>
      </c>
      <c r="J291" s="9">
        <f>VLOOKUP(D291,'IPDM_saúde   (IPARDES-PR)'!$A$4:$N$466,14,FALSE)</f>
        <v>0.78029223091677047</v>
      </c>
      <c r="L291" s="10" t="str">
        <f t="shared" si="8"/>
        <v>Noroeste - A04</v>
      </c>
    </row>
    <row r="292" spans="1:12" x14ac:dyDescent="0.2">
      <c r="A292" s="5" t="s">
        <v>223</v>
      </c>
      <c r="B292" s="149" t="s">
        <v>418</v>
      </c>
      <c r="C292" s="7" t="s">
        <v>424</v>
      </c>
      <c r="D292" s="4" t="s">
        <v>228</v>
      </c>
      <c r="E292" s="142">
        <f>VLOOKUP(D292,'IDHM (IBGE2022)'!$A$4:$N$402,14,FALSE)</f>
        <v>30062.76</v>
      </c>
      <c r="F292" s="90">
        <f>VLOOKUP(D292,'IDHM (IBGE2022)'!$A$4:$J$402,10,FALSE)</f>
        <v>0.70499999999999996</v>
      </c>
      <c r="G292" s="92">
        <f t="shared" si="9"/>
        <v>0.75690931123073657</v>
      </c>
      <c r="H292" s="9">
        <f>VLOOKUP(D292,'IPDM_renda  (IPARDES-PR)'!$A$4:$N$420,14,FALSE)</f>
        <v>0.41451581536854587</v>
      </c>
      <c r="I292" s="9">
        <f>VLOOKUP(D292,'IPDM_educação  (IPARDES-PR)'!$A$4:$N$420,14,FALSE)</f>
        <v>0.8634777571682497</v>
      </c>
      <c r="J292" s="9">
        <f>VLOOKUP(D292,'IPDM_saúde   (IPARDES-PR)'!$A$4:$N$466,14,FALSE)</f>
        <v>0.99273436115541391</v>
      </c>
      <c r="L292" s="10" t="str">
        <f t="shared" si="8"/>
        <v>Noroeste - A04</v>
      </c>
    </row>
    <row r="293" spans="1:12" x14ac:dyDescent="0.2">
      <c r="A293" s="5" t="s">
        <v>223</v>
      </c>
      <c r="B293" s="149" t="s">
        <v>418</v>
      </c>
      <c r="C293" s="7" t="s">
        <v>424</v>
      </c>
      <c r="D293" s="4" t="s">
        <v>190</v>
      </c>
      <c r="E293" s="142">
        <f>VLOOKUP(D293,'IDHM (IBGE2022)'!$A$4:$N$402,14,FALSE)</f>
        <v>36664.75</v>
      </c>
      <c r="F293" s="90">
        <f>VLOOKUP(D293,'IDHM (IBGE2022)'!$A$4:$J$402,10,FALSE)</f>
        <v>0.70699999999999996</v>
      </c>
      <c r="G293" s="92">
        <f t="shared" si="9"/>
        <v>0.74290208566138904</v>
      </c>
      <c r="H293" s="9">
        <f>VLOOKUP(D293,'IPDM_renda  (IPARDES-PR)'!$A$4:$N$420,14,FALSE)</f>
        <v>0.4091433977264522</v>
      </c>
      <c r="I293" s="9">
        <f>VLOOKUP(D293,'IPDM_educação  (IPARDES-PR)'!$A$4:$N$420,14,FALSE)</f>
        <v>0.85885567437677879</v>
      </c>
      <c r="J293" s="9">
        <f>VLOOKUP(D293,'IPDM_saúde   (IPARDES-PR)'!$A$4:$N$466,14,FALSE)</f>
        <v>0.96070718488093598</v>
      </c>
      <c r="L293" s="10" t="str">
        <f t="shared" si="8"/>
        <v>Noroeste - A04</v>
      </c>
    </row>
    <row r="294" spans="1:12" x14ac:dyDescent="0.2">
      <c r="A294" s="5" t="s">
        <v>223</v>
      </c>
      <c r="B294" s="149" t="s">
        <v>418</v>
      </c>
      <c r="C294" s="7" t="s">
        <v>424</v>
      </c>
      <c r="D294" s="4" t="s">
        <v>229</v>
      </c>
      <c r="E294" s="142">
        <f>VLOOKUP(D294,'IDHM (IBGE2022)'!$A$4:$N$402,14,FALSE)</f>
        <v>58807.74</v>
      </c>
      <c r="F294" s="90">
        <f>VLOOKUP(D294,'IDHM (IBGE2022)'!$A$4:$J$402,10,FALSE)</f>
        <v>0.68200000000000005</v>
      </c>
      <c r="G294" s="92">
        <f t="shared" si="9"/>
        <v>0.74463372927949434</v>
      </c>
      <c r="H294" s="9">
        <f>VLOOKUP(D294,'IPDM_renda  (IPARDES-PR)'!$A$4:$N$420,14,FALSE)</f>
        <v>0.5728598900424362</v>
      </c>
      <c r="I294" s="9">
        <f>VLOOKUP(D294,'IPDM_educação  (IPARDES-PR)'!$A$4:$N$420,14,FALSE)</f>
        <v>0.85185483204135448</v>
      </c>
      <c r="J294" s="9">
        <f>VLOOKUP(D294,'IPDM_saúde   (IPARDES-PR)'!$A$4:$N$466,14,FALSE)</f>
        <v>0.80918646575469222</v>
      </c>
      <c r="L294" s="10" t="str">
        <f t="shared" si="8"/>
        <v>Noroeste - A04</v>
      </c>
    </row>
    <row r="295" spans="1:12" x14ac:dyDescent="0.2">
      <c r="A295" s="5" t="s">
        <v>223</v>
      </c>
      <c r="B295" s="149" t="s">
        <v>418</v>
      </c>
      <c r="C295" s="7" t="s">
        <v>424</v>
      </c>
      <c r="D295" s="4" t="s">
        <v>191</v>
      </c>
      <c r="E295" s="142">
        <f>VLOOKUP(D295,'IDHM (IBGE2022)'!$A$4:$N$402,14,FALSE)</f>
        <v>72455.61</v>
      </c>
      <c r="F295" s="90">
        <f>VLOOKUP(D295,'IDHM (IBGE2022)'!$A$4:$J$402,10,FALSE)</f>
        <v>0.74399999999999999</v>
      </c>
      <c r="G295" s="92">
        <f t="shared" si="9"/>
        <v>0.70943366898669302</v>
      </c>
      <c r="H295" s="9">
        <f>VLOOKUP(D295,'IPDM_renda  (IPARDES-PR)'!$A$4:$N$420,14,FALSE)</f>
        <v>0.51143897990338294</v>
      </c>
      <c r="I295" s="9">
        <f>VLOOKUP(D295,'IPDM_educação  (IPARDES-PR)'!$A$4:$N$420,14,FALSE)</f>
        <v>0.95373756729207404</v>
      </c>
      <c r="J295" s="9">
        <f>VLOOKUP(D295,'IPDM_saúde   (IPARDES-PR)'!$A$4:$N$466,14,FALSE)</f>
        <v>0.66312445976462231</v>
      </c>
      <c r="L295" s="10" t="str">
        <f t="shared" si="8"/>
        <v>Noroeste - A04</v>
      </c>
    </row>
    <row r="296" spans="1:12" x14ac:dyDescent="0.2">
      <c r="A296" s="5" t="s">
        <v>223</v>
      </c>
      <c r="B296" s="149" t="s">
        <v>418</v>
      </c>
      <c r="C296" s="7" t="s">
        <v>424</v>
      </c>
      <c r="D296" s="4" t="s">
        <v>215</v>
      </c>
      <c r="E296" s="142">
        <f>VLOOKUP(D296,'IDHM (IBGE2022)'!$A$4:$N$402,14,FALSE)</f>
        <v>31643.51</v>
      </c>
      <c r="F296" s="90">
        <f>VLOOKUP(D296,'IDHM (IBGE2022)'!$A$4:$J$402,10,FALSE)</f>
        <v>0.71799999999999997</v>
      </c>
      <c r="G296" s="92">
        <f t="shared" si="9"/>
        <v>0.73809694664151149</v>
      </c>
      <c r="H296" s="9">
        <f>VLOOKUP(D296,'IPDM_renda  (IPARDES-PR)'!$A$4:$N$420,14,FALSE)</f>
        <v>0.47313302041450267</v>
      </c>
      <c r="I296" s="9">
        <f>VLOOKUP(D296,'IPDM_educação  (IPARDES-PR)'!$A$4:$N$420,14,FALSE)</f>
        <v>0.92418142995022035</v>
      </c>
      <c r="J296" s="9">
        <f>VLOOKUP(D296,'IPDM_saúde   (IPARDES-PR)'!$A$4:$N$466,14,FALSE)</f>
        <v>0.81697638955981144</v>
      </c>
      <c r="L296" s="10" t="str">
        <f t="shared" si="8"/>
        <v>Noroeste - A04</v>
      </c>
    </row>
    <row r="297" spans="1:12" x14ac:dyDescent="0.2">
      <c r="A297" s="5" t="s">
        <v>223</v>
      </c>
      <c r="B297" s="149" t="s">
        <v>418</v>
      </c>
      <c r="C297" s="7" t="s">
        <v>424</v>
      </c>
      <c r="D297" s="4" t="s">
        <v>216</v>
      </c>
      <c r="E297" s="142">
        <f>VLOOKUP(D297,'IDHM (IBGE2022)'!$A$4:$N$402,14,FALSE)</f>
        <v>47150.58</v>
      </c>
      <c r="F297" s="90">
        <f>VLOOKUP(D297,'IDHM (IBGE2022)'!$A$4:$J$402,10,FALSE)</f>
        <v>0.72199999999999998</v>
      </c>
      <c r="G297" s="92">
        <f t="shared" si="9"/>
        <v>0.77922251501033102</v>
      </c>
      <c r="H297" s="9">
        <f>VLOOKUP(D297,'IPDM_renda  (IPARDES-PR)'!$A$4:$N$420,14,FALSE)</f>
        <v>0.48110984022892916</v>
      </c>
      <c r="I297" s="9">
        <f>VLOOKUP(D297,'IPDM_educação  (IPARDES-PR)'!$A$4:$N$420,14,FALSE)</f>
        <v>0.94626496207555943</v>
      </c>
      <c r="J297" s="9">
        <f>VLOOKUP(D297,'IPDM_saúde   (IPARDES-PR)'!$A$4:$N$466,14,FALSE)</f>
        <v>0.9102927427265044</v>
      </c>
      <c r="L297" s="10" t="str">
        <f t="shared" si="8"/>
        <v>Noroeste - A04</v>
      </c>
    </row>
    <row r="298" spans="1:12" x14ac:dyDescent="0.2">
      <c r="A298" s="5" t="s">
        <v>223</v>
      </c>
      <c r="B298" s="149" t="s">
        <v>418</v>
      </c>
      <c r="C298" s="7" t="s">
        <v>424</v>
      </c>
      <c r="D298" s="4" t="s">
        <v>230</v>
      </c>
      <c r="E298" s="142">
        <f>VLOOKUP(D298,'IDHM (IBGE2022)'!$A$4:$N$402,14,FALSE)</f>
        <v>54160.22</v>
      </c>
      <c r="F298" s="90">
        <f>VLOOKUP(D298,'IDHM (IBGE2022)'!$A$4:$J$402,10,FALSE)</f>
        <v>0.71699999999999997</v>
      </c>
      <c r="G298" s="92">
        <f t="shared" si="9"/>
        <v>0.75181705105081953</v>
      </c>
      <c r="H298" s="9">
        <f>VLOOKUP(D298,'IPDM_renda  (IPARDES-PR)'!$A$4:$N$420,14,FALSE)</f>
        <v>0.55261505777101305</v>
      </c>
      <c r="I298" s="9">
        <f>VLOOKUP(D298,'IPDM_educação  (IPARDES-PR)'!$A$4:$N$420,14,FALSE)</f>
        <v>0.84677047892471968</v>
      </c>
      <c r="J298" s="9">
        <f>VLOOKUP(D298,'IPDM_saúde   (IPARDES-PR)'!$A$4:$N$466,14,FALSE)</f>
        <v>0.85606561645672574</v>
      </c>
      <c r="L298" s="10" t="str">
        <f t="shared" si="8"/>
        <v>Noroeste - A04</v>
      </c>
    </row>
    <row r="299" spans="1:12" x14ac:dyDescent="0.2">
      <c r="A299" s="5" t="s">
        <v>223</v>
      </c>
      <c r="B299" s="149" t="s">
        <v>418</v>
      </c>
      <c r="C299" s="7" t="s">
        <v>424</v>
      </c>
      <c r="D299" s="4" t="s">
        <v>231</v>
      </c>
      <c r="E299" s="142">
        <f>VLOOKUP(D299,'IDHM (IBGE2022)'!$A$4:$N$402,14,FALSE)</f>
        <v>37022.83</v>
      </c>
      <c r="F299" s="90">
        <f>VLOOKUP(D299,'IDHM (IBGE2022)'!$A$4:$J$402,10,FALSE)</f>
        <v>0.70899999999999996</v>
      </c>
      <c r="G299" s="92">
        <f t="shared" si="9"/>
        <v>0.75778477099147123</v>
      </c>
      <c r="H299" s="9">
        <f>VLOOKUP(D299,'IPDM_renda  (IPARDES-PR)'!$A$4:$N$420,14,FALSE)</f>
        <v>0.54596636227574102</v>
      </c>
      <c r="I299" s="9">
        <f>VLOOKUP(D299,'IPDM_educação  (IPARDES-PR)'!$A$4:$N$420,14,FALSE)</f>
        <v>0.77941984027530498</v>
      </c>
      <c r="J299" s="9">
        <f>VLOOKUP(D299,'IPDM_saúde   (IPARDES-PR)'!$A$4:$N$466,14,FALSE)</f>
        <v>0.94796811042336759</v>
      </c>
      <c r="L299" s="10" t="str">
        <f t="shared" si="8"/>
        <v>Noroeste - A04</v>
      </c>
    </row>
    <row r="300" spans="1:12" x14ac:dyDescent="0.2">
      <c r="A300" s="5" t="s">
        <v>223</v>
      </c>
      <c r="B300" s="149" t="s">
        <v>418</v>
      </c>
      <c r="C300" s="7" t="s">
        <v>424</v>
      </c>
      <c r="D300" s="4" t="s">
        <v>232</v>
      </c>
      <c r="E300" s="142">
        <f>VLOOKUP(D300,'IDHM (IBGE2022)'!$A$4:$N$402,14,FALSE)</f>
        <v>45540.43</v>
      </c>
      <c r="F300" s="90">
        <f>VLOOKUP(D300,'IDHM (IBGE2022)'!$A$4:$J$402,10,FALSE)</f>
        <v>0.76300000000000001</v>
      </c>
      <c r="G300" s="92">
        <f t="shared" si="9"/>
        <v>0.79767833220252948</v>
      </c>
      <c r="H300" s="9">
        <f>VLOOKUP(D300,'IPDM_renda  (IPARDES-PR)'!$A$4:$N$420,14,FALSE)</f>
        <v>0.52989692944472322</v>
      </c>
      <c r="I300" s="9">
        <f>VLOOKUP(D300,'IPDM_educação  (IPARDES-PR)'!$A$4:$N$420,14,FALSE)</f>
        <v>0.95058097821930576</v>
      </c>
      <c r="J300" s="9">
        <f>VLOOKUP(D300,'IPDM_saúde   (IPARDES-PR)'!$A$4:$N$466,14,FALSE)</f>
        <v>0.91255708894355969</v>
      </c>
      <c r="L300" s="10" t="str">
        <f t="shared" si="8"/>
        <v>Noroeste - A04</v>
      </c>
    </row>
    <row r="301" spans="1:12" x14ac:dyDescent="0.2">
      <c r="A301" s="5" t="s">
        <v>223</v>
      </c>
      <c r="B301" s="149" t="s">
        <v>418</v>
      </c>
      <c r="C301" s="7" t="s">
        <v>424</v>
      </c>
      <c r="D301" s="4" t="s">
        <v>218</v>
      </c>
      <c r="E301" s="142">
        <f>VLOOKUP(D301,'IDHM (IBGE2022)'!$A$4:$N$402,14,FALSE)</f>
        <v>45464.85</v>
      </c>
      <c r="F301" s="90">
        <f>VLOOKUP(D301,'IDHM (IBGE2022)'!$A$4:$J$402,10,FALSE)</f>
        <v>0.71299999999999997</v>
      </c>
      <c r="G301" s="92">
        <f t="shared" si="9"/>
        <v>0.66686812949767216</v>
      </c>
      <c r="H301" s="9">
        <f>VLOOKUP(D301,'IPDM_renda  (IPARDES-PR)'!$A$4:$N$420,14,FALSE)</f>
        <v>0.43525065787155975</v>
      </c>
      <c r="I301" s="9">
        <f>VLOOKUP(D301,'IPDM_educação  (IPARDES-PR)'!$A$4:$N$420,14,FALSE)</f>
        <v>0.87553285569407657</v>
      </c>
      <c r="J301" s="9">
        <f>VLOOKUP(D301,'IPDM_saúde   (IPARDES-PR)'!$A$4:$N$466,14,FALSE)</f>
        <v>0.68982087492738009</v>
      </c>
      <c r="L301" s="10" t="str">
        <f t="shared" si="8"/>
        <v>Noroeste - A04</v>
      </c>
    </row>
    <row r="302" spans="1:12" x14ac:dyDescent="0.2">
      <c r="A302" s="5" t="s">
        <v>223</v>
      </c>
      <c r="B302" s="149" t="s">
        <v>418</v>
      </c>
      <c r="C302" s="7" t="s">
        <v>424</v>
      </c>
      <c r="D302" s="4" t="s">
        <v>233</v>
      </c>
      <c r="E302" s="142">
        <f>VLOOKUP(D302,'IDHM (IBGE2022)'!$A$4:$N$402,14,FALSE)</f>
        <v>28089.38</v>
      </c>
      <c r="F302" s="90">
        <f>VLOOKUP(D302,'IDHM (IBGE2022)'!$A$4:$J$402,10,FALSE)</f>
        <v>0.69599999999999995</v>
      </c>
      <c r="G302" s="92">
        <f t="shared" si="9"/>
        <v>0.73451844502415631</v>
      </c>
      <c r="H302" s="9">
        <f>VLOOKUP(D302,'IPDM_renda  (IPARDES-PR)'!$A$4:$N$420,14,FALSE)</f>
        <v>0.45437105283364276</v>
      </c>
      <c r="I302" s="9">
        <f>VLOOKUP(D302,'IPDM_educação  (IPARDES-PR)'!$A$4:$N$420,14,FALSE)</f>
        <v>0.80428905094866832</v>
      </c>
      <c r="J302" s="9">
        <f>VLOOKUP(D302,'IPDM_saúde   (IPARDES-PR)'!$A$4:$N$466,14,FALSE)</f>
        <v>0.94489523129015796</v>
      </c>
      <c r="L302" s="10" t="str">
        <f t="shared" si="8"/>
        <v>Noroeste - A04</v>
      </c>
    </row>
    <row r="303" spans="1:12" x14ac:dyDescent="0.2">
      <c r="A303" s="5" t="s">
        <v>223</v>
      </c>
      <c r="B303" s="149" t="s">
        <v>418</v>
      </c>
      <c r="C303" s="7" t="s">
        <v>424</v>
      </c>
      <c r="D303" s="4" t="s">
        <v>234</v>
      </c>
      <c r="E303" s="142">
        <f>VLOOKUP(D303,'IDHM (IBGE2022)'!$A$4:$N$402,14,FALSE)</f>
        <v>34310</v>
      </c>
      <c r="F303" s="90">
        <f>VLOOKUP(D303,'IDHM (IBGE2022)'!$A$4:$J$402,10,FALSE)</f>
        <v>0.66400000000000003</v>
      </c>
      <c r="G303" s="92">
        <f t="shared" si="9"/>
        <v>0.76298244361112444</v>
      </c>
      <c r="H303" s="9">
        <f>VLOOKUP(D303,'IPDM_renda  (IPARDES-PR)'!$A$4:$N$420,14,FALSE)</f>
        <v>0.4682865264734985</v>
      </c>
      <c r="I303" s="9">
        <f>VLOOKUP(D303,'IPDM_educação  (IPARDES-PR)'!$A$4:$N$420,14,FALSE)</f>
        <v>0.86829577241502387</v>
      </c>
      <c r="J303" s="9">
        <f>VLOOKUP(D303,'IPDM_saúde   (IPARDES-PR)'!$A$4:$N$466,14,FALSE)</f>
        <v>0.952365031944851</v>
      </c>
      <c r="L303" s="10" t="str">
        <f t="shared" si="8"/>
        <v>Noroeste - A04</v>
      </c>
    </row>
    <row r="304" spans="1:12" x14ac:dyDescent="0.2">
      <c r="A304" s="5" t="s">
        <v>223</v>
      </c>
      <c r="B304" s="149" t="s">
        <v>418</v>
      </c>
      <c r="C304" s="7" t="s">
        <v>424</v>
      </c>
      <c r="D304" s="4" t="s">
        <v>235</v>
      </c>
      <c r="E304" s="142">
        <f>VLOOKUP(D304,'IDHM (IBGE2022)'!$A$4:$N$402,14,FALSE)</f>
        <v>36352.67</v>
      </c>
      <c r="F304" s="90">
        <f>VLOOKUP(D304,'IDHM (IBGE2022)'!$A$4:$J$402,10,FALSE)</f>
        <v>0.71</v>
      </c>
      <c r="G304" s="92">
        <f t="shared" si="9"/>
        <v>0.79433258315438449</v>
      </c>
      <c r="H304" s="9">
        <f>VLOOKUP(D304,'IPDM_renda  (IPARDES-PR)'!$A$4:$N$420,14,FALSE)</f>
        <v>0.52153583439165707</v>
      </c>
      <c r="I304" s="9">
        <f>VLOOKUP(D304,'IPDM_educação  (IPARDES-PR)'!$A$4:$N$420,14,FALSE)</f>
        <v>0.94289020120537692</v>
      </c>
      <c r="J304" s="9">
        <f>VLOOKUP(D304,'IPDM_saúde   (IPARDES-PR)'!$A$4:$N$466,14,FALSE)</f>
        <v>0.91857171386611913</v>
      </c>
      <c r="L304" s="10" t="str">
        <f t="shared" si="8"/>
        <v>Noroeste - A04</v>
      </c>
    </row>
    <row r="305" spans="1:12" x14ac:dyDescent="0.2">
      <c r="A305" s="5" t="s">
        <v>223</v>
      </c>
      <c r="B305" s="149" t="s">
        <v>418</v>
      </c>
      <c r="C305" s="7" t="s">
        <v>424</v>
      </c>
      <c r="D305" s="4" t="s">
        <v>236</v>
      </c>
      <c r="E305" s="142">
        <f>VLOOKUP(D305,'IDHM (IBGE2022)'!$A$4:$N$402,14,FALSE)</f>
        <v>61640.73</v>
      </c>
      <c r="F305" s="90">
        <f>VLOOKUP(D305,'IDHM (IBGE2022)'!$A$4:$J$402,10,FALSE)</f>
        <v>0.72</v>
      </c>
      <c r="G305" s="92">
        <f t="shared" si="9"/>
        <v>0.75665113663812311</v>
      </c>
      <c r="H305" s="9">
        <f>VLOOKUP(D305,'IPDM_renda  (IPARDES-PR)'!$A$4:$N$420,14,FALSE)</f>
        <v>0.47644793755266379</v>
      </c>
      <c r="I305" s="9">
        <f>VLOOKUP(D305,'IPDM_educação  (IPARDES-PR)'!$A$4:$N$420,14,FALSE)</f>
        <v>0.82308305124357961</v>
      </c>
      <c r="J305" s="9">
        <f>VLOOKUP(D305,'IPDM_saúde   (IPARDES-PR)'!$A$4:$N$466,14,FALSE)</f>
        <v>0.97042242111812593</v>
      </c>
      <c r="L305" s="10" t="str">
        <f t="shared" si="8"/>
        <v>Noroeste - A04</v>
      </c>
    </row>
    <row r="306" spans="1:12" x14ac:dyDescent="0.2">
      <c r="A306" s="5" t="s">
        <v>237</v>
      </c>
      <c r="B306" s="149" t="s">
        <v>418</v>
      </c>
      <c r="C306" s="145" t="s">
        <v>425</v>
      </c>
      <c r="D306" s="4" t="s">
        <v>238</v>
      </c>
      <c r="E306" s="142">
        <f>VLOOKUP(D306,'IDHM (IBGE2022)'!$A$4:$N$402,14,FALSE)</f>
        <v>43548.25</v>
      </c>
      <c r="F306" s="90">
        <f>VLOOKUP(D306,'IDHM (IBGE2022)'!$A$4:$J$402,10,FALSE)</f>
        <v>0.70399999999999996</v>
      </c>
      <c r="G306" s="92">
        <f t="shared" si="9"/>
        <v>0.78736606409070786</v>
      </c>
      <c r="H306" s="9">
        <f>VLOOKUP(D306,'IPDM_renda  (IPARDES-PR)'!$A$4:$N$420,14,FALSE)</f>
        <v>0.51880885863389981</v>
      </c>
      <c r="I306" s="9">
        <f>VLOOKUP(D306,'IPDM_educação  (IPARDES-PR)'!$A$4:$N$420,14,FALSE)</f>
        <v>0.91097716239783022</v>
      </c>
      <c r="J306" s="9">
        <f>VLOOKUP(D306,'IPDM_saúde   (IPARDES-PR)'!$A$4:$N$466,14,FALSE)</f>
        <v>0.93231217124039356</v>
      </c>
      <c r="L306" s="10" t="str">
        <f t="shared" si="8"/>
        <v>Noroeste - A05</v>
      </c>
    </row>
    <row r="307" spans="1:12" x14ac:dyDescent="0.2">
      <c r="A307" s="5" t="s">
        <v>237</v>
      </c>
      <c r="B307" s="149" t="s">
        <v>418</v>
      </c>
      <c r="C307" s="145" t="s">
        <v>425</v>
      </c>
      <c r="D307" s="4" t="s">
        <v>239</v>
      </c>
      <c r="E307" s="142">
        <f>VLOOKUP(D307,'IDHM (IBGE2022)'!$A$4:$N$402,14,FALSE)</f>
        <v>60261.36</v>
      </c>
      <c r="F307" s="90">
        <f>VLOOKUP(D307,'IDHM (IBGE2022)'!$A$4:$J$402,10,FALSE)</f>
        <v>0.75700000000000001</v>
      </c>
      <c r="G307" s="92">
        <f t="shared" si="9"/>
        <v>0.80822639554187459</v>
      </c>
      <c r="H307" s="9">
        <f>VLOOKUP(D307,'IPDM_renda  (IPARDES-PR)'!$A$4:$N$420,14,FALSE)</f>
        <v>0.62860462796484606</v>
      </c>
      <c r="I307" s="9">
        <f>VLOOKUP(D307,'IPDM_educação  (IPARDES-PR)'!$A$4:$N$420,14,FALSE)</f>
        <v>0.92768820363035709</v>
      </c>
      <c r="J307" s="9">
        <f>VLOOKUP(D307,'IPDM_saúde   (IPARDES-PR)'!$A$4:$N$466,14,FALSE)</f>
        <v>0.86838635503042028</v>
      </c>
      <c r="L307" s="10" t="str">
        <f t="shared" si="8"/>
        <v>Noroeste - A05</v>
      </c>
    </row>
    <row r="308" spans="1:12" x14ac:dyDescent="0.2">
      <c r="A308" s="5" t="s">
        <v>237</v>
      </c>
      <c r="B308" s="149" t="s">
        <v>418</v>
      </c>
      <c r="C308" s="145" t="s">
        <v>425</v>
      </c>
      <c r="D308" s="4" t="s">
        <v>208</v>
      </c>
      <c r="E308" s="142">
        <f>VLOOKUP(D308,'IDHM (IBGE2022)'!$A$4:$N$402,14,FALSE)</f>
        <v>50130.1</v>
      </c>
      <c r="F308" s="90">
        <f>VLOOKUP(D308,'IDHM (IBGE2022)'!$A$4:$J$402,10,FALSE)</f>
        <v>0.755</v>
      </c>
      <c r="G308" s="92">
        <f t="shared" si="9"/>
        <v>0.81997444184265234</v>
      </c>
      <c r="H308" s="9">
        <f>VLOOKUP(D308,'IPDM_renda  (IPARDES-PR)'!$A$4:$N$420,14,FALSE)</f>
        <v>0.58726561702663682</v>
      </c>
      <c r="I308" s="9">
        <f>VLOOKUP(D308,'IPDM_educação  (IPARDES-PR)'!$A$4:$N$420,14,FALSE)</f>
        <v>0.94837845207385441</v>
      </c>
      <c r="J308" s="9">
        <f>VLOOKUP(D308,'IPDM_saúde   (IPARDES-PR)'!$A$4:$N$466,14,FALSE)</f>
        <v>0.92427925642746578</v>
      </c>
      <c r="L308" s="10" t="str">
        <f t="shared" si="8"/>
        <v>Noroeste - A05</v>
      </c>
    </row>
    <row r="309" spans="1:12" x14ac:dyDescent="0.2">
      <c r="A309" s="5" t="s">
        <v>237</v>
      </c>
      <c r="B309" s="149" t="s">
        <v>418</v>
      </c>
      <c r="C309" s="145" t="s">
        <v>425</v>
      </c>
      <c r="D309" s="4" t="s">
        <v>240</v>
      </c>
      <c r="E309" s="142">
        <f>VLOOKUP(D309,'IDHM (IBGE2022)'!$A$4:$N$402,14,FALSE)</f>
        <v>45708.09</v>
      </c>
      <c r="F309" s="90">
        <f>VLOOKUP(D309,'IDHM (IBGE2022)'!$A$4:$J$402,10,FALSE)</f>
        <v>0.71699999999999997</v>
      </c>
      <c r="G309" s="92">
        <f t="shared" si="9"/>
        <v>0.75044744695325116</v>
      </c>
      <c r="H309" s="9">
        <f>VLOOKUP(D309,'IPDM_renda  (IPARDES-PR)'!$A$4:$N$420,14,FALSE)</f>
        <v>0.4718502258786102</v>
      </c>
      <c r="I309" s="9">
        <f>VLOOKUP(D309,'IPDM_educação  (IPARDES-PR)'!$A$4:$N$420,14,FALSE)</f>
        <v>0.932847964977359</v>
      </c>
      <c r="J309" s="9">
        <f>VLOOKUP(D309,'IPDM_saúde   (IPARDES-PR)'!$A$4:$N$466,14,FALSE)</f>
        <v>0.84664415000378412</v>
      </c>
      <c r="L309" s="10" t="str">
        <f t="shared" si="8"/>
        <v>Noroeste - A05</v>
      </c>
    </row>
    <row r="310" spans="1:12" x14ac:dyDescent="0.2">
      <c r="A310" s="5" t="s">
        <v>237</v>
      </c>
      <c r="B310" s="149" t="s">
        <v>418</v>
      </c>
      <c r="C310" s="145" t="s">
        <v>425</v>
      </c>
      <c r="D310" s="4" t="s">
        <v>241</v>
      </c>
      <c r="E310" s="142">
        <f>VLOOKUP(D310,'IDHM (IBGE2022)'!$A$4:$N$402,14,FALSE)</f>
        <v>46969.32</v>
      </c>
      <c r="F310" s="90">
        <f>VLOOKUP(D310,'IDHM (IBGE2022)'!$A$4:$J$402,10,FALSE)</f>
        <v>0.73099999999999998</v>
      </c>
      <c r="G310" s="92">
        <f t="shared" si="9"/>
        <v>0.75362696212997615</v>
      </c>
      <c r="H310" s="9">
        <f>VLOOKUP(D310,'IPDM_renda  (IPARDES-PR)'!$A$4:$N$420,14,FALSE)</f>
        <v>0.4896649679843838</v>
      </c>
      <c r="I310" s="9">
        <f>VLOOKUP(D310,'IPDM_educação  (IPARDES-PR)'!$A$4:$N$420,14,FALSE)</f>
        <v>0.85923421639480846</v>
      </c>
      <c r="J310" s="9">
        <f>VLOOKUP(D310,'IPDM_saúde   (IPARDES-PR)'!$A$4:$N$466,14,FALSE)</f>
        <v>0.91198170201073614</v>
      </c>
      <c r="L310" s="10" t="str">
        <f t="shared" si="8"/>
        <v>Noroeste - A05</v>
      </c>
    </row>
    <row r="311" spans="1:12" x14ac:dyDescent="0.2">
      <c r="A311" s="5" t="s">
        <v>237</v>
      </c>
      <c r="B311" s="149" t="s">
        <v>418</v>
      </c>
      <c r="C311" s="145" t="s">
        <v>425</v>
      </c>
      <c r="D311" s="4" t="s">
        <v>242</v>
      </c>
      <c r="E311" s="142">
        <f>VLOOKUP(D311,'IDHM (IBGE2022)'!$A$4:$N$402,14,FALSE)</f>
        <v>41023.339999999997</v>
      </c>
      <c r="F311" s="90">
        <f>VLOOKUP(D311,'IDHM (IBGE2022)'!$A$4:$J$402,10,FALSE)</f>
        <v>0.63900000000000001</v>
      </c>
      <c r="G311" s="92">
        <f t="shared" si="9"/>
        <v>0.68504159391135822</v>
      </c>
      <c r="H311" s="9">
        <f>VLOOKUP(D311,'IPDM_renda  (IPARDES-PR)'!$A$4:$N$420,14,FALSE)</f>
        <v>0.40967256572848654</v>
      </c>
      <c r="I311" s="9">
        <f>VLOOKUP(D311,'IPDM_educação  (IPARDES-PR)'!$A$4:$N$420,14,FALSE)</f>
        <v>0.81526746418320595</v>
      </c>
      <c r="J311" s="9">
        <f>VLOOKUP(D311,'IPDM_saúde   (IPARDES-PR)'!$A$4:$N$466,14,FALSE)</f>
        <v>0.83018475182238227</v>
      </c>
      <c r="L311" s="10" t="str">
        <f t="shared" si="8"/>
        <v>Noroeste - A05</v>
      </c>
    </row>
    <row r="312" spans="1:12" x14ac:dyDescent="0.2">
      <c r="A312" s="5" t="s">
        <v>237</v>
      </c>
      <c r="B312" s="149" t="s">
        <v>418</v>
      </c>
      <c r="C312" s="145" t="s">
        <v>425</v>
      </c>
      <c r="D312" s="4" t="s">
        <v>243</v>
      </c>
      <c r="E312" s="142">
        <f>VLOOKUP(D312,'IDHM (IBGE2022)'!$A$4:$N$402,14,FALSE)</f>
        <v>34192.25</v>
      </c>
      <c r="F312" s="90">
        <f>VLOOKUP(D312,'IDHM (IBGE2022)'!$A$4:$J$402,10,FALSE)</f>
        <v>0.67500000000000004</v>
      </c>
      <c r="G312" s="92">
        <f t="shared" si="9"/>
        <v>0.71164101102338295</v>
      </c>
      <c r="H312" s="9">
        <f>VLOOKUP(D312,'IPDM_renda  (IPARDES-PR)'!$A$4:$N$420,14,FALSE)</f>
        <v>0.43470962044777889</v>
      </c>
      <c r="I312" s="9">
        <f>VLOOKUP(D312,'IPDM_educação  (IPARDES-PR)'!$A$4:$N$420,14,FALSE)</f>
        <v>0.89102153757482794</v>
      </c>
      <c r="J312" s="9">
        <f>VLOOKUP(D312,'IPDM_saúde   (IPARDES-PR)'!$A$4:$N$466,14,FALSE)</f>
        <v>0.8091918750475422</v>
      </c>
      <c r="L312" s="10" t="str">
        <f t="shared" si="8"/>
        <v>Noroeste - A05</v>
      </c>
    </row>
    <row r="313" spans="1:12" x14ac:dyDescent="0.2">
      <c r="A313" s="5" t="s">
        <v>237</v>
      </c>
      <c r="B313" s="149" t="s">
        <v>418</v>
      </c>
      <c r="C313" s="145" t="s">
        <v>425</v>
      </c>
      <c r="D313" s="4" t="s">
        <v>244</v>
      </c>
      <c r="E313" s="142">
        <f>VLOOKUP(D313,'IDHM (IBGE2022)'!$A$4:$N$402,14,FALSE)</f>
        <v>39764.19</v>
      </c>
      <c r="F313" s="90">
        <f>VLOOKUP(D313,'IDHM (IBGE2022)'!$A$4:$J$402,10,FALSE)</f>
        <v>0.72299999999999998</v>
      </c>
      <c r="G313" s="92">
        <f t="shared" si="9"/>
        <v>0.74921070467068829</v>
      </c>
      <c r="H313" s="9">
        <f>VLOOKUP(D313,'IPDM_renda  (IPARDES-PR)'!$A$4:$N$420,14,FALSE)</f>
        <v>0.45955153936375803</v>
      </c>
      <c r="I313" s="9">
        <f>VLOOKUP(D313,'IPDM_educação  (IPARDES-PR)'!$A$4:$N$420,14,FALSE)</f>
        <v>0.93894830824769093</v>
      </c>
      <c r="J313" s="9">
        <f>VLOOKUP(D313,'IPDM_saúde   (IPARDES-PR)'!$A$4:$N$466,14,FALSE)</f>
        <v>0.8491322664006159</v>
      </c>
      <c r="L313" s="10" t="str">
        <f t="shared" si="8"/>
        <v>Noroeste - A05</v>
      </c>
    </row>
    <row r="314" spans="1:12" x14ac:dyDescent="0.2">
      <c r="A314" s="5" t="s">
        <v>237</v>
      </c>
      <c r="B314" s="149" t="s">
        <v>418</v>
      </c>
      <c r="C314" s="145" t="s">
        <v>425</v>
      </c>
      <c r="D314" s="4" t="s">
        <v>245</v>
      </c>
      <c r="E314" s="142">
        <f>VLOOKUP(D314,'IDHM (IBGE2022)'!$A$4:$N$402,14,FALSE)</f>
        <v>97362.29</v>
      </c>
      <c r="F314" s="90">
        <f>VLOOKUP(D314,'IDHM (IBGE2022)'!$A$4:$J$402,10,FALSE)</f>
        <v>0.71</v>
      </c>
      <c r="G314" s="92">
        <f t="shared" si="9"/>
        <v>0.77100091359875045</v>
      </c>
      <c r="H314" s="9">
        <f>VLOOKUP(D314,'IPDM_renda  (IPARDES-PR)'!$A$4:$N$420,14,FALSE)</f>
        <v>0.48983269689806963</v>
      </c>
      <c r="I314" s="9">
        <f>VLOOKUP(D314,'IPDM_educação  (IPARDES-PR)'!$A$4:$N$420,14,FALSE)</f>
        <v>0.84489767316507691</v>
      </c>
      <c r="J314" s="9">
        <f>VLOOKUP(D314,'IPDM_saúde   (IPARDES-PR)'!$A$4:$N$466,14,FALSE)</f>
        <v>0.9782723707331048</v>
      </c>
      <c r="L314" s="10" t="str">
        <f t="shared" si="8"/>
        <v>Noroeste - A05</v>
      </c>
    </row>
    <row r="315" spans="1:12" x14ac:dyDescent="0.2">
      <c r="A315" s="5" t="s">
        <v>237</v>
      </c>
      <c r="B315" s="149" t="s">
        <v>418</v>
      </c>
      <c r="C315" s="145" t="s">
        <v>425</v>
      </c>
      <c r="D315" s="3" t="s">
        <v>411</v>
      </c>
      <c r="E315" s="142">
        <f>VLOOKUP(D315,'IDHM (IBGE2022)'!$A$4:$N$402,14,FALSE)</f>
        <v>90008.46</v>
      </c>
      <c r="F315" s="90">
        <f>VLOOKUP(D315,'IDHM (IBGE2022)'!$A$4:$J$402,10,FALSE)</f>
        <v>0.70399999999999996</v>
      </c>
      <c r="G315" s="92">
        <f t="shared" si="9"/>
        <v>0.68155026751583347</v>
      </c>
      <c r="H315" s="9">
        <f>VLOOKUP(D315,'IPDM_renda  (IPARDES-PR)'!$A$4:$N$420,14,FALSE)</f>
        <v>0.53444443587065504</v>
      </c>
      <c r="I315" s="9">
        <f>VLOOKUP(D315,'IPDM_educação  (IPARDES-PR)'!$A$4:$N$420,14,FALSE)</f>
        <v>0.81869630223872158</v>
      </c>
      <c r="J315" s="9">
        <f>VLOOKUP(D315,'IPDM_saúde   (IPARDES-PR)'!$A$4:$N$466,14,FALSE)</f>
        <v>0.69151006443812391</v>
      </c>
      <c r="L315" s="10" t="str">
        <f t="shared" si="8"/>
        <v>Noroeste - A05</v>
      </c>
    </row>
    <row r="316" spans="1:12" x14ac:dyDescent="0.2">
      <c r="A316" s="5" t="s">
        <v>237</v>
      </c>
      <c r="B316" s="149" t="s">
        <v>418</v>
      </c>
      <c r="C316" s="145" t="s">
        <v>425</v>
      </c>
      <c r="D316" s="4" t="s">
        <v>246</v>
      </c>
      <c r="E316" s="142">
        <f>VLOOKUP(D316,'IDHM (IBGE2022)'!$A$4:$N$402,14,FALSE)</f>
        <v>46073.66</v>
      </c>
      <c r="F316" s="90">
        <f>VLOOKUP(D316,'IDHM (IBGE2022)'!$A$4:$J$402,10,FALSE)</f>
        <v>0.70299999999999996</v>
      </c>
      <c r="G316" s="92">
        <f t="shared" si="9"/>
        <v>0.77590556162267765</v>
      </c>
      <c r="H316" s="9">
        <f>VLOOKUP(D316,'IPDM_renda  (IPARDES-PR)'!$A$4:$N$420,14,FALSE)</f>
        <v>0.54553637903641095</v>
      </c>
      <c r="I316" s="9">
        <f>VLOOKUP(D316,'IPDM_educação  (IPARDES-PR)'!$A$4:$N$420,14,FALSE)</f>
        <v>0.9303614180025761</v>
      </c>
      <c r="J316" s="9">
        <f>VLOOKUP(D316,'IPDM_saúde   (IPARDES-PR)'!$A$4:$N$466,14,FALSE)</f>
        <v>0.85181888782904602</v>
      </c>
      <c r="L316" s="10" t="str">
        <f t="shared" si="8"/>
        <v>Noroeste - A05</v>
      </c>
    </row>
    <row r="317" spans="1:12" x14ac:dyDescent="0.2">
      <c r="A317" s="5" t="s">
        <v>237</v>
      </c>
      <c r="B317" s="149" t="s">
        <v>418</v>
      </c>
      <c r="C317" s="145" t="s">
        <v>425</v>
      </c>
      <c r="D317" s="4" t="s">
        <v>247</v>
      </c>
      <c r="E317" s="142">
        <f>VLOOKUP(D317,'IDHM (IBGE2022)'!$A$4:$N$402,14,FALSE)</f>
        <v>36881.29</v>
      </c>
      <c r="F317" s="90">
        <f>VLOOKUP(D317,'IDHM (IBGE2022)'!$A$4:$J$402,10,FALSE)</f>
        <v>0.69499999999999995</v>
      </c>
      <c r="G317" s="92">
        <f t="shared" si="9"/>
        <v>0.69575002638365391</v>
      </c>
      <c r="H317" s="9">
        <f>VLOOKUP(D317,'IPDM_renda  (IPARDES-PR)'!$A$4:$N$420,14,FALSE)</f>
        <v>0.36417426318068341</v>
      </c>
      <c r="I317" s="9">
        <f>VLOOKUP(D317,'IPDM_educação  (IPARDES-PR)'!$A$4:$N$420,14,FALSE)</f>
        <v>0.88903484031143365</v>
      </c>
      <c r="J317" s="9">
        <f>VLOOKUP(D317,'IPDM_saúde   (IPARDES-PR)'!$A$4:$N$466,14,FALSE)</f>
        <v>0.83404097565884461</v>
      </c>
      <c r="L317" s="10" t="str">
        <f t="shared" si="8"/>
        <v>Noroeste - A05</v>
      </c>
    </row>
    <row r="318" spans="1:12" x14ac:dyDescent="0.2">
      <c r="A318" s="5" t="s">
        <v>237</v>
      </c>
      <c r="B318" s="149" t="s">
        <v>418</v>
      </c>
      <c r="C318" s="145" t="s">
        <v>425</v>
      </c>
      <c r="D318" s="4" t="s">
        <v>248</v>
      </c>
      <c r="E318" s="142">
        <f>VLOOKUP(D318,'IDHM (IBGE2022)'!$A$4:$N$402,14,FALSE)</f>
        <v>43528.72</v>
      </c>
      <c r="F318" s="90">
        <f>VLOOKUP(D318,'IDHM (IBGE2022)'!$A$4:$J$402,10,FALSE)</f>
        <v>0.76100000000000001</v>
      </c>
      <c r="G318" s="92">
        <f t="shared" si="9"/>
        <v>0.78274877992599123</v>
      </c>
      <c r="H318" s="9">
        <f>VLOOKUP(D318,'IPDM_renda  (IPARDES-PR)'!$A$4:$N$420,14,FALSE)</f>
        <v>0.54182085468922681</v>
      </c>
      <c r="I318" s="9">
        <f>VLOOKUP(D318,'IPDM_educação  (IPARDES-PR)'!$A$4:$N$420,14,FALSE)</f>
        <v>0.92573608402858143</v>
      </c>
      <c r="J318" s="9">
        <f>VLOOKUP(D318,'IPDM_saúde   (IPARDES-PR)'!$A$4:$N$466,14,FALSE)</f>
        <v>0.88068940106016547</v>
      </c>
      <c r="L318" s="10" t="str">
        <f t="shared" si="8"/>
        <v>Noroeste - A05</v>
      </c>
    </row>
    <row r="319" spans="1:12" x14ac:dyDescent="0.2">
      <c r="A319" s="5" t="s">
        <v>249</v>
      </c>
      <c r="B319" s="149" t="s">
        <v>418</v>
      </c>
      <c r="C319" s="7" t="s">
        <v>426</v>
      </c>
      <c r="D319" s="4" t="s">
        <v>250</v>
      </c>
      <c r="E319" s="142">
        <f>VLOOKUP(D319,'IDHM (IBGE2022)'!$A$4:$N$402,14,FALSE)</f>
        <v>32175.22</v>
      </c>
      <c r="F319" s="90">
        <f>VLOOKUP(D319,'IDHM (IBGE2022)'!$A$4:$J$402,10,FALSE)</f>
        <v>0.66700000000000004</v>
      </c>
      <c r="G319" s="92">
        <f t="shared" si="9"/>
        <v>0.74494479954895543</v>
      </c>
      <c r="H319" s="9">
        <f>VLOOKUP(D319,'IPDM_renda  (IPARDES-PR)'!$A$4:$N$420,14,FALSE)</f>
        <v>0.47023496796518049</v>
      </c>
      <c r="I319" s="9">
        <f>VLOOKUP(D319,'IPDM_educação  (IPARDES-PR)'!$A$4:$N$420,14,FALSE)</f>
        <v>0.8472575789144754</v>
      </c>
      <c r="J319" s="9">
        <f>VLOOKUP(D319,'IPDM_saúde   (IPARDES-PR)'!$A$4:$N$466,14,FALSE)</f>
        <v>0.91734185176721061</v>
      </c>
      <c r="L319" s="10" t="str">
        <f t="shared" si="8"/>
        <v>Noroeste - A06</v>
      </c>
    </row>
    <row r="320" spans="1:12" x14ac:dyDescent="0.2">
      <c r="A320" s="5" t="s">
        <v>249</v>
      </c>
      <c r="B320" s="149" t="s">
        <v>418</v>
      </c>
      <c r="C320" s="7" t="s">
        <v>426</v>
      </c>
      <c r="D320" s="4" t="s">
        <v>196</v>
      </c>
      <c r="E320" s="142">
        <f>VLOOKUP(D320,'IDHM (IBGE2022)'!$A$4:$N$402,14,FALSE)</f>
        <v>31695.71</v>
      </c>
      <c r="F320" s="90">
        <f>VLOOKUP(D320,'IDHM (IBGE2022)'!$A$4:$J$402,10,FALSE)</f>
        <v>0.69599999999999995</v>
      </c>
      <c r="G320" s="92">
        <f t="shared" si="9"/>
        <v>0.7279074604881961</v>
      </c>
      <c r="H320" s="9">
        <f>VLOOKUP(D320,'IPDM_renda  (IPARDES-PR)'!$A$4:$N$420,14,FALSE)</f>
        <v>0.41263178508311144</v>
      </c>
      <c r="I320" s="9">
        <f>VLOOKUP(D320,'IPDM_educação  (IPARDES-PR)'!$A$4:$N$420,14,FALSE)</f>
        <v>0.86253929687958952</v>
      </c>
      <c r="J320" s="9">
        <f>VLOOKUP(D320,'IPDM_saúde   (IPARDES-PR)'!$A$4:$N$466,14,FALSE)</f>
        <v>0.9085512995018874</v>
      </c>
      <c r="L320" s="10" t="str">
        <f t="shared" si="8"/>
        <v>Noroeste - A06</v>
      </c>
    </row>
    <row r="321" spans="1:12" x14ac:dyDescent="0.2">
      <c r="A321" s="5" t="s">
        <v>249</v>
      </c>
      <c r="B321" s="149" t="s">
        <v>418</v>
      </c>
      <c r="C321" s="7" t="s">
        <v>426</v>
      </c>
      <c r="D321" s="4" t="s">
        <v>251</v>
      </c>
      <c r="E321" s="142">
        <f>VLOOKUP(D321,'IDHM (IBGE2022)'!$A$4:$N$402,14,FALSE)</f>
        <v>75237.05</v>
      </c>
      <c r="F321" s="90">
        <f>VLOOKUP(D321,'IDHM (IBGE2022)'!$A$4:$J$402,10,FALSE)</f>
        <v>0.72</v>
      </c>
      <c r="G321" s="92">
        <f t="shared" si="9"/>
        <v>0.75493491037421956</v>
      </c>
      <c r="H321" s="9">
        <f>VLOOKUP(D321,'IPDM_renda  (IPARDES-PR)'!$A$4:$N$420,14,FALSE)</f>
        <v>0.48874689463165555</v>
      </c>
      <c r="I321" s="9">
        <f>VLOOKUP(D321,'IPDM_educação  (IPARDES-PR)'!$A$4:$N$420,14,FALSE)</f>
        <v>0.92143304846730212</v>
      </c>
      <c r="J321" s="9">
        <f>VLOOKUP(D321,'IPDM_saúde   (IPARDES-PR)'!$A$4:$N$466,14,FALSE)</f>
        <v>0.8546247880237009</v>
      </c>
      <c r="L321" s="10" t="str">
        <f t="shared" si="8"/>
        <v>Noroeste - A06</v>
      </c>
    </row>
    <row r="322" spans="1:12" x14ac:dyDescent="0.2">
      <c r="A322" s="5" t="s">
        <v>249</v>
      </c>
      <c r="B322" s="149" t="s">
        <v>418</v>
      </c>
      <c r="C322" s="7" t="s">
        <v>426</v>
      </c>
      <c r="D322" s="4" t="s">
        <v>252</v>
      </c>
      <c r="E322" s="142">
        <f>VLOOKUP(D322,'IDHM (IBGE2022)'!$A$4:$N$402,14,FALSE)</f>
        <v>42893.99</v>
      </c>
      <c r="F322" s="90">
        <f>VLOOKUP(D322,'IDHM (IBGE2022)'!$A$4:$J$402,10,FALSE)</f>
        <v>0.70399999999999996</v>
      </c>
      <c r="G322" s="92">
        <f t="shared" si="9"/>
        <v>0.71353047514565471</v>
      </c>
      <c r="H322" s="9">
        <f>VLOOKUP(D322,'IPDM_renda  (IPARDES-PR)'!$A$4:$N$420,14,FALSE)</f>
        <v>0.43905081302025423</v>
      </c>
      <c r="I322" s="9">
        <f>VLOOKUP(D322,'IPDM_educação  (IPARDES-PR)'!$A$4:$N$420,14,FALSE)</f>
        <v>0.82363474228190359</v>
      </c>
      <c r="J322" s="9">
        <f>VLOOKUP(D322,'IPDM_saúde   (IPARDES-PR)'!$A$4:$N$466,14,FALSE)</f>
        <v>0.87790587013480614</v>
      </c>
      <c r="L322" s="10" t="str">
        <f t="shared" si="8"/>
        <v>Noroeste - A06</v>
      </c>
    </row>
    <row r="323" spans="1:12" x14ac:dyDescent="0.2">
      <c r="A323" s="5" t="s">
        <v>249</v>
      </c>
      <c r="B323" s="149" t="s">
        <v>418</v>
      </c>
      <c r="C323" s="7" t="s">
        <v>426</v>
      </c>
      <c r="D323" s="4" t="s">
        <v>239</v>
      </c>
      <c r="E323" s="142">
        <f>VLOOKUP(D323,'IDHM (IBGE2022)'!$A$4:$N$402,14,FALSE)</f>
        <v>60261.36</v>
      </c>
      <c r="F323" s="90">
        <f>VLOOKUP(D323,'IDHM (IBGE2022)'!$A$4:$J$402,10,FALSE)</f>
        <v>0.75700000000000001</v>
      </c>
      <c r="G323" s="92">
        <f t="shared" si="9"/>
        <v>0.80822639554187459</v>
      </c>
      <c r="H323" s="9">
        <f>VLOOKUP(D323,'IPDM_renda  (IPARDES-PR)'!$A$4:$N$420,14,FALSE)</f>
        <v>0.62860462796484606</v>
      </c>
      <c r="I323" s="9">
        <f>VLOOKUP(D323,'IPDM_educação  (IPARDES-PR)'!$A$4:$N$420,14,FALSE)</f>
        <v>0.92768820363035709</v>
      </c>
      <c r="J323" s="9">
        <f>VLOOKUP(D323,'IPDM_saúde   (IPARDES-PR)'!$A$4:$N$466,14,FALSE)</f>
        <v>0.86838635503042028</v>
      </c>
      <c r="L323" s="10" t="str">
        <f t="shared" si="8"/>
        <v>Noroeste - A06</v>
      </c>
    </row>
    <row r="324" spans="1:12" x14ac:dyDescent="0.2">
      <c r="A324" s="5" t="s">
        <v>249</v>
      </c>
      <c r="B324" s="149" t="s">
        <v>418</v>
      </c>
      <c r="C324" s="7" t="s">
        <v>426</v>
      </c>
      <c r="D324" s="4" t="s">
        <v>198</v>
      </c>
      <c r="E324" s="142">
        <f>VLOOKUP(D324,'IDHM (IBGE2022)'!$A$4:$N$402,14,FALSE)</f>
        <v>27908.16</v>
      </c>
      <c r="F324" s="90">
        <f>VLOOKUP(D324,'IDHM (IBGE2022)'!$A$4:$J$402,10,FALSE)</f>
        <v>0.63800000000000001</v>
      </c>
      <c r="G324" s="92">
        <f t="shared" si="9"/>
        <v>0.6985636187372154</v>
      </c>
      <c r="H324" s="9">
        <f>VLOOKUP(D324,'IPDM_renda  (IPARDES-PR)'!$A$4:$N$420,14,FALSE)</f>
        <v>0.44252239704367258</v>
      </c>
      <c r="I324" s="9">
        <f>VLOOKUP(D324,'IPDM_educação  (IPARDES-PR)'!$A$4:$N$420,14,FALSE)</f>
        <v>0.87700109250842162</v>
      </c>
      <c r="J324" s="9">
        <f>VLOOKUP(D324,'IPDM_saúde   (IPARDES-PR)'!$A$4:$N$466,14,FALSE)</f>
        <v>0.77616736665955199</v>
      </c>
      <c r="L324" s="10" t="str">
        <f t="shared" ref="L324:L387" si="10">B324&amp;" - "&amp;C324</f>
        <v>Noroeste - A06</v>
      </c>
    </row>
    <row r="325" spans="1:12" x14ac:dyDescent="0.2">
      <c r="A325" s="5" t="s">
        <v>249</v>
      </c>
      <c r="B325" s="149" t="s">
        <v>418</v>
      </c>
      <c r="C325" s="7" t="s">
        <v>426</v>
      </c>
      <c r="D325" s="4" t="s">
        <v>241</v>
      </c>
      <c r="E325" s="142">
        <f>VLOOKUP(D325,'IDHM (IBGE2022)'!$A$4:$N$402,14,FALSE)</f>
        <v>46969.32</v>
      </c>
      <c r="F325" s="90">
        <f>VLOOKUP(D325,'IDHM (IBGE2022)'!$A$4:$J$402,10,FALSE)</f>
        <v>0.73099999999999998</v>
      </c>
      <c r="G325" s="92">
        <f t="shared" ref="G325:G388" si="11">AVERAGE(H325:J325)</f>
        <v>0.75362696212997615</v>
      </c>
      <c r="H325" s="9">
        <f>VLOOKUP(D325,'IPDM_renda  (IPARDES-PR)'!$A$4:$N$420,14,FALSE)</f>
        <v>0.4896649679843838</v>
      </c>
      <c r="I325" s="9">
        <f>VLOOKUP(D325,'IPDM_educação  (IPARDES-PR)'!$A$4:$N$420,14,FALSE)</f>
        <v>0.85923421639480846</v>
      </c>
      <c r="J325" s="9">
        <f>VLOOKUP(D325,'IPDM_saúde   (IPARDES-PR)'!$A$4:$N$466,14,FALSE)</f>
        <v>0.91198170201073614</v>
      </c>
      <c r="L325" s="10" t="str">
        <f t="shared" si="10"/>
        <v>Noroeste - A06</v>
      </c>
    </row>
    <row r="326" spans="1:12" x14ac:dyDescent="0.2">
      <c r="A326" s="5" t="s">
        <v>249</v>
      </c>
      <c r="B326" s="149" t="s">
        <v>418</v>
      </c>
      <c r="C326" s="7" t="s">
        <v>426</v>
      </c>
      <c r="D326" s="4" t="s">
        <v>72</v>
      </c>
      <c r="E326" s="142">
        <f>VLOOKUP(D326,'IDHM (IBGE2022)'!$A$4:$N$402,14,FALSE)</f>
        <v>38330.959999999999</v>
      </c>
      <c r="F326" s="90">
        <f>VLOOKUP(D326,'IDHM (IBGE2022)'!$A$4:$J$402,10,FALSE)</f>
        <v>0.66500000000000004</v>
      </c>
      <c r="G326" s="92">
        <f t="shared" si="11"/>
        <v>0.72710866663495333</v>
      </c>
      <c r="H326" s="9">
        <f>VLOOKUP(D326,'IPDM_renda  (IPARDES-PR)'!$A$4:$N$420,14,FALSE)</f>
        <v>0.46896956546745033</v>
      </c>
      <c r="I326" s="9">
        <f>VLOOKUP(D326,'IPDM_educação  (IPARDES-PR)'!$A$4:$N$420,14,FALSE)</f>
        <v>0.87987400224992751</v>
      </c>
      <c r="J326" s="9">
        <f>VLOOKUP(D326,'IPDM_saúde   (IPARDES-PR)'!$A$4:$N$466,14,FALSE)</f>
        <v>0.83248243218748208</v>
      </c>
      <c r="L326" s="10" t="str">
        <f t="shared" si="10"/>
        <v>Noroeste - A06</v>
      </c>
    </row>
    <row r="327" spans="1:12" x14ac:dyDescent="0.2">
      <c r="A327" s="5" t="s">
        <v>249</v>
      </c>
      <c r="B327" s="149" t="s">
        <v>418</v>
      </c>
      <c r="C327" s="7" t="s">
        <v>426</v>
      </c>
      <c r="D327" s="4" t="s">
        <v>253</v>
      </c>
      <c r="E327" s="142">
        <f>VLOOKUP(D327,'IDHM (IBGE2022)'!$A$4:$N$402,14,FALSE)</f>
        <v>57397.87</v>
      </c>
      <c r="F327" s="90">
        <f>VLOOKUP(D327,'IDHM (IBGE2022)'!$A$4:$J$402,10,FALSE)</f>
        <v>0.69599999999999995</v>
      </c>
      <c r="G327" s="92">
        <f t="shared" si="11"/>
        <v>0.77429274153285033</v>
      </c>
      <c r="H327" s="9">
        <f>VLOOKUP(D327,'IPDM_renda  (IPARDES-PR)'!$A$4:$N$420,14,FALSE)</f>
        <v>0.4704253040377499</v>
      </c>
      <c r="I327" s="9">
        <f>VLOOKUP(D327,'IPDM_educação  (IPARDES-PR)'!$A$4:$N$420,14,FALSE)</f>
        <v>0.86892708582780764</v>
      </c>
      <c r="J327" s="9">
        <f>VLOOKUP(D327,'IPDM_saúde   (IPARDES-PR)'!$A$4:$N$466,14,FALSE)</f>
        <v>0.9835258347329936</v>
      </c>
      <c r="L327" s="10" t="str">
        <f t="shared" si="10"/>
        <v>Noroeste - A06</v>
      </c>
    </row>
    <row r="328" spans="1:12" x14ac:dyDescent="0.2">
      <c r="A328" s="5" t="s">
        <v>249</v>
      </c>
      <c r="B328" s="149" t="s">
        <v>418</v>
      </c>
      <c r="C328" s="7" t="s">
        <v>426</v>
      </c>
      <c r="D328" s="4" t="s">
        <v>254</v>
      </c>
      <c r="E328" s="142">
        <f>VLOOKUP(D328,'IDHM (IBGE2022)'!$A$4:$N$402,14,FALSE)</f>
        <v>63966.87</v>
      </c>
      <c r="F328" s="90">
        <f>VLOOKUP(D328,'IDHM (IBGE2022)'!$A$4:$J$402,10,FALSE)</f>
        <v>0.70799999999999996</v>
      </c>
      <c r="G328" s="92">
        <f t="shared" si="11"/>
        <v>0.76121863969366066</v>
      </c>
      <c r="H328" s="9">
        <f>VLOOKUP(D328,'IPDM_renda  (IPARDES-PR)'!$A$4:$N$420,14,FALSE)</f>
        <v>0.44057201816708486</v>
      </c>
      <c r="I328" s="9">
        <f>VLOOKUP(D328,'IPDM_educação  (IPARDES-PR)'!$A$4:$N$420,14,FALSE)</f>
        <v>0.8856856872133213</v>
      </c>
      <c r="J328" s="9">
        <f>VLOOKUP(D328,'IPDM_saúde   (IPARDES-PR)'!$A$4:$N$466,14,FALSE)</f>
        <v>0.95739821370057587</v>
      </c>
      <c r="L328" s="10" t="str">
        <f t="shared" si="10"/>
        <v>Noroeste - A06</v>
      </c>
    </row>
    <row r="329" spans="1:12" x14ac:dyDescent="0.2">
      <c r="A329" s="5" t="s">
        <v>249</v>
      </c>
      <c r="B329" s="149" t="s">
        <v>418</v>
      </c>
      <c r="C329" s="7" t="s">
        <v>426</v>
      </c>
      <c r="D329" s="4" t="s">
        <v>255</v>
      </c>
      <c r="E329" s="142">
        <f>VLOOKUP(D329,'IDHM (IBGE2022)'!$A$4:$N$402,14,FALSE)</f>
        <v>89587.6</v>
      </c>
      <c r="F329" s="90">
        <f>VLOOKUP(D329,'IDHM (IBGE2022)'!$A$4:$J$402,10,FALSE)</f>
        <v>0.66800000000000004</v>
      </c>
      <c r="G329" s="92">
        <f t="shared" si="11"/>
        <v>0.7030044072068683</v>
      </c>
      <c r="H329" s="9">
        <f>VLOOKUP(D329,'IPDM_renda  (IPARDES-PR)'!$A$4:$N$420,14,FALSE)</f>
        <v>0.52038030384758671</v>
      </c>
      <c r="I329" s="9">
        <f>VLOOKUP(D329,'IPDM_educação  (IPARDES-PR)'!$A$4:$N$420,14,FALSE)</f>
        <v>0.67493249312328951</v>
      </c>
      <c r="J329" s="9">
        <f>VLOOKUP(D329,'IPDM_saúde   (IPARDES-PR)'!$A$4:$N$466,14,FALSE)</f>
        <v>0.91370042464972856</v>
      </c>
      <c r="L329" s="10" t="str">
        <f t="shared" si="10"/>
        <v>Noroeste - A06</v>
      </c>
    </row>
    <row r="330" spans="1:12" x14ac:dyDescent="0.2">
      <c r="A330" s="5" t="s">
        <v>249</v>
      </c>
      <c r="B330" s="149" t="s">
        <v>418</v>
      </c>
      <c r="C330" s="7" t="s">
        <v>426</v>
      </c>
      <c r="D330" s="4" t="s">
        <v>256</v>
      </c>
      <c r="E330" s="142">
        <f>VLOOKUP(D330,'IDHM (IBGE2022)'!$A$4:$N$402,14,FALSE)</f>
        <v>63873.13</v>
      </c>
      <c r="F330" s="90">
        <f>VLOOKUP(D330,'IDHM (IBGE2022)'!$A$4:$J$402,10,FALSE)</f>
        <v>0.71899999999999997</v>
      </c>
      <c r="G330" s="92">
        <f t="shared" si="11"/>
        <v>0.791679178189303</v>
      </c>
      <c r="H330" s="9">
        <f>VLOOKUP(D330,'IPDM_renda  (IPARDES-PR)'!$A$4:$N$420,14,FALSE)</f>
        <v>0.55719331190650967</v>
      </c>
      <c r="I330" s="9">
        <f>VLOOKUP(D330,'IPDM_educação  (IPARDES-PR)'!$A$4:$N$420,14,FALSE)</f>
        <v>0.88007257848738152</v>
      </c>
      <c r="J330" s="9">
        <f>VLOOKUP(D330,'IPDM_saúde   (IPARDES-PR)'!$A$4:$N$466,14,FALSE)</f>
        <v>0.93777164417401782</v>
      </c>
      <c r="L330" s="10" t="str">
        <f t="shared" si="10"/>
        <v>Noroeste - A06</v>
      </c>
    </row>
    <row r="331" spans="1:12" x14ac:dyDescent="0.2">
      <c r="A331" s="5" t="s">
        <v>249</v>
      </c>
      <c r="B331" s="149" t="s">
        <v>418</v>
      </c>
      <c r="C331" s="7" t="s">
        <v>426</v>
      </c>
      <c r="D331" s="4" t="s">
        <v>257</v>
      </c>
      <c r="E331" s="142">
        <f>VLOOKUP(D331,'IDHM (IBGE2022)'!$A$4:$N$402,14,FALSE)</f>
        <v>50327.72</v>
      </c>
      <c r="F331" s="90">
        <f>VLOOKUP(D331,'IDHM (IBGE2022)'!$A$4:$J$402,10,FALSE)</f>
        <v>0.65800000000000003</v>
      </c>
      <c r="G331" s="92">
        <f t="shared" si="11"/>
        <v>0.71958930551977207</v>
      </c>
      <c r="H331" s="9">
        <f>VLOOKUP(D331,'IPDM_renda  (IPARDES-PR)'!$A$4:$N$420,14,FALSE)</f>
        <v>0.46064100454685653</v>
      </c>
      <c r="I331" s="9">
        <f>VLOOKUP(D331,'IPDM_educação  (IPARDES-PR)'!$A$4:$N$420,14,FALSE)</f>
        <v>0.84748637446497399</v>
      </c>
      <c r="J331" s="9">
        <f>VLOOKUP(D331,'IPDM_saúde   (IPARDES-PR)'!$A$4:$N$466,14,FALSE)</f>
        <v>0.85064053754748536</v>
      </c>
      <c r="L331" s="10" t="str">
        <f t="shared" si="10"/>
        <v>Noroeste - A06</v>
      </c>
    </row>
    <row r="332" spans="1:12" x14ac:dyDescent="0.2">
      <c r="A332" s="5" t="s">
        <v>249</v>
      </c>
      <c r="B332" s="149" t="s">
        <v>418</v>
      </c>
      <c r="C332" s="7" t="s">
        <v>426</v>
      </c>
      <c r="D332" s="4" t="s">
        <v>244</v>
      </c>
      <c r="E332" s="142">
        <f>VLOOKUP(D332,'IDHM (IBGE2022)'!$A$4:$N$402,14,FALSE)</f>
        <v>39764.19</v>
      </c>
      <c r="F332" s="90">
        <f>VLOOKUP(D332,'IDHM (IBGE2022)'!$A$4:$J$402,10,FALSE)</f>
        <v>0.72299999999999998</v>
      </c>
      <c r="G332" s="92">
        <f t="shared" si="11"/>
        <v>0.74921070467068829</v>
      </c>
      <c r="H332" s="9">
        <f>VLOOKUP(D332,'IPDM_renda  (IPARDES-PR)'!$A$4:$N$420,14,FALSE)</f>
        <v>0.45955153936375803</v>
      </c>
      <c r="I332" s="9">
        <f>VLOOKUP(D332,'IPDM_educação  (IPARDES-PR)'!$A$4:$N$420,14,FALSE)</f>
        <v>0.93894830824769093</v>
      </c>
      <c r="J332" s="9">
        <f>VLOOKUP(D332,'IPDM_saúde   (IPARDES-PR)'!$A$4:$N$466,14,FALSE)</f>
        <v>0.8491322664006159</v>
      </c>
      <c r="L332" s="10" t="str">
        <f t="shared" si="10"/>
        <v>Noroeste - A06</v>
      </c>
    </row>
    <row r="333" spans="1:12" x14ac:dyDescent="0.2">
      <c r="A333" s="5" t="s">
        <v>249</v>
      </c>
      <c r="B333" s="149" t="s">
        <v>418</v>
      </c>
      <c r="C333" s="7" t="s">
        <v>426</v>
      </c>
      <c r="D333" s="3" t="s">
        <v>411</v>
      </c>
      <c r="E333" s="142">
        <f>VLOOKUP(D333,'IDHM (IBGE2022)'!$A$4:$N$402,14,FALSE)</f>
        <v>90008.46</v>
      </c>
      <c r="F333" s="90">
        <f>VLOOKUP(D333,'IDHM (IBGE2022)'!$A$4:$J$402,10,FALSE)</f>
        <v>0.70399999999999996</v>
      </c>
      <c r="G333" s="92">
        <f t="shared" si="11"/>
        <v>0.68155026751583347</v>
      </c>
      <c r="H333" s="9">
        <f>VLOOKUP(D333,'IPDM_renda  (IPARDES-PR)'!$A$4:$N$420,14,FALSE)</f>
        <v>0.53444443587065504</v>
      </c>
      <c r="I333" s="9">
        <f>VLOOKUP(D333,'IPDM_educação  (IPARDES-PR)'!$A$4:$N$420,14,FALSE)</f>
        <v>0.81869630223872158</v>
      </c>
      <c r="J333" s="9">
        <f>VLOOKUP(D333,'IPDM_saúde   (IPARDES-PR)'!$A$4:$N$466,14,FALSE)</f>
        <v>0.69151006443812391</v>
      </c>
      <c r="L333" s="10" t="str">
        <f t="shared" si="10"/>
        <v>Noroeste - A06</v>
      </c>
    </row>
    <row r="334" spans="1:12" x14ac:dyDescent="0.2">
      <c r="A334" s="5" t="s">
        <v>249</v>
      </c>
      <c r="B334" s="149" t="s">
        <v>418</v>
      </c>
      <c r="C334" s="7" t="s">
        <v>426</v>
      </c>
      <c r="D334" s="4" t="s">
        <v>258</v>
      </c>
      <c r="E334" s="142">
        <f>VLOOKUP(D334,'IDHM (IBGE2022)'!$A$4:$N$402,14,FALSE)</f>
        <v>56837.11</v>
      </c>
      <c r="F334" s="90">
        <f>VLOOKUP(D334,'IDHM (IBGE2022)'!$A$4:$J$402,10,FALSE)</f>
        <v>0.68100000000000005</v>
      </c>
      <c r="G334" s="92">
        <f t="shared" si="11"/>
        <v>0.71398516931419154</v>
      </c>
      <c r="H334" s="9">
        <f>VLOOKUP(D334,'IPDM_renda  (IPARDES-PR)'!$A$4:$N$420,14,FALSE)</f>
        <v>0.48678278953563731</v>
      </c>
      <c r="I334" s="9">
        <f>VLOOKUP(D334,'IPDM_educação  (IPARDES-PR)'!$A$4:$N$420,14,FALSE)</f>
        <v>0.89311277883496898</v>
      </c>
      <c r="J334" s="9">
        <f>VLOOKUP(D334,'IPDM_saúde   (IPARDES-PR)'!$A$4:$N$466,14,FALSE)</f>
        <v>0.76205993957196816</v>
      </c>
      <c r="L334" s="10" t="str">
        <f t="shared" si="10"/>
        <v>Noroeste - A06</v>
      </c>
    </row>
    <row r="335" spans="1:12" x14ac:dyDescent="0.2">
      <c r="A335" s="5" t="s">
        <v>249</v>
      </c>
      <c r="B335" s="149" t="s">
        <v>418</v>
      </c>
      <c r="C335" s="7" t="s">
        <v>426</v>
      </c>
      <c r="D335" s="4" t="s">
        <v>259</v>
      </c>
      <c r="E335" s="142">
        <f>VLOOKUP(D335,'IDHM (IBGE2022)'!$A$4:$N$402,14,FALSE)</f>
        <v>86060.93</v>
      </c>
      <c r="F335" s="90">
        <f>VLOOKUP(D335,'IDHM (IBGE2022)'!$A$4:$J$402,10,FALSE)</f>
        <v>0.73899999999999999</v>
      </c>
      <c r="G335" s="92">
        <f t="shared" si="11"/>
        <v>0.81826124821704616</v>
      </c>
      <c r="H335" s="9">
        <f>VLOOKUP(D335,'IPDM_renda  (IPARDES-PR)'!$A$4:$N$420,14,FALSE)</f>
        <v>0.59644265424670961</v>
      </c>
      <c r="I335" s="9">
        <f>VLOOKUP(D335,'IPDM_educação  (IPARDES-PR)'!$A$4:$N$420,14,FALSE)</f>
        <v>0.94713618029700675</v>
      </c>
      <c r="J335" s="9">
        <f>VLOOKUP(D335,'IPDM_saúde   (IPARDES-PR)'!$A$4:$N$466,14,FALSE)</f>
        <v>0.91120491010742188</v>
      </c>
      <c r="L335" s="10" t="str">
        <f t="shared" si="10"/>
        <v>Noroeste - A06</v>
      </c>
    </row>
    <row r="336" spans="1:12" x14ac:dyDescent="0.2">
      <c r="A336" s="5" t="s">
        <v>260</v>
      </c>
      <c r="B336" s="149" t="s">
        <v>418</v>
      </c>
      <c r="C336" s="145" t="s">
        <v>427</v>
      </c>
      <c r="D336" s="4" t="s">
        <v>261</v>
      </c>
      <c r="E336" s="142">
        <f>VLOOKUP(D336,'IDHM (IBGE2022)'!$A$4:$N$402,14,FALSE)</f>
        <v>34418.01</v>
      </c>
      <c r="F336" s="90">
        <f>VLOOKUP(D336,'IDHM (IBGE2022)'!$A$4:$J$402,10,FALSE)</f>
        <v>0.66900000000000004</v>
      </c>
      <c r="G336" s="92">
        <f t="shared" si="11"/>
        <v>0.71318268533734708</v>
      </c>
      <c r="H336" s="9">
        <f>VLOOKUP(D336,'IPDM_renda  (IPARDES-PR)'!$A$4:$N$420,14,FALSE)</f>
        <v>0.45027916556330799</v>
      </c>
      <c r="I336" s="9">
        <f>VLOOKUP(D336,'IPDM_educação  (IPARDES-PR)'!$A$4:$N$420,14,FALSE)</f>
        <v>0.83922711438812014</v>
      </c>
      <c r="J336" s="9">
        <f>VLOOKUP(D336,'IPDM_saúde   (IPARDES-PR)'!$A$4:$N$466,14,FALSE)</f>
        <v>0.85004177606061315</v>
      </c>
      <c r="L336" s="10" t="str">
        <f t="shared" si="10"/>
        <v>Noroeste - A07</v>
      </c>
    </row>
    <row r="337" spans="1:12" x14ac:dyDescent="0.2">
      <c r="A337" s="5" t="s">
        <v>260</v>
      </c>
      <c r="B337" s="149" t="s">
        <v>418</v>
      </c>
      <c r="C337" s="145" t="s">
        <v>427</v>
      </c>
      <c r="D337" s="4" t="s">
        <v>262</v>
      </c>
      <c r="E337" s="142">
        <f>VLOOKUP(D337,'IDHM (IBGE2022)'!$A$4:$N$402,14,FALSE)</f>
        <v>54113.89</v>
      </c>
      <c r="F337" s="90">
        <f>VLOOKUP(D337,'IDHM (IBGE2022)'!$A$4:$J$402,10,FALSE)</f>
        <v>0.71799999999999997</v>
      </c>
      <c r="G337" s="92">
        <f t="shared" si="11"/>
        <v>0.78454513131987202</v>
      </c>
      <c r="H337" s="9">
        <f>VLOOKUP(D337,'IPDM_renda  (IPARDES-PR)'!$A$4:$N$420,14,FALSE)</f>
        <v>0.57283862007918818</v>
      </c>
      <c r="I337" s="9">
        <f>VLOOKUP(D337,'IPDM_educação  (IPARDES-PR)'!$A$4:$N$420,14,FALSE)</f>
        <v>0.90333943059941613</v>
      </c>
      <c r="J337" s="9">
        <f>VLOOKUP(D337,'IPDM_saúde   (IPARDES-PR)'!$A$4:$N$466,14,FALSE)</f>
        <v>0.87745734328101166</v>
      </c>
      <c r="L337" s="10" t="str">
        <f t="shared" si="10"/>
        <v>Noroeste - A07</v>
      </c>
    </row>
    <row r="338" spans="1:12" x14ac:dyDescent="0.2">
      <c r="A338" s="5" t="s">
        <v>260</v>
      </c>
      <c r="B338" s="149" t="s">
        <v>418</v>
      </c>
      <c r="C338" s="145" t="s">
        <v>427</v>
      </c>
      <c r="D338" s="4" t="s">
        <v>263</v>
      </c>
      <c r="E338" s="142">
        <f>VLOOKUP(D338,'IDHM (IBGE2022)'!$A$4:$N$402,14,FALSE)</f>
        <v>48463.12</v>
      </c>
      <c r="F338" s="90">
        <f>VLOOKUP(D338,'IDHM (IBGE2022)'!$A$4:$J$402,10,FALSE)</f>
        <v>0.71899999999999997</v>
      </c>
      <c r="G338" s="92">
        <f t="shared" si="11"/>
        <v>0.68703312773107283</v>
      </c>
      <c r="H338" s="9">
        <f>VLOOKUP(D338,'IPDM_renda  (IPARDES-PR)'!$A$4:$N$420,14,FALSE)</f>
        <v>0.26876222176659392</v>
      </c>
      <c r="I338" s="9">
        <f>VLOOKUP(D338,'IPDM_educação  (IPARDES-PR)'!$A$4:$N$420,14,FALSE)</f>
        <v>0.8541133658420359</v>
      </c>
      <c r="J338" s="9">
        <f>VLOOKUP(D338,'IPDM_saúde   (IPARDES-PR)'!$A$4:$N$466,14,FALSE)</f>
        <v>0.93822379558458879</v>
      </c>
      <c r="L338" s="10" t="str">
        <f t="shared" si="10"/>
        <v>Noroeste - A07</v>
      </c>
    </row>
    <row r="339" spans="1:12" x14ac:dyDescent="0.2">
      <c r="A339" s="5" t="s">
        <v>260</v>
      </c>
      <c r="B339" s="149" t="s">
        <v>418</v>
      </c>
      <c r="C339" s="145" t="s">
        <v>427</v>
      </c>
      <c r="D339" s="4" t="s">
        <v>211</v>
      </c>
      <c r="E339" s="142">
        <f>VLOOKUP(D339,'IDHM (IBGE2022)'!$A$4:$N$402,14,FALSE)</f>
        <v>173682.59</v>
      </c>
      <c r="F339" s="90">
        <f>VLOOKUP(D339,'IDHM (IBGE2022)'!$A$4:$J$402,10,FALSE)</f>
        <v>0.72399999999999998</v>
      </c>
      <c r="G339" s="92">
        <f t="shared" si="11"/>
        <v>0.7623787662560445</v>
      </c>
      <c r="H339" s="9">
        <f>VLOOKUP(D339,'IPDM_renda  (IPARDES-PR)'!$A$4:$N$420,14,FALSE)</f>
        <v>0.55020482004357485</v>
      </c>
      <c r="I339" s="9">
        <f>VLOOKUP(D339,'IPDM_educação  (IPARDES-PR)'!$A$4:$N$420,14,FALSE)</f>
        <v>0.88403149205609322</v>
      </c>
      <c r="J339" s="9">
        <f>VLOOKUP(D339,'IPDM_saúde   (IPARDES-PR)'!$A$4:$N$466,14,FALSE)</f>
        <v>0.85289998666846545</v>
      </c>
      <c r="L339" s="10" t="str">
        <f t="shared" si="10"/>
        <v>Noroeste - A07</v>
      </c>
    </row>
    <row r="340" spans="1:12" x14ac:dyDescent="0.2">
      <c r="A340" s="5" t="s">
        <v>260</v>
      </c>
      <c r="B340" s="149" t="s">
        <v>418</v>
      </c>
      <c r="C340" s="145" t="s">
        <v>427</v>
      </c>
      <c r="D340" s="4" t="s">
        <v>264</v>
      </c>
      <c r="E340" s="142">
        <f>VLOOKUP(D340,'IDHM (IBGE2022)'!$A$4:$N$402,14,FALSE)</f>
        <v>79981.83</v>
      </c>
      <c r="F340" s="90">
        <f>VLOOKUP(D340,'IDHM (IBGE2022)'!$A$4:$J$402,10,FALSE)</f>
        <v>0.68</v>
      </c>
      <c r="G340" s="92">
        <f t="shared" si="11"/>
        <v>0.750344074375216</v>
      </c>
      <c r="H340" s="9">
        <f>VLOOKUP(D340,'IPDM_renda  (IPARDES-PR)'!$A$4:$N$420,14,FALSE)</f>
        <v>0.51165682352867425</v>
      </c>
      <c r="I340" s="9">
        <f>VLOOKUP(D340,'IPDM_educação  (IPARDES-PR)'!$A$4:$N$420,14,FALSE)</f>
        <v>0.75441544349949619</v>
      </c>
      <c r="J340" s="9">
        <f>VLOOKUP(D340,'IPDM_saúde   (IPARDES-PR)'!$A$4:$N$466,14,FALSE)</f>
        <v>0.98495995609747744</v>
      </c>
      <c r="L340" s="10" t="str">
        <f t="shared" si="10"/>
        <v>Noroeste - A07</v>
      </c>
    </row>
    <row r="341" spans="1:12" x14ac:dyDescent="0.2">
      <c r="A341" s="5" t="s">
        <v>260</v>
      </c>
      <c r="B341" s="149" t="s">
        <v>418</v>
      </c>
      <c r="C341" s="145" t="s">
        <v>427</v>
      </c>
      <c r="D341" s="4" t="s">
        <v>265</v>
      </c>
      <c r="E341" s="142">
        <f>VLOOKUP(D341,'IDHM (IBGE2022)'!$A$4:$N$402,14,FALSE)</f>
        <v>53846.04</v>
      </c>
      <c r="F341" s="90">
        <f>VLOOKUP(D341,'IDHM (IBGE2022)'!$A$4:$J$402,10,FALSE)</f>
        <v>0.71699999999999997</v>
      </c>
      <c r="G341" s="92">
        <f t="shared" si="11"/>
        <v>0.79873088361206557</v>
      </c>
      <c r="H341" s="9">
        <f>VLOOKUP(D341,'IPDM_renda  (IPARDES-PR)'!$A$4:$N$420,14,FALSE)</f>
        <v>0.55281686152312037</v>
      </c>
      <c r="I341" s="9">
        <f>VLOOKUP(D341,'IPDM_educação  (IPARDES-PR)'!$A$4:$N$420,14,FALSE)</f>
        <v>0.9434270808765739</v>
      </c>
      <c r="J341" s="9">
        <f>VLOOKUP(D341,'IPDM_saúde   (IPARDES-PR)'!$A$4:$N$466,14,FALSE)</f>
        <v>0.89994870843650243</v>
      </c>
      <c r="L341" s="10" t="str">
        <f t="shared" si="10"/>
        <v>Noroeste - A07</v>
      </c>
    </row>
    <row r="342" spans="1:12" x14ac:dyDescent="0.2">
      <c r="A342" s="5" t="s">
        <v>260</v>
      </c>
      <c r="B342" s="149" t="s">
        <v>418</v>
      </c>
      <c r="C342" s="145" t="s">
        <v>427</v>
      </c>
      <c r="D342" s="4" t="s">
        <v>266</v>
      </c>
      <c r="E342" s="142">
        <f>VLOOKUP(D342,'IDHM (IBGE2022)'!$A$4:$N$402,14,FALSE)</f>
        <v>22756.95</v>
      </c>
      <c r="F342" s="90">
        <f>VLOOKUP(D342,'IDHM (IBGE2022)'!$A$4:$J$402,10,FALSE)</f>
        <v>0.71</v>
      </c>
      <c r="G342" s="92">
        <f t="shared" si="11"/>
        <v>0.77135593764081589</v>
      </c>
      <c r="H342" s="9">
        <f>VLOOKUP(D342,'IPDM_renda  (IPARDES-PR)'!$A$4:$N$420,14,FALSE)</f>
        <v>0.449880124624286</v>
      </c>
      <c r="I342" s="9">
        <f>VLOOKUP(D342,'IPDM_educação  (IPARDES-PR)'!$A$4:$N$420,14,FALSE)</f>
        <v>0.92484455770542151</v>
      </c>
      <c r="J342" s="9">
        <f>VLOOKUP(D342,'IPDM_saúde   (IPARDES-PR)'!$A$4:$N$466,14,FALSE)</f>
        <v>0.93934313059274011</v>
      </c>
      <c r="L342" s="10" t="str">
        <f t="shared" si="10"/>
        <v>Noroeste - A07</v>
      </c>
    </row>
    <row r="343" spans="1:12" x14ac:dyDescent="0.2">
      <c r="A343" s="5" t="s">
        <v>260</v>
      </c>
      <c r="B343" s="149" t="s">
        <v>418</v>
      </c>
      <c r="C343" s="145" t="s">
        <v>427</v>
      </c>
      <c r="D343" s="4" t="s">
        <v>267</v>
      </c>
      <c r="E343" s="142">
        <f>VLOOKUP(D343,'IDHM (IBGE2022)'!$A$4:$N$402,14,FALSE)</f>
        <v>40273.86</v>
      </c>
      <c r="F343" s="90">
        <f>VLOOKUP(D343,'IDHM (IBGE2022)'!$A$4:$J$402,10,FALSE)</f>
        <v>0.746</v>
      </c>
      <c r="G343" s="92">
        <f t="shared" si="11"/>
        <v>0.800945968011335</v>
      </c>
      <c r="H343" s="9">
        <f>VLOOKUP(D343,'IPDM_renda  (IPARDES-PR)'!$A$4:$N$420,14,FALSE)</f>
        <v>0.59788549280373926</v>
      </c>
      <c r="I343" s="9">
        <f>VLOOKUP(D343,'IPDM_educação  (IPARDES-PR)'!$A$4:$N$420,14,FALSE)</f>
        <v>0.91025790436643084</v>
      </c>
      <c r="J343" s="9">
        <f>VLOOKUP(D343,'IPDM_saúde   (IPARDES-PR)'!$A$4:$N$466,14,FALSE)</f>
        <v>0.89469450686383478</v>
      </c>
      <c r="L343" s="10" t="str">
        <f t="shared" si="10"/>
        <v>Noroeste - A07</v>
      </c>
    </row>
    <row r="344" spans="1:12" x14ac:dyDescent="0.2">
      <c r="A344" s="5" t="s">
        <v>260</v>
      </c>
      <c r="B344" s="149" t="s">
        <v>418</v>
      </c>
      <c r="C344" s="145" t="s">
        <v>427</v>
      </c>
      <c r="D344" s="4" t="s">
        <v>232</v>
      </c>
      <c r="E344" s="142">
        <f>VLOOKUP(D344,'IDHM (IBGE2022)'!$A$4:$N$402,14,FALSE)</f>
        <v>45540.43</v>
      </c>
      <c r="F344" s="90">
        <f>VLOOKUP(D344,'IDHM (IBGE2022)'!$A$4:$J$402,10,FALSE)</f>
        <v>0.76300000000000001</v>
      </c>
      <c r="G344" s="92">
        <f t="shared" si="11"/>
        <v>0.79767833220252948</v>
      </c>
      <c r="H344" s="9">
        <f>VLOOKUP(D344,'IPDM_renda  (IPARDES-PR)'!$A$4:$N$420,14,FALSE)</f>
        <v>0.52989692944472322</v>
      </c>
      <c r="I344" s="9">
        <f>VLOOKUP(D344,'IPDM_educação  (IPARDES-PR)'!$A$4:$N$420,14,FALSE)</f>
        <v>0.95058097821930576</v>
      </c>
      <c r="J344" s="9">
        <f>VLOOKUP(D344,'IPDM_saúde   (IPARDES-PR)'!$A$4:$N$466,14,FALSE)</f>
        <v>0.91255708894355969</v>
      </c>
      <c r="L344" s="10" t="str">
        <f t="shared" si="10"/>
        <v>Noroeste - A07</v>
      </c>
    </row>
    <row r="345" spans="1:12" x14ac:dyDescent="0.2">
      <c r="A345" s="5" t="s">
        <v>260</v>
      </c>
      <c r="B345" s="149" t="s">
        <v>418</v>
      </c>
      <c r="C345" s="145" t="s">
        <v>427</v>
      </c>
      <c r="D345" s="4" t="s">
        <v>268</v>
      </c>
      <c r="E345" s="142">
        <f>VLOOKUP(D345,'IDHM (IBGE2022)'!$A$4:$N$402,14,FALSE)</f>
        <v>59221.26</v>
      </c>
      <c r="F345" s="90">
        <f>VLOOKUP(D345,'IDHM (IBGE2022)'!$A$4:$J$402,10,FALSE)</f>
        <v>0.71299999999999997</v>
      </c>
      <c r="G345" s="92">
        <f t="shared" si="11"/>
        <v>0.75188032410126449</v>
      </c>
      <c r="H345" s="9">
        <f>VLOOKUP(D345,'IPDM_renda  (IPARDES-PR)'!$A$4:$N$420,14,FALSE)</f>
        <v>0.59190459570280485</v>
      </c>
      <c r="I345" s="9">
        <f>VLOOKUP(D345,'IPDM_educação  (IPARDES-PR)'!$A$4:$N$420,14,FALSE)</f>
        <v>0.84914557175417482</v>
      </c>
      <c r="J345" s="9">
        <f>VLOOKUP(D345,'IPDM_saúde   (IPARDES-PR)'!$A$4:$N$466,14,FALSE)</f>
        <v>0.81459080484681412</v>
      </c>
      <c r="L345" s="10" t="str">
        <f t="shared" si="10"/>
        <v>Noroeste - A07</v>
      </c>
    </row>
    <row r="346" spans="1:12" x14ac:dyDescent="0.2">
      <c r="A346" s="5" t="s">
        <v>260</v>
      </c>
      <c r="B346" s="149" t="s">
        <v>418</v>
      </c>
      <c r="C346" s="145" t="s">
        <v>427</v>
      </c>
      <c r="D346" s="4" t="s">
        <v>269</v>
      </c>
      <c r="E346" s="142">
        <f>VLOOKUP(D346,'IDHM (IBGE2022)'!$A$4:$N$402,14,FALSE)</f>
        <v>32954.620000000003</v>
      </c>
      <c r="F346" s="90">
        <f>VLOOKUP(D346,'IDHM (IBGE2022)'!$A$4:$J$402,10,FALSE)</f>
        <v>0.72</v>
      </c>
      <c r="G346" s="92">
        <f t="shared" si="11"/>
        <v>0.69658005490290753</v>
      </c>
      <c r="H346" s="9">
        <f>VLOOKUP(D346,'IPDM_renda  (IPARDES-PR)'!$A$4:$N$420,14,FALSE)</f>
        <v>0.46544709834613984</v>
      </c>
      <c r="I346" s="9">
        <f>VLOOKUP(D346,'IPDM_educação  (IPARDES-PR)'!$A$4:$N$420,14,FALSE)</f>
        <v>0.89498718678573852</v>
      </c>
      <c r="J346" s="9">
        <f>VLOOKUP(D346,'IPDM_saúde   (IPARDES-PR)'!$A$4:$N$466,14,FALSE)</f>
        <v>0.72930587957684423</v>
      </c>
      <c r="L346" s="10" t="str">
        <f t="shared" si="10"/>
        <v>Noroeste - A07</v>
      </c>
    </row>
    <row r="347" spans="1:12" x14ac:dyDescent="0.2">
      <c r="A347" s="5" t="s">
        <v>260</v>
      </c>
      <c r="B347" s="149" t="s">
        <v>418</v>
      </c>
      <c r="C347" s="145" t="s">
        <v>427</v>
      </c>
      <c r="D347" s="4" t="s">
        <v>270</v>
      </c>
      <c r="E347" s="142">
        <f>VLOOKUP(D347,'IDHM (IBGE2022)'!$A$4:$N$402,14,FALSE)</f>
        <v>34407.39</v>
      </c>
      <c r="F347" s="90">
        <f>VLOOKUP(D347,'IDHM (IBGE2022)'!$A$4:$J$402,10,FALSE)</f>
        <v>0.70399999999999996</v>
      </c>
      <c r="G347" s="92">
        <f t="shared" si="11"/>
        <v>0.68126408916583348</v>
      </c>
      <c r="H347" s="9">
        <f>VLOOKUP(D347,'IPDM_renda  (IPARDES-PR)'!$A$4:$N$420,14,FALSE)</f>
        <v>0.4700408972293405</v>
      </c>
      <c r="I347" s="9">
        <f>VLOOKUP(D347,'IPDM_educação  (IPARDES-PR)'!$A$4:$N$420,14,FALSE)</f>
        <v>0.74695907278906626</v>
      </c>
      <c r="J347" s="9">
        <f>VLOOKUP(D347,'IPDM_saúde   (IPARDES-PR)'!$A$4:$N$466,14,FALSE)</f>
        <v>0.82679229747909366</v>
      </c>
      <c r="L347" s="10" t="str">
        <f t="shared" si="10"/>
        <v>Noroeste - A07</v>
      </c>
    </row>
    <row r="348" spans="1:12" x14ac:dyDescent="0.2">
      <c r="A348" s="5" t="s">
        <v>260</v>
      </c>
      <c r="B348" s="149" t="s">
        <v>418</v>
      </c>
      <c r="C348" s="145" t="s">
        <v>427</v>
      </c>
      <c r="D348" s="4" t="s">
        <v>219</v>
      </c>
      <c r="E348" s="142">
        <f>VLOOKUP(D348,'IDHM (IBGE2022)'!$A$4:$N$402,14,FALSE)</f>
        <v>86205.53</v>
      </c>
      <c r="F348" s="90">
        <f>VLOOKUP(D348,'IDHM (IBGE2022)'!$A$4:$J$402,10,FALSE)</f>
        <v>0.68200000000000005</v>
      </c>
      <c r="G348" s="92">
        <f t="shared" si="11"/>
        <v>0.79596095512806697</v>
      </c>
      <c r="H348" s="9">
        <f>VLOOKUP(D348,'IPDM_renda  (IPARDES-PR)'!$A$4:$N$420,14,FALSE)</f>
        <v>0.58967941054030415</v>
      </c>
      <c r="I348" s="9">
        <f>VLOOKUP(D348,'IPDM_educação  (IPARDES-PR)'!$A$4:$N$420,14,FALSE)</f>
        <v>0.84860949941412489</v>
      </c>
      <c r="J348" s="9">
        <f>VLOOKUP(D348,'IPDM_saúde   (IPARDES-PR)'!$A$4:$N$466,14,FALSE)</f>
        <v>0.94959395542977187</v>
      </c>
      <c r="L348" s="10" t="str">
        <f t="shared" si="10"/>
        <v>Noroeste - A07</v>
      </c>
    </row>
    <row r="349" spans="1:12" x14ac:dyDescent="0.2">
      <c r="A349" s="5" t="s">
        <v>260</v>
      </c>
      <c r="B349" s="149" t="s">
        <v>418</v>
      </c>
      <c r="C349" s="145" t="s">
        <v>427</v>
      </c>
      <c r="D349" s="4" t="s">
        <v>271</v>
      </c>
      <c r="E349" s="142">
        <f>VLOOKUP(D349,'IDHM (IBGE2022)'!$A$4:$N$402,14,FALSE)</f>
        <v>37734.730000000003</v>
      </c>
      <c r="F349" s="90">
        <f>VLOOKUP(D349,'IDHM (IBGE2022)'!$A$4:$J$402,10,FALSE)</f>
        <v>0.73099999999999998</v>
      </c>
      <c r="G349" s="92">
        <f t="shared" si="11"/>
        <v>0.79085241330173217</v>
      </c>
      <c r="H349" s="9">
        <f>VLOOKUP(D349,'IPDM_renda  (IPARDES-PR)'!$A$4:$N$420,14,FALSE)</f>
        <v>0.51259136470127931</v>
      </c>
      <c r="I349" s="9">
        <f>VLOOKUP(D349,'IPDM_educação  (IPARDES-PR)'!$A$4:$N$420,14,FALSE)</f>
        <v>0.88029885245241724</v>
      </c>
      <c r="J349" s="9">
        <f>VLOOKUP(D349,'IPDM_saúde   (IPARDES-PR)'!$A$4:$N$466,14,FALSE)</f>
        <v>0.97966702275149986</v>
      </c>
      <c r="L349" s="10" t="str">
        <f t="shared" si="10"/>
        <v>Noroeste - A07</v>
      </c>
    </row>
    <row r="350" spans="1:12" x14ac:dyDescent="0.2">
      <c r="A350" s="5" t="s">
        <v>260</v>
      </c>
      <c r="B350" s="149" t="s">
        <v>418</v>
      </c>
      <c r="C350" s="145" t="s">
        <v>427</v>
      </c>
      <c r="D350" s="4" t="s">
        <v>272</v>
      </c>
      <c r="E350" s="142">
        <f>VLOOKUP(D350,'IDHM (IBGE2022)'!$A$4:$N$402,14,FALSE)</f>
        <v>32674.36</v>
      </c>
      <c r="F350" s="90">
        <f>VLOOKUP(D350,'IDHM (IBGE2022)'!$A$4:$J$402,10,FALSE)</f>
        <v>0.69699999999999995</v>
      </c>
      <c r="G350" s="92">
        <f t="shared" si="11"/>
        <v>0.75018590056948964</v>
      </c>
      <c r="H350" s="9">
        <f>VLOOKUP(D350,'IPDM_renda  (IPARDES-PR)'!$A$4:$N$420,14,FALSE)</f>
        <v>0.43132962973241756</v>
      </c>
      <c r="I350" s="9">
        <f>VLOOKUP(D350,'IPDM_educação  (IPARDES-PR)'!$A$4:$N$420,14,FALSE)</f>
        <v>0.950154823207632</v>
      </c>
      <c r="J350" s="9">
        <f>VLOOKUP(D350,'IPDM_saúde   (IPARDES-PR)'!$A$4:$N$466,14,FALSE)</f>
        <v>0.8690732487684194</v>
      </c>
      <c r="L350" s="10" t="str">
        <f t="shared" si="10"/>
        <v>Noroeste - A07</v>
      </c>
    </row>
    <row r="351" spans="1:12" x14ac:dyDescent="0.2">
      <c r="A351" s="5" t="s">
        <v>273</v>
      </c>
      <c r="B351" s="149" t="s">
        <v>418</v>
      </c>
      <c r="C351" s="7" t="s">
        <v>428</v>
      </c>
      <c r="D351" s="4" t="s">
        <v>274</v>
      </c>
      <c r="E351" s="142">
        <f>VLOOKUP(D351,'IDHM (IBGE2022)'!$A$4:$N$402,14,FALSE)</f>
        <v>50230.67</v>
      </c>
      <c r="F351" s="90">
        <f>VLOOKUP(D351,'IDHM (IBGE2022)'!$A$4:$J$402,10,FALSE)</f>
        <v>0.67600000000000005</v>
      </c>
      <c r="G351" s="92">
        <f t="shared" si="11"/>
        <v>0.71459994843346364</v>
      </c>
      <c r="H351" s="9">
        <f>VLOOKUP(D351,'IPDM_renda  (IPARDES-PR)'!$A$4:$N$420,14,FALSE)</f>
        <v>0.47223664838970436</v>
      </c>
      <c r="I351" s="9">
        <f>VLOOKUP(D351,'IPDM_educação  (IPARDES-PR)'!$A$4:$N$420,14,FALSE)</f>
        <v>0.88431272605272881</v>
      </c>
      <c r="J351" s="9">
        <f>VLOOKUP(D351,'IPDM_saúde   (IPARDES-PR)'!$A$4:$N$466,14,FALSE)</f>
        <v>0.78725047085795774</v>
      </c>
      <c r="L351" s="10" t="str">
        <f t="shared" si="10"/>
        <v>Noroeste - A08</v>
      </c>
    </row>
    <row r="352" spans="1:12" x14ac:dyDescent="0.2">
      <c r="A352" s="5" t="s">
        <v>273</v>
      </c>
      <c r="B352" s="149" t="s">
        <v>418</v>
      </c>
      <c r="C352" s="7" t="s">
        <v>428</v>
      </c>
      <c r="D352" s="4" t="s">
        <v>275</v>
      </c>
      <c r="E352" s="142">
        <f>VLOOKUP(D352,'IDHM (IBGE2022)'!$A$4:$N$402,14,FALSE)</f>
        <v>29153.82</v>
      </c>
      <c r="F352" s="90">
        <f>VLOOKUP(D352,'IDHM (IBGE2022)'!$A$4:$J$402,10,FALSE)</f>
        <v>0.72099999999999997</v>
      </c>
      <c r="G352" s="92">
        <f t="shared" si="11"/>
        <v>0.7592003975483993</v>
      </c>
      <c r="H352" s="9">
        <f>VLOOKUP(D352,'IPDM_renda  (IPARDES-PR)'!$A$4:$N$420,14,FALSE)</f>
        <v>0.41552644264480948</v>
      </c>
      <c r="I352" s="9">
        <f>VLOOKUP(D352,'IPDM_educação  (IPARDES-PR)'!$A$4:$N$420,14,FALSE)</f>
        <v>0.94073766970186412</v>
      </c>
      <c r="J352" s="9">
        <f>VLOOKUP(D352,'IPDM_saúde   (IPARDES-PR)'!$A$4:$N$466,14,FALSE)</f>
        <v>0.92133708029852401</v>
      </c>
      <c r="L352" s="10" t="str">
        <f t="shared" si="10"/>
        <v>Noroeste - A08</v>
      </c>
    </row>
    <row r="353" spans="1:12" x14ac:dyDescent="0.2">
      <c r="A353" s="5" t="s">
        <v>273</v>
      </c>
      <c r="B353" s="149" t="s">
        <v>418</v>
      </c>
      <c r="C353" s="7" t="s">
        <v>428</v>
      </c>
      <c r="D353" s="4" t="s">
        <v>276</v>
      </c>
      <c r="E353" s="142">
        <f>VLOOKUP(D353,'IDHM (IBGE2022)'!$A$4:$N$402,14,FALSE)</f>
        <v>55252.41</v>
      </c>
      <c r="F353" s="90">
        <f>VLOOKUP(D353,'IDHM (IBGE2022)'!$A$4:$J$402,10,FALSE)</f>
        <v>0.72899999999999998</v>
      </c>
      <c r="G353" s="92">
        <f t="shared" si="11"/>
        <v>0.76234811758342913</v>
      </c>
      <c r="H353" s="9">
        <f>VLOOKUP(D353,'IPDM_renda  (IPARDES-PR)'!$A$4:$N$420,14,FALSE)</f>
        <v>0.50110966698843762</v>
      </c>
      <c r="I353" s="9">
        <f>VLOOKUP(D353,'IPDM_educação  (IPARDES-PR)'!$A$4:$N$420,14,FALSE)</f>
        <v>0.9452178097546633</v>
      </c>
      <c r="J353" s="9">
        <f>VLOOKUP(D353,'IPDM_saúde   (IPARDES-PR)'!$A$4:$N$466,14,FALSE)</f>
        <v>0.84071687600718648</v>
      </c>
      <c r="L353" s="10" t="str">
        <f t="shared" si="10"/>
        <v>Noroeste - A08</v>
      </c>
    </row>
    <row r="354" spans="1:12" x14ac:dyDescent="0.2">
      <c r="A354" s="5" t="s">
        <v>273</v>
      </c>
      <c r="B354" s="149" t="s">
        <v>418</v>
      </c>
      <c r="C354" s="7" t="s">
        <v>428</v>
      </c>
      <c r="D354" s="4" t="s">
        <v>277</v>
      </c>
      <c r="E354" s="142">
        <f>VLOOKUP(D354,'IDHM (IBGE2022)'!$A$4:$N$402,14,FALSE)</f>
        <v>80537.86</v>
      </c>
      <c r="F354" s="90">
        <f>VLOOKUP(D354,'IDHM (IBGE2022)'!$A$4:$J$402,10,FALSE)</f>
        <v>0.68100000000000005</v>
      </c>
      <c r="G354" s="92">
        <f t="shared" si="11"/>
        <v>0.67055130876947944</v>
      </c>
      <c r="H354" s="9">
        <f>VLOOKUP(D354,'IPDM_renda  (IPARDES-PR)'!$A$4:$N$420,14,FALSE)</f>
        <v>0.44335833430859911</v>
      </c>
      <c r="I354" s="9">
        <f>VLOOKUP(D354,'IPDM_educação  (IPARDES-PR)'!$A$4:$N$420,14,FALSE)</f>
        <v>0.89228980891273968</v>
      </c>
      <c r="J354" s="9">
        <f>VLOOKUP(D354,'IPDM_saúde   (IPARDES-PR)'!$A$4:$N$466,14,FALSE)</f>
        <v>0.67600578308709958</v>
      </c>
      <c r="L354" s="10" t="str">
        <f t="shared" si="10"/>
        <v>Noroeste - A08</v>
      </c>
    </row>
    <row r="355" spans="1:12" x14ac:dyDescent="0.2">
      <c r="A355" s="5" t="s">
        <v>273</v>
      </c>
      <c r="B355" s="149" t="s">
        <v>418</v>
      </c>
      <c r="C355" s="7" t="s">
        <v>428</v>
      </c>
      <c r="D355" s="3" t="s">
        <v>412</v>
      </c>
      <c r="E355" s="142">
        <f>VLOOKUP(D355,'IDHM (IBGE2022)'!$A$4:$N$402,14,FALSE)</f>
        <v>44494.97</v>
      </c>
      <c r="F355" s="90">
        <f>VLOOKUP(D355,'IDHM (IBGE2022)'!$A$4:$J$402,10,FALSE)</f>
        <v>0.69199999999999995</v>
      </c>
      <c r="G355" s="92">
        <f t="shared" si="11"/>
        <v>0.73417075590365821</v>
      </c>
      <c r="H355" s="9">
        <f>VLOOKUP(D355,'IPDM_renda  (IPARDES-PR)'!$A$4:$N$420,14,FALSE)</f>
        <v>0.44729114243904344</v>
      </c>
      <c r="I355" s="9">
        <f>VLOOKUP(D355,'IPDM_educação  (IPARDES-PR)'!$A$4:$N$420,14,FALSE)</f>
        <v>0.83451572583009981</v>
      </c>
      <c r="J355" s="9">
        <f>VLOOKUP(D355,'IPDM_saúde   (IPARDES-PR)'!$A$4:$N$466,14,FALSE)</f>
        <v>0.92070539944183138</v>
      </c>
      <c r="L355" s="10" t="str">
        <f t="shared" si="10"/>
        <v>Noroeste - A08</v>
      </c>
    </row>
    <row r="356" spans="1:12" x14ac:dyDescent="0.2">
      <c r="A356" s="5" t="s">
        <v>273</v>
      </c>
      <c r="B356" s="149" t="s">
        <v>418</v>
      </c>
      <c r="C356" s="7" t="s">
        <v>428</v>
      </c>
      <c r="D356" s="4" t="s">
        <v>278</v>
      </c>
      <c r="E356" s="142">
        <f>VLOOKUP(D356,'IDHM (IBGE2022)'!$A$4:$N$402,14,FALSE)</f>
        <v>40683.83</v>
      </c>
      <c r="F356" s="90">
        <f>VLOOKUP(D356,'IDHM (IBGE2022)'!$A$4:$J$402,10,FALSE)</f>
        <v>0.68899999999999995</v>
      </c>
      <c r="G356" s="92">
        <f t="shared" si="11"/>
        <v>0.76215535532365364</v>
      </c>
      <c r="H356" s="9">
        <f>VLOOKUP(D356,'IPDM_renda  (IPARDES-PR)'!$A$4:$N$420,14,FALSE)</f>
        <v>0.47680133050892221</v>
      </c>
      <c r="I356" s="9">
        <f>VLOOKUP(D356,'IPDM_educação  (IPARDES-PR)'!$A$4:$N$420,14,FALSE)</f>
        <v>0.90805762785309996</v>
      </c>
      <c r="J356" s="9">
        <f>VLOOKUP(D356,'IPDM_saúde   (IPARDES-PR)'!$A$4:$N$466,14,FALSE)</f>
        <v>0.90160710760893881</v>
      </c>
      <c r="L356" s="10" t="str">
        <f t="shared" si="10"/>
        <v>Noroeste - A08</v>
      </c>
    </row>
    <row r="357" spans="1:12" x14ac:dyDescent="0.2">
      <c r="A357" s="5" t="s">
        <v>273</v>
      </c>
      <c r="B357" s="149" t="s">
        <v>418</v>
      </c>
      <c r="C357" s="7" t="s">
        <v>428</v>
      </c>
      <c r="D357" s="4" t="s">
        <v>279</v>
      </c>
      <c r="E357" s="142">
        <f>VLOOKUP(D357,'IDHM (IBGE2022)'!$A$4:$N$402,14,FALSE)</f>
        <v>31307.33</v>
      </c>
      <c r="F357" s="90">
        <f>VLOOKUP(D357,'IDHM (IBGE2022)'!$A$4:$J$402,10,FALSE)</f>
        <v>0.66900000000000004</v>
      </c>
      <c r="G357" s="92">
        <f t="shared" si="11"/>
        <v>0.64052895192328174</v>
      </c>
      <c r="H357" s="9">
        <f>VLOOKUP(D357,'IPDM_renda  (IPARDES-PR)'!$A$4:$N$420,14,FALSE)</f>
        <v>0.3673495488760064</v>
      </c>
      <c r="I357" s="9">
        <f>VLOOKUP(D357,'IPDM_educação  (IPARDES-PR)'!$A$4:$N$420,14,FALSE)</f>
        <v>0.79581602176719002</v>
      </c>
      <c r="J357" s="9">
        <f>VLOOKUP(D357,'IPDM_saúde   (IPARDES-PR)'!$A$4:$N$466,14,FALSE)</f>
        <v>0.75842128512664875</v>
      </c>
      <c r="L357" s="10" t="str">
        <f t="shared" si="10"/>
        <v>Noroeste - A08</v>
      </c>
    </row>
    <row r="358" spans="1:12" x14ac:dyDescent="0.2">
      <c r="A358" s="5" t="s">
        <v>273</v>
      </c>
      <c r="B358" s="149" t="s">
        <v>418</v>
      </c>
      <c r="C358" s="7" t="s">
        <v>428</v>
      </c>
      <c r="D358" s="4" t="s">
        <v>280</v>
      </c>
      <c r="E358" s="142">
        <f>VLOOKUP(D358,'IDHM (IBGE2022)'!$A$4:$N$402,14,FALSE)</f>
        <v>53982.44</v>
      </c>
      <c r="F358" s="90">
        <f>VLOOKUP(D358,'IDHM (IBGE2022)'!$A$4:$J$402,10,FALSE)</f>
        <v>0.70599999999999996</v>
      </c>
      <c r="G358" s="92">
        <f t="shared" si="11"/>
        <v>0.71563932273963893</v>
      </c>
      <c r="H358" s="9">
        <f>VLOOKUP(D358,'IPDM_renda  (IPARDES-PR)'!$A$4:$N$420,14,FALSE)</f>
        <v>0.51997343267935081</v>
      </c>
      <c r="I358" s="9">
        <f>VLOOKUP(D358,'IPDM_educação  (IPARDES-PR)'!$A$4:$N$420,14,FALSE)</f>
        <v>0.81925521608793916</v>
      </c>
      <c r="J358" s="9">
        <f>VLOOKUP(D358,'IPDM_saúde   (IPARDES-PR)'!$A$4:$N$466,14,FALSE)</f>
        <v>0.8076893194516267</v>
      </c>
      <c r="L358" s="10" t="str">
        <f t="shared" si="10"/>
        <v>Noroeste - A08</v>
      </c>
    </row>
    <row r="359" spans="1:12" x14ac:dyDescent="0.2">
      <c r="A359" s="5" t="s">
        <v>273</v>
      </c>
      <c r="B359" s="149" t="s">
        <v>418</v>
      </c>
      <c r="C359" s="7" t="s">
        <v>428</v>
      </c>
      <c r="D359" s="4" t="s">
        <v>281</v>
      </c>
      <c r="E359" s="142">
        <f>VLOOKUP(D359,'IDHM (IBGE2022)'!$A$4:$N$402,14,FALSE)</f>
        <v>49373.82</v>
      </c>
      <c r="F359" s="90">
        <f>VLOOKUP(D359,'IDHM (IBGE2022)'!$A$4:$J$402,10,FALSE)</f>
        <v>0.71299999999999997</v>
      </c>
      <c r="G359" s="92">
        <f t="shared" si="11"/>
        <v>0.74505788987877297</v>
      </c>
      <c r="H359" s="9">
        <f>VLOOKUP(D359,'IPDM_renda  (IPARDES-PR)'!$A$4:$N$420,14,FALSE)</f>
        <v>0.47971338007542846</v>
      </c>
      <c r="I359" s="9">
        <f>VLOOKUP(D359,'IPDM_educação  (IPARDES-PR)'!$A$4:$N$420,14,FALSE)</f>
        <v>0.84751730658151192</v>
      </c>
      <c r="J359" s="9">
        <f>VLOOKUP(D359,'IPDM_saúde   (IPARDES-PR)'!$A$4:$N$466,14,FALSE)</f>
        <v>0.90794298297937859</v>
      </c>
      <c r="L359" s="10" t="str">
        <f t="shared" si="10"/>
        <v>Noroeste - A08</v>
      </c>
    </row>
    <row r="360" spans="1:12" x14ac:dyDescent="0.2">
      <c r="A360" s="5" t="s">
        <v>273</v>
      </c>
      <c r="B360" s="149" t="s">
        <v>418</v>
      </c>
      <c r="C360" s="7" t="s">
        <v>428</v>
      </c>
      <c r="D360" s="4" t="s">
        <v>282</v>
      </c>
      <c r="E360" s="142">
        <f>VLOOKUP(D360,'IDHM (IBGE2022)'!$A$4:$N$402,14,FALSE)</f>
        <v>30647.08</v>
      </c>
      <c r="F360" s="90">
        <f>VLOOKUP(D360,'IDHM (IBGE2022)'!$A$4:$J$402,10,FALSE)</f>
        <v>0.7</v>
      </c>
      <c r="G360" s="92">
        <f t="shared" si="11"/>
        <v>0.74855208177953658</v>
      </c>
      <c r="H360" s="9">
        <f>VLOOKUP(D360,'IPDM_renda  (IPARDES-PR)'!$A$4:$N$420,14,FALSE)</f>
        <v>0.4223643948524306</v>
      </c>
      <c r="I360" s="9">
        <f>VLOOKUP(D360,'IPDM_educação  (IPARDES-PR)'!$A$4:$N$420,14,FALSE)</f>
        <v>0.8934061960753652</v>
      </c>
      <c r="J360" s="9">
        <f>VLOOKUP(D360,'IPDM_saúde   (IPARDES-PR)'!$A$4:$N$466,14,FALSE)</f>
        <v>0.92988565441081406</v>
      </c>
      <c r="L360" s="10" t="str">
        <f t="shared" si="10"/>
        <v>Noroeste - A08</v>
      </c>
    </row>
    <row r="361" spans="1:12" x14ac:dyDescent="0.2">
      <c r="A361" s="5" t="s">
        <v>273</v>
      </c>
      <c r="B361" s="149" t="s">
        <v>418</v>
      </c>
      <c r="C361" s="7" t="s">
        <v>428</v>
      </c>
      <c r="D361" s="4" t="s">
        <v>283</v>
      </c>
      <c r="E361" s="142">
        <f>VLOOKUP(D361,'IDHM (IBGE2022)'!$A$4:$N$402,14,FALSE)</f>
        <v>28172.13</v>
      </c>
      <c r="F361" s="90">
        <f>VLOOKUP(D361,'IDHM (IBGE2022)'!$A$4:$J$402,10,FALSE)</f>
        <v>0.67600000000000005</v>
      </c>
      <c r="G361" s="92">
        <f t="shared" si="11"/>
        <v>0.78151894331824356</v>
      </c>
      <c r="H361" s="9">
        <f>VLOOKUP(D361,'IPDM_renda  (IPARDES-PR)'!$A$4:$N$420,14,FALSE)</f>
        <v>0.52342338928278331</v>
      </c>
      <c r="I361" s="9">
        <f>VLOOKUP(D361,'IPDM_educação  (IPARDES-PR)'!$A$4:$N$420,14,FALSE)</f>
        <v>0.91543803324408579</v>
      </c>
      <c r="J361" s="9">
        <f>VLOOKUP(D361,'IPDM_saúde   (IPARDES-PR)'!$A$4:$N$466,14,FALSE)</f>
        <v>0.90569540742786148</v>
      </c>
      <c r="L361" s="10" t="str">
        <f t="shared" si="10"/>
        <v>Noroeste - A08</v>
      </c>
    </row>
    <row r="362" spans="1:12" x14ac:dyDescent="0.2">
      <c r="A362" s="5" t="s">
        <v>273</v>
      </c>
      <c r="B362" s="149" t="s">
        <v>418</v>
      </c>
      <c r="C362" s="7" t="s">
        <v>428</v>
      </c>
      <c r="D362" s="4" t="s">
        <v>248</v>
      </c>
      <c r="E362" s="142">
        <f>VLOOKUP(D362,'IDHM (IBGE2022)'!$A$4:$N$402,14,FALSE)</f>
        <v>43528.72</v>
      </c>
      <c r="F362" s="90">
        <f>VLOOKUP(D362,'IDHM (IBGE2022)'!$A$4:$J$402,10,FALSE)</f>
        <v>0.76100000000000001</v>
      </c>
      <c r="G362" s="92">
        <f t="shared" si="11"/>
        <v>0.78274877992599123</v>
      </c>
      <c r="H362" s="9">
        <f>VLOOKUP(D362,'IPDM_renda  (IPARDES-PR)'!$A$4:$N$420,14,FALSE)</f>
        <v>0.54182085468922681</v>
      </c>
      <c r="I362" s="9">
        <f>VLOOKUP(D362,'IPDM_educação  (IPARDES-PR)'!$A$4:$N$420,14,FALSE)</f>
        <v>0.92573608402858143</v>
      </c>
      <c r="J362" s="9">
        <f>VLOOKUP(D362,'IPDM_saúde   (IPARDES-PR)'!$A$4:$N$466,14,FALSE)</f>
        <v>0.88068940106016547</v>
      </c>
      <c r="L362" s="10" t="str">
        <f t="shared" si="10"/>
        <v>Noroeste - A08</v>
      </c>
    </row>
    <row r="363" spans="1:12" x14ac:dyDescent="0.2">
      <c r="A363" s="5" t="s">
        <v>273</v>
      </c>
      <c r="B363" s="149" t="s">
        <v>418</v>
      </c>
      <c r="C363" s="7" t="s">
        <v>428</v>
      </c>
      <c r="D363" s="4" t="s">
        <v>284</v>
      </c>
      <c r="E363" s="142">
        <f>VLOOKUP(D363,'IDHM (IBGE2022)'!$A$4:$N$402,14,FALSE)</f>
        <v>23887.13</v>
      </c>
      <c r="F363" s="90">
        <f>VLOOKUP(D363,'IDHM (IBGE2022)'!$A$4:$J$402,10,FALSE)</f>
        <v>0.70599999999999996</v>
      </c>
      <c r="G363" s="92">
        <f t="shared" si="11"/>
        <v>0.65966076628295334</v>
      </c>
      <c r="H363" s="9">
        <f>VLOOKUP(D363,'IPDM_renda  (IPARDES-PR)'!$A$4:$N$420,14,FALSE)</f>
        <v>0.37612105708387505</v>
      </c>
      <c r="I363" s="9">
        <f>VLOOKUP(D363,'IPDM_educação  (IPARDES-PR)'!$A$4:$N$420,14,FALSE)</f>
        <v>0.8807004453152586</v>
      </c>
      <c r="J363" s="9">
        <f>VLOOKUP(D363,'IPDM_saúde   (IPARDES-PR)'!$A$4:$N$466,14,FALSE)</f>
        <v>0.72216079644972631</v>
      </c>
      <c r="L363" s="10" t="str">
        <f t="shared" si="10"/>
        <v>Noroeste - A08</v>
      </c>
    </row>
    <row r="364" spans="1:12" x14ac:dyDescent="0.2">
      <c r="A364" s="5" t="s">
        <v>285</v>
      </c>
      <c r="B364" s="149" t="s">
        <v>418</v>
      </c>
      <c r="C364" s="145" t="s">
        <v>429</v>
      </c>
      <c r="D364" s="4" t="s">
        <v>261</v>
      </c>
      <c r="E364" s="142">
        <f>VLOOKUP(D364,'IDHM (IBGE2022)'!$A$4:$N$402,14,FALSE)</f>
        <v>34418.01</v>
      </c>
      <c r="F364" s="90">
        <f>VLOOKUP(D364,'IDHM (IBGE2022)'!$A$4:$J$402,10,FALSE)</f>
        <v>0.66900000000000004</v>
      </c>
      <c r="G364" s="92">
        <f t="shared" si="11"/>
        <v>0.71318268533734708</v>
      </c>
      <c r="H364" s="9">
        <f>VLOOKUP(D364,'IPDM_renda  (IPARDES-PR)'!$A$4:$N$420,14,FALSE)</f>
        <v>0.45027916556330799</v>
      </c>
      <c r="I364" s="9">
        <f>VLOOKUP(D364,'IPDM_educação  (IPARDES-PR)'!$A$4:$N$420,14,FALSE)</f>
        <v>0.83922711438812014</v>
      </c>
      <c r="J364" s="9">
        <f>VLOOKUP(D364,'IPDM_saúde   (IPARDES-PR)'!$A$4:$N$466,14,FALSE)</f>
        <v>0.85004177606061315</v>
      </c>
      <c r="L364" s="10" t="str">
        <f t="shared" si="10"/>
        <v>Noroeste - A09</v>
      </c>
    </row>
    <row r="365" spans="1:12" x14ac:dyDescent="0.2">
      <c r="A365" s="5" t="s">
        <v>285</v>
      </c>
      <c r="B365" s="149" t="s">
        <v>418</v>
      </c>
      <c r="C365" s="145" t="s">
        <v>429</v>
      </c>
      <c r="D365" s="4" t="s">
        <v>286</v>
      </c>
      <c r="E365" s="142">
        <f>VLOOKUP(D365,'IDHM (IBGE2022)'!$A$4:$N$402,14,FALSE)</f>
        <v>80500.47</v>
      </c>
      <c r="F365" s="90">
        <f>VLOOKUP(D365,'IDHM (IBGE2022)'!$A$4:$J$402,10,FALSE)</f>
        <v>0.72299999999999998</v>
      </c>
      <c r="G365" s="92">
        <f t="shared" si="11"/>
        <v>0.78139498784043537</v>
      </c>
      <c r="H365" s="9">
        <f>VLOOKUP(D365,'IPDM_renda  (IPARDES-PR)'!$A$4:$N$420,14,FALSE)</f>
        <v>0.44751359221581555</v>
      </c>
      <c r="I365" s="9">
        <f>VLOOKUP(D365,'IPDM_educação  (IPARDES-PR)'!$A$4:$N$420,14,FALSE)</f>
        <v>0.8967227466429073</v>
      </c>
      <c r="J365" s="9">
        <f>VLOOKUP(D365,'IPDM_saúde   (IPARDES-PR)'!$A$4:$N$466,14,FALSE)</f>
        <v>0.99994862466258339</v>
      </c>
      <c r="L365" s="10" t="str">
        <f t="shared" si="10"/>
        <v>Noroeste - A09</v>
      </c>
    </row>
    <row r="366" spans="1:12" x14ac:dyDescent="0.2">
      <c r="A366" s="5" t="s">
        <v>285</v>
      </c>
      <c r="B366" s="149" t="s">
        <v>418</v>
      </c>
      <c r="C366" s="145" t="s">
        <v>429</v>
      </c>
      <c r="D366" s="4" t="s">
        <v>287</v>
      </c>
      <c r="E366" s="142">
        <f>VLOOKUP(D366,'IDHM (IBGE2022)'!$A$4:$N$402,14,FALSE)</f>
        <v>61458.48</v>
      </c>
      <c r="F366" s="90">
        <f>VLOOKUP(D366,'IDHM (IBGE2022)'!$A$4:$J$402,10,FALSE)</f>
        <v>0.69299999999999995</v>
      </c>
      <c r="G366" s="92">
        <f t="shared" si="11"/>
        <v>0.70129396038917313</v>
      </c>
      <c r="H366" s="9">
        <f>VLOOKUP(D366,'IPDM_renda  (IPARDES-PR)'!$A$4:$N$420,14,FALSE)</f>
        <v>0.48796240421236192</v>
      </c>
      <c r="I366" s="9">
        <f>VLOOKUP(D366,'IPDM_educação  (IPARDES-PR)'!$A$4:$N$420,14,FALSE)</f>
        <v>0.83473423166940841</v>
      </c>
      <c r="J366" s="9">
        <f>VLOOKUP(D366,'IPDM_saúde   (IPARDES-PR)'!$A$4:$N$466,14,FALSE)</f>
        <v>0.78118524528574895</v>
      </c>
      <c r="L366" s="10" t="str">
        <f t="shared" si="10"/>
        <v>Noroeste - A09</v>
      </c>
    </row>
    <row r="367" spans="1:12" x14ac:dyDescent="0.2">
      <c r="A367" s="5" t="s">
        <v>285</v>
      </c>
      <c r="B367" s="149" t="s">
        <v>418</v>
      </c>
      <c r="C367" s="145" t="s">
        <v>429</v>
      </c>
      <c r="D367" s="4" t="s">
        <v>288</v>
      </c>
      <c r="E367" s="142">
        <f>VLOOKUP(D367,'IDHM (IBGE2022)'!$A$4:$N$402,14,FALSE)</f>
        <v>39155.410000000003</v>
      </c>
      <c r="F367" s="90">
        <f>VLOOKUP(D367,'IDHM (IBGE2022)'!$A$4:$J$402,10,FALSE)</f>
        <v>0.72499999999999998</v>
      </c>
      <c r="G367" s="92">
        <f t="shared" si="11"/>
        <v>0.75071954696853016</v>
      </c>
      <c r="H367" s="9">
        <f>VLOOKUP(D367,'IPDM_renda  (IPARDES-PR)'!$A$4:$N$420,14,FALSE)</f>
        <v>0.52188035150446266</v>
      </c>
      <c r="I367" s="9">
        <f>VLOOKUP(D367,'IPDM_educação  (IPARDES-PR)'!$A$4:$N$420,14,FALSE)</f>
        <v>0.91596583171979562</v>
      </c>
      <c r="J367" s="9">
        <f>VLOOKUP(D367,'IPDM_saúde   (IPARDES-PR)'!$A$4:$N$466,14,FALSE)</f>
        <v>0.81431245768133198</v>
      </c>
      <c r="L367" s="10" t="str">
        <f t="shared" si="10"/>
        <v>Noroeste - A09</v>
      </c>
    </row>
    <row r="368" spans="1:12" x14ac:dyDescent="0.2">
      <c r="A368" s="5" t="s">
        <v>285</v>
      </c>
      <c r="B368" s="149" t="s">
        <v>418</v>
      </c>
      <c r="C368" s="145" t="s">
        <v>429</v>
      </c>
      <c r="D368" s="4" t="s">
        <v>289</v>
      </c>
      <c r="E368" s="142">
        <f>VLOOKUP(D368,'IDHM (IBGE2022)'!$A$4:$N$402,14,FALSE)</f>
        <v>32708.81</v>
      </c>
      <c r="F368" s="90">
        <f>VLOOKUP(D368,'IDHM (IBGE2022)'!$A$4:$J$402,10,FALSE)</f>
        <v>0.68100000000000005</v>
      </c>
      <c r="G368" s="92">
        <f t="shared" si="11"/>
        <v>0.71005891776958807</v>
      </c>
      <c r="H368" s="9">
        <f>VLOOKUP(D368,'IPDM_renda  (IPARDES-PR)'!$A$4:$N$420,14,FALSE)</f>
        <v>0.46250285158877724</v>
      </c>
      <c r="I368" s="9">
        <f>VLOOKUP(D368,'IPDM_educação  (IPARDES-PR)'!$A$4:$N$420,14,FALSE)</f>
        <v>0.92440407196505103</v>
      </c>
      <c r="J368" s="9">
        <f>VLOOKUP(D368,'IPDM_saúde   (IPARDES-PR)'!$A$4:$N$466,14,FALSE)</f>
        <v>0.74326982975493594</v>
      </c>
      <c r="L368" s="10" t="str">
        <f t="shared" si="10"/>
        <v>Noroeste - A09</v>
      </c>
    </row>
    <row r="369" spans="1:12" x14ac:dyDescent="0.2">
      <c r="A369" s="5" t="s">
        <v>285</v>
      </c>
      <c r="B369" s="149" t="s">
        <v>418</v>
      </c>
      <c r="C369" s="145" t="s">
        <v>429</v>
      </c>
      <c r="D369" s="4" t="s">
        <v>290</v>
      </c>
      <c r="E369" s="142">
        <f>VLOOKUP(D369,'IDHM (IBGE2022)'!$A$4:$N$402,14,FALSE)</f>
        <v>55592.2</v>
      </c>
      <c r="F369" s="90">
        <f>VLOOKUP(D369,'IDHM (IBGE2022)'!$A$4:$J$402,10,FALSE)</f>
        <v>0.75800000000000001</v>
      </c>
      <c r="G369" s="92">
        <f t="shared" si="11"/>
        <v>0.81799413613193128</v>
      </c>
      <c r="H369" s="9">
        <f>VLOOKUP(D369,'IPDM_renda  (IPARDES-PR)'!$A$4:$N$420,14,FALSE)</f>
        <v>0.56928790719561928</v>
      </c>
      <c r="I369" s="9">
        <f>VLOOKUP(D369,'IPDM_educação  (IPARDES-PR)'!$A$4:$N$420,14,FALSE)</f>
        <v>0.93141504775244544</v>
      </c>
      <c r="J369" s="9">
        <f>VLOOKUP(D369,'IPDM_saúde   (IPARDES-PR)'!$A$4:$N$466,14,FALSE)</f>
        <v>0.95327945344772946</v>
      </c>
      <c r="L369" s="10" t="str">
        <f t="shared" si="10"/>
        <v>Noroeste - A09</v>
      </c>
    </row>
    <row r="370" spans="1:12" x14ac:dyDescent="0.2">
      <c r="A370" s="5" t="s">
        <v>285</v>
      </c>
      <c r="B370" s="149" t="s">
        <v>418</v>
      </c>
      <c r="C370" s="145" t="s">
        <v>429</v>
      </c>
      <c r="D370" s="4" t="s">
        <v>291</v>
      </c>
      <c r="E370" s="142">
        <f>VLOOKUP(D370,'IDHM (IBGE2022)'!$A$4:$N$402,14,FALSE)</f>
        <v>36741.980000000003</v>
      </c>
      <c r="F370" s="90">
        <f>VLOOKUP(D370,'IDHM (IBGE2022)'!$A$4:$J$402,10,FALSE)</f>
        <v>0.70499999999999996</v>
      </c>
      <c r="G370" s="92">
        <f t="shared" si="11"/>
        <v>0.7247035277044459</v>
      </c>
      <c r="H370" s="9">
        <f>VLOOKUP(D370,'IPDM_renda  (IPARDES-PR)'!$A$4:$N$420,14,FALSE)</f>
        <v>0.48639537804217009</v>
      </c>
      <c r="I370" s="9">
        <f>VLOOKUP(D370,'IPDM_educação  (IPARDES-PR)'!$A$4:$N$420,14,FALSE)</f>
        <v>0.87056838841415918</v>
      </c>
      <c r="J370" s="9">
        <f>VLOOKUP(D370,'IPDM_saúde   (IPARDES-PR)'!$A$4:$N$466,14,FALSE)</f>
        <v>0.81714681665700883</v>
      </c>
      <c r="L370" s="10" t="str">
        <f t="shared" si="10"/>
        <v>Noroeste - A09</v>
      </c>
    </row>
    <row r="371" spans="1:12" x14ac:dyDescent="0.2">
      <c r="A371" s="5" t="s">
        <v>285</v>
      </c>
      <c r="B371" s="149" t="s">
        <v>418</v>
      </c>
      <c r="C371" s="145" t="s">
        <v>429</v>
      </c>
      <c r="D371" s="4" t="s">
        <v>292</v>
      </c>
      <c r="E371" s="142">
        <f>VLOOKUP(D371,'IDHM (IBGE2022)'!$A$4:$N$402,14,FALSE)</f>
        <v>48076.83</v>
      </c>
      <c r="F371" s="90">
        <f>VLOOKUP(D371,'IDHM (IBGE2022)'!$A$4:$J$402,10,FALSE)</f>
        <v>0.73499999999999999</v>
      </c>
      <c r="G371" s="92">
        <f t="shared" si="11"/>
        <v>0.79205509893001658</v>
      </c>
      <c r="H371" s="9">
        <f>VLOOKUP(D371,'IPDM_renda  (IPARDES-PR)'!$A$4:$N$420,14,FALSE)</f>
        <v>0.54967625774818873</v>
      </c>
      <c r="I371" s="9">
        <f>VLOOKUP(D371,'IPDM_educação  (IPARDES-PR)'!$A$4:$N$420,14,FALSE)</f>
        <v>0.90261487964689846</v>
      </c>
      <c r="J371" s="9">
        <f>VLOOKUP(D371,'IPDM_saúde   (IPARDES-PR)'!$A$4:$N$466,14,FALSE)</f>
        <v>0.92387415939496265</v>
      </c>
      <c r="L371" s="10" t="str">
        <f t="shared" si="10"/>
        <v>Noroeste - A09</v>
      </c>
    </row>
    <row r="372" spans="1:12" x14ac:dyDescent="0.2">
      <c r="A372" s="5" t="s">
        <v>285</v>
      </c>
      <c r="B372" s="149" t="s">
        <v>418</v>
      </c>
      <c r="C372" s="145" t="s">
        <v>429</v>
      </c>
      <c r="D372" s="4" t="s">
        <v>293</v>
      </c>
      <c r="E372" s="142">
        <f>VLOOKUP(D372,'IDHM (IBGE2022)'!$A$4:$N$402,14,FALSE)</f>
        <v>32030.3</v>
      </c>
      <c r="F372" s="90">
        <f>VLOOKUP(D372,'IDHM (IBGE2022)'!$A$4:$J$402,10,FALSE)</f>
        <v>0.68799999999999994</v>
      </c>
      <c r="G372" s="92">
        <f t="shared" si="11"/>
        <v>0.73496186015292497</v>
      </c>
      <c r="H372" s="9">
        <f>VLOOKUP(D372,'IPDM_renda  (IPARDES-PR)'!$A$4:$N$420,14,FALSE)</f>
        <v>0.46493336240412392</v>
      </c>
      <c r="I372" s="9">
        <f>VLOOKUP(D372,'IPDM_educação  (IPARDES-PR)'!$A$4:$N$420,14,FALSE)</f>
        <v>0.81332068077361541</v>
      </c>
      <c r="J372" s="9">
        <f>VLOOKUP(D372,'IPDM_saúde   (IPARDES-PR)'!$A$4:$N$466,14,FALSE)</f>
        <v>0.92663153728103531</v>
      </c>
      <c r="L372" s="10" t="str">
        <f t="shared" si="10"/>
        <v>Noroeste - A09</v>
      </c>
    </row>
    <row r="373" spans="1:12" x14ac:dyDescent="0.2">
      <c r="A373" s="5" t="s">
        <v>285</v>
      </c>
      <c r="B373" s="149" t="s">
        <v>418</v>
      </c>
      <c r="C373" s="145" t="s">
        <v>429</v>
      </c>
      <c r="D373" s="4" t="s">
        <v>294</v>
      </c>
      <c r="E373" s="142">
        <f>VLOOKUP(D373,'IDHM (IBGE2022)'!$A$4:$N$402,14,FALSE)</f>
        <v>44952.45</v>
      </c>
      <c r="F373" s="90">
        <f>VLOOKUP(D373,'IDHM (IBGE2022)'!$A$4:$J$402,10,FALSE)</f>
        <v>0.71</v>
      </c>
      <c r="G373" s="92">
        <f t="shared" si="11"/>
        <v>0.65610247702931612</v>
      </c>
      <c r="H373" s="9">
        <f>VLOOKUP(D373,'IPDM_renda  (IPARDES-PR)'!$A$4:$N$420,14,FALSE)</f>
        <v>0.42678667340043108</v>
      </c>
      <c r="I373" s="9">
        <f>VLOOKUP(D373,'IPDM_educação  (IPARDES-PR)'!$A$4:$N$420,14,FALSE)</f>
        <v>0.86656295767304692</v>
      </c>
      <c r="J373" s="9">
        <f>VLOOKUP(D373,'IPDM_saúde   (IPARDES-PR)'!$A$4:$N$466,14,FALSE)</f>
        <v>0.67495780001447014</v>
      </c>
      <c r="L373" s="10" t="str">
        <f t="shared" si="10"/>
        <v>Noroeste - A09</v>
      </c>
    </row>
    <row r="374" spans="1:12" x14ac:dyDescent="0.2">
      <c r="A374" s="5" t="s">
        <v>285</v>
      </c>
      <c r="B374" s="149" t="s">
        <v>418</v>
      </c>
      <c r="C374" s="145" t="s">
        <v>429</v>
      </c>
      <c r="D374" s="4" t="s">
        <v>269</v>
      </c>
      <c r="E374" s="142">
        <f>VLOOKUP(D374,'IDHM (IBGE2022)'!$A$4:$N$402,14,FALSE)</f>
        <v>32954.620000000003</v>
      </c>
      <c r="F374" s="90">
        <f>VLOOKUP(D374,'IDHM (IBGE2022)'!$A$4:$J$402,10,FALSE)</f>
        <v>0.72</v>
      </c>
      <c r="G374" s="92">
        <f t="shared" si="11"/>
        <v>0.69658005490290753</v>
      </c>
      <c r="H374" s="9">
        <f>VLOOKUP(D374,'IPDM_renda  (IPARDES-PR)'!$A$4:$N$420,14,FALSE)</f>
        <v>0.46544709834613984</v>
      </c>
      <c r="I374" s="9">
        <f>VLOOKUP(D374,'IPDM_educação  (IPARDES-PR)'!$A$4:$N$420,14,FALSE)</f>
        <v>0.89498718678573852</v>
      </c>
      <c r="J374" s="9">
        <f>VLOOKUP(D374,'IPDM_saúde   (IPARDES-PR)'!$A$4:$N$466,14,FALSE)</f>
        <v>0.72930587957684423</v>
      </c>
      <c r="L374" s="10" t="str">
        <f t="shared" si="10"/>
        <v>Noroeste - A09</v>
      </c>
    </row>
    <row r="375" spans="1:12" x14ac:dyDescent="0.2">
      <c r="A375" s="5" t="s">
        <v>285</v>
      </c>
      <c r="B375" s="149" t="s">
        <v>418</v>
      </c>
      <c r="C375" s="145" t="s">
        <v>429</v>
      </c>
      <c r="D375" s="4" t="s">
        <v>295</v>
      </c>
      <c r="E375" s="142">
        <f>VLOOKUP(D375,'IDHM (IBGE2022)'!$A$4:$N$402,14,FALSE)</f>
        <v>41823.019999999997</v>
      </c>
      <c r="F375" s="90">
        <f>VLOOKUP(D375,'IDHM (IBGE2022)'!$A$4:$J$402,10,FALSE)</f>
        <v>0.70399999999999996</v>
      </c>
      <c r="G375" s="92">
        <f t="shared" si="11"/>
        <v>0.66058685777618542</v>
      </c>
      <c r="H375" s="9">
        <f>VLOOKUP(D375,'IPDM_renda  (IPARDES-PR)'!$A$4:$N$420,14,FALSE)</f>
        <v>0.50060602699925061</v>
      </c>
      <c r="I375" s="9">
        <f>VLOOKUP(D375,'IPDM_educação  (IPARDES-PR)'!$A$4:$N$420,14,FALSE)</f>
        <v>0.75818728717885042</v>
      </c>
      <c r="J375" s="9">
        <f>VLOOKUP(D375,'IPDM_saúde   (IPARDES-PR)'!$A$4:$N$466,14,FALSE)</f>
        <v>0.72296725915045501</v>
      </c>
      <c r="L375" s="10" t="str">
        <f t="shared" si="10"/>
        <v>Noroeste - A09</v>
      </c>
    </row>
    <row r="376" spans="1:12" x14ac:dyDescent="0.2">
      <c r="A376" s="5" t="s">
        <v>285</v>
      </c>
      <c r="B376" s="149" t="s">
        <v>418</v>
      </c>
      <c r="C376" s="145" t="s">
        <v>429</v>
      </c>
      <c r="D376" s="4" t="s">
        <v>235</v>
      </c>
      <c r="E376" s="142">
        <f>VLOOKUP(D376,'IDHM (IBGE2022)'!$A$4:$N$402,14,FALSE)</f>
        <v>36352.67</v>
      </c>
      <c r="F376" s="90">
        <f>VLOOKUP(D376,'IDHM (IBGE2022)'!$A$4:$J$402,10,FALSE)</f>
        <v>0.71</v>
      </c>
      <c r="G376" s="92">
        <f t="shared" si="11"/>
        <v>0.79433258315438449</v>
      </c>
      <c r="H376" s="9">
        <f>VLOOKUP(D376,'IPDM_renda  (IPARDES-PR)'!$A$4:$N$420,14,FALSE)</f>
        <v>0.52153583439165707</v>
      </c>
      <c r="I376" s="9">
        <f>VLOOKUP(D376,'IPDM_educação  (IPARDES-PR)'!$A$4:$N$420,14,FALSE)</f>
        <v>0.94289020120537692</v>
      </c>
      <c r="J376" s="9">
        <f>VLOOKUP(D376,'IPDM_saúde   (IPARDES-PR)'!$A$4:$N$466,14,FALSE)</f>
        <v>0.91857171386611913</v>
      </c>
      <c r="L376" s="10" t="str">
        <f t="shared" si="10"/>
        <v>Noroeste - A09</v>
      </c>
    </row>
    <row r="377" spans="1:12" x14ac:dyDescent="0.2">
      <c r="A377" s="5" t="s">
        <v>296</v>
      </c>
      <c r="B377" s="149" t="s">
        <v>418</v>
      </c>
      <c r="C377" s="7" t="s">
        <v>430</v>
      </c>
      <c r="D377" s="4" t="s">
        <v>297</v>
      </c>
      <c r="E377" s="142">
        <f>VLOOKUP(D377,'IDHM (IBGE2022)'!$A$4:$N$402,14,FALSE)</f>
        <v>48366.68</v>
      </c>
      <c r="F377" s="90">
        <f>VLOOKUP(D377,'IDHM (IBGE2022)'!$A$4:$J$402,10,FALSE)</f>
        <v>0.67800000000000005</v>
      </c>
      <c r="G377" s="92">
        <f t="shared" si="11"/>
        <v>0.75700084919073429</v>
      </c>
      <c r="H377" s="9">
        <f>VLOOKUP(D377,'IPDM_renda  (IPARDES-PR)'!$A$4:$N$420,14,FALSE)</f>
        <v>0.55969745737376297</v>
      </c>
      <c r="I377" s="9">
        <f>VLOOKUP(D377,'IPDM_educação  (IPARDES-PR)'!$A$4:$N$420,14,FALSE)</f>
        <v>0.9448637722333455</v>
      </c>
      <c r="J377" s="9">
        <f>VLOOKUP(D377,'IPDM_saúde   (IPARDES-PR)'!$A$4:$N$466,14,FALSE)</f>
        <v>0.76644131796509429</v>
      </c>
      <c r="L377" s="10" t="str">
        <f t="shared" si="10"/>
        <v>Noroeste - A10</v>
      </c>
    </row>
    <row r="378" spans="1:12" x14ac:dyDescent="0.2">
      <c r="A378" s="5" t="s">
        <v>296</v>
      </c>
      <c r="B378" s="149" t="s">
        <v>418</v>
      </c>
      <c r="C378" s="7" t="s">
        <v>430</v>
      </c>
      <c r="D378" s="4" t="s">
        <v>240</v>
      </c>
      <c r="E378" s="142">
        <f>VLOOKUP(D378,'IDHM (IBGE2022)'!$A$4:$N$402,14,FALSE)</f>
        <v>45708.09</v>
      </c>
      <c r="F378" s="90">
        <f>VLOOKUP(D378,'IDHM (IBGE2022)'!$A$4:$J$402,10,FALSE)</f>
        <v>0.71699999999999997</v>
      </c>
      <c r="G378" s="92">
        <f t="shared" si="11"/>
        <v>0.75044744695325116</v>
      </c>
      <c r="H378" s="9">
        <f>VLOOKUP(D378,'IPDM_renda  (IPARDES-PR)'!$A$4:$N$420,14,FALSE)</f>
        <v>0.4718502258786102</v>
      </c>
      <c r="I378" s="9">
        <f>VLOOKUP(D378,'IPDM_educação  (IPARDES-PR)'!$A$4:$N$420,14,FALSE)</f>
        <v>0.932847964977359</v>
      </c>
      <c r="J378" s="9">
        <f>VLOOKUP(D378,'IPDM_saúde   (IPARDES-PR)'!$A$4:$N$466,14,FALSE)</f>
        <v>0.84664415000378412</v>
      </c>
      <c r="L378" s="10" t="str">
        <f t="shared" si="10"/>
        <v>Noroeste - A10</v>
      </c>
    </row>
    <row r="379" spans="1:12" x14ac:dyDescent="0.2">
      <c r="A379" s="5" t="s">
        <v>296</v>
      </c>
      <c r="B379" s="149" t="s">
        <v>418</v>
      </c>
      <c r="C379" s="7" t="s">
        <v>430</v>
      </c>
      <c r="D379" s="4" t="s">
        <v>298</v>
      </c>
      <c r="E379" s="142">
        <f>VLOOKUP(D379,'IDHM (IBGE2022)'!$A$4:$N$402,14,FALSE)</f>
        <v>93783.39</v>
      </c>
      <c r="F379" s="90">
        <f>VLOOKUP(D379,'IDHM (IBGE2022)'!$A$4:$J$402,10,FALSE)</f>
        <v>0.72399999999999998</v>
      </c>
      <c r="G379" s="92">
        <f t="shared" si="11"/>
        <v>0.82635358862555497</v>
      </c>
      <c r="H379" s="9">
        <f>VLOOKUP(D379,'IPDM_renda  (IPARDES-PR)'!$A$4:$N$420,14,FALSE)</f>
        <v>0.62422159105235575</v>
      </c>
      <c r="I379" s="9">
        <f>VLOOKUP(D379,'IPDM_educação  (IPARDES-PR)'!$A$4:$N$420,14,FALSE)</f>
        <v>0.95918714138900218</v>
      </c>
      <c r="J379" s="9">
        <f>VLOOKUP(D379,'IPDM_saúde   (IPARDES-PR)'!$A$4:$N$466,14,FALSE)</f>
        <v>0.89565203343530708</v>
      </c>
      <c r="L379" s="10" t="str">
        <f t="shared" si="10"/>
        <v>Noroeste - A10</v>
      </c>
    </row>
    <row r="380" spans="1:12" x14ac:dyDescent="0.2">
      <c r="A380" s="5" t="s">
        <v>296</v>
      </c>
      <c r="B380" s="149" t="s">
        <v>418</v>
      </c>
      <c r="C380" s="7" t="s">
        <v>430</v>
      </c>
      <c r="D380" s="4" t="s">
        <v>299</v>
      </c>
      <c r="E380" s="142">
        <f>VLOOKUP(D380,'IDHM (IBGE2022)'!$A$4:$N$402,14,FALSE)</f>
        <v>36603.919999999998</v>
      </c>
      <c r="F380" s="90">
        <f>VLOOKUP(D380,'IDHM (IBGE2022)'!$A$4:$J$402,10,FALSE)</f>
        <v>0.66600000000000004</v>
      </c>
      <c r="G380" s="92">
        <f t="shared" si="11"/>
        <v>0.68889970188518468</v>
      </c>
      <c r="H380" s="9">
        <f>VLOOKUP(D380,'IPDM_renda  (IPARDES-PR)'!$A$4:$N$420,14,FALSE)</f>
        <v>0.44029084348174474</v>
      </c>
      <c r="I380" s="9">
        <f>VLOOKUP(D380,'IPDM_educação  (IPARDES-PR)'!$A$4:$N$420,14,FALSE)</f>
        <v>0.8241399000440347</v>
      </c>
      <c r="J380" s="9">
        <f>VLOOKUP(D380,'IPDM_saúde   (IPARDES-PR)'!$A$4:$N$466,14,FALSE)</f>
        <v>0.80226836212977426</v>
      </c>
      <c r="L380" s="10" t="str">
        <f t="shared" si="10"/>
        <v>Noroeste - A10</v>
      </c>
    </row>
    <row r="381" spans="1:12" x14ac:dyDescent="0.2">
      <c r="A381" s="5" t="s">
        <v>296</v>
      </c>
      <c r="B381" s="149" t="s">
        <v>418</v>
      </c>
      <c r="C381" s="7" t="s">
        <v>430</v>
      </c>
      <c r="D381" s="4" t="s">
        <v>300</v>
      </c>
      <c r="E381" s="142">
        <f>VLOOKUP(D381,'IDHM (IBGE2022)'!$A$4:$N$402,14,FALSE)</f>
        <v>41052.519999999997</v>
      </c>
      <c r="F381" s="90">
        <f>VLOOKUP(D381,'IDHM (IBGE2022)'!$A$4:$J$402,10,FALSE)</f>
        <v>0.70599999999999996</v>
      </c>
      <c r="G381" s="92">
        <f t="shared" si="11"/>
        <v>0.75804703352384395</v>
      </c>
      <c r="H381" s="9">
        <f>VLOOKUP(D381,'IPDM_renda  (IPARDES-PR)'!$A$4:$N$420,14,FALSE)</f>
        <v>0.52549897976820492</v>
      </c>
      <c r="I381" s="9">
        <f>VLOOKUP(D381,'IPDM_educação  (IPARDES-PR)'!$A$4:$N$420,14,FALSE)</f>
        <v>0.93593562669328445</v>
      </c>
      <c r="J381" s="9">
        <f>VLOOKUP(D381,'IPDM_saúde   (IPARDES-PR)'!$A$4:$N$466,14,FALSE)</f>
        <v>0.81270649411004248</v>
      </c>
      <c r="L381" s="10" t="str">
        <f t="shared" si="10"/>
        <v>Noroeste - A10</v>
      </c>
    </row>
    <row r="382" spans="1:12" x14ac:dyDescent="0.2">
      <c r="A382" s="5" t="s">
        <v>296</v>
      </c>
      <c r="B382" s="149" t="s">
        <v>418</v>
      </c>
      <c r="C382" s="7" t="s">
        <v>430</v>
      </c>
      <c r="D382" s="4" t="s">
        <v>301</v>
      </c>
      <c r="E382" s="142">
        <f>VLOOKUP(D382,'IDHM (IBGE2022)'!$A$4:$N$402,14,FALSE)</f>
        <v>30077.96</v>
      </c>
      <c r="F382" s="90">
        <f>VLOOKUP(D382,'IDHM (IBGE2022)'!$A$4:$J$402,10,FALSE)</f>
        <v>0.70299999999999996</v>
      </c>
      <c r="G382" s="92">
        <f t="shared" si="11"/>
        <v>0.7039421447628853</v>
      </c>
      <c r="H382" s="9">
        <f>VLOOKUP(D382,'IPDM_renda  (IPARDES-PR)'!$A$4:$N$420,14,FALSE)</f>
        <v>0.40614389387414657</v>
      </c>
      <c r="I382" s="9">
        <f>VLOOKUP(D382,'IPDM_educação  (IPARDES-PR)'!$A$4:$N$420,14,FALSE)</f>
        <v>0.8581574251884786</v>
      </c>
      <c r="J382" s="9">
        <f>VLOOKUP(D382,'IPDM_saúde   (IPARDES-PR)'!$A$4:$N$466,14,FALSE)</f>
        <v>0.84752511522603091</v>
      </c>
      <c r="L382" s="10" t="str">
        <f t="shared" si="10"/>
        <v>Noroeste - A10</v>
      </c>
    </row>
    <row r="383" spans="1:12" x14ac:dyDescent="0.2">
      <c r="A383" s="5" t="s">
        <v>296</v>
      </c>
      <c r="B383" s="149" t="s">
        <v>418</v>
      </c>
      <c r="C383" s="7" t="s">
        <v>430</v>
      </c>
      <c r="D383" s="4" t="s">
        <v>266</v>
      </c>
      <c r="E383" s="142">
        <f>VLOOKUP(D383,'IDHM (IBGE2022)'!$A$4:$N$402,14,FALSE)</f>
        <v>22756.95</v>
      </c>
      <c r="F383" s="90">
        <f>VLOOKUP(D383,'IDHM (IBGE2022)'!$A$4:$J$402,10,FALSE)</f>
        <v>0.71</v>
      </c>
      <c r="G383" s="92">
        <f t="shared" si="11"/>
        <v>0.77135593764081589</v>
      </c>
      <c r="H383" s="9">
        <f>VLOOKUP(D383,'IPDM_renda  (IPARDES-PR)'!$A$4:$N$420,14,FALSE)</f>
        <v>0.449880124624286</v>
      </c>
      <c r="I383" s="9">
        <f>VLOOKUP(D383,'IPDM_educação  (IPARDES-PR)'!$A$4:$N$420,14,FALSE)</f>
        <v>0.92484455770542151</v>
      </c>
      <c r="J383" s="9">
        <f>VLOOKUP(D383,'IPDM_saúde   (IPARDES-PR)'!$A$4:$N$466,14,FALSE)</f>
        <v>0.93934313059274011</v>
      </c>
      <c r="L383" s="10" t="str">
        <f t="shared" si="10"/>
        <v>Noroeste - A10</v>
      </c>
    </row>
    <row r="384" spans="1:12" x14ac:dyDescent="0.2">
      <c r="A384" s="5" t="s">
        <v>296</v>
      </c>
      <c r="B384" s="149" t="s">
        <v>418</v>
      </c>
      <c r="C384" s="7" t="s">
        <v>430</v>
      </c>
      <c r="D384" s="4" t="s">
        <v>272</v>
      </c>
      <c r="E384" s="142">
        <f>VLOOKUP(D384,'IDHM (IBGE2022)'!$A$4:$N$402,14,FALSE)</f>
        <v>32674.36</v>
      </c>
      <c r="F384" s="90">
        <f>VLOOKUP(D384,'IDHM (IBGE2022)'!$A$4:$J$402,10,FALSE)</f>
        <v>0.69699999999999995</v>
      </c>
      <c r="G384" s="92">
        <f t="shared" si="11"/>
        <v>0.75018590056948964</v>
      </c>
      <c r="H384" s="9">
        <f>VLOOKUP(D384,'IPDM_renda  (IPARDES-PR)'!$A$4:$N$420,14,FALSE)</f>
        <v>0.43132962973241756</v>
      </c>
      <c r="I384" s="9">
        <f>VLOOKUP(D384,'IPDM_educação  (IPARDES-PR)'!$A$4:$N$420,14,FALSE)</f>
        <v>0.950154823207632</v>
      </c>
      <c r="J384" s="9">
        <f>VLOOKUP(D384,'IPDM_saúde   (IPARDES-PR)'!$A$4:$N$466,14,FALSE)</f>
        <v>0.8690732487684194</v>
      </c>
      <c r="L384" s="10" t="str">
        <f t="shared" si="10"/>
        <v>Noroeste - A10</v>
      </c>
    </row>
    <row r="385" spans="1:12" x14ac:dyDescent="0.2">
      <c r="A385" s="5" t="s">
        <v>296</v>
      </c>
      <c r="B385" s="149" t="s">
        <v>418</v>
      </c>
      <c r="C385" s="7" t="s">
        <v>430</v>
      </c>
      <c r="D385" s="4" t="s">
        <v>248</v>
      </c>
      <c r="E385" s="142">
        <f>VLOOKUP(D385,'IDHM (IBGE2022)'!$A$4:$N$402,14,FALSE)</f>
        <v>43528.72</v>
      </c>
      <c r="F385" s="90">
        <f>VLOOKUP(D385,'IDHM (IBGE2022)'!$A$4:$J$402,10,FALSE)</f>
        <v>0.76100000000000001</v>
      </c>
      <c r="G385" s="92">
        <f t="shared" si="11"/>
        <v>0.78274877992599123</v>
      </c>
      <c r="H385" s="9">
        <f>VLOOKUP(D385,'IPDM_renda  (IPARDES-PR)'!$A$4:$N$420,14,FALSE)</f>
        <v>0.54182085468922681</v>
      </c>
      <c r="I385" s="9">
        <f>VLOOKUP(D385,'IPDM_educação  (IPARDES-PR)'!$A$4:$N$420,14,FALSE)</f>
        <v>0.92573608402858143</v>
      </c>
      <c r="J385" s="9">
        <f>VLOOKUP(D385,'IPDM_saúde   (IPARDES-PR)'!$A$4:$N$466,14,FALSE)</f>
        <v>0.88068940106016547</v>
      </c>
      <c r="L385" s="10" t="str">
        <f t="shared" si="10"/>
        <v>Noroeste - A10</v>
      </c>
    </row>
    <row r="386" spans="1:12" x14ac:dyDescent="0.2">
      <c r="A386" s="5" t="s">
        <v>296</v>
      </c>
      <c r="B386" s="149" t="s">
        <v>418</v>
      </c>
      <c r="C386" s="7" t="s">
        <v>430</v>
      </c>
      <c r="D386" s="4" t="s">
        <v>284</v>
      </c>
      <c r="E386" s="142">
        <f>VLOOKUP(D386,'IDHM (IBGE2022)'!$A$4:$N$402,14,FALSE)</f>
        <v>23887.13</v>
      </c>
      <c r="F386" s="90">
        <f>VLOOKUP(D386,'IDHM (IBGE2022)'!$A$4:$J$402,10,FALSE)</f>
        <v>0.70599999999999996</v>
      </c>
      <c r="G386" s="92">
        <f t="shared" si="11"/>
        <v>0.65966076628295334</v>
      </c>
      <c r="H386" s="9">
        <f>VLOOKUP(D386,'IPDM_renda  (IPARDES-PR)'!$A$4:$N$420,14,FALSE)</f>
        <v>0.37612105708387505</v>
      </c>
      <c r="I386" s="9">
        <f>VLOOKUP(D386,'IPDM_educação  (IPARDES-PR)'!$A$4:$N$420,14,FALSE)</f>
        <v>0.8807004453152586</v>
      </c>
      <c r="J386" s="9">
        <f>VLOOKUP(D386,'IPDM_saúde   (IPARDES-PR)'!$A$4:$N$466,14,FALSE)</f>
        <v>0.72216079644972631</v>
      </c>
      <c r="L386" s="10" t="str">
        <f t="shared" si="10"/>
        <v>Noroeste - A10</v>
      </c>
    </row>
    <row r="387" spans="1:12" x14ac:dyDescent="0.2">
      <c r="A387" s="5" t="s">
        <v>302</v>
      </c>
      <c r="B387" s="150" t="s">
        <v>417</v>
      </c>
      <c r="C387" s="145" t="s">
        <v>421</v>
      </c>
      <c r="D387" s="4" t="s">
        <v>303</v>
      </c>
      <c r="E387" s="142">
        <f>VLOOKUP(D387,'IDHM (IBGE2022)'!$A$4:$N$402,14,FALSE)</f>
        <v>96562.03</v>
      </c>
      <c r="F387" s="90">
        <f>VLOOKUP(D387,'IDHM (IBGE2022)'!$A$4:$J$402,10,FALSE)</f>
        <v>0.73199999999999998</v>
      </c>
      <c r="G387" s="92">
        <f t="shared" si="11"/>
        <v>0.78939491054792754</v>
      </c>
      <c r="H387" s="9">
        <f>VLOOKUP(D387,'IPDM_renda  (IPARDES-PR)'!$A$4:$N$420,14,FALSE)</f>
        <v>0.53159760108897369</v>
      </c>
      <c r="I387" s="9">
        <f>VLOOKUP(D387,'IPDM_educação  (IPARDES-PR)'!$A$4:$N$420,14,FALSE)</f>
        <v>0.92550307329704928</v>
      </c>
      <c r="J387" s="9">
        <f>VLOOKUP(D387,'IPDM_saúde   (IPARDES-PR)'!$A$4:$N$466,14,FALSE)</f>
        <v>0.91108405725775954</v>
      </c>
      <c r="L387" s="10" t="str">
        <f t="shared" si="10"/>
        <v>Oeste - A01</v>
      </c>
    </row>
    <row r="388" spans="1:12" x14ac:dyDescent="0.2">
      <c r="A388" s="5" t="s">
        <v>302</v>
      </c>
      <c r="B388" s="150" t="s">
        <v>417</v>
      </c>
      <c r="C388" s="145" t="s">
        <v>421</v>
      </c>
      <c r="D388" s="3" t="s">
        <v>480</v>
      </c>
      <c r="E388" s="142">
        <f>VLOOKUP(D388,'IDHM (IBGE2022)'!$A$4:$N$402,14,FALSE)</f>
        <v>29513.42</v>
      </c>
      <c r="F388" s="90">
        <f>VLOOKUP(D388,'IDHM (IBGE2022)'!$A$4:$J$402,10,FALSE)</f>
        <v>0.64400000000000002</v>
      </c>
      <c r="G388" s="92">
        <f t="shared" si="11"/>
        <v>0.72044975523624621</v>
      </c>
      <c r="H388" s="9">
        <f>VLOOKUP(D388,'IPDM_renda  (IPARDES-PR)'!$A$4:$N$420,14,FALSE)</f>
        <v>0.43241042405650792</v>
      </c>
      <c r="I388" s="9">
        <f>VLOOKUP(D388,'IPDM_educação  (IPARDES-PR)'!$A$4:$N$420,14,FALSE)</f>
        <v>0.83682464702954584</v>
      </c>
      <c r="J388" s="9">
        <f>VLOOKUP(D388,'IPDM_saúde   (IPARDES-PR)'!$A$4:$N$466,14,FALSE)</f>
        <v>0.89211419462268482</v>
      </c>
      <c r="L388" s="10" t="str">
        <f t="shared" ref="L388:L451" si="12">B388&amp;" - "&amp;C388</f>
        <v>Oeste - A01</v>
      </c>
    </row>
    <row r="389" spans="1:12" x14ac:dyDescent="0.2">
      <c r="A389" s="5" t="s">
        <v>302</v>
      </c>
      <c r="B389" s="150" t="s">
        <v>417</v>
      </c>
      <c r="C389" s="145" t="s">
        <v>421</v>
      </c>
      <c r="D389" s="4" t="s">
        <v>305</v>
      </c>
      <c r="E389" s="142">
        <f>VLOOKUP(D389,'IDHM (IBGE2022)'!$A$4:$N$402,14,FALSE)</f>
        <v>91973.29</v>
      </c>
      <c r="F389" s="90">
        <f>VLOOKUP(D389,'IDHM (IBGE2022)'!$A$4:$J$402,10,FALSE)</f>
        <v>0.76100000000000001</v>
      </c>
      <c r="G389" s="92">
        <f t="shared" ref="G389:G452" si="13">AVERAGE(H389:J389)</f>
        <v>0.79103798808827108</v>
      </c>
      <c r="H389" s="9">
        <f>VLOOKUP(D389,'IPDM_renda  (IPARDES-PR)'!$A$4:$N$420,14,FALSE)</f>
        <v>0.63625271049371235</v>
      </c>
      <c r="I389" s="9">
        <f>VLOOKUP(D389,'IPDM_educação  (IPARDES-PR)'!$A$4:$N$420,14,FALSE)</f>
        <v>0.97867753395159662</v>
      </c>
      <c r="J389" s="9">
        <f>VLOOKUP(D389,'IPDM_saúde   (IPARDES-PR)'!$A$4:$N$466,14,FALSE)</f>
        <v>0.75818371981950428</v>
      </c>
      <c r="L389" s="10" t="str">
        <f t="shared" si="12"/>
        <v>Oeste - A01</v>
      </c>
    </row>
    <row r="390" spans="1:12" x14ac:dyDescent="0.2">
      <c r="A390" s="5" t="s">
        <v>302</v>
      </c>
      <c r="B390" s="150" t="s">
        <v>417</v>
      </c>
      <c r="C390" s="145" t="s">
        <v>421</v>
      </c>
      <c r="D390" s="4" t="s">
        <v>306</v>
      </c>
      <c r="E390" s="142">
        <f>VLOOKUP(D390,'IDHM (IBGE2022)'!$A$4:$N$402,14,FALSE)</f>
        <v>59468.67</v>
      </c>
      <c r="F390" s="90">
        <f>VLOOKUP(D390,'IDHM (IBGE2022)'!$A$4:$J$402,10,FALSE)</f>
        <v>0.751</v>
      </c>
      <c r="G390" s="92">
        <f t="shared" si="13"/>
        <v>0.77708044370574791</v>
      </c>
      <c r="H390" s="9">
        <f>VLOOKUP(D390,'IPDM_renda  (IPARDES-PR)'!$A$4:$N$420,14,FALSE)</f>
        <v>0.59023010326888592</v>
      </c>
      <c r="I390" s="9">
        <f>VLOOKUP(D390,'IPDM_educação  (IPARDES-PR)'!$A$4:$N$420,14,FALSE)</f>
        <v>0.91727593472481417</v>
      </c>
      <c r="J390" s="9">
        <f>VLOOKUP(D390,'IPDM_saúde   (IPARDES-PR)'!$A$4:$N$466,14,FALSE)</f>
        <v>0.82373529312354388</v>
      </c>
      <c r="L390" s="10" t="str">
        <f t="shared" si="12"/>
        <v>Oeste - A01</v>
      </c>
    </row>
    <row r="391" spans="1:12" x14ac:dyDescent="0.2">
      <c r="A391" s="5" t="s">
        <v>302</v>
      </c>
      <c r="B391" s="150" t="s">
        <v>417</v>
      </c>
      <c r="C391" s="145" t="s">
        <v>421</v>
      </c>
      <c r="D391" s="4" t="s">
        <v>307</v>
      </c>
      <c r="E391" s="142">
        <f>VLOOKUP(D391,'IDHM (IBGE2022)'!$A$4:$N$402,14,FALSE)</f>
        <v>49349.2</v>
      </c>
      <c r="F391" s="90">
        <f>VLOOKUP(D391,'IDHM (IBGE2022)'!$A$4:$J$402,10,FALSE)</f>
        <v>0.73799999999999999</v>
      </c>
      <c r="G391" s="92">
        <f t="shared" si="13"/>
        <v>0.80270768647134083</v>
      </c>
      <c r="H391" s="9">
        <f>VLOOKUP(D391,'IPDM_renda  (IPARDES-PR)'!$A$4:$N$420,14,FALSE)</f>
        <v>0.60715778070097992</v>
      </c>
      <c r="I391" s="9">
        <f>VLOOKUP(D391,'IPDM_educação  (IPARDES-PR)'!$A$4:$N$420,14,FALSE)</f>
        <v>0.92187827988728743</v>
      </c>
      <c r="J391" s="9">
        <f>VLOOKUP(D391,'IPDM_saúde   (IPARDES-PR)'!$A$4:$N$466,14,FALSE)</f>
        <v>0.87908699882575492</v>
      </c>
      <c r="L391" s="10" t="str">
        <f t="shared" si="12"/>
        <v>Oeste - A01</v>
      </c>
    </row>
    <row r="392" spans="1:12" x14ac:dyDescent="0.2">
      <c r="A392" s="5" t="s">
        <v>302</v>
      </c>
      <c r="B392" s="150" t="s">
        <v>417</v>
      </c>
      <c r="C392" s="145" t="s">
        <v>421</v>
      </c>
      <c r="D392" s="4" t="s">
        <v>308</v>
      </c>
      <c r="E392" s="142">
        <f>VLOOKUP(D392,'IDHM (IBGE2022)'!$A$4:$N$402,14,FALSE)</f>
        <v>70187.820000000007</v>
      </c>
      <c r="F392" s="90">
        <f>VLOOKUP(D392,'IDHM (IBGE2022)'!$A$4:$J$402,10,FALSE)</f>
        <v>0.77400000000000002</v>
      </c>
      <c r="G392" s="92">
        <f t="shared" si="13"/>
        <v>0.822854160873698</v>
      </c>
      <c r="H392" s="9">
        <f>VLOOKUP(D392,'IPDM_renda  (IPARDES-PR)'!$A$4:$N$420,14,FALSE)</f>
        <v>0.65170745928793705</v>
      </c>
      <c r="I392" s="9">
        <f>VLOOKUP(D392,'IPDM_educação  (IPARDES-PR)'!$A$4:$N$420,14,FALSE)</f>
        <v>0.94116205009136922</v>
      </c>
      <c r="J392" s="9">
        <f>VLOOKUP(D392,'IPDM_saúde   (IPARDES-PR)'!$A$4:$N$466,14,FALSE)</f>
        <v>0.87569297324178785</v>
      </c>
      <c r="L392" s="10" t="str">
        <f t="shared" si="12"/>
        <v>Oeste - A01</v>
      </c>
    </row>
    <row r="393" spans="1:12" x14ac:dyDescent="0.2">
      <c r="A393" s="5" t="s">
        <v>302</v>
      </c>
      <c r="B393" s="150" t="s">
        <v>417</v>
      </c>
      <c r="C393" s="145" t="s">
        <v>421</v>
      </c>
      <c r="D393" s="4" t="s">
        <v>309</v>
      </c>
      <c r="E393" s="142">
        <f>VLOOKUP(D393,'IDHM (IBGE2022)'!$A$4:$N$402,14,FALSE)</f>
        <v>78092.929999999993</v>
      </c>
      <c r="F393" s="90">
        <f>VLOOKUP(D393,'IDHM (IBGE2022)'!$A$4:$J$402,10,FALSE)</f>
        <v>0.72499999999999998</v>
      </c>
      <c r="G393" s="92">
        <f t="shared" si="13"/>
        <v>0.80130133222077893</v>
      </c>
      <c r="H393" s="9">
        <f>VLOOKUP(D393,'IPDM_renda  (IPARDES-PR)'!$A$4:$N$420,14,FALSE)</f>
        <v>0.67250731900556249</v>
      </c>
      <c r="I393" s="9">
        <f>VLOOKUP(D393,'IPDM_educação  (IPARDES-PR)'!$A$4:$N$420,14,FALSE)</f>
        <v>0.88843900507159901</v>
      </c>
      <c r="J393" s="9">
        <f>VLOOKUP(D393,'IPDM_saúde   (IPARDES-PR)'!$A$4:$N$466,14,FALSE)</f>
        <v>0.84295767258517529</v>
      </c>
      <c r="L393" s="10" t="str">
        <f t="shared" si="12"/>
        <v>Oeste - A01</v>
      </c>
    </row>
    <row r="394" spans="1:12" x14ac:dyDescent="0.2">
      <c r="A394" s="5" t="s">
        <v>302</v>
      </c>
      <c r="B394" s="150" t="s">
        <v>417</v>
      </c>
      <c r="C394" s="145" t="s">
        <v>421</v>
      </c>
      <c r="D394" s="4" t="s">
        <v>310</v>
      </c>
      <c r="E394" s="142">
        <f>VLOOKUP(D394,'IDHM (IBGE2022)'!$A$4:$N$402,14,FALSE)</f>
        <v>55318.22</v>
      </c>
      <c r="F394" s="90">
        <f>VLOOKUP(D394,'IDHM (IBGE2022)'!$A$4:$J$402,10,FALSE)</f>
        <v>0.76300000000000001</v>
      </c>
      <c r="G394" s="92">
        <f t="shared" si="13"/>
        <v>0.81348051737939453</v>
      </c>
      <c r="H394" s="9">
        <f>VLOOKUP(D394,'IPDM_renda  (IPARDES-PR)'!$A$4:$N$420,14,FALSE)</f>
        <v>0.65326525915492251</v>
      </c>
      <c r="I394" s="9">
        <f>VLOOKUP(D394,'IPDM_educação  (IPARDES-PR)'!$A$4:$N$420,14,FALSE)</f>
        <v>0.92360338640898942</v>
      </c>
      <c r="J394" s="9">
        <f>VLOOKUP(D394,'IPDM_saúde   (IPARDES-PR)'!$A$4:$N$466,14,FALSE)</f>
        <v>0.86357290657427155</v>
      </c>
      <c r="L394" s="10" t="str">
        <f t="shared" si="12"/>
        <v>Oeste - A01</v>
      </c>
    </row>
    <row r="395" spans="1:12" x14ac:dyDescent="0.2">
      <c r="A395" s="5" t="s">
        <v>302</v>
      </c>
      <c r="B395" s="150" t="s">
        <v>417</v>
      </c>
      <c r="C395" s="145" t="s">
        <v>421</v>
      </c>
      <c r="D395" s="4" t="s">
        <v>311</v>
      </c>
      <c r="E395" s="142">
        <f>VLOOKUP(D395,'IDHM (IBGE2022)'!$A$4:$N$402,14,FALSE)</f>
        <v>44894.11</v>
      </c>
      <c r="F395" s="90">
        <f>VLOOKUP(D395,'IDHM (IBGE2022)'!$A$4:$J$402,10,FALSE)</f>
        <v>0.71099999999999997</v>
      </c>
      <c r="G395" s="92">
        <f t="shared" si="13"/>
        <v>0.74729465180517129</v>
      </c>
      <c r="H395" s="9">
        <f>VLOOKUP(D395,'IPDM_renda  (IPARDES-PR)'!$A$4:$N$420,14,FALSE)</f>
        <v>0.5283341058912554</v>
      </c>
      <c r="I395" s="9">
        <f>VLOOKUP(D395,'IPDM_educação  (IPARDES-PR)'!$A$4:$N$420,14,FALSE)</f>
        <v>0.91535279491560917</v>
      </c>
      <c r="J395" s="9">
        <f>VLOOKUP(D395,'IPDM_saúde   (IPARDES-PR)'!$A$4:$N$466,14,FALSE)</f>
        <v>0.7981970546086492</v>
      </c>
      <c r="L395" s="10" t="str">
        <f t="shared" si="12"/>
        <v>Oeste - A01</v>
      </c>
    </row>
    <row r="396" spans="1:12" x14ac:dyDescent="0.2">
      <c r="A396" s="5" t="s">
        <v>302</v>
      </c>
      <c r="B396" s="150" t="s">
        <v>417</v>
      </c>
      <c r="C396" s="145" t="s">
        <v>421</v>
      </c>
      <c r="D396" s="4" t="s">
        <v>312</v>
      </c>
      <c r="E396" s="142">
        <f>VLOOKUP(D396,'IDHM (IBGE2022)'!$A$4:$N$402,14,FALSE)</f>
        <v>43793.26</v>
      </c>
      <c r="F396" s="90">
        <f>VLOOKUP(D396,'IDHM (IBGE2022)'!$A$4:$J$402,10,FALSE)</f>
        <v>0.70899999999999996</v>
      </c>
      <c r="G396" s="92">
        <f t="shared" si="13"/>
        <v>0.73935085496977304</v>
      </c>
      <c r="H396" s="9">
        <f>VLOOKUP(D396,'IPDM_renda  (IPARDES-PR)'!$A$4:$N$420,14,FALSE)</f>
        <v>0.48001195008889636</v>
      </c>
      <c r="I396" s="9">
        <f>VLOOKUP(D396,'IPDM_educação  (IPARDES-PR)'!$A$4:$N$420,14,FALSE)</f>
        <v>0.89005722446653768</v>
      </c>
      <c r="J396" s="9">
        <f>VLOOKUP(D396,'IPDM_saúde   (IPARDES-PR)'!$A$4:$N$466,14,FALSE)</f>
        <v>0.84798339035388492</v>
      </c>
      <c r="L396" s="10" t="str">
        <f t="shared" si="12"/>
        <v>Oeste - A01</v>
      </c>
    </row>
    <row r="397" spans="1:12" x14ac:dyDescent="0.2">
      <c r="A397" s="5" t="s">
        <v>302</v>
      </c>
      <c r="B397" s="150" t="s">
        <v>417</v>
      </c>
      <c r="C397" s="145" t="s">
        <v>421</v>
      </c>
      <c r="D397" s="4" t="s">
        <v>313</v>
      </c>
      <c r="E397" s="142">
        <f>VLOOKUP(D397,'IDHM (IBGE2022)'!$A$4:$N$402,14,FALSE)</f>
        <v>47051.07</v>
      </c>
      <c r="F397" s="90">
        <f>VLOOKUP(D397,'IDHM (IBGE2022)'!$A$4:$J$402,10,FALSE)</f>
        <v>0.747</v>
      </c>
      <c r="G397" s="92">
        <f t="shared" si="13"/>
        <v>0.76899646626889118</v>
      </c>
      <c r="H397" s="9">
        <f>VLOOKUP(D397,'IPDM_renda  (IPARDES-PR)'!$A$4:$N$420,14,FALSE)</f>
        <v>0.55024044999048316</v>
      </c>
      <c r="I397" s="9">
        <f>VLOOKUP(D397,'IPDM_educação  (IPARDES-PR)'!$A$4:$N$420,14,FALSE)</f>
        <v>0.92164657297831298</v>
      </c>
      <c r="J397" s="9">
        <f>VLOOKUP(D397,'IPDM_saúde   (IPARDES-PR)'!$A$4:$N$466,14,FALSE)</f>
        <v>0.83510237583787728</v>
      </c>
      <c r="L397" s="10" t="str">
        <f t="shared" si="12"/>
        <v>Oeste - A01</v>
      </c>
    </row>
    <row r="398" spans="1:12" x14ac:dyDescent="0.2">
      <c r="A398" s="5" t="s">
        <v>302</v>
      </c>
      <c r="B398" s="150" t="s">
        <v>417</v>
      </c>
      <c r="C398" s="145" t="s">
        <v>421</v>
      </c>
      <c r="D398" s="4" t="s">
        <v>314</v>
      </c>
      <c r="E398" s="142">
        <f>VLOOKUP(D398,'IDHM (IBGE2022)'!$A$4:$N$402,14,FALSE)</f>
        <v>29989.37</v>
      </c>
      <c r="F398" s="90">
        <f>VLOOKUP(D398,'IDHM (IBGE2022)'!$A$4:$J$402,10,FALSE)</f>
        <v>0.63</v>
      </c>
      <c r="G398" s="92">
        <f t="shared" si="13"/>
        <v>0.64626794817209265</v>
      </c>
      <c r="H398" s="9">
        <f>VLOOKUP(D398,'IPDM_renda  (IPARDES-PR)'!$A$4:$N$420,14,FALSE)</f>
        <v>0.44804221768246622</v>
      </c>
      <c r="I398" s="9">
        <f>VLOOKUP(D398,'IPDM_educação  (IPARDES-PR)'!$A$4:$N$420,14,FALSE)</f>
        <v>0.80628618680574293</v>
      </c>
      <c r="J398" s="9">
        <f>VLOOKUP(D398,'IPDM_saúde   (IPARDES-PR)'!$A$4:$N$466,14,FALSE)</f>
        <v>0.68447544002806848</v>
      </c>
      <c r="L398" s="10" t="str">
        <f t="shared" si="12"/>
        <v>Oeste - A01</v>
      </c>
    </row>
    <row r="399" spans="1:12" x14ac:dyDescent="0.2">
      <c r="A399" s="5" t="s">
        <v>302</v>
      </c>
      <c r="B399" s="150" t="s">
        <v>417</v>
      </c>
      <c r="C399" s="145" t="s">
        <v>421</v>
      </c>
      <c r="D399" s="4" t="s">
        <v>315</v>
      </c>
      <c r="E399" s="142">
        <f>VLOOKUP(D399,'IDHM (IBGE2022)'!$A$4:$N$402,14,FALSE)</f>
        <v>64374.87</v>
      </c>
      <c r="F399" s="90">
        <f>VLOOKUP(D399,'IDHM (IBGE2022)'!$A$4:$J$402,10,FALSE)</f>
        <v>0.74399999999999999</v>
      </c>
      <c r="G399" s="92">
        <f t="shared" si="13"/>
        <v>0.79233796494165298</v>
      </c>
      <c r="H399" s="9">
        <f>VLOOKUP(D399,'IPDM_renda  (IPARDES-PR)'!$A$4:$N$420,14,FALSE)</f>
        <v>0.5935079152638405</v>
      </c>
      <c r="I399" s="9">
        <f>VLOOKUP(D399,'IPDM_educação  (IPARDES-PR)'!$A$4:$N$420,14,FALSE)</f>
        <v>0.94307516677597603</v>
      </c>
      <c r="J399" s="9">
        <f>VLOOKUP(D399,'IPDM_saúde   (IPARDES-PR)'!$A$4:$N$466,14,FALSE)</f>
        <v>0.84043081278514231</v>
      </c>
      <c r="L399" s="10" t="str">
        <f t="shared" si="12"/>
        <v>Oeste - A01</v>
      </c>
    </row>
    <row r="400" spans="1:12" x14ac:dyDescent="0.2">
      <c r="A400" s="5" t="s">
        <v>302</v>
      </c>
      <c r="B400" s="150" t="s">
        <v>417</v>
      </c>
      <c r="C400" s="145" t="s">
        <v>421</v>
      </c>
      <c r="D400" s="4" t="s">
        <v>316</v>
      </c>
      <c r="E400" s="142">
        <f>VLOOKUP(D400,'IDHM (IBGE2022)'!$A$4:$N$402,14,FALSE)</f>
        <v>31536.73</v>
      </c>
      <c r="F400" s="90">
        <f>VLOOKUP(D400,'IDHM (IBGE2022)'!$A$4:$J$402,10,FALSE)</f>
        <v>0.73799999999999999</v>
      </c>
      <c r="G400" s="92">
        <f t="shared" si="13"/>
        <v>0.71664864607375656</v>
      </c>
      <c r="H400" s="9">
        <f>VLOOKUP(D400,'IPDM_renda  (IPARDES-PR)'!$A$4:$N$420,14,FALSE)</f>
        <v>0.46040992850619211</v>
      </c>
      <c r="I400" s="9">
        <f>VLOOKUP(D400,'IPDM_educação  (IPARDES-PR)'!$A$4:$N$420,14,FALSE)</f>
        <v>0.92724596887416533</v>
      </c>
      <c r="J400" s="9">
        <f>VLOOKUP(D400,'IPDM_saúde   (IPARDES-PR)'!$A$4:$N$466,14,FALSE)</f>
        <v>0.76229004084091245</v>
      </c>
      <c r="L400" s="10" t="str">
        <f t="shared" si="12"/>
        <v>Oeste - A01</v>
      </c>
    </row>
    <row r="401" spans="1:12" x14ac:dyDescent="0.2">
      <c r="A401" s="5" t="s">
        <v>302</v>
      </c>
      <c r="B401" s="150" t="s">
        <v>417</v>
      </c>
      <c r="C401" s="145" t="s">
        <v>421</v>
      </c>
      <c r="D401" s="4" t="s">
        <v>317</v>
      </c>
      <c r="E401" s="142">
        <f>VLOOKUP(D401,'IDHM (IBGE2022)'!$A$4:$N$402,14,FALSE)</f>
        <v>27716.37</v>
      </c>
      <c r="F401" s="90">
        <f>VLOOKUP(D401,'IDHM (IBGE2022)'!$A$4:$J$402,10,FALSE)</f>
        <v>0.71299999999999997</v>
      </c>
      <c r="G401" s="92">
        <f t="shared" si="13"/>
        <v>0.70407309085336933</v>
      </c>
      <c r="H401" s="9">
        <f>VLOOKUP(D401,'IPDM_renda  (IPARDES-PR)'!$A$4:$N$420,14,FALSE)</f>
        <v>0.43106276652777009</v>
      </c>
      <c r="I401" s="9">
        <f>VLOOKUP(D401,'IPDM_educação  (IPARDES-PR)'!$A$4:$N$420,14,FALSE)</f>
        <v>0.90557623368191154</v>
      </c>
      <c r="J401" s="9">
        <f>VLOOKUP(D401,'IPDM_saúde   (IPARDES-PR)'!$A$4:$N$466,14,FALSE)</f>
        <v>0.77558027235042637</v>
      </c>
      <c r="L401" s="10" t="str">
        <f t="shared" si="12"/>
        <v>Oeste - A01</v>
      </c>
    </row>
    <row r="402" spans="1:12" x14ac:dyDescent="0.2">
      <c r="A402" s="5" t="s">
        <v>302</v>
      </c>
      <c r="B402" s="150" t="s">
        <v>417</v>
      </c>
      <c r="C402" s="145" t="s">
        <v>421</v>
      </c>
      <c r="D402" s="4" t="s">
        <v>318</v>
      </c>
      <c r="E402" s="142">
        <f>VLOOKUP(D402,'IDHM (IBGE2022)'!$A$4:$N$402,14,FALSE)</f>
        <v>50972.2</v>
      </c>
      <c r="F402" s="90">
        <f>VLOOKUP(D402,'IDHM (IBGE2022)'!$A$4:$J$402,10,FALSE)</f>
        <v>0.70399999999999996</v>
      </c>
      <c r="G402" s="92">
        <f t="shared" si="13"/>
        <v>0.76309626084683624</v>
      </c>
      <c r="H402" s="9">
        <f>VLOOKUP(D402,'IPDM_renda  (IPARDES-PR)'!$A$4:$N$420,14,FALSE)</f>
        <v>0.55464444185882511</v>
      </c>
      <c r="I402" s="9">
        <f>VLOOKUP(D402,'IPDM_educação  (IPARDES-PR)'!$A$4:$N$420,14,FALSE)</f>
        <v>0.90175934833503324</v>
      </c>
      <c r="J402" s="9">
        <f>VLOOKUP(D402,'IPDM_saúde   (IPARDES-PR)'!$A$4:$N$466,14,FALSE)</f>
        <v>0.8328849923466507</v>
      </c>
      <c r="L402" s="10" t="str">
        <f t="shared" si="12"/>
        <v>Oeste - A01</v>
      </c>
    </row>
    <row r="403" spans="1:12" x14ac:dyDescent="0.2">
      <c r="A403" s="5" t="s">
        <v>302</v>
      </c>
      <c r="B403" s="150" t="s">
        <v>417</v>
      </c>
      <c r="C403" s="145" t="s">
        <v>421</v>
      </c>
      <c r="D403" s="4" t="s">
        <v>319</v>
      </c>
      <c r="E403" s="142">
        <f>VLOOKUP(D403,'IDHM (IBGE2022)'!$A$4:$N$402,14,FALSE)</f>
        <v>46313.37</v>
      </c>
      <c r="F403" s="90">
        <f>VLOOKUP(D403,'IDHM (IBGE2022)'!$A$4:$J$402,10,FALSE)</f>
        <v>0.68300000000000005</v>
      </c>
      <c r="G403" s="92">
        <f t="shared" si="13"/>
        <v>0.71907517453499548</v>
      </c>
      <c r="H403" s="9">
        <f>VLOOKUP(D403,'IPDM_renda  (IPARDES-PR)'!$A$4:$N$420,14,FALSE)</f>
        <v>0.51443961912703273</v>
      </c>
      <c r="I403" s="9">
        <f>VLOOKUP(D403,'IPDM_educação  (IPARDES-PR)'!$A$4:$N$420,14,FALSE)</f>
        <v>0.88636389282637151</v>
      </c>
      <c r="J403" s="9">
        <f>VLOOKUP(D403,'IPDM_saúde   (IPARDES-PR)'!$A$4:$N$466,14,FALSE)</f>
        <v>0.75642201165158218</v>
      </c>
      <c r="L403" s="10" t="str">
        <f t="shared" si="12"/>
        <v>Oeste - A01</v>
      </c>
    </row>
    <row r="404" spans="1:12" x14ac:dyDescent="0.2">
      <c r="A404" s="5" t="s">
        <v>302</v>
      </c>
      <c r="B404" s="150" t="s">
        <v>417</v>
      </c>
      <c r="C404" s="145" t="s">
        <v>421</v>
      </c>
      <c r="D404" s="4" t="s">
        <v>320</v>
      </c>
      <c r="E404" s="142">
        <f>VLOOKUP(D404,'IDHM (IBGE2022)'!$A$4:$N$402,14,FALSE)</f>
        <v>54438.48</v>
      </c>
      <c r="F404" s="90">
        <f>VLOOKUP(D404,'IDHM (IBGE2022)'!$A$4:$J$402,10,FALSE)</f>
        <v>0.76200000000000001</v>
      </c>
      <c r="G404" s="92">
        <f t="shared" si="13"/>
        <v>0.72872991978021373</v>
      </c>
      <c r="H404" s="9">
        <f>VLOOKUP(D404,'IPDM_renda  (IPARDES-PR)'!$A$4:$N$420,14,FALSE)</f>
        <v>0.48822375734090667</v>
      </c>
      <c r="I404" s="9">
        <f>VLOOKUP(D404,'IPDM_educação  (IPARDES-PR)'!$A$4:$N$420,14,FALSE)</f>
        <v>0.99021842713091479</v>
      </c>
      <c r="J404" s="9">
        <f>VLOOKUP(D404,'IPDM_saúde   (IPARDES-PR)'!$A$4:$N$466,14,FALSE)</f>
        <v>0.7077475748688199</v>
      </c>
      <c r="L404" s="10" t="str">
        <f t="shared" si="12"/>
        <v>Oeste - A01</v>
      </c>
    </row>
    <row r="405" spans="1:12" x14ac:dyDescent="0.2">
      <c r="A405" s="5" t="s">
        <v>302</v>
      </c>
      <c r="B405" s="150" t="s">
        <v>417</v>
      </c>
      <c r="C405" s="145" t="s">
        <v>421</v>
      </c>
      <c r="D405" s="4" t="s">
        <v>321</v>
      </c>
      <c r="E405" s="142">
        <f>VLOOKUP(D405,'IDHM (IBGE2022)'!$A$4:$N$402,14,FALSE)</f>
        <v>63192.47</v>
      </c>
      <c r="F405" s="90">
        <f>VLOOKUP(D405,'IDHM (IBGE2022)'!$A$4:$J$402,10,FALSE)</f>
        <v>0.76800000000000002</v>
      </c>
      <c r="G405" s="92">
        <f t="shared" si="13"/>
        <v>0.8582003860794144</v>
      </c>
      <c r="H405" s="9">
        <f>VLOOKUP(D405,'IPDM_renda  (IPARDES-PR)'!$A$4:$N$420,14,FALSE)</f>
        <v>0.71519360265438414</v>
      </c>
      <c r="I405" s="9">
        <f>VLOOKUP(D405,'IPDM_educação  (IPARDES-PR)'!$A$4:$N$420,14,FALSE)</f>
        <v>0.96923719318626111</v>
      </c>
      <c r="J405" s="9">
        <f>VLOOKUP(D405,'IPDM_saúde   (IPARDES-PR)'!$A$4:$N$466,14,FALSE)</f>
        <v>0.89017036239759817</v>
      </c>
      <c r="L405" s="10" t="str">
        <f t="shared" si="12"/>
        <v>Oeste - A01</v>
      </c>
    </row>
    <row r="406" spans="1:12" x14ac:dyDescent="0.2">
      <c r="A406" s="5" t="s">
        <v>302</v>
      </c>
      <c r="B406" s="150" t="s">
        <v>417</v>
      </c>
      <c r="C406" s="145" t="s">
        <v>421</v>
      </c>
      <c r="D406" s="4" t="s">
        <v>322</v>
      </c>
      <c r="E406" s="142">
        <f>VLOOKUP(D406,'IDHM (IBGE2022)'!$A$4:$N$402,14,FALSE)</f>
        <v>40852.94</v>
      </c>
      <c r="F406" s="90">
        <f>VLOOKUP(D406,'IDHM (IBGE2022)'!$A$4:$J$402,10,FALSE)</f>
        <v>0.69899999999999995</v>
      </c>
      <c r="G406" s="92">
        <f t="shared" si="13"/>
        <v>0.77846994636254652</v>
      </c>
      <c r="H406" s="9">
        <f>VLOOKUP(D406,'IPDM_renda  (IPARDES-PR)'!$A$4:$N$420,14,FALSE)</f>
        <v>0.43025867135973622</v>
      </c>
      <c r="I406" s="9">
        <f>VLOOKUP(D406,'IPDM_educação  (IPARDES-PR)'!$A$4:$N$420,14,FALSE)</f>
        <v>0.92121141243802573</v>
      </c>
      <c r="J406" s="9">
        <f>VLOOKUP(D406,'IPDM_saúde   (IPARDES-PR)'!$A$4:$N$466,14,FALSE)</f>
        <v>0.98393975528987765</v>
      </c>
      <c r="L406" s="10" t="str">
        <f t="shared" si="12"/>
        <v>Oeste - A01</v>
      </c>
    </row>
    <row r="407" spans="1:12" x14ac:dyDescent="0.2">
      <c r="A407" s="5" t="s">
        <v>323</v>
      </c>
      <c r="B407" s="150" t="s">
        <v>417</v>
      </c>
      <c r="C407" s="7" t="s">
        <v>422</v>
      </c>
      <c r="D407" s="4" t="s">
        <v>276</v>
      </c>
      <c r="E407" s="142">
        <f>VLOOKUP(D407,'IDHM (IBGE2022)'!$A$4:$N$402,14,FALSE)</f>
        <v>55252.41</v>
      </c>
      <c r="F407" s="90">
        <f>VLOOKUP(D407,'IDHM (IBGE2022)'!$A$4:$J$402,10,FALSE)</f>
        <v>0.72899999999999998</v>
      </c>
      <c r="G407" s="92">
        <f t="shared" si="13"/>
        <v>0.76234811758342913</v>
      </c>
      <c r="H407" s="9">
        <f>VLOOKUP(D407,'IPDM_renda  (IPARDES-PR)'!$A$4:$N$420,14,FALSE)</f>
        <v>0.50110966698843762</v>
      </c>
      <c r="I407" s="9">
        <f>VLOOKUP(D407,'IPDM_educação  (IPARDES-PR)'!$A$4:$N$420,14,FALSE)</f>
        <v>0.9452178097546633</v>
      </c>
      <c r="J407" s="9">
        <f>VLOOKUP(D407,'IPDM_saúde   (IPARDES-PR)'!$A$4:$N$466,14,FALSE)</f>
        <v>0.84071687600718648</v>
      </c>
      <c r="L407" s="10" t="str">
        <f t="shared" si="12"/>
        <v>Oeste - A02</v>
      </c>
    </row>
    <row r="408" spans="1:12" x14ac:dyDescent="0.2">
      <c r="A408" s="5" t="s">
        <v>323</v>
      </c>
      <c r="B408" s="150" t="s">
        <v>417</v>
      </c>
      <c r="C408" s="7" t="s">
        <v>422</v>
      </c>
      <c r="D408" s="4" t="s">
        <v>279</v>
      </c>
      <c r="E408" s="142">
        <f>VLOOKUP(D408,'IDHM (IBGE2022)'!$A$4:$N$402,14,FALSE)</f>
        <v>31307.33</v>
      </c>
      <c r="F408" s="90">
        <f>VLOOKUP(D408,'IDHM (IBGE2022)'!$A$4:$J$402,10,FALSE)</f>
        <v>0.66900000000000004</v>
      </c>
      <c r="G408" s="92">
        <f t="shared" si="13"/>
        <v>0.64052895192328174</v>
      </c>
      <c r="H408" s="9">
        <f>VLOOKUP(D408,'IPDM_renda  (IPARDES-PR)'!$A$4:$N$420,14,FALSE)</f>
        <v>0.3673495488760064</v>
      </c>
      <c r="I408" s="9">
        <f>VLOOKUP(D408,'IPDM_educação  (IPARDES-PR)'!$A$4:$N$420,14,FALSE)</f>
        <v>0.79581602176719002</v>
      </c>
      <c r="J408" s="9">
        <f>VLOOKUP(D408,'IPDM_saúde   (IPARDES-PR)'!$A$4:$N$466,14,FALSE)</f>
        <v>0.75842128512664875</v>
      </c>
      <c r="L408" s="10" t="str">
        <f t="shared" si="12"/>
        <v>Oeste - A02</v>
      </c>
    </row>
    <row r="409" spans="1:12" x14ac:dyDescent="0.2">
      <c r="A409" s="5" t="s">
        <v>323</v>
      </c>
      <c r="B409" s="150" t="s">
        <v>417</v>
      </c>
      <c r="C409" s="7" t="s">
        <v>422</v>
      </c>
      <c r="D409" s="4" t="s">
        <v>308</v>
      </c>
      <c r="E409" s="142">
        <f>VLOOKUP(D409,'IDHM (IBGE2022)'!$A$4:$N$402,14,FALSE)</f>
        <v>70187.820000000007</v>
      </c>
      <c r="F409" s="90">
        <f>VLOOKUP(D409,'IDHM (IBGE2022)'!$A$4:$J$402,10,FALSE)</f>
        <v>0.77400000000000002</v>
      </c>
      <c r="G409" s="92">
        <f t="shared" si="13"/>
        <v>0.822854160873698</v>
      </c>
      <c r="H409" s="9">
        <f>VLOOKUP(D409,'IPDM_renda  (IPARDES-PR)'!$A$4:$N$420,14,FALSE)</f>
        <v>0.65170745928793705</v>
      </c>
      <c r="I409" s="9">
        <f>VLOOKUP(D409,'IPDM_educação  (IPARDES-PR)'!$A$4:$N$420,14,FALSE)</f>
        <v>0.94116205009136922</v>
      </c>
      <c r="J409" s="9">
        <f>VLOOKUP(D409,'IPDM_saúde   (IPARDES-PR)'!$A$4:$N$466,14,FALSE)</f>
        <v>0.87569297324178785</v>
      </c>
      <c r="L409" s="10" t="str">
        <f t="shared" si="12"/>
        <v>Oeste - A02</v>
      </c>
    </row>
    <row r="410" spans="1:12" x14ac:dyDescent="0.2">
      <c r="A410" s="5" t="s">
        <v>323</v>
      </c>
      <c r="B410" s="150" t="s">
        <v>417</v>
      </c>
      <c r="C410" s="7" t="s">
        <v>422</v>
      </c>
      <c r="D410" s="4" t="s">
        <v>324</v>
      </c>
      <c r="E410" s="142">
        <f>VLOOKUP(D410,'IDHM (IBGE2022)'!$A$4:$N$402,14,FALSE)</f>
        <v>81721.350000000006</v>
      </c>
      <c r="F410" s="90">
        <f>VLOOKUP(D410,'IDHM (IBGE2022)'!$A$4:$J$402,10,FALSE)</f>
        <v>0.75800000000000001</v>
      </c>
      <c r="G410" s="92">
        <f t="shared" si="13"/>
        <v>0.80348576783097403</v>
      </c>
      <c r="H410" s="9">
        <f>VLOOKUP(D410,'IPDM_renda  (IPARDES-PR)'!$A$4:$N$420,14,FALSE)</f>
        <v>0.51509299473457582</v>
      </c>
      <c r="I410" s="9">
        <f>VLOOKUP(D410,'IPDM_educação  (IPARDES-PR)'!$A$4:$N$420,14,FALSE)</f>
        <v>0.96024888966172428</v>
      </c>
      <c r="J410" s="9">
        <f>VLOOKUP(D410,'IPDM_saúde   (IPARDES-PR)'!$A$4:$N$466,14,FALSE)</f>
        <v>0.93511541909662188</v>
      </c>
      <c r="L410" s="10" t="str">
        <f t="shared" si="12"/>
        <v>Oeste - A02</v>
      </c>
    </row>
    <row r="411" spans="1:12" x14ac:dyDescent="0.2">
      <c r="A411" s="5" t="s">
        <v>323</v>
      </c>
      <c r="B411" s="150" t="s">
        <v>417</v>
      </c>
      <c r="C411" s="7" t="s">
        <v>422</v>
      </c>
      <c r="D411" s="4" t="s">
        <v>325</v>
      </c>
      <c r="E411" s="142">
        <f>VLOOKUP(D411,'IDHM (IBGE2022)'!$A$4:$N$402,14,FALSE)</f>
        <v>58192.18</v>
      </c>
      <c r="F411" s="90">
        <f>VLOOKUP(D411,'IDHM (IBGE2022)'!$A$4:$J$402,10,FALSE)</f>
        <v>0.73099999999999998</v>
      </c>
      <c r="G411" s="92">
        <f t="shared" si="13"/>
        <v>0.79721386271654959</v>
      </c>
      <c r="H411" s="9">
        <f>VLOOKUP(D411,'IPDM_renda  (IPARDES-PR)'!$A$4:$N$420,14,FALSE)</f>
        <v>0.55342029288487637</v>
      </c>
      <c r="I411" s="9">
        <f>VLOOKUP(D411,'IPDM_educação  (IPARDES-PR)'!$A$4:$N$420,14,FALSE)</f>
        <v>0.89281813686138267</v>
      </c>
      <c r="J411" s="9">
        <f>VLOOKUP(D411,'IPDM_saúde   (IPARDES-PR)'!$A$4:$N$466,14,FALSE)</f>
        <v>0.94540315840338973</v>
      </c>
      <c r="L411" s="10" t="str">
        <f t="shared" si="12"/>
        <v>Oeste - A02</v>
      </c>
    </row>
    <row r="412" spans="1:12" x14ac:dyDescent="0.2">
      <c r="A412" s="5" t="s">
        <v>323</v>
      </c>
      <c r="B412" s="150" t="s">
        <v>417</v>
      </c>
      <c r="C412" s="7" t="s">
        <v>422</v>
      </c>
      <c r="D412" s="4" t="s">
        <v>312</v>
      </c>
      <c r="E412" s="142">
        <f>VLOOKUP(D412,'IDHM (IBGE2022)'!$A$4:$N$402,14,FALSE)</f>
        <v>43793.26</v>
      </c>
      <c r="F412" s="90">
        <f>VLOOKUP(D412,'IDHM (IBGE2022)'!$A$4:$J$402,10,FALSE)</f>
        <v>0.70899999999999996</v>
      </c>
      <c r="G412" s="92">
        <f t="shared" si="13"/>
        <v>0.73935085496977304</v>
      </c>
      <c r="H412" s="9">
        <f>VLOOKUP(D412,'IPDM_renda  (IPARDES-PR)'!$A$4:$N$420,14,FALSE)</f>
        <v>0.48001195008889636</v>
      </c>
      <c r="I412" s="9">
        <f>VLOOKUP(D412,'IPDM_educação  (IPARDES-PR)'!$A$4:$N$420,14,FALSE)</f>
        <v>0.89005722446653768</v>
      </c>
      <c r="J412" s="9">
        <f>VLOOKUP(D412,'IPDM_saúde   (IPARDES-PR)'!$A$4:$N$466,14,FALSE)</f>
        <v>0.84798339035388492</v>
      </c>
      <c r="L412" s="10" t="str">
        <f t="shared" si="12"/>
        <v>Oeste - A02</v>
      </c>
    </row>
    <row r="413" spans="1:12" x14ac:dyDescent="0.2">
      <c r="A413" s="5" t="s">
        <v>323</v>
      </c>
      <c r="B413" s="150" t="s">
        <v>417</v>
      </c>
      <c r="C413" s="7" t="s">
        <v>422</v>
      </c>
      <c r="D413" s="4" t="s">
        <v>326</v>
      </c>
      <c r="E413" s="142">
        <f>VLOOKUP(D413,'IDHM (IBGE2022)'!$A$4:$N$402,14,FALSE)</f>
        <v>105626.67</v>
      </c>
      <c r="F413" s="90">
        <f>VLOOKUP(D413,'IDHM (IBGE2022)'!$A$4:$J$402,10,FALSE)</f>
        <v>0.76800000000000002</v>
      </c>
      <c r="G413" s="92">
        <f t="shared" si="13"/>
        <v>0.86956527090519942</v>
      </c>
      <c r="H413" s="9">
        <f>VLOOKUP(D413,'IPDM_renda  (IPARDES-PR)'!$A$4:$N$420,14,FALSE)</f>
        <v>0.72915067053516514</v>
      </c>
      <c r="I413" s="9">
        <f>VLOOKUP(D413,'IPDM_educação  (IPARDES-PR)'!$A$4:$N$420,14,FALSE)</f>
        <v>0.95328303601782527</v>
      </c>
      <c r="J413" s="9">
        <f>VLOOKUP(D413,'IPDM_saúde   (IPARDES-PR)'!$A$4:$N$466,14,FALSE)</f>
        <v>0.92626210616260796</v>
      </c>
      <c r="L413" s="10" t="str">
        <f t="shared" si="12"/>
        <v>Oeste - A02</v>
      </c>
    </row>
    <row r="414" spans="1:12" x14ac:dyDescent="0.2">
      <c r="A414" s="5" t="s">
        <v>323</v>
      </c>
      <c r="B414" s="150" t="s">
        <v>417</v>
      </c>
      <c r="C414" s="7" t="s">
        <v>422</v>
      </c>
      <c r="D414" s="4" t="s">
        <v>327</v>
      </c>
      <c r="E414" s="142">
        <f>VLOOKUP(D414,'IDHM (IBGE2022)'!$A$4:$N$402,14,FALSE)</f>
        <v>68554.09</v>
      </c>
      <c r="F414" s="90">
        <f>VLOOKUP(D414,'IDHM (IBGE2022)'!$A$4:$J$402,10,FALSE)</f>
        <v>0.79100000000000004</v>
      </c>
      <c r="G414" s="92">
        <f t="shared" si="13"/>
        <v>0.81394736728818351</v>
      </c>
      <c r="H414" s="9">
        <f>VLOOKUP(D414,'IPDM_renda  (IPARDES-PR)'!$A$4:$N$420,14,FALSE)</f>
        <v>0.62255744480803155</v>
      </c>
      <c r="I414" s="9">
        <f>VLOOKUP(D414,'IPDM_educação  (IPARDES-PR)'!$A$4:$N$420,14,FALSE)</f>
        <v>0.94475722233074688</v>
      </c>
      <c r="J414" s="9">
        <f>VLOOKUP(D414,'IPDM_saúde   (IPARDES-PR)'!$A$4:$N$466,14,FALSE)</f>
        <v>0.87452743472577199</v>
      </c>
      <c r="L414" s="10" t="str">
        <f t="shared" si="12"/>
        <v>Oeste - A02</v>
      </c>
    </row>
    <row r="415" spans="1:12" x14ac:dyDescent="0.2">
      <c r="A415" s="5" t="s">
        <v>323</v>
      </c>
      <c r="B415" s="150" t="s">
        <v>417</v>
      </c>
      <c r="C415" s="7" t="s">
        <v>422</v>
      </c>
      <c r="D415" s="4" t="s">
        <v>319</v>
      </c>
      <c r="E415" s="142">
        <f>VLOOKUP(D415,'IDHM (IBGE2022)'!$A$4:$N$402,14,FALSE)</f>
        <v>46313.37</v>
      </c>
      <c r="F415" s="90">
        <f>VLOOKUP(D415,'IDHM (IBGE2022)'!$A$4:$J$402,10,FALSE)</f>
        <v>0.68300000000000005</v>
      </c>
      <c r="G415" s="92">
        <f t="shared" si="13"/>
        <v>0.71907517453499548</v>
      </c>
      <c r="H415" s="9">
        <f>VLOOKUP(D415,'IPDM_renda  (IPARDES-PR)'!$A$4:$N$420,14,FALSE)</f>
        <v>0.51443961912703273</v>
      </c>
      <c r="I415" s="9">
        <f>VLOOKUP(D415,'IPDM_educação  (IPARDES-PR)'!$A$4:$N$420,14,FALSE)</f>
        <v>0.88636389282637151</v>
      </c>
      <c r="J415" s="9">
        <f>VLOOKUP(D415,'IPDM_saúde   (IPARDES-PR)'!$A$4:$N$466,14,FALSE)</f>
        <v>0.75642201165158218</v>
      </c>
      <c r="L415" s="10" t="str">
        <f t="shared" si="12"/>
        <v>Oeste - A02</v>
      </c>
    </row>
    <row r="416" spans="1:12" x14ac:dyDescent="0.2">
      <c r="A416" s="5" t="s">
        <v>323</v>
      </c>
      <c r="B416" s="150" t="s">
        <v>417</v>
      </c>
      <c r="C416" s="7" t="s">
        <v>422</v>
      </c>
      <c r="D416" s="4" t="s">
        <v>328</v>
      </c>
      <c r="E416" s="142">
        <f>VLOOKUP(D416,'IDHM (IBGE2022)'!$A$4:$N$402,14,FALSE)</f>
        <v>50852.69</v>
      </c>
      <c r="F416" s="90">
        <f>VLOOKUP(D416,'IDHM (IBGE2022)'!$A$4:$J$402,10,FALSE)</f>
        <v>0.71399999999999997</v>
      </c>
      <c r="G416" s="92">
        <f t="shared" si="13"/>
        <v>0.75859932131966656</v>
      </c>
      <c r="H416" s="9">
        <f>VLOOKUP(D416,'IPDM_renda  (IPARDES-PR)'!$A$4:$N$420,14,FALSE)</f>
        <v>0.47672540256547569</v>
      </c>
      <c r="I416" s="9">
        <f>VLOOKUP(D416,'IPDM_educação  (IPARDES-PR)'!$A$4:$N$420,14,FALSE)</f>
        <v>0.89979179949381383</v>
      </c>
      <c r="J416" s="9">
        <f>VLOOKUP(D416,'IPDM_saúde   (IPARDES-PR)'!$A$4:$N$466,14,FALSE)</f>
        <v>0.89928076189971007</v>
      </c>
      <c r="L416" s="10" t="str">
        <f t="shared" si="12"/>
        <v>Oeste - A02</v>
      </c>
    </row>
    <row r="417" spans="1:12" x14ac:dyDescent="0.2">
      <c r="A417" s="5" t="s">
        <v>323</v>
      </c>
      <c r="B417" s="150" t="s">
        <v>417</v>
      </c>
      <c r="C417" s="7" t="s">
        <v>422</v>
      </c>
      <c r="D417" s="4" t="s">
        <v>321</v>
      </c>
      <c r="E417" s="142">
        <f>VLOOKUP(D417,'IDHM (IBGE2022)'!$A$4:$N$402,14,FALSE)</f>
        <v>63192.47</v>
      </c>
      <c r="F417" s="90">
        <f>VLOOKUP(D417,'IDHM (IBGE2022)'!$A$4:$J$402,10,FALSE)</f>
        <v>0.76800000000000002</v>
      </c>
      <c r="G417" s="92">
        <f t="shared" si="13"/>
        <v>0.8582003860794144</v>
      </c>
      <c r="H417" s="9">
        <f>VLOOKUP(D417,'IPDM_renda  (IPARDES-PR)'!$A$4:$N$420,14,FALSE)</f>
        <v>0.71519360265438414</v>
      </c>
      <c r="I417" s="9">
        <f>VLOOKUP(D417,'IPDM_educação  (IPARDES-PR)'!$A$4:$N$420,14,FALSE)</f>
        <v>0.96923719318626111</v>
      </c>
      <c r="J417" s="9">
        <f>VLOOKUP(D417,'IPDM_saúde   (IPARDES-PR)'!$A$4:$N$466,14,FALSE)</f>
        <v>0.89017036239759817</v>
      </c>
      <c r="L417" s="10" t="str">
        <f t="shared" si="12"/>
        <v>Oeste - A02</v>
      </c>
    </row>
    <row r="418" spans="1:12" x14ac:dyDescent="0.2">
      <c r="A418" s="5" t="s">
        <v>329</v>
      </c>
      <c r="B418" s="150" t="s">
        <v>417</v>
      </c>
      <c r="C418" s="145" t="s">
        <v>423</v>
      </c>
      <c r="D418" s="4" t="s">
        <v>276</v>
      </c>
      <c r="E418" s="142">
        <f>VLOOKUP(D418,'IDHM (IBGE2022)'!$A$4:$N$402,14,FALSE)</f>
        <v>55252.41</v>
      </c>
      <c r="F418" s="90">
        <f>VLOOKUP(D418,'IDHM (IBGE2022)'!$A$4:$J$402,10,FALSE)</f>
        <v>0.72899999999999998</v>
      </c>
      <c r="G418" s="92">
        <f t="shared" si="13"/>
        <v>0.76234811758342913</v>
      </c>
      <c r="H418" s="9">
        <f>VLOOKUP(D418,'IPDM_renda  (IPARDES-PR)'!$A$4:$N$420,14,FALSE)</f>
        <v>0.50110966698843762</v>
      </c>
      <c r="I418" s="9">
        <f>VLOOKUP(D418,'IPDM_educação  (IPARDES-PR)'!$A$4:$N$420,14,FALSE)</f>
        <v>0.9452178097546633</v>
      </c>
      <c r="J418" s="9">
        <f>VLOOKUP(D418,'IPDM_saúde   (IPARDES-PR)'!$A$4:$N$466,14,FALSE)</f>
        <v>0.84071687600718648</v>
      </c>
      <c r="L418" s="10" t="str">
        <f t="shared" si="12"/>
        <v>Oeste - A03</v>
      </c>
    </row>
    <row r="419" spans="1:12" x14ac:dyDescent="0.2">
      <c r="A419" s="5" t="s">
        <v>329</v>
      </c>
      <c r="B419" s="150" t="s">
        <v>417</v>
      </c>
      <c r="C419" s="145" t="s">
        <v>423</v>
      </c>
      <c r="D419" s="4" t="s">
        <v>330</v>
      </c>
      <c r="E419" s="142">
        <f>VLOOKUP(D419,'IDHM (IBGE2022)'!$A$4:$N$402,14,FALSE)</f>
        <v>142008.42000000001</v>
      </c>
      <c r="F419" s="90">
        <f>VLOOKUP(D419,'IDHM (IBGE2022)'!$A$4:$J$402,10,FALSE)</f>
        <v>0.748</v>
      </c>
      <c r="G419" s="92">
        <f t="shared" si="13"/>
        <v>0.8525203522253153</v>
      </c>
      <c r="H419" s="9">
        <f>VLOOKUP(D419,'IPDM_renda  (IPARDES-PR)'!$A$4:$N$420,14,FALSE)</f>
        <v>0.72669994863599607</v>
      </c>
      <c r="I419" s="9">
        <f>VLOOKUP(D419,'IPDM_educação  (IPARDES-PR)'!$A$4:$N$420,14,FALSE)</f>
        <v>0.94359813954059335</v>
      </c>
      <c r="J419" s="9">
        <f>VLOOKUP(D419,'IPDM_saúde   (IPARDES-PR)'!$A$4:$N$466,14,FALSE)</f>
        <v>0.8872629684993566</v>
      </c>
      <c r="L419" s="10" t="str">
        <f t="shared" si="12"/>
        <v>Oeste - A03</v>
      </c>
    </row>
    <row r="420" spans="1:12" x14ac:dyDescent="0.2">
      <c r="A420" s="5" t="s">
        <v>329</v>
      </c>
      <c r="B420" s="150" t="s">
        <v>417</v>
      </c>
      <c r="C420" s="145" t="s">
        <v>423</v>
      </c>
      <c r="D420" s="4" t="s">
        <v>331</v>
      </c>
      <c r="E420" s="142">
        <f>VLOOKUP(D420,'IDHM (IBGE2022)'!$A$4:$N$402,14,FALSE)</f>
        <v>55176.33</v>
      </c>
      <c r="F420" s="90">
        <f>VLOOKUP(D420,'IDHM (IBGE2022)'!$A$4:$J$402,10,FALSE)</f>
        <v>0.78200000000000003</v>
      </c>
      <c r="G420" s="92">
        <f t="shared" si="13"/>
        <v>0.83295179810232922</v>
      </c>
      <c r="H420" s="9">
        <f>VLOOKUP(D420,'IPDM_renda  (IPARDES-PR)'!$A$4:$N$420,14,FALSE)</f>
        <v>0.69829153150521861</v>
      </c>
      <c r="I420" s="9">
        <f>VLOOKUP(D420,'IPDM_educação  (IPARDES-PR)'!$A$4:$N$420,14,FALSE)</f>
        <v>0.93458475832175225</v>
      </c>
      <c r="J420" s="9">
        <f>VLOOKUP(D420,'IPDM_saúde   (IPARDES-PR)'!$A$4:$N$466,14,FALSE)</f>
        <v>0.86597910448001691</v>
      </c>
      <c r="L420" s="10" t="str">
        <f t="shared" si="12"/>
        <v>Oeste - A03</v>
      </c>
    </row>
    <row r="421" spans="1:12" x14ac:dyDescent="0.2">
      <c r="A421" s="5" t="s">
        <v>329</v>
      </c>
      <c r="B421" s="150" t="s">
        <v>417</v>
      </c>
      <c r="C421" s="145" t="s">
        <v>423</v>
      </c>
      <c r="D421" s="4" t="s">
        <v>332</v>
      </c>
      <c r="E421" s="142">
        <f>VLOOKUP(D421,'IDHM (IBGE2022)'!$A$4:$N$402,14,FALSE)</f>
        <v>56867.78</v>
      </c>
      <c r="F421" s="90">
        <f>VLOOKUP(D421,'IDHM (IBGE2022)'!$A$4:$J$402,10,FALSE)</f>
        <v>0.73799999999999999</v>
      </c>
      <c r="G421" s="92">
        <f t="shared" si="13"/>
        <v>0.76022826779592723</v>
      </c>
      <c r="H421" s="9">
        <f>VLOOKUP(D421,'IPDM_renda  (IPARDES-PR)'!$A$4:$N$420,14,FALSE)</f>
        <v>0.5129232620511478</v>
      </c>
      <c r="I421" s="9">
        <f>VLOOKUP(D421,'IPDM_educação  (IPARDES-PR)'!$A$4:$N$420,14,FALSE)</f>
        <v>0.8949132499303899</v>
      </c>
      <c r="J421" s="9">
        <f>VLOOKUP(D421,'IPDM_saúde   (IPARDES-PR)'!$A$4:$N$466,14,FALSE)</f>
        <v>0.87284829140624376</v>
      </c>
      <c r="L421" s="10" t="str">
        <f t="shared" si="12"/>
        <v>Oeste - A03</v>
      </c>
    </row>
    <row r="422" spans="1:12" x14ac:dyDescent="0.2">
      <c r="A422" s="5" t="s">
        <v>329</v>
      </c>
      <c r="B422" s="150" t="s">
        <v>417</v>
      </c>
      <c r="C422" s="145" t="s">
        <v>423</v>
      </c>
      <c r="D422" s="4" t="s">
        <v>333</v>
      </c>
      <c r="E422" s="142">
        <f>VLOOKUP(D422,'IDHM (IBGE2022)'!$A$4:$N$402,14,FALSE)</f>
        <v>53117.03</v>
      </c>
      <c r="F422" s="90">
        <f>VLOOKUP(D422,'IDHM (IBGE2022)'!$A$4:$J$402,10,FALSE)</f>
        <v>0.72299999999999998</v>
      </c>
      <c r="G422" s="92">
        <f t="shared" si="13"/>
        <v>0.79087811758217896</v>
      </c>
      <c r="H422" s="9">
        <f>VLOOKUP(D422,'IPDM_renda  (IPARDES-PR)'!$A$4:$N$420,14,FALSE)</f>
        <v>0.46297135669011025</v>
      </c>
      <c r="I422" s="9">
        <f>VLOOKUP(D422,'IPDM_educação  (IPARDES-PR)'!$A$4:$N$420,14,FALSE)</f>
        <v>0.9353052193589374</v>
      </c>
      <c r="J422" s="9">
        <f>VLOOKUP(D422,'IPDM_saúde   (IPARDES-PR)'!$A$4:$N$466,14,FALSE)</f>
        <v>0.97435777669748924</v>
      </c>
      <c r="L422" s="10" t="str">
        <f t="shared" si="12"/>
        <v>Oeste - A03</v>
      </c>
    </row>
    <row r="423" spans="1:12" x14ac:dyDescent="0.2">
      <c r="A423" s="5" t="s">
        <v>329</v>
      </c>
      <c r="B423" s="150" t="s">
        <v>417</v>
      </c>
      <c r="C423" s="145" t="s">
        <v>423</v>
      </c>
      <c r="D423" s="4" t="s">
        <v>334</v>
      </c>
      <c r="E423" s="142">
        <f>VLOOKUP(D423,'IDHM (IBGE2022)'!$A$4:$N$402,14,FALSE)</f>
        <v>53805.14</v>
      </c>
      <c r="F423" s="90">
        <f>VLOOKUP(D423,'IDHM (IBGE2022)'!$A$4:$J$402,10,FALSE)</f>
        <v>0.70699999999999996</v>
      </c>
      <c r="G423" s="92">
        <f t="shared" si="13"/>
        <v>0.75756310189424669</v>
      </c>
      <c r="H423" s="9">
        <f>VLOOKUP(D423,'IPDM_renda  (IPARDES-PR)'!$A$4:$N$420,14,FALSE)</f>
        <v>0.47062315439513447</v>
      </c>
      <c r="I423" s="9">
        <f>VLOOKUP(D423,'IPDM_educação  (IPARDES-PR)'!$A$4:$N$420,14,FALSE)</f>
        <v>0.84248919049428517</v>
      </c>
      <c r="J423" s="9">
        <f>VLOOKUP(D423,'IPDM_saúde   (IPARDES-PR)'!$A$4:$N$466,14,FALSE)</f>
        <v>0.95957696079332078</v>
      </c>
      <c r="L423" s="10" t="str">
        <f t="shared" si="12"/>
        <v>Oeste - A03</v>
      </c>
    </row>
    <row r="424" spans="1:12" x14ac:dyDescent="0.2">
      <c r="A424" s="5" t="s">
        <v>329</v>
      </c>
      <c r="B424" s="150" t="s">
        <v>417</v>
      </c>
      <c r="C424" s="145" t="s">
        <v>423</v>
      </c>
      <c r="D424" s="4" t="s">
        <v>335</v>
      </c>
      <c r="E424" s="142">
        <f>VLOOKUP(D424,'IDHM (IBGE2022)'!$A$4:$N$402,14,FALSE)</f>
        <v>52977.91</v>
      </c>
      <c r="F424" s="90">
        <f>VLOOKUP(D424,'IDHM (IBGE2022)'!$A$4:$J$402,10,FALSE)</f>
        <v>0.70499999999999996</v>
      </c>
      <c r="G424" s="92">
        <f t="shared" si="13"/>
        <v>0.75324070464213833</v>
      </c>
      <c r="H424" s="9">
        <f>VLOOKUP(D424,'IPDM_renda  (IPARDES-PR)'!$A$4:$N$420,14,FALSE)</f>
        <v>0.44979521889504742</v>
      </c>
      <c r="I424" s="9">
        <f>VLOOKUP(D424,'IPDM_educação  (IPARDES-PR)'!$A$4:$N$420,14,FALSE)</f>
        <v>0.91280879600957376</v>
      </c>
      <c r="J424" s="9">
        <f>VLOOKUP(D424,'IPDM_saúde   (IPARDES-PR)'!$A$4:$N$466,14,FALSE)</f>
        <v>0.89711809902179362</v>
      </c>
      <c r="L424" s="10" t="str">
        <f t="shared" si="12"/>
        <v>Oeste - A03</v>
      </c>
    </row>
    <row r="425" spans="1:12" x14ac:dyDescent="0.2">
      <c r="A425" s="5" t="s">
        <v>329</v>
      </c>
      <c r="B425" s="150" t="s">
        <v>417</v>
      </c>
      <c r="C425" s="145" t="s">
        <v>423</v>
      </c>
      <c r="D425" s="4" t="s">
        <v>336</v>
      </c>
      <c r="E425" s="142">
        <f>VLOOKUP(D425,'IDHM (IBGE2022)'!$A$4:$N$402,14,FALSE)</f>
        <v>75612.98</v>
      </c>
      <c r="F425" s="90">
        <f>VLOOKUP(D425,'IDHM (IBGE2022)'!$A$4:$J$402,10,FALSE)</f>
        <v>0.73299999999999998</v>
      </c>
      <c r="G425" s="92">
        <f t="shared" si="13"/>
        <v>0.7914940325789912</v>
      </c>
      <c r="H425" s="9">
        <f>VLOOKUP(D425,'IPDM_renda  (IPARDES-PR)'!$A$4:$N$420,14,FALSE)</f>
        <v>0.53258243829466478</v>
      </c>
      <c r="I425" s="9">
        <f>VLOOKUP(D425,'IPDM_educação  (IPARDES-PR)'!$A$4:$N$420,14,FALSE)</f>
        <v>0.91707234634959911</v>
      </c>
      <c r="J425" s="9">
        <f>VLOOKUP(D425,'IPDM_saúde   (IPARDES-PR)'!$A$4:$N$466,14,FALSE)</f>
        <v>0.92482731309270971</v>
      </c>
      <c r="L425" s="10" t="str">
        <f t="shared" si="12"/>
        <v>Oeste - A03</v>
      </c>
    </row>
    <row r="426" spans="1:12" x14ac:dyDescent="0.2">
      <c r="A426" s="5" t="s">
        <v>329</v>
      </c>
      <c r="B426" s="150" t="s">
        <v>417</v>
      </c>
      <c r="C426" s="145" t="s">
        <v>423</v>
      </c>
      <c r="D426" s="4" t="s">
        <v>245</v>
      </c>
      <c r="E426" s="142">
        <f>VLOOKUP(D426,'IDHM (IBGE2022)'!$A$4:$N$402,14,FALSE)</f>
        <v>97362.29</v>
      </c>
      <c r="F426" s="90">
        <f>VLOOKUP(D426,'IDHM (IBGE2022)'!$A$4:$J$402,10,FALSE)</f>
        <v>0.71</v>
      </c>
      <c r="G426" s="92">
        <f t="shared" si="13"/>
        <v>0.77100091359875045</v>
      </c>
      <c r="H426" s="9">
        <f>VLOOKUP(D426,'IPDM_renda  (IPARDES-PR)'!$A$4:$N$420,14,FALSE)</f>
        <v>0.48983269689806963</v>
      </c>
      <c r="I426" s="9">
        <f>VLOOKUP(D426,'IPDM_educação  (IPARDES-PR)'!$A$4:$N$420,14,FALSE)</f>
        <v>0.84489767316507691</v>
      </c>
      <c r="J426" s="9">
        <f>VLOOKUP(D426,'IPDM_saúde   (IPARDES-PR)'!$A$4:$N$466,14,FALSE)</f>
        <v>0.9782723707331048</v>
      </c>
      <c r="L426" s="10" t="str">
        <f t="shared" si="12"/>
        <v>Oeste - A03</v>
      </c>
    </row>
    <row r="427" spans="1:12" x14ac:dyDescent="0.2">
      <c r="A427" s="5" t="s">
        <v>329</v>
      </c>
      <c r="B427" s="150" t="s">
        <v>417</v>
      </c>
      <c r="C427" s="145" t="s">
        <v>423</v>
      </c>
      <c r="D427" s="4" t="s">
        <v>337</v>
      </c>
      <c r="E427" s="142">
        <f>VLOOKUP(D427,'IDHM (IBGE2022)'!$A$4:$N$402,14,FALSE)</f>
        <v>64432.01</v>
      </c>
      <c r="F427" s="90">
        <f>VLOOKUP(D427,'IDHM (IBGE2022)'!$A$4:$J$402,10,FALSE)</f>
        <v>0.73</v>
      </c>
      <c r="G427" s="92">
        <f t="shared" si="13"/>
        <v>0.76650232415731911</v>
      </c>
      <c r="H427" s="9">
        <f>VLOOKUP(D427,'IPDM_renda  (IPARDES-PR)'!$A$4:$N$420,14,FALSE)</f>
        <v>0.52840213288072779</v>
      </c>
      <c r="I427" s="9">
        <f>VLOOKUP(D427,'IPDM_educação  (IPARDES-PR)'!$A$4:$N$420,14,FALSE)</f>
        <v>0.9321147385729488</v>
      </c>
      <c r="J427" s="9">
        <f>VLOOKUP(D427,'IPDM_saúde   (IPARDES-PR)'!$A$4:$N$466,14,FALSE)</f>
        <v>0.83899010101828086</v>
      </c>
      <c r="L427" s="10" t="str">
        <f t="shared" si="12"/>
        <v>Oeste - A03</v>
      </c>
    </row>
    <row r="428" spans="1:12" x14ac:dyDescent="0.2">
      <c r="A428" s="5" t="s">
        <v>338</v>
      </c>
      <c r="B428" s="150" t="s">
        <v>417</v>
      </c>
      <c r="C428" s="7" t="s">
        <v>424</v>
      </c>
      <c r="D428" s="4" t="s">
        <v>339</v>
      </c>
      <c r="E428" s="142">
        <f>VLOOKUP(D428,'IDHM (IBGE2022)'!$A$4:$N$402,14,FALSE)</f>
        <v>42605.49</v>
      </c>
      <c r="F428" s="90">
        <f>VLOOKUP(D428,'IDHM (IBGE2022)'!$A$4:$J$402,10,FALSE)</f>
        <v>0.69499999999999995</v>
      </c>
      <c r="G428" s="92">
        <f t="shared" si="13"/>
        <v>0.7767573362066279</v>
      </c>
      <c r="H428" s="9">
        <f>VLOOKUP(D428,'IPDM_renda  (IPARDES-PR)'!$A$4:$N$420,14,FALSE)</f>
        <v>0.45259172775371503</v>
      </c>
      <c r="I428" s="9">
        <f>VLOOKUP(D428,'IPDM_educação  (IPARDES-PR)'!$A$4:$N$420,14,FALSE)</f>
        <v>0.92268036998719116</v>
      </c>
      <c r="J428" s="9">
        <f>VLOOKUP(D428,'IPDM_saúde   (IPARDES-PR)'!$A$4:$N$466,14,FALSE)</f>
        <v>0.9549999108789774</v>
      </c>
      <c r="L428" s="10" t="str">
        <f t="shared" si="12"/>
        <v>Oeste - A04</v>
      </c>
    </row>
    <row r="429" spans="1:12" x14ac:dyDescent="0.2">
      <c r="A429" s="5" t="s">
        <v>338</v>
      </c>
      <c r="B429" s="150" t="s">
        <v>417</v>
      </c>
      <c r="C429" s="7" t="s">
        <v>424</v>
      </c>
      <c r="D429" s="4" t="s">
        <v>340</v>
      </c>
      <c r="E429" s="142">
        <f>VLOOKUP(D429,'IDHM (IBGE2022)'!$A$4:$N$402,14,FALSE)</f>
        <v>28071.29</v>
      </c>
      <c r="F429" s="90">
        <f>VLOOKUP(D429,'IDHM (IBGE2022)'!$A$4:$J$402,10,FALSE)</f>
        <v>0.67</v>
      </c>
      <c r="G429" s="92">
        <f t="shared" si="13"/>
        <v>0.74930680673009953</v>
      </c>
      <c r="H429" s="9">
        <f>VLOOKUP(D429,'IPDM_renda  (IPARDES-PR)'!$A$4:$N$420,14,FALSE)</f>
        <v>0.40763638691049098</v>
      </c>
      <c r="I429" s="9">
        <f>VLOOKUP(D429,'IPDM_educação  (IPARDES-PR)'!$A$4:$N$420,14,FALSE)</f>
        <v>0.873819189161263</v>
      </c>
      <c r="J429" s="9">
        <f>VLOOKUP(D429,'IPDM_saúde   (IPARDES-PR)'!$A$4:$N$466,14,FALSE)</f>
        <v>0.9664648441185445</v>
      </c>
      <c r="L429" s="10" t="str">
        <f t="shared" si="12"/>
        <v>Oeste - A04</v>
      </c>
    </row>
    <row r="430" spans="1:12" x14ac:dyDescent="0.2">
      <c r="A430" s="5" t="s">
        <v>338</v>
      </c>
      <c r="B430" s="150" t="s">
        <v>417</v>
      </c>
      <c r="C430" s="7" t="s">
        <v>424</v>
      </c>
      <c r="D430" s="4" t="s">
        <v>341</v>
      </c>
      <c r="E430" s="142">
        <f>VLOOKUP(D430,'IDHM (IBGE2022)'!$A$4:$N$402,14,FALSE)</f>
        <v>53771.59</v>
      </c>
      <c r="F430" s="90">
        <f>VLOOKUP(D430,'IDHM (IBGE2022)'!$A$4:$J$402,10,FALSE)</f>
        <v>0.70099999999999996</v>
      </c>
      <c r="G430" s="92">
        <f t="shared" si="13"/>
        <v>0.80516044431753608</v>
      </c>
      <c r="H430" s="9">
        <f>VLOOKUP(D430,'IPDM_renda  (IPARDES-PR)'!$A$4:$N$420,14,FALSE)</f>
        <v>0.49026592538225344</v>
      </c>
      <c r="I430" s="9">
        <f>VLOOKUP(D430,'IPDM_educação  (IPARDES-PR)'!$A$4:$N$420,14,FALSE)</f>
        <v>0.96228130643378385</v>
      </c>
      <c r="J430" s="9">
        <f>VLOOKUP(D430,'IPDM_saúde   (IPARDES-PR)'!$A$4:$N$466,14,FALSE)</f>
        <v>0.9629341011365713</v>
      </c>
      <c r="L430" s="10" t="str">
        <f t="shared" si="12"/>
        <v>Oeste - A04</v>
      </c>
    </row>
    <row r="431" spans="1:12" x14ac:dyDescent="0.2">
      <c r="A431" s="5" t="s">
        <v>338</v>
      </c>
      <c r="B431" s="150" t="s">
        <v>417</v>
      </c>
      <c r="C431" s="7" t="s">
        <v>424</v>
      </c>
      <c r="D431" s="4" t="s">
        <v>252</v>
      </c>
      <c r="E431" s="142">
        <f>VLOOKUP(D431,'IDHM (IBGE2022)'!$A$4:$N$402,14,FALSE)</f>
        <v>42893.99</v>
      </c>
      <c r="F431" s="90">
        <f>VLOOKUP(D431,'IDHM (IBGE2022)'!$A$4:$J$402,10,FALSE)</f>
        <v>0.70399999999999996</v>
      </c>
      <c r="G431" s="92">
        <f t="shared" si="13"/>
        <v>0.71353047514565471</v>
      </c>
      <c r="H431" s="9">
        <f>VLOOKUP(D431,'IPDM_renda  (IPARDES-PR)'!$A$4:$N$420,14,FALSE)</f>
        <v>0.43905081302025423</v>
      </c>
      <c r="I431" s="9">
        <f>VLOOKUP(D431,'IPDM_educação  (IPARDES-PR)'!$A$4:$N$420,14,FALSE)</f>
        <v>0.82363474228190359</v>
      </c>
      <c r="J431" s="9">
        <f>VLOOKUP(D431,'IPDM_saúde   (IPARDES-PR)'!$A$4:$N$466,14,FALSE)</f>
        <v>0.87790587013480614</v>
      </c>
      <c r="L431" s="10" t="str">
        <f t="shared" si="12"/>
        <v>Oeste - A04</v>
      </c>
    </row>
    <row r="432" spans="1:12" x14ac:dyDescent="0.2">
      <c r="A432" s="5" t="s">
        <v>338</v>
      </c>
      <c r="B432" s="150" t="s">
        <v>417</v>
      </c>
      <c r="C432" s="7" t="s">
        <v>424</v>
      </c>
      <c r="D432" s="4" t="s">
        <v>342</v>
      </c>
      <c r="E432" s="142">
        <f>VLOOKUP(D432,'IDHM (IBGE2022)'!$A$4:$N$402,14,FALSE)</f>
        <v>58901.77</v>
      </c>
      <c r="F432" s="90">
        <f>VLOOKUP(D432,'IDHM (IBGE2022)'!$A$4:$J$402,10,FALSE)</f>
        <v>0.68100000000000005</v>
      </c>
      <c r="G432" s="92">
        <f t="shared" si="13"/>
        <v>0.79106068614069569</v>
      </c>
      <c r="H432" s="9">
        <f>VLOOKUP(D432,'IPDM_renda  (IPARDES-PR)'!$A$4:$N$420,14,FALSE)</f>
        <v>0.45859994428683082</v>
      </c>
      <c r="I432" s="9">
        <f>VLOOKUP(D432,'IPDM_educação  (IPARDES-PR)'!$A$4:$N$420,14,FALSE)</f>
        <v>0.92729492471347341</v>
      </c>
      <c r="J432" s="9">
        <f>VLOOKUP(D432,'IPDM_saúde   (IPARDES-PR)'!$A$4:$N$466,14,FALSE)</f>
        <v>0.98728718942178295</v>
      </c>
      <c r="L432" s="10" t="str">
        <f t="shared" si="12"/>
        <v>Oeste - A04</v>
      </c>
    </row>
    <row r="433" spans="1:12" x14ac:dyDescent="0.2">
      <c r="A433" s="5" t="s">
        <v>338</v>
      </c>
      <c r="B433" s="150" t="s">
        <v>417</v>
      </c>
      <c r="C433" s="7" t="s">
        <v>424</v>
      </c>
      <c r="D433" s="4" t="s">
        <v>343</v>
      </c>
      <c r="E433" s="142">
        <f>VLOOKUP(D433,'IDHM (IBGE2022)'!$A$4:$N$402,14,FALSE)</f>
        <v>88764.32</v>
      </c>
      <c r="F433" s="90">
        <f>VLOOKUP(D433,'IDHM (IBGE2022)'!$A$4:$J$402,10,FALSE)</f>
        <v>0.71599999999999997</v>
      </c>
      <c r="G433" s="92">
        <f t="shared" si="13"/>
        <v>0.7926668024209903</v>
      </c>
      <c r="H433" s="9">
        <f>VLOOKUP(D433,'IPDM_renda  (IPARDES-PR)'!$A$4:$N$420,14,FALSE)</f>
        <v>0.49436415615121954</v>
      </c>
      <c r="I433" s="9">
        <f>VLOOKUP(D433,'IPDM_educação  (IPARDES-PR)'!$A$4:$N$420,14,FALSE)</f>
        <v>0.95914460653697764</v>
      </c>
      <c r="J433" s="9">
        <f>VLOOKUP(D433,'IPDM_saúde   (IPARDES-PR)'!$A$4:$N$466,14,FALSE)</f>
        <v>0.92449164457477362</v>
      </c>
      <c r="L433" s="10" t="str">
        <f t="shared" si="12"/>
        <v>Oeste - A04</v>
      </c>
    </row>
    <row r="434" spans="1:12" x14ac:dyDescent="0.2">
      <c r="A434" s="5" t="s">
        <v>338</v>
      </c>
      <c r="B434" s="150" t="s">
        <v>417</v>
      </c>
      <c r="C434" s="7" t="s">
        <v>424</v>
      </c>
      <c r="D434" s="4" t="s">
        <v>331</v>
      </c>
      <c r="E434" s="142">
        <f>VLOOKUP(D434,'IDHM (IBGE2022)'!$A$4:$N$402,14,FALSE)</f>
        <v>55176.33</v>
      </c>
      <c r="F434" s="90">
        <f>VLOOKUP(D434,'IDHM (IBGE2022)'!$A$4:$J$402,10,FALSE)</f>
        <v>0.78200000000000003</v>
      </c>
      <c r="G434" s="92">
        <f t="shared" si="13"/>
        <v>0.83295179810232922</v>
      </c>
      <c r="H434" s="9">
        <f>VLOOKUP(D434,'IPDM_renda  (IPARDES-PR)'!$A$4:$N$420,14,FALSE)</f>
        <v>0.69829153150521861</v>
      </c>
      <c r="I434" s="9">
        <f>VLOOKUP(D434,'IPDM_educação  (IPARDES-PR)'!$A$4:$N$420,14,FALSE)</f>
        <v>0.93458475832175225</v>
      </c>
      <c r="J434" s="9">
        <f>VLOOKUP(D434,'IPDM_saúde   (IPARDES-PR)'!$A$4:$N$466,14,FALSE)</f>
        <v>0.86597910448001691</v>
      </c>
      <c r="L434" s="10" t="str">
        <f t="shared" si="12"/>
        <v>Oeste - A04</v>
      </c>
    </row>
    <row r="435" spans="1:12" x14ac:dyDescent="0.2">
      <c r="A435" s="5" t="s">
        <v>338</v>
      </c>
      <c r="B435" s="150" t="s">
        <v>417</v>
      </c>
      <c r="C435" s="7" t="s">
        <v>424</v>
      </c>
      <c r="D435" s="4" t="s">
        <v>344</v>
      </c>
      <c r="E435" s="142">
        <f>VLOOKUP(D435,'IDHM (IBGE2022)'!$A$4:$N$402,14,FALSE)</f>
        <v>39602.22</v>
      </c>
      <c r="F435" s="90">
        <f>VLOOKUP(D435,'IDHM (IBGE2022)'!$A$4:$J$402,10,FALSE)</f>
        <v>0.67800000000000005</v>
      </c>
      <c r="G435" s="92">
        <f t="shared" si="13"/>
        <v>0.72444694221991901</v>
      </c>
      <c r="H435" s="9">
        <f>VLOOKUP(D435,'IPDM_renda  (IPARDES-PR)'!$A$4:$N$420,14,FALSE)</f>
        <v>0.43895468567728974</v>
      </c>
      <c r="I435" s="9">
        <f>VLOOKUP(D435,'IPDM_educação  (IPARDES-PR)'!$A$4:$N$420,14,FALSE)</f>
        <v>0.82507624659852885</v>
      </c>
      <c r="J435" s="9">
        <f>VLOOKUP(D435,'IPDM_saúde   (IPARDES-PR)'!$A$4:$N$466,14,FALSE)</f>
        <v>0.90930989438393883</v>
      </c>
      <c r="L435" s="10" t="str">
        <f t="shared" si="12"/>
        <v>Oeste - A04</v>
      </c>
    </row>
    <row r="436" spans="1:12" x14ac:dyDescent="0.2">
      <c r="A436" s="5" t="s">
        <v>338</v>
      </c>
      <c r="B436" s="150" t="s">
        <v>417</v>
      </c>
      <c r="C436" s="7" t="s">
        <v>424</v>
      </c>
      <c r="D436" s="4" t="s">
        <v>332</v>
      </c>
      <c r="E436" s="142">
        <f>VLOOKUP(D436,'IDHM (IBGE2022)'!$A$4:$N$402,14,FALSE)</f>
        <v>56867.78</v>
      </c>
      <c r="F436" s="90">
        <f>VLOOKUP(D436,'IDHM (IBGE2022)'!$A$4:$J$402,10,FALSE)</f>
        <v>0.73799999999999999</v>
      </c>
      <c r="G436" s="92">
        <f t="shared" si="13"/>
        <v>0.76022826779592723</v>
      </c>
      <c r="H436" s="9">
        <f>VLOOKUP(D436,'IPDM_renda  (IPARDES-PR)'!$A$4:$N$420,14,FALSE)</f>
        <v>0.5129232620511478</v>
      </c>
      <c r="I436" s="9">
        <f>VLOOKUP(D436,'IPDM_educação  (IPARDES-PR)'!$A$4:$N$420,14,FALSE)</f>
        <v>0.8949132499303899</v>
      </c>
      <c r="J436" s="9">
        <f>VLOOKUP(D436,'IPDM_saúde   (IPARDES-PR)'!$A$4:$N$466,14,FALSE)</f>
        <v>0.87284829140624376</v>
      </c>
      <c r="L436" s="10" t="str">
        <f t="shared" si="12"/>
        <v>Oeste - A04</v>
      </c>
    </row>
    <row r="437" spans="1:12" x14ac:dyDescent="0.2">
      <c r="A437" s="5" t="s">
        <v>338</v>
      </c>
      <c r="B437" s="150" t="s">
        <v>417</v>
      </c>
      <c r="C437" s="7" t="s">
        <v>424</v>
      </c>
      <c r="D437" s="4" t="s">
        <v>304</v>
      </c>
      <c r="E437" s="142">
        <f>VLOOKUP(D437,'IDHM (IBGE2022)'!$A$4:$N$402,14,FALSE)</f>
        <v>27043.14</v>
      </c>
      <c r="F437" s="90">
        <f>VLOOKUP(D437,'IDHM (IBGE2022)'!$A$4:$J$402,10,FALSE)</f>
        <v>0.60799999999999998</v>
      </c>
      <c r="G437" s="92">
        <f t="shared" si="13"/>
        <v>0.65598061395261409</v>
      </c>
      <c r="H437" s="9">
        <f>VLOOKUP(D437,'IPDM_renda  (IPARDES-PR)'!$A$4:$N$420,14,FALSE)</f>
        <v>0.38121805322944891</v>
      </c>
      <c r="I437" s="9">
        <f>VLOOKUP(D437,'IPDM_educação  (IPARDES-PR)'!$A$4:$N$420,14,FALSE)</f>
        <v>0.85807479075036719</v>
      </c>
      <c r="J437" s="9">
        <f>VLOOKUP(D437,'IPDM_saúde   (IPARDES-PR)'!$A$4:$N$466,14,FALSE)</f>
        <v>0.72864899787802606</v>
      </c>
      <c r="L437" s="10" t="str">
        <f t="shared" si="12"/>
        <v>Oeste - A04</v>
      </c>
    </row>
    <row r="438" spans="1:12" x14ac:dyDescent="0.2">
      <c r="A438" s="5" t="s">
        <v>338</v>
      </c>
      <c r="B438" s="150" t="s">
        <v>417</v>
      </c>
      <c r="C438" s="7" t="s">
        <v>424</v>
      </c>
      <c r="D438" s="4" t="s">
        <v>345</v>
      </c>
      <c r="E438" s="142">
        <f>VLOOKUP(D438,'IDHM (IBGE2022)'!$A$4:$N$402,14,FALSE)</f>
        <v>43991.58</v>
      </c>
      <c r="F438" s="90">
        <f>VLOOKUP(D438,'IDHM (IBGE2022)'!$A$4:$J$402,10,FALSE)</f>
        <v>0.67700000000000005</v>
      </c>
      <c r="G438" s="92">
        <f t="shared" si="13"/>
        <v>0.75536307813223236</v>
      </c>
      <c r="H438" s="9">
        <f>VLOOKUP(D438,'IPDM_renda  (IPARDES-PR)'!$A$4:$N$420,14,FALSE)</f>
        <v>0.50045942196426318</v>
      </c>
      <c r="I438" s="9">
        <f>VLOOKUP(D438,'IPDM_educação  (IPARDES-PR)'!$A$4:$N$420,14,FALSE)</f>
        <v>0.87954660026983189</v>
      </c>
      <c r="J438" s="9">
        <f>VLOOKUP(D438,'IPDM_saúde   (IPARDES-PR)'!$A$4:$N$466,14,FALSE)</f>
        <v>0.886083212162602</v>
      </c>
      <c r="L438" s="10" t="str">
        <f t="shared" si="12"/>
        <v>Oeste - A04</v>
      </c>
    </row>
    <row r="439" spans="1:12" x14ac:dyDescent="0.2">
      <c r="A439" s="5" t="s">
        <v>338</v>
      </c>
      <c r="B439" s="150" t="s">
        <v>417</v>
      </c>
      <c r="C439" s="7" t="s">
        <v>424</v>
      </c>
      <c r="D439" s="4" t="s">
        <v>346</v>
      </c>
      <c r="E439" s="142">
        <f>VLOOKUP(D439,'IDHM (IBGE2022)'!$A$4:$N$402,14,FALSE)</f>
        <v>44212.2</v>
      </c>
      <c r="F439" s="90">
        <f>VLOOKUP(D439,'IDHM (IBGE2022)'!$A$4:$J$402,10,FALSE)</f>
        <v>0.70299999999999996</v>
      </c>
      <c r="G439" s="92">
        <f t="shared" si="13"/>
        <v>0.74817726050309064</v>
      </c>
      <c r="H439" s="9">
        <f>VLOOKUP(D439,'IPDM_renda  (IPARDES-PR)'!$A$4:$N$420,14,FALSE)</f>
        <v>0.48025845062644262</v>
      </c>
      <c r="I439" s="9">
        <f>VLOOKUP(D439,'IPDM_educação  (IPARDES-PR)'!$A$4:$N$420,14,FALSE)</f>
        <v>0.97136363636363632</v>
      </c>
      <c r="J439" s="9">
        <f>VLOOKUP(D439,'IPDM_saúde   (IPARDES-PR)'!$A$4:$N$466,14,FALSE)</f>
        <v>0.7929096945191928</v>
      </c>
      <c r="L439" s="10" t="str">
        <f t="shared" si="12"/>
        <v>Oeste - A04</v>
      </c>
    </row>
    <row r="440" spans="1:12" x14ac:dyDescent="0.2">
      <c r="A440" s="5" t="s">
        <v>338</v>
      </c>
      <c r="B440" s="150" t="s">
        <v>417</v>
      </c>
      <c r="C440" s="7" t="s">
        <v>424</v>
      </c>
      <c r="D440" s="4" t="s">
        <v>85</v>
      </c>
      <c r="E440" s="142">
        <f>VLOOKUP(D440,'IDHM (IBGE2022)'!$A$4:$N$402,14,FALSE)</f>
        <v>62721.88</v>
      </c>
      <c r="F440" s="90">
        <f>VLOOKUP(D440,'IDHM (IBGE2022)'!$A$4:$J$402,10,FALSE)</f>
        <v>0.68100000000000005</v>
      </c>
      <c r="G440" s="92">
        <f t="shared" si="13"/>
        <v>0.73788182700052518</v>
      </c>
      <c r="H440" s="9">
        <f>VLOOKUP(D440,'IPDM_renda  (IPARDES-PR)'!$A$4:$N$420,14,FALSE)</f>
        <v>0.46539811712609308</v>
      </c>
      <c r="I440" s="9">
        <f>VLOOKUP(D440,'IPDM_educação  (IPARDES-PR)'!$A$4:$N$420,14,FALSE)</f>
        <v>0.88873169402504404</v>
      </c>
      <c r="J440" s="9">
        <f>VLOOKUP(D440,'IPDM_saúde   (IPARDES-PR)'!$A$4:$N$466,14,FALSE)</f>
        <v>0.85951566985043859</v>
      </c>
      <c r="L440" s="10" t="str">
        <f t="shared" si="12"/>
        <v>Oeste - A04</v>
      </c>
    </row>
    <row r="441" spans="1:12" x14ac:dyDescent="0.2">
      <c r="A441" s="5" t="s">
        <v>338</v>
      </c>
      <c r="B441" s="150" t="s">
        <v>417</v>
      </c>
      <c r="C441" s="7" t="s">
        <v>424</v>
      </c>
      <c r="D441" s="4" t="s">
        <v>347</v>
      </c>
      <c r="E441" s="142">
        <f>VLOOKUP(D441,'IDHM (IBGE2022)'!$A$4:$N$402,14,FALSE)</f>
        <v>43410.54</v>
      </c>
      <c r="F441" s="90">
        <f>VLOOKUP(D441,'IDHM (IBGE2022)'!$A$4:$J$402,10,FALSE)</f>
        <v>0.68700000000000006</v>
      </c>
      <c r="G441" s="92">
        <f t="shared" si="13"/>
        <v>0.74064143195404497</v>
      </c>
      <c r="H441" s="9">
        <f>VLOOKUP(D441,'IPDM_renda  (IPARDES-PR)'!$A$4:$N$420,14,FALSE)</f>
        <v>0.4352364123398319</v>
      </c>
      <c r="I441" s="9">
        <f>VLOOKUP(D441,'IPDM_educação  (IPARDES-PR)'!$A$4:$N$420,14,FALSE)</f>
        <v>0.87749531956743287</v>
      </c>
      <c r="J441" s="9">
        <f>VLOOKUP(D441,'IPDM_saúde   (IPARDES-PR)'!$A$4:$N$466,14,FALSE)</f>
        <v>0.90919256395487003</v>
      </c>
      <c r="L441" s="10" t="str">
        <f t="shared" si="12"/>
        <v>Oeste - A04</v>
      </c>
    </row>
    <row r="442" spans="1:12" x14ac:dyDescent="0.2">
      <c r="A442" s="5" t="s">
        <v>338</v>
      </c>
      <c r="B442" s="150" t="s">
        <v>417</v>
      </c>
      <c r="C442" s="7" t="s">
        <v>424</v>
      </c>
      <c r="D442" s="4" t="s">
        <v>348</v>
      </c>
      <c r="E442" s="142">
        <f>VLOOKUP(D442,'IDHM (IBGE2022)'!$A$4:$N$402,14,FALSE)</f>
        <v>54145.66</v>
      </c>
      <c r="F442" s="90">
        <f>VLOOKUP(D442,'IDHM (IBGE2022)'!$A$4:$J$402,10,FALSE)</f>
        <v>0.70499999999999996</v>
      </c>
      <c r="G442" s="92">
        <f t="shared" si="13"/>
        <v>0.76163910232832122</v>
      </c>
      <c r="H442" s="9">
        <f>VLOOKUP(D442,'IPDM_renda  (IPARDES-PR)'!$A$4:$N$420,14,FALSE)</f>
        <v>0.55777348998227794</v>
      </c>
      <c r="I442" s="9">
        <f>VLOOKUP(D442,'IPDM_educação  (IPARDES-PR)'!$A$4:$N$420,14,FALSE)</f>
        <v>0.86380880392180104</v>
      </c>
      <c r="J442" s="9">
        <f>VLOOKUP(D442,'IPDM_saúde   (IPARDES-PR)'!$A$4:$N$466,14,FALSE)</f>
        <v>0.86333501308088456</v>
      </c>
      <c r="L442" s="10" t="str">
        <f t="shared" si="12"/>
        <v>Oeste - A04</v>
      </c>
    </row>
    <row r="443" spans="1:12" x14ac:dyDescent="0.2">
      <c r="A443" s="5" t="s">
        <v>338</v>
      </c>
      <c r="B443" s="150" t="s">
        <v>417</v>
      </c>
      <c r="C443" s="7" t="s">
        <v>424</v>
      </c>
      <c r="D443" s="4" t="s">
        <v>349</v>
      </c>
      <c r="E443" s="142">
        <f>VLOOKUP(D443,'IDHM (IBGE2022)'!$A$4:$N$402,14,FALSE)</f>
        <v>40731.89</v>
      </c>
      <c r="F443" s="90">
        <f>VLOOKUP(D443,'IDHM (IBGE2022)'!$A$4:$J$402,10,FALSE)</f>
        <v>0.68100000000000005</v>
      </c>
      <c r="G443" s="92">
        <f t="shared" si="13"/>
        <v>0.73925771399441453</v>
      </c>
      <c r="H443" s="9">
        <f>VLOOKUP(D443,'IPDM_renda  (IPARDES-PR)'!$A$4:$N$420,14,FALSE)</f>
        <v>0.48641252453377815</v>
      </c>
      <c r="I443" s="9">
        <f>VLOOKUP(D443,'IPDM_educação  (IPARDES-PR)'!$A$4:$N$420,14,FALSE)</f>
        <v>0.89765140885065386</v>
      </c>
      <c r="J443" s="9">
        <f>VLOOKUP(D443,'IPDM_saúde   (IPARDES-PR)'!$A$4:$N$466,14,FALSE)</f>
        <v>0.8337092085988117</v>
      </c>
      <c r="L443" s="10" t="str">
        <f t="shared" si="12"/>
        <v>Oeste - A04</v>
      </c>
    </row>
    <row r="444" spans="1:12" x14ac:dyDescent="0.2">
      <c r="A444" s="5" t="s">
        <v>350</v>
      </c>
      <c r="B444" s="150" t="s">
        <v>417</v>
      </c>
      <c r="C444" s="145" t="s">
        <v>425</v>
      </c>
      <c r="D444" s="4" t="s">
        <v>351</v>
      </c>
      <c r="E444" s="142">
        <f>VLOOKUP(D444,'IDHM (IBGE2022)'!$A$4:$N$402,14,FALSE)</f>
        <v>67222.53</v>
      </c>
      <c r="F444" s="90">
        <f>VLOOKUP(D444,'IDHM (IBGE2022)'!$A$4:$J$402,10,FALSE)</f>
        <v>0.7</v>
      </c>
      <c r="G444" s="92">
        <f t="shared" si="13"/>
        <v>0.74941222175492295</v>
      </c>
      <c r="H444" s="9">
        <f>VLOOKUP(D444,'IPDM_renda  (IPARDES-PR)'!$A$4:$N$420,14,FALSE)</f>
        <v>0.42944210316495485</v>
      </c>
      <c r="I444" s="9">
        <f>VLOOKUP(D444,'IPDM_educação  (IPARDES-PR)'!$A$4:$N$420,14,FALSE)</f>
        <v>0.92891066201133621</v>
      </c>
      <c r="J444" s="9">
        <f>VLOOKUP(D444,'IPDM_saúde   (IPARDES-PR)'!$A$4:$N$466,14,FALSE)</f>
        <v>0.88988390008847806</v>
      </c>
      <c r="L444" s="10" t="str">
        <f t="shared" si="12"/>
        <v>Oeste - A05</v>
      </c>
    </row>
    <row r="445" spans="1:12" x14ac:dyDescent="0.2">
      <c r="A445" s="5" t="s">
        <v>350</v>
      </c>
      <c r="B445" s="150" t="s">
        <v>417</v>
      </c>
      <c r="C445" s="145" t="s">
        <v>425</v>
      </c>
      <c r="D445" s="4" t="s">
        <v>352</v>
      </c>
      <c r="E445" s="142">
        <f>VLOOKUP(D445,'IDHM (IBGE2022)'!$A$4:$N$402,14,FALSE)</f>
        <v>50000.33</v>
      </c>
      <c r="F445" s="90">
        <f>VLOOKUP(D445,'IDHM (IBGE2022)'!$A$4:$J$402,10,FALSE)</f>
        <v>0.70899999999999996</v>
      </c>
      <c r="G445" s="92">
        <f t="shared" si="13"/>
        <v>0.76084035522233184</v>
      </c>
      <c r="H445" s="9">
        <f>VLOOKUP(D445,'IPDM_renda  (IPARDES-PR)'!$A$4:$N$420,14,FALSE)</f>
        <v>0.47321730033763099</v>
      </c>
      <c r="I445" s="9">
        <f>VLOOKUP(D445,'IPDM_educação  (IPARDES-PR)'!$A$4:$N$420,14,FALSE)</f>
        <v>0.9256776789977017</v>
      </c>
      <c r="J445" s="9">
        <f>VLOOKUP(D445,'IPDM_saúde   (IPARDES-PR)'!$A$4:$N$466,14,FALSE)</f>
        <v>0.88362608633166262</v>
      </c>
      <c r="L445" s="10" t="str">
        <f t="shared" si="12"/>
        <v>Oeste - A05</v>
      </c>
    </row>
    <row r="446" spans="1:12" x14ac:dyDescent="0.2">
      <c r="A446" s="5" t="s">
        <v>350</v>
      </c>
      <c r="B446" s="150" t="s">
        <v>417</v>
      </c>
      <c r="C446" s="145" t="s">
        <v>425</v>
      </c>
      <c r="D446" s="4" t="s">
        <v>353</v>
      </c>
      <c r="E446" s="142">
        <f>VLOOKUP(D446,'IDHM (IBGE2022)'!$A$4:$N$402,14,FALSE)</f>
        <v>58150.9</v>
      </c>
      <c r="F446" s="90">
        <f>VLOOKUP(D446,'IDHM (IBGE2022)'!$A$4:$J$402,10,FALSE)</f>
        <v>0.76700000000000002</v>
      </c>
      <c r="G446" s="92">
        <f t="shared" si="13"/>
        <v>0.83676956910040545</v>
      </c>
      <c r="H446" s="9">
        <f>VLOOKUP(D446,'IPDM_renda  (IPARDES-PR)'!$A$4:$N$420,14,FALSE)</f>
        <v>0.64635811393748688</v>
      </c>
      <c r="I446" s="9">
        <f>VLOOKUP(D446,'IPDM_educação  (IPARDES-PR)'!$A$4:$N$420,14,FALSE)</f>
        <v>0.9664114635378962</v>
      </c>
      <c r="J446" s="9">
        <f>VLOOKUP(D446,'IPDM_saúde   (IPARDES-PR)'!$A$4:$N$466,14,FALSE)</f>
        <v>0.89753912982583317</v>
      </c>
      <c r="L446" s="10" t="str">
        <f t="shared" si="12"/>
        <v>Oeste - A05</v>
      </c>
    </row>
    <row r="447" spans="1:12" x14ac:dyDescent="0.2">
      <c r="A447" s="5" t="s">
        <v>350</v>
      </c>
      <c r="B447" s="150" t="s">
        <v>417</v>
      </c>
      <c r="C447" s="145" t="s">
        <v>425</v>
      </c>
      <c r="D447" s="4" t="s">
        <v>354</v>
      </c>
      <c r="E447" s="142">
        <f>VLOOKUP(D447,'IDHM (IBGE2022)'!$A$4:$N$402,14,FALSE)</f>
        <v>64920.82</v>
      </c>
      <c r="F447" s="90">
        <f>VLOOKUP(D447,'IDHM (IBGE2022)'!$A$4:$J$402,10,FALSE)</f>
        <v>0.752</v>
      </c>
      <c r="G447" s="92">
        <f t="shared" si="13"/>
        <v>0.76144897599962602</v>
      </c>
      <c r="H447" s="9">
        <f>VLOOKUP(D447,'IPDM_renda  (IPARDES-PR)'!$A$4:$N$420,14,FALSE)</f>
        <v>0.5428724739000812</v>
      </c>
      <c r="I447" s="9">
        <f>VLOOKUP(D447,'IPDM_educação  (IPARDES-PR)'!$A$4:$N$420,14,FALSE)</f>
        <v>0.90423296375493833</v>
      </c>
      <c r="J447" s="9">
        <f>VLOOKUP(D447,'IPDM_saúde   (IPARDES-PR)'!$A$4:$N$466,14,FALSE)</f>
        <v>0.83724149034385864</v>
      </c>
      <c r="L447" s="10" t="str">
        <f t="shared" si="12"/>
        <v>Oeste - A05</v>
      </c>
    </row>
    <row r="448" spans="1:12" x14ac:dyDescent="0.2">
      <c r="A448" s="5" t="s">
        <v>350</v>
      </c>
      <c r="B448" s="150" t="s">
        <v>417</v>
      </c>
      <c r="C448" s="145" t="s">
        <v>425</v>
      </c>
      <c r="D448" s="4" t="s">
        <v>355</v>
      </c>
      <c r="E448" s="142">
        <f>VLOOKUP(D448,'IDHM (IBGE2022)'!$A$4:$N$402,14,FALSE)</f>
        <v>47286.15</v>
      </c>
      <c r="F448" s="90">
        <f>VLOOKUP(D448,'IDHM (IBGE2022)'!$A$4:$J$402,10,FALSE)</f>
        <v>0.68200000000000005</v>
      </c>
      <c r="G448" s="92">
        <f t="shared" si="13"/>
        <v>0.73231070937562803</v>
      </c>
      <c r="H448" s="9">
        <f>VLOOKUP(D448,'IPDM_renda  (IPARDES-PR)'!$A$4:$N$420,14,FALSE)</f>
        <v>0.46828327648173496</v>
      </c>
      <c r="I448" s="9">
        <f>VLOOKUP(D448,'IPDM_educação  (IPARDES-PR)'!$A$4:$N$420,14,FALSE)</f>
        <v>0.94879813553726555</v>
      </c>
      <c r="J448" s="9">
        <f>VLOOKUP(D448,'IPDM_saúde   (IPARDES-PR)'!$A$4:$N$466,14,FALSE)</f>
        <v>0.7798507161078837</v>
      </c>
      <c r="L448" s="10" t="str">
        <f t="shared" si="12"/>
        <v>Oeste - A05</v>
      </c>
    </row>
    <row r="449" spans="1:12" x14ac:dyDescent="0.2">
      <c r="A449" s="5" t="s">
        <v>350</v>
      </c>
      <c r="B449" s="150" t="s">
        <v>417</v>
      </c>
      <c r="C449" s="145" t="s">
        <v>425</v>
      </c>
      <c r="D449" s="4" t="s">
        <v>356</v>
      </c>
      <c r="E449" s="142">
        <f>VLOOKUP(D449,'IDHM (IBGE2022)'!$A$4:$N$402,14,FALSE)</f>
        <v>46814.84</v>
      </c>
      <c r="F449" s="90">
        <f>VLOOKUP(D449,'IDHM (IBGE2022)'!$A$4:$J$402,10,FALSE)</f>
        <v>0.77400000000000002</v>
      </c>
      <c r="G449" s="92">
        <f t="shared" si="13"/>
        <v>0.81158552982647858</v>
      </c>
      <c r="H449" s="9">
        <f>VLOOKUP(D449,'IPDM_renda  (IPARDES-PR)'!$A$4:$N$420,14,FALSE)</f>
        <v>0.61672512466777885</v>
      </c>
      <c r="I449" s="9">
        <f>VLOOKUP(D449,'IPDM_educação  (IPARDES-PR)'!$A$4:$N$420,14,FALSE)</f>
        <v>0.94149503415014046</v>
      </c>
      <c r="J449" s="9">
        <f>VLOOKUP(D449,'IPDM_saúde   (IPARDES-PR)'!$A$4:$N$466,14,FALSE)</f>
        <v>0.87653643066151643</v>
      </c>
      <c r="L449" s="10" t="str">
        <f t="shared" si="12"/>
        <v>Oeste - A05</v>
      </c>
    </row>
    <row r="450" spans="1:12" x14ac:dyDescent="0.2">
      <c r="A450" s="5" t="s">
        <v>350</v>
      </c>
      <c r="B450" s="150" t="s">
        <v>417</v>
      </c>
      <c r="C450" s="145" t="s">
        <v>425</v>
      </c>
      <c r="D450" s="3" t="s">
        <v>481</v>
      </c>
      <c r="E450" s="142">
        <f>VLOOKUP(D450,'IDHM (IBGE2022)'!$A$4:$N$402,14,FALSE)</f>
        <v>78624.87</v>
      </c>
      <c r="F450" s="90">
        <f>VLOOKUP(D450,'IDHM (IBGE2022)'!$A$4:$J$402,10,FALSE)</f>
        <v>0.73099999999999998</v>
      </c>
      <c r="G450" s="92">
        <f t="shared" si="13"/>
        <v>0.79435927889054503</v>
      </c>
      <c r="H450" s="9">
        <f>VLOOKUP(D450,'IPDM_renda  (IPARDES-PR)'!$A$4:$N$420,14,FALSE)</f>
        <v>0.57310168964610653</v>
      </c>
      <c r="I450" s="9">
        <f>VLOOKUP(D450,'IPDM_educação  (IPARDES-PR)'!$A$4:$N$420,14,FALSE)</f>
        <v>0.9677140649876883</v>
      </c>
      <c r="J450" s="9">
        <f>VLOOKUP(D450,'IPDM_saúde   (IPARDES-PR)'!$A$4:$N$466,14,FALSE)</f>
        <v>0.84226208203784036</v>
      </c>
      <c r="L450" s="10" t="str">
        <f t="shared" si="12"/>
        <v>Oeste - A05</v>
      </c>
    </row>
    <row r="451" spans="1:12" x14ac:dyDescent="0.2">
      <c r="A451" s="5" t="s">
        <v>350</v>
      </c>
      <c r="B451" s="150" t="s">
        <v>417</v>
      </c>
      <c r="C451" s="145" t="s">
        <v>425</v>
      </c>
      <c r="D451" s="4" t="s">
        <v>357</v>
      </c>
      <c r="E451" s="142">
        <f>VLOOKUP(D451,'IDHM (IBGE2022)'!$A$4:$N$402,14,FALSE)</f>
        <v>37689.279999999999</v>
      </c>
      <c r="F451" s="90">
        <f>VLOOKUP(D451,'IDHM (IBGE2022)'!$A$4:$J$402,10,FALSE)</f>
        <v>0.64500000000000002</v>
      </c>
      <c r="G451" s="92">
        <f t="shared" si="13"/>
        <v>0.66128415995346168</v>
      </c>
      <c r="H451" s="9">
        <f>VLOOKUP(D451,'IPDM_renda  (IPARDES-PR)'!$A$4:$N$420,14,FALSE)</f>
        <v>0.46074827620298969</v>
      </c>
      <c r="I451" s="9">
        <f>VLOOKUP(D451,'IPDM_educação  (IPARDES-PR)'!$A$4:$N$420,14,FALSE)</f>
        <v>0.6887043369087833</v>
      </c>
      <c r="J451" s="9">
        <f>VLOOKUP(D451,'IPDM_saúde   (IPARDES-PR)'!$A$4:$N$466,14,FALSE)</f>
        <v>0.83439986674861177</v>
      </c>
      <c r="L451" s="10" t="str">
        <f t="shared" si="12"/>
        <v>Oeste - A05</v>
      </c>
    </row>
    <row r="452" spans="1:12" x14ac:dyDescent="0.2">
      <c r="A452" s="5" t="s">
        <v>350</v>
      </c>
      <c r="B452" s="150" t="s">
        <v>417</v>
      </c>
      <c r="C452" s="145" t="s">
        <v>425</v>
      </c>
      <c r="D452" s="4" t="s">
        <v>358</v>
      </c>
      <c r="E452" s="142">
        <f>VLOOKUP(D452,'IDHM (IBGE2022)'!$A$4:$N$402,14,FALSE)</f>
        <v>46437.51</v>
      </c>
      <c r="F452" s="90">
        <f>VLOOKUP(D452,'IDHM (IBGE2022)'!$A$4:$J$402,10,FALSE)</f>
        <v>0.72199999999999998</v>
      </c>
      <c r="G452" s="92">
        <f t="shared" si="13"/>
        <v>0.77034486827792292</v>
      </c>
      <c r="H452" s="9">
        <f>VLOOKUP(D452,'IPDM_renda  (IPARDES-PR)'!$A$4:$N$420,14,FALSE)</f>
        <v>0.49389368410644496</v>
      </c>
      <c r="I452" s="9">
        <f>VLOOKUP(D452,'IPDM_educação  (IPARDES-PR)'!$A$4:$N$420,14,FALSE)</f>
        <v>0.93442743145703056</v>
      </c>
      <c r="J452" s="9">
        <f>VLOOKUP(D452,'IPDM_saúde   (IPARDES-PR)'!$A$4:$N$466,14,FALSE)</f>
        <v>0.88271348927029292</v>
      </c>
      <c r="L452" s="10" t="str">
        <f t="shared" ref="L452:L491" si="14">B452&amp;" - "&amp;C452</f>
        <v>Oeste - A05</v>
      </c>
    </row>
    <row r="453" spans="1:12" x14ac:dyDescent="0.2">
      <c r="A453" s="5" t="s">
        <v>350</v>
      </c>
      <c r="B453" s="150" t="s">
        <v>417</v>
      </c>
      <c r="C453" s="145" t="s">
        <v>425</v>
      </c>
      <c r="D453" s="4" t="s">
        <v>359</v>
      </c>
      <c r="E453" s="142">
        <f>VLOOKUP(D453,'IDHM (IBGE2022)'!$A$4:$N$402,14,FALSE)</f>
        <v>35513.61</v>
      </c>
      <c r="F453" s="90">
        <f>VLOOKUP(D453,'IDHM (IBGE2022)'!$A$4:$J$402,10,FALSE)</f>
        <v>0.71399999999999997</v>
      </c>
      <c r="G453" s="92">
        <f t="shared" ref="G453:G491" si="15">AVERAGE(H453:J453)</f>
        <v>0.73457731888697475</v>
      </c>
      <c r="H453" s="9">
        <f>VLOOKUP(D453,'IPDM_renda  (IPARDES-PR)'!$A$4:$N$420,14,FALSE)</f>
        <v>0.50309683754228951</v>
      </c>
      <c r="I453" s="9">
        <f>VLOOKUP(D453,'IPDM_educação  (IPARDES-PR)'!$A$4:$N$420,14,FALSE)</f>
        <v>0.89972753801409466</v>
      </c>
      <c r="J453" s="9">
        <f>VLOOKUP(D453,'IPDM_saúde   (IPARDES-PR)'!$A$4:$N$466,14,FALSE)</f>
        <v>0.80090758110454008</v>
      </c>
      <c r="L453" s="10" t="str">
        <f t="shared" si="14"/>
        <v>Oeste - A05</v>
      </c>
    </row>
    <row r="454" spans="1:12" x14ac:dyDescent="0.2">
      <c r="A454" s="5" t="s">
        <v>350</v>
      </c>
      <c r="B454" s="150" t="s">
        <v>417</v>
      </c>
      <c r="C454" s="145" t="s">
        <v>425</v>
      </c>
      <c r="D454" s="4" t="s">
        <v>360</v>
      </c>
      <c r="E454" s="142">
        <f>VLOOKUP(D454,'IDHM (IBGE2022)'!$A$4:$N$402,14,FALSE)</f>
        <v>67212.820000000007</v>
      </c>
      <c r="F454" s="90">
        <f>VLOOKUP(D454,'IDHM (IBGE2022)'!$A$4:$J$402,10,FALSE)</f>
        <v>0.73299999999999998</v>
      </c>
      <c r="G454" s="92">
        <f t="shared" si="15"/>
        <v>0.78958529732992655</v>
      </c>
      <c r="H454" s="9">
        <f>VLOOKUP(D454,'IPDM_renda  (IPARDES-PR)'!$A$4:$N$420,14,FALSE)</f>
        <v>0.5075790792631264</v>
      </c>
      <c r="I454" s="9">
        <f>VLOOKUP(D454,'IPDM_educação  (IPARDES-PR)'!$A$4:$N$420,14,FALSE)</f>
        <v>0.93107876130180511</v>
      </c>
      <c r="J454" s="9">
        <f>VLOOKUP(D454,'IPDM_saúde   (IPARDES-PR)'!$A$4:$N$466,14,FALSE)</f>
        <v>0.93009805142484814</v>
      </c>
      <c r="L454" s="10" t="str">
        <f t="shared" si="14"/>
        <v>Oeste - A05</v>
      </c>
    </row>
    <row r="455" spans="1:12" x14ac:dyDescent="0.2">
      <c r="A455" s="5" t="s">
        <v>350</v>
      </c>
      <c r="B455" s="150" t="s">
        <v>417</v>
      </c>
      <c r="C455" s="145" t="s">
        <v>425</v>
      </c>
      <c r="D455" s="4" t="s">
        <v>361</v>
      </c>
      <c r="E455" s="142">
        <f>VLOOKUP(D455,'IDHM (IBGE2022)'!$A$4:$N$402,14,FALSE)</f>
        <v>35479.949999999997</v>
      </c>
      <c r="F455" s="90">
        <f>VLOOKUP(D455,'IDHM (IBGE2022)'!$A$4:$J$402,10,FALSE)</f>
        <v>0.7</v>
      </c>
      <c r="G455" s="92">
        <f t="shared" si="15"/>
        <v>0.73904000799237579</v>
      </c>
      <c r="H455" s="9">
        <f>VLOOKUP(D455,'IPDM_renda  (IPARDES-PR)'!$A$4:$N$420,14,FALSE)</f>
        <v>0.42082370519223089</v>
      </c>
      <c r="I455" s="9">
        <f>VLOOKUP(D455,'IPDM_educação  (IPARDES-PR)'!$A$4:$N$420,14,FALSE)</f>
        <v>0.94042253069547288</v>
      </c>
      <c r="J455" s="9">
        <f>VLOOKUP(D455,'IPDM_saúde   (IPARDES-PR)'!$A$4:$N$466,14,FALSE)</f>
        <v>0.85587378808942338</v>
      </c>
      <c r="L455" s="10" t="str">
        <f t="shared" si="14"/>
        <v>Oeste - A05</v>
      </c>
    </row>
    <row r="456" spans="1:12" x14ac:dyDescent="0.2">
      <c r="A456" s="5" t="s">
        <v>350</v>
      </c>
      <c r="B456" s="150" t="s">
        <v>417</v>
      </c>
      <c r="C456" s="145" t="s">
        <v>425</v>
      </c>
      <c r="D456" s="4" t="s">
        <v>362</v>
      </c>
      <c r="E456" s="142">
        <f>VLOOKUP(D456,'IDHM (IBGE2022)'!$A$4:$N$402,14,FALSE)</f>
        <v>41283.22</v>
      </c>
      <c r="F456" s="90">
        <f>VLOOKUP(D456,'IDHM (IBGE2022)'!$A$4:$J$402,10,FALSE)</f>
        <v>0.71799999999999997</v>
      </c>
      <c r="G456" s="92">
        <f t="shared" si="15"/>
        <v>0.75874143095426894</v>
      </c>
      <c r="H456" s="9">
        <f>VLOOKUP(D456,'IPDM_renda  (IPARDES-PR)'!$A$4:$N$420,14,FALSE)</f>
        <v>0.4561032218576157</v>
      </c>
      <c r="I456" s="9">
        <f>VLOOKUP(D456,'IPDM_educação  (IPARDES-PR)'!$A$4:$N$420,14,FALSE)</f>
        <v>0.90810466637492304</v>
      </c>
      <c r="J456" s="9">
        <f>VLOOKUP(D456,'IPDM_saúde   (IPARDES-PR)'!$A$4:$N$466,14,FALSE)</f>
        <v>0.91201640463026801</v>
      </c>
      <c r="L456" s="10" t="str">
        <f t="shared" si="14"/>
        <v>Oeste - A05</v>
      </c>
    </row>
    <row r="457" spans="1:12" x14ac:dyDescent="0.2">
      <c r="A457" s="5" t="s">
        <v>350</v>
      </c>
      <c r="B457" s="150" t="s">
        <v>417</v>
      </c>
      <c r="C457" s="145" t="s">
        <v>425</v>
      </c>
      <c r="D457" s="4" t="s">
        <v>363</v>
      </c>
      <c r="E457" s="142">
        <f>VLOOKUP(D457,'IDHM (IBGE2022)'!$A$4:$N$402,14,FALSE)</f>
        <v>76503.8</v>
      </c>
      <c r="F457" s="90">
        <f>VLOOKUP(D457,'IDHM (IBGE2022)'!$A$4:$J$402,10,FALSE)</f>
        <v>0.72</v>
      </c>
      <c r="G457" s="92">
        <f t="shared" si="15"/>
        <v>0.79163303991528533</v>
      </c>
      <c r="H457" s="9">
        <f>VLOOKUP(D457,'IPDM_renda  (IPARDES-PR)'!$A$4:$N$420,14,FALSE)</f>
        <v>0.49080155409376519</v>
      </c>
      <c r="I457" s="9">
        <f>VLOOKUP(D457,'IPDM_educação  (IPARDES-PR)'!$A$4:$N$420,14,FALSE)</f>
        <v>0.97336131216416799</v>
      </c>
      <c r="J457" s="9">
        <f>VLOOKUP(D457,'IPDM_saúde   (IPARDES-PR)'!$A$4:$N$466,14,FALSE)</f>
        <v>0.91073625348792309</v>
      </c>
      <c r="L457" s="10" t="str">
        <f t="shared" si="14"/>
        <v>Oeste - A05</v>
      </c>
    </row>
    <row r="458" spans="1:12" x14ac:dyDescent="0.2">
      <c r="A458" s="5" t="s">
        <v>364</v>
      </c>
      <c r="B458" s="150" t="s">
        <v>417</v>
      </c>
      <c r="C458" s="7" t="s">
        <v>426</v>
      </c>
      <c r="D458" s="4" t="s">
        <v>365</v>
      </c>
      <c r="E458" s="142">
        <f>VLOOKUP(D458,'IDHM (IBGE2022)'!$A$4:$N$402,14,FALSE)</f>
        <v>51028.26</v>
      </c>
      <c r="F458" s="90">
        <f>VLOOKUP(D458,'IDHM (IBGE2022)'!$A$4:$J$402,10,FALSE)</f>
        <v>0.70899999999999996</v>
      </c>
      <c r="G458" s="92">
        <f t="shared" si="15"/>
        <v>0.80232879915485389</v>
      </c>
      <c r="H458" s="9">
        <f>VLOOKUP(D458,'IPDM_renda  (IPARDES-PR)'!$A$4:$N$420,14,FALSE)</f>
        <v>0.5514924391880538</v>
      </c>
      <c r="I458" s="9">
        <f>VLOOKUP(D458,'IPDM_educação  (IPARDES-PR)'!$A$4:$N$420,14,FALSE)</f>
        <v>0.95062409142767779</v>
      </c>
      <c r="J458" s="9">
        <f>VLOOKUP(D458,'IPDM_saúde   (IPARDES-PR)'!$A$4:$N$466,14,FALSE)</f>
        <v>0.90486986684882986</v>
      </c>
      <c r="L458" s="10" t="str">
        <f t="shared" si="14"/>
        <v>Oeste - A06</v>
      </c>
    </row>
    <row r="459" spans="1:12" x14ac:dyDescent="0.2">
      <c r="A459" s="5" t="s">
        <v>364</v>
      </c>
      <c r="B459" s="150" t="s">
        <v>417</v>
      </c>
      <c r="C459" s="7" t="s">
        <v>426</v>
      </c>
      <c r="D459" s="4" t="s">
        <v>366</v>
      </c>
      <c r="E459" s="142">
        <f>VLOOKUP(D459,'IDHM (IBGE2022)'!$A$4:$N$402,14,FALSE)</f>
        <v>31281.27</v>
      </c>
      <c r="F459" s="90">
        <f>VLOOKUP(D459,'IDHM (IBGE2022)'!$A$4:$J$402,10,FALSE)</f>
        <v>0.68100000000000005</v>
      </c>
      <c r="G459" s="92">
        <f t="shared" si="15"/>
        <v>0.71352472229436226</v>
      </c>
      <c r="H459" s="9">
        <f>VLOOKUP(D459,'IPDM_renda  (IPARDES-PR)'!$A$4:$N$420,14,FALSE)</f>
        <v>0.46622802605927088</v>
      </c>
      <c r="I459" s="9">
        <f>VLOOKUP(D459,'IPDM_educação  (IPARDES-PR)'!$A$4:$N$420,14,FALSE)</f>
        <v>0.86932675634824275</v>
      </c>
      <c r="J459" s="9">
        <f>VLOOKUP(D459,'IPDM_saúde   (IPARDES-PR)'!$A$4:$N$466,14,FALSE)</f>
        <v>0.80501938447557342</v>
      </c>
      <c r="L459" s="10" t="str">
        <f t="shared" si="14"/>
        <v>Oeste - A06</v>
      </c>
    </row>
    <row r="460" spans="1:12" x14ac:dyDescent="0.2">
      <c r="A460" s="5" t="s">
        <v>364</v>
      </c>
      <c r="B460" s="150" t="s">
        <v>417</v>
      </c>
      <c r="C460" s="7" t="s">
        <v>426</v>
      </c>
      <c r="D460" s="4" t="s">
        <v>367</v>
      </c>
      <c r="E460" s="142">
        <f>VLOOKUP(D460,'IDHM (IBGE2022)'!$A$4:$N$402,14,FALSE)</f>
        <v>35783.31</v>
      </c>
      <c r="F460" s="90">
        <f>VLOOKUP(D460,'IDHM (IBGE2022)'!$A$4:$J$402,10,FALSE)</f>
        <v>0.69699999999999995</v>
      </c>
      <c r="G460" s="92">
        <f t="shared" si="15"/>
        <v>0.71278477316191224</v>
      </c>
      <c r="H460" s="9">
        <f>VLOOKUP(D460,'IPDM_renda  (IPARDES-PR)'!$A$4:$N$420,14,FALSE)</f>
        <v>0.47621294163651301</v>
      </c>
      <c r="I460" s="9">
        <f>VLOOKUP(D460,'IPDM_educação  (IPARDES-PR)'!$A$4:$N$420,14,FALSE)</f>
        <v>0.99656694902888521</v>
      </c>
      <c r="J460" s="9">
        <f>VLOOKUP(D460,'IPDM_saúde   (IPARDES-PR)'!$A$4:$N$466,14,FALSE)</f>
        <v>0.66557442882033857</v>
      </c>
      <c r="L460" s="10" t="str">
        <f t="shared" si="14"/>
        <v>Oeste - A06</v>
      </c>
    </row>
    <row r="461" spans="1:12" x14ac:dyDescent="0.2">
      <c r="A461" s="5" t="s">
        <v>364</v>
      </c>
      <c r="B461" s="150" t="s">
        <v>417</v>
      </c>
      <c r="C461" s="7" t="s">
        <v>426</v>
      </c>
      <c r="D461" s="4" t="s">
        <v>368</v>
      </c>
      <c r="E461" s="142">
        <f>VLOOKUP(D461,'IDHM (IBGE2022)'!$A$4:$N$402,14,FALSE)</f>
        <v>77763.81</v>
      </c>
      <c r="F461" s="90">
        <f>VLOOKUP(D461,'IDHM (IBGE2022)'!$A$4:$J$402,10,FALSE)</f>
        <v>0.70599999999999996</v>
      </c>
      <c r="G461" s="92">
        <f t="shared" si="15"/>
        <v>0.77582425106467545</v>
      </c>
      <c r="H461" s="9">
        <f>VLOOKUP(D461,'IPDM_renda  (IPARDES-PR)'!$A$4:$N$420,14,FALSE)</f>
        <v>0.53946877435688956</v>
      </c>
      <c r="I461" s="9">
        <f>VLOOKUP(D461,'IPDM_educação  (IPARDES-PR)'!$A$4:$N$420,14,FALSE)</f>
        <v>0.93215153323993705</v>
      </c>
      <c r="J461" s="9">
        <f>VLOOKUP(D461,'IPDM_saúde   (IPARDES-PR)'!$A$4:$N$466,14,FALSE)</f>
        <v>0.85585244559719975</v>
      </c>
      <c r="L461" s="10" t="str">
        <f t="shared" si="14"/>
        <v>Oeste - A06</v>
      </c>
    </row>
    <row r="462" spans="1:12" x14ac:dyDescent="0.2">
      <c r="A462" s="5" t="s">
        <v>364</v>
      </c>
      <c r="B462" s="150" t="s">
        <v>417</v>
      </c>
      <c r="C462" s="7" t="s">
        <v>426</v>
      </c>
      <c r="D462" s="4" t="s">
        <v>369</v>
      </c>
      <c r="E462" s="142">
        <f>VLOOKUP(D462,'IDHM (IBGE2022)'!$A$4:$N$402,14,FALSE)</f>
        <v>44107.75</v>
      </c>
      <c r="F462" s="90">
        <f>VLOOKUP(D462,'IDHM (IBGE2022)'!$A$4:$J$402,10,FALSE)</f>
        <v>0.71599999999999997</v>
      </c>
      <c r="G462" s="92">
        <f t="shared" si="15"/>
        <v>0.71502457733188596</v>
      </c>
      <c r="H462" s="9">
        <f>VLOOKUP(D462,'IPDM_renda  (IPARDES-PR)'!$A$4:$N$420,14,FALSE)</f>
        <v>0.42910295607080096</v>
      </c>
      <c r="I462" s="9">
        <f>VLOOKUP(D462,'IPDM_educação  (IPARDES-PR)'!$A$4:$N$420,14,FALSE)</f>
        <v>0.89865212177454901</v>
      </c>
      <c r="J462" s="9">
        <f>VLOOKUP(D462,'IPDM_saúde   (IPARDES-PR)'!$A$4:$N$466,14,FALSE)</f>
        <v>0.8173186541503078</v>
      </c>
      <c r="L462" s="10" t="str">
        <f t="shared" si="14"/>
        <v>Oeste - A06</v>
      </c>
    </row>
    <row r="463" spans="1:12" x14ac:dyDescent="0.2">
      <c r="A463" s="5" t="s">
        <v>364</v>
      </c>
      <c r="B463" s="150" t="s">
        <v>417</v>
      </c>
      <c r="C463" s="7" t="s">
        <v>426</v>
      </c>
      <c r="D463" s="3" t="s">
        <v>482</v>
      </c>
      <c r="E463" s="142">
        <f>VLOOKUP(D463,'IDHM (IBGE2022)'!$A$4:$N$402,14,FALSE)</f>
        <v>43479.73</v>
      </c>
      <c r="F463" s="90">
        <f>VLOOKUP(D463,'IDHM (IBGE2022)'!$A$4:$J$402,10,FALSE)</f>
        <v>0.72599999999999998</v>
      </c>
      <c r="G463" s="92">
        <f t="shared" si="15"/>
        <v>0.76022114019869658</v>
      </c>
      <c r="H463" s="9">
        <f>VLOOKUP(D463,'IPDM_renda  (IPARDES-PR)'!$A$4:$N$420,14,FALSE)</f>
        <v>0.51555086999267008</v>
      </c>
      <c r="I463" s="9">
        <f>VLOOKUP(D463,'IPDM_educação  (IPARDES-PR)'!$A$4:$N$420,14,FALSE)</f>
        <v>0.95946165883756673</v>
      </c>
      <c r="J463" s="9">
        <f>VLOOKUP(D463,'IPDM_saúde   (IPARDES-PR)'!$A$4:$N$466,14,FALSE)</f>
        <v>0.80565089176585258</v>
      </c>
      <c r="L463" s="10" t="str">
        <f t="shared" si="14"/>
        <v>Oeste - A06</v>
      </c>
    </row>
    <row r="464" spans="1:12" x14ac:dyDescent="0.2">
      <c r="A464" s="5" t="s">
        <v>364</v>
      </c>
      <c r="B464" s="150" t="s">
        <v>417</v>
      </c>
      <c r="C464" s="7" t="s">
        <v>426</v>
      </c>
      <c r="D464" s="4" t="s">
        <v>370</v>
      </c>
      <c r="E464" s="142">
        <f>VLOOKUP(D464,'IDHM (IBGE2022)'!$A$4:$N$402,14,FALSE)</f>
        <v>29736.89</v>
      </c>
      <c r="F464" s="90">
        <f>VLOOKUP(D464,'IDHM (IBGE2022)'!$A$4:$J$402,10,FALSE)</f>
        <v>0.69499999999999995</v>
      </c>
      <c r="G464" s="92">
        <f t="shared" si="15"/>
        <v>0.75477346369468135</v>
      </c>
      <c r="H464" s="9">
        <f>VLOOKUP(D464,'IPDM_renda  (IPARDES-PR)'!$A$4:$N$420,14,FALSE)</f>
        <v>0.39580662302511332</v>
      </c>
      <c r="I464" s="9">
        <f>VLOOKUP(D464,'IPDM_educação  (IPARDES-PR)'!$A$4:$N$420,14,FALSE)</f>
        <v>0.88904426095784439</v>
      </c>
      <c r="J464" s="9">
        <f>VLOOKUP(D464,'IPDM_saúde   (IPARDES-PR)'!$A$4:$N$466,14,FALSE)</f>
        <v>0.97946950710108605</v>
      </c>
      <c r="L464" s="10" t="str">
        <f t="shared" si="14"/>
        <v>Oeste - A06</v>
      </c>
    </row>
    <row r="465" spans="1:12" x14ac:dyDescent="0.2">
      <c r="A465" s="5" t="s">
        <v>364</v>
      </c>
      <c r="B465" s="150" t="s">
        <v>417</v>
      </c>
      <c r="C465" s="7" t="s">
        <v>426</v>
      </c>
      <c r="D465" s="4" t="s">
        <v>371</v>
      </c>
      <c r="E465" s="142">
        <f>VLOOKUP(D465,'IDHM (IBGE2022)'!$A$4:$N$402,14,FALSE)</f>
        <v>36597.18</v>
      </c>
      <c r="F465" s="90">
        <f>VLOOKUP(D465,'IDHM (IBGE2022)'!$A$4:$J$402,10,FALSE)</f>
        <v>0.70599999999999996</v>
      </c>
      <c r="G465" s="92">
        <f t="shared" si="15"/>
        <v>0.72711476193915925</v>
      </c>
      <c r="H465" s="9">
        <f>VLOOKUP(D465,'IPDM_renda  (IPARDES-PR)'!$A$4:$N$420,14,FALSE)</f>
        <v>0.43145785877921711</v>
      </c>
      <c r="I465" s="9">
        <f>VLOOKUP(D465,'IPDM_educação  (IPARDES-PR)'!$A$4:$N$420,14,FALSE)</f>
        <v>0.93151222353430219</v>
      </c>
      <c r="J465" s="9">
        <f>VLOOKUP(D465,'IPDM_saúde   (IPARDES-PR)'!$A$4:$N$466,14,FALSE)</f>
        <v>0.81837420350395862</v>
      </c>
      <c r="L465" s="10" t="str">
        <f t="shared" si="14"/>
        <v>Oeste - A06</v>
      </c>
    </row>
    <row r="466" spans="1:12" x14ac:dyDescent="0.2">
      <c r="A466" s="5" t="s">
        <v>364</v>
      </c>
      <c r="B466" s="150" t="s">
        <v>417</v>
      </c>
      <c r="C466" s="7" t="s">
        <v>426</v>
      </c>
      <c r="D466" s="4" t="s">
        <v>372</v>
      </c>
      <c r="E466" s="142">
        <f>VLOOKUP(D466,'IDHM (IBGE2022)'!$A$4:$N$402,14,FALSE)</f>
        <v>49825.25</v>
      </c>
      <c r="F466" s="90">
        <f>VLOOKUP(D466,'IDHM (IBGE2022)'!$A$4:$J$402,10,FALSE)</f>
        <v>0.72199999999999998</v>
      </c>
      <c r="G466" s="92">
        <f t="shared" si="15"/>
        <v>0.77019354386588856</v>
      </c>
      <c r="H466" s="9">
        <f>VLOOKUP(D466,'IPDM_renda  (IPARDES-PR)'!$A$4:$N$420,14,FALSE)</f>
        <v>0.48923523850177142</v>
      </c>
      <c r="I466" s="9">
        <f>VLOOKUP(D466,'IPDM_educação  (IPARDES-PR)'!$A$4:$N$420,14,FALSE)</f>
        <v>0.9308827392951059</v>
      </c>
      <c r="J466" s="9">
        <f>VLOOKUP(D466,'IPDM_saúde   (IPARDES-PR)'!$A$4:$N$466,14,FALSE)</f>
        <v>0.89046265380078804</v>
      </c>
      <c r="L466" s="10" t="str">
        <f t="shared" si="14"/>
        <v>Oeste - A06</v>
      </c>
    </row>
    <row r="467" spans="1:12" x14ac:dyDescent="0.2">
      <c r="A467" s="5" t="s">
        <v>364</v>
      </c>
      <c r="B467" s="150" t="s">
        <v>417</v>
      </c>
      <c r="C467" s="7" t="s">
        <v>426</v>
      </c>
      <c r="D467" s="4" t="s">
        <v>362</v>
      </c>
      <c r="E467" s="142">
        <f>VLOOKUP(D467,'IDHM (IBGE2022)'!$A$4:$N$402,14,FALSE)</f>
        <v>41283.22</v>
      </c>
      <c r="F467" s="90">
        <f>VLOOKUP(D467,'IDHM (IBGE2022)'!$A$4:$J$402,10,FALSE)</f>
        <v>0.71799999999999997</v>
      </c>
      <c r="G467" s="92">
        <f t="shared" si="15"/>
        <v>0.75874143095426894</v>
      </c>
      <c r="H467" s="9">
        <f>VLOOKUP(D467,'IPDM_renda  (IPARDES-PR)'!$A$4:$N$420,14,FALSE)</f>
        <v>0.4561032218576157</v>
      </c>
      <c r="I467" s="9">
        <f>VLOOKUP(D467,'IPDM_educação  (IPARDES-PR)'!$A$4:$N$420,14,FALSE)</f>
        <v>0.90810466637492304</v>
      </c>
      <c r="J467" s="9">
        <f>VLOOKUP(D467,'IPDM_saúde   (IPARDES-PR)'!$A$4:$N$466,14,FALSE)</f>
        <v>0.91201640463026801</v>
      </c>
      <c r="L467" s="10" t="str">
        <f t="shared" si="14"/>
        <v>Oeste - A06</v>
      </c>
    </row>
    <row r="468" spans="1:12" x14ac:dyDescent="0.2">
      <c r="A468" s="5" t="s">
        <v>364</v>
      </c>
      <c r="B468" s="150" t="s">
        <v>417</v>
      </c>
      <c r="C468" s="7" t="s">
        <v>426</v>
      </c>
      <c r="D468" s="4" t="s">
        <v>373</v>
      </c>
      <c r="E468" s="142">
        <f>VLOOKUP(D468,'IDHM (IBGE2022)'!$A$4:$N$402,14,FALSE)</f>
        <v>36537.21</v>
      </c>
      <c r="F468" s="90">
        <f>VLOOKUP(D468,'IDHM (IBGE2022)'!$A$4:$J$402,10,FALSE)</f>
        <v>0.69599999999999995</v>
      </c>
      <c r="G468" s="92">
        <f t="shared" si="15"/>
        <v>0.75287019312384773</v>
      </c>
      <c r="H468" s="9">
        <f>VLOOKUP(D468,'IPDM_renda  (IPARDES-PR)'!$A$4:$N$420,14,FALSE)</f>
        <v>0.44740665457447681</v>
      </c>
      <c r="I468" s="9">
        <f>VLOOKUP(D468,'IPDM_educação  (IPARDES-PR)'!$A$4:$N$420,14,FALSE)</f>
        <v>0.91463925665207213</v>
      </c>
      <c r="J468" s="9">
        <f>VLOOKUP(D468,'IPDM_saúde   (IPARDES-PR)'!$A$4:$N$466,14,FALSE)</f>
        <v>0.89656466814499414</v>
      </c>
      <c r="L468" s="10" t="str">
        <f t="shared" si="14"/>
        <v>Oeste - A06</v>
      </c>
    </row>
    <row r="469" spans="1:12" x14ac:dyDescent="0.2">
      <c r="A469" s="5" t="s">
        <v>364</v>
      </c>
      <c r="B469" s="150" t="s">
        <v>417</v>
      </c>
      <c r="C469" s="7" t="s">
        <v>426</v>
      </c>
      <c r="D469" s="4" t="s">
        <v>374</v>
      </c>
      <c r="E469" s="142">
        <f>VLOOKUP(D469,'IDHM (IBGE2022)'!$A$4:$N$402,14,FALSE)</f>
        <v>33999.339999999997</v>
      </c>
      <c r="F469" s="90">
        <f>VLOOKUP(D469,'IDHM (IBGE2022)'!$A$4:$J$402,10,FALSE)</f>
        <v>0.67100000000000004</v>
      </c>
      <c r="G469" s="92">
        <f t="shared" si="15"/>
        <v>0.73211062703757868</v>
      </c>
      <c r="H469" s="9">
        <f>VLOOKUP(D469,'IPDM_renda  (IPARDES-PR)'!$A$4:$N$420,14,FALSE)</f>
        <v>0.44908998415868973</v>
      </c>
      <c r="I469" s="9">
        <f>VLOOKUP(D469,'IPDM_educação  (IPARDES-PR)'!$A$4:$N$420,14,FALSE)</f>
        <v>0.85629849542100211</v>
      </c>
      <c r="J469" s="9">
        <f>VLOOKUP(D469,'IPDM_saúde   (IPARDES-PR)'!$A$4:$N$466,14,FALSE)</f>
        <v>0.89094340153304419</v>
      </c>
      <c r="L469" s="10" t="str">
        <f t="shared" si="14"/>
        <v>Oeste - A06</v>
      </c>
    </row>
    <row r="470" spans="1:12" x14ac:dyDescent="0.2">
      <c r="A470" s="5" t="s">
        <v>375</v>
      </c>
      <c r="B470" s="150" t="s">
        <v>417</v>
      </c>
      <c r="C470" s="145" t="s">
        <v>427</v>
      </c>
      <c r="D470" s="4" t="s">
        <v>376</v>
      </c>
      <c r="E470" s="142">
        <f>VLOOKUP(D470,'IDHM (IBGE2022)'!$A$4:$N$402,14,FALSE)</f>
        <v>103530.68</v>
      </c>
      <c r="F470" s="90">
        <f>VLOOKUP(D470,'IDHM (IBGE2022)'!$A$4:$J$402,10,FALSE)</f>
        <v>0.74199999999999999</v>
      </c>
      <c r="G470" s="92">
        <f t="shared" si="15"/>
        <v>0.76714545451065075</v>
      </c>
      <c r="H470" s="9">
        <f>VLOOKUP(D470,'IPDM_renda  (IPARDES-PR)'!$A$4:$N$420,14,FALSE)</f>
        <v>0.57100976061936526</v>
      </c>
      <c r="I470" s="9">
        <f>VLOOKUP(D470,'IPDM_educação  (IPARDES-PR)'!$A$4:$N$420,14,FALSE)</f>
        <v>0.81164053751399778</v>
      </c>
      <c r="J470" s="9">
        <f>VLOOKUP(D470,'IPDM_saúde   (IPARDES-PR)'!$A$4:$N$466,14,FALSE)</f>
        <v>0.9187860653985892</v>
      </c>
      <c r="L470" s="10" t="str">
        <f t="shared" si="14"/>
        <v>Oeste - A07</v>
      </c>
    </row>
    <row r="471" spans="1:12" x14ac:dyDescent="0.2">
      <c r="A471" s="5" t="s">
        <v>375</v>
      </c>
      <c r="B471" s="150" t="s">
        <v>417</v>
      </c>
      <c r="C471" s="145" t="s">
        <v>427</v>
      </c>
      <c r="D471" s="4" t="s">
        <v>377</v>
      </c>
      <c r="E471" s="142">
        <f>VLOOKUP(D471,'IDHM (IBGE2022)'!$A$4:$N$402,14,FALSE)</f>
        <v>56739.86</v>
      </c>
      <c r="F471" s="90">
        <f>VLOOKUP(D471,'IDHM (IBGE2022)'!$A$4:$J$402,10,FALSE)</f>
        <v>0.74</v>
      </c>
      <c r="G471" s="92">
        <f t="shared" si="15"/>
        <v>0.77628559853271717</v>
      </c>
      <c r="H471" s="9">
        <f>VLOOKUP(D471,'IPDM_renda  (IPARDES-PR)'!$A$4:$N$420,14,FALSE)</f>
        <v>0.5439509786547021</v>
      </c>
      <c r="I471" s="9">
        <f>VLOOKUP(D471,'IPDM_educação  (IPARDES-PR)'!$A$4:$N$420,14,FALSE)</f>
        <v>0.9067501844537692</v>
      </c>
      <c r="J471" s="9">
        <f>VLOOKUP(D471,'IPDM_saúde   (IPARDES-PR)'!$A$4:$N$466,14,FALSE)</f>
        <v>0.8781556324896802</v>
      </c>
      <c r="L471" s="10" t="str">
        <f t="shared" si="14"/>
        <v>Oeste - A07</v>
      </c>
    </row>
    <row r="472" spans="1:12" x14ac:dyDescent="0.2">
      <c r="A472" s="5" t="s">
        <v>375</v>
      </c>
      <c r="B472" s="150" t="s">
        <v>417</v>
      </c>
      <c r="C472" s="145" t="s">
        <v>427</v>
      </c>
      <c r="D472" s="4" t="s">
        <v>378</v>
      </c>
      <c r="E472" s="142">
        <f>VLOOKUP(D472,'IDHM (IBGE2022)'!$A$4:$N$402,14,FALSE)</f>
        <v>47552.24</v>
      </c>
      <c r="F472" s="90">
        <f>VLOOKUP(D472,'IDHM (IBGE2022)'!$A$4:$J$402,10,FALSE)</f>
        <v>0.72299999999999998</v>
      </c>
      <c r="G472" s="92">
        <f t="shared" si="15"/>
        <v>0.75901279443353076</v>
      </c>
      <c r="H472" s="9">
        <f>VLOOKUP(D472,'IPDM_renda  (IPARDES-PR)'!$A$4:$N$420,14,FALSE)</f>
        <v>0.53423610402304522</v>
      </c>
      <c r="I472" s="9">
        <f>VLOOKUP(D472,'IPDM_educação  (IPARDES-PR)'!$A$4:$N$420,14,FALSE)</f>
        <v>0.90773136789345221</v>
      </c>
      <c r="J472" s="9">
        <f>VLOOKUP(D472,'IPDM_saúde   (IPARDES-PR)'!$A$4:$N$466,14,FALSE)</f>
        <v>0.83507091138409495</v>
      </c>
      <c r="L472" s="10" t="str">
        <f t="shared" si="14"/>
        <v>Oeste - A07</v>
      </c>
    </row>
    <row r="473" spans="1:12" x14ac:dyDescent="0.2">
      <c r="A473" s="5" t="s">
        <v>375</v>
      </c>
      <c r="B473" s="150" t="s">
        <v>417</v>
      </c>
      <c r="C473" s="145" t="s">
        <v>427</v>
      </c>
      <c r="D473" s="4" t="s">
        <v>353</v>
      </c>
      <c r="E473" s="142">
        <f>VLOOKUP(D473,'IDHM (IBGE2022)'!$A$4:$N$402,14,FALSE)</f>
        <v>58150.9</v>
      </c>
      <c r="F473" s="90">
        <f>VLOOKUP(D473,'IDHM (IBGE2022)'!$A$4:$J$402,10,FALSE)</f>
        <v>0.76700000000000002</v>
      </c>
      <c r="G473" s="92">
        <f t="shared" si="15"/>
        <v>0.83676956910040545</v>
      </c>
      <c r="H473" s="9">
        <f>VLOOKUP(D473,'IPDM_renda  (IPARDES-PR)'!$A$4:$N$420,14,FALSE)</f>
        <v>0.64635811393748688</v>
      </c>
      <c r="I473" s="9">
        <f>VLOOKUP(D473,'IPDM_educação  (IPARDES-PR)'!$A$4:$N$420,14,FALSE)</f>
        <v>0.9664114635378962</v>
      </c>
      <c r="J473" s="9">
        <f>VLOOKUP(D473,'IPDM_saúde   (IPARDES-PR)'!$A$4:$N$466,14,FALSE)</f>
        <v>0.89753912982583317</v>
      </c>
      <c r="L473" s="10" t="str">
        <f t="shared" si="14"/>
        <v>Oeste - A07</v>
      </c>
    </row>
    <row r="474" spans="1:12" x14ac:dyDescent="0.2">
      <c r="A474" s="5" t="s">
        <v>375</v>
      </c>
      <c r="B474" s="150" t="s">
        <v>417</v>
      </c>
      <c r="C474" s="145" t="s">
        <v>427</v>
      </c>
      <c r="D474" s="3" t="s">
        <v>481</v>
      </c>
      <c r="E474" s="142">
        <f>VLOOKUP(D474,'IDHM (IBGE2022)'!$A$4:$N$402,14,FALSE)</f>
        <v>78624.87</v>
      </c>
      <c r="F474" s="90">
        <f>VLOOKUP(D474,'IDHM (IBGE2022)'!$A$4:$J$402,10,FALSE)</f>
        <v>0.73099999999999998</v>
      </c>
      <c r="G474" s="92">
        <f t="shared" si="15"/>
        <v>0.79435927889054503</v>
      </c>
      <c r="H474" s="9">
        <f>VLOOKUP(D474,'IPDM_renda  (IPARDES-PR)'!$A$4:$N$420,14,FALSE)</f>
        <v>0.57310168964610653</v>
      </c>
      <c r="I474" s="9">
        <f>VLOOKUP(D474,'IPDM_educação  (IPARDES-PR)'!$A$4:$N$420,14,FALSE)</f>
        <v>0.9677140649876883</v>
      </c>
      <c r="J474" s="9">
        <f>VLOOKUP(D474,'IPDM_saúde   (IPARDES-PR)'!$A$4:$N$466,14,FALSE)</f>
        <v>0.84226208203784036</v>
      </c>
      <c r="L474" s="10" t="str">
        <f t="shared" si="14"/>
        <v>Oeste - A07</v>
      </c>
    </row>
    <row r="475" spans="1:12" x14ac:dyDescent="0.2">
      <c r="A475" s="5" t="s">
        <v>375</v>
      </c>
      <c r="B475" s="150" t="s">
        <v>417</v>
      </c>
      <c r="C475" s="145" t="s">
        <v>427</v>
      </c>
      <c r="D475" s="4" t="s">
        <v>379</v>
      </c>
      <c r="E475" s="142">
        <f>VLOOKUP(D475,'IDHM (IBGE2022)'!$A$4:$N$402,14,FALSE)</f>
        <v>63350.93</v>
      </c>
      <c r="F475" s="90">
        <f>VLOOKUP(D475,'IDHM (IBGE2022)'!$A$4:$J$402,10,FALSE)</f>
        <v>0.78200000000000003</v>
      </c>
      <c r="G475" s="92">
        <f t="shared" si="15"/>
        <v>0.83029531835002202</v>
      </c>
      <c r="H475" s="9">
        <f>VLOOKUP(D475,'IPDM_renda  (IPARDES-PR)'!$A$4:$N$420,14,FALSE)</f>
        <v>0.69131032766511935</v>
      </c>
      <c r="I475" s="9">
        <f>VLOOKUP(D475,'IPDM_educação  (IPARDES-PR)'!$A$4:$N$420,14,FALSE)</f>
        <v>0.94353563627396841</v>
      </c>
      <c r="J475" s="9">
        <f>VLOOKUP(D475,'IPDM_saúde   (IPARDES-PR)'!$A$4:$N$466,14,FALSE)</f>
        <v>0.85603999111097828</v>
      </c>
      <c r="L475" s="10" t="str">
        <f t="shared" si="14"/>
        <v>Oeste - A07</v>
      </c>
    </row>
    <row r="476" spans="1:12" x14ac:dyDescent="0.2">
      <c r="A476" s="5" t="s">
        <v>375</v>
      </c>
      <c r="B476" s="150" t="s">
        <v>417</v>
      </c>
      <c r="C476" s="145" t="s">
        <v>427</v>
      </c>
      <c r="D476" s="4" t="s">
        <v>86</v>
      </c>
      <c r="E476" s="142">
        <f>VLOOKUP(D476,'IDHM (IBGE2022)'!$A$4:$N$402,14,FALSE)</f>
        <v>36921.86</v>
      </c>
      <c r="F476" s="90">
        <f>VLOOKUP(D476,'IDHM (IBGE2022)'!$A$4:$J$402,10,FALSE)</f>
        <v>0.629</v>
      </c>
      <c r="G476" s="92">
        <f t="shared" si="15"/>
        <v>0.6975695280486679</v>
      </c>
      <c r="H476" s="9">
        <f>VLOOKUP(D476,'IPDM_renda  (IPARDES-PR)'!$A$4:$N$420,14,FALSE)</f>
        <v>0.43371347060287202</v>
      </c>
      <c r="I476" s="9">
        <f>VLOOKUP(D476,'IPDM_educação  (IPARDES-PR)'!$A$4:$N$420,14,FALSE)</f>
        <v>0.86731052228274064</v>
      </c>
      <c r="J476" s="9">
        <f>VLOOKUP(D476,'IPDM_saúde   (IPARDES-PR)'!$A$4:$N$466,14,FALSE)</f>
        <v>0.79168459126039092</v>
      </c>
      <c r="L476" s="10" t="str">
        <f t="shared" si="14"/>
        <v>Oeste - A07</v>
      </c>
    </row>
    <row r="477" spans="1:12" x14ac:dyDescent="0.2">
      <c r="A477" s="5" t="s">
        <v>375</v>
      </c>
      <c r="B477" s="150" t="s">
        <v>417</v>
      </c>
      <c r="C477" s="145" t="s">
        <v>427</v>
      </c>
      <c r="D477" s="3" t="s">
        <v>483</v>
      </c>
      <c r="E477" s="142">
        <f>VLOOKUP(D477,'IDHM (IBGE2022)'!$A$4:$N$402,14,FALSE)</f>
        <v>102656.75</v>
      </c>
      <c r="F477" s="90">
        <f>VLOOKUP(D477,'IDHM (IBGE2022)'!$A$4:$J$402,10,FALSE)</f>
        <v>0.72699999999999998</v>
      </c>
      <c r="G477" s="92">
        <f t="shared" si="15"/>
        <v>0.78409085119526967</v>
      </c>
      <c r="H477" s="9">
        <f>VLOOKUP(D477,'IPDM_renda  (IPARDES-PR)'!$A$4:$N$420,14,FALSE)</f>
        <v>0.57560648783301982</v>
      </c>
      <c r="I477" s="9">
        <f>VLOOKUP(D477,'IPDM_educação  (IPARDES-PR)'!$A$4:$N$420,14,FALSE)</f>
        <v>0.93785426287488627</v>
      </c>
      <c r="J477" s="9">
        <f>VLOOKUP(D477,'IPDM_saúde   (IPARDES-PR)'!$A$4:$N$466,14,FALSE)</f>
        <v>0.83881180287790269</v>
      </c>
      <c r="L477" s="10" t="str">
        <f t="shared" si="14"/>
        <v>Oeste - A07</v>
      </c>
    </row>
    <row r="478" spans="1:12" x14ac:dyDescent="0.2">
      <c r="A478" s="5" t="s">
        <v>375</v>
      </c>
      <c r="B478" s="150" t="s">
        <v>417</v>
      </c>
      <c r="C478" s="145" t="s">
        <v>427</v>
      </c>
      <c r="D478" s="4" t="s">
        <v>380</v>
      </c>
      <c r="E478" s="142">
        <f>VLOOKUP(D478,'IDHM (IBGE2022)'!$A$4:$N$402,14,FALSE)</f>
        <v>56677.43</v>
      </c>
      <c r="F478" s="90">
        <f>VLOOKUP(D478,'IDHM (IBGE2022)'!$A$4:$J$402,10,FALSE)</f>
        <v>0.72199999999999998</v>
      </c>
      <c r="G478" s="92">
        <f t="shared" si="15"/>
        <v>0.79023473167284453</v>
      </c>
      <c r="H478" s="9">
        <f>VLOOKUP(D478,'IPDM_renda  (IPARDES-PR)'!$A$4:$N$420,14,FALSE)</f>
        <v>0.51837351647254759</v>
      </c>
      <c r="I478" s="9">
        <f>VLOOKUP(D478,'IPDM_educação  (IPARDES-PR)'!$A$4:$N$420,14,FALSE)</f>
        <v>0.9253783294409792</v>
      </c>
      <c r="J478" s="9">
        <f>VLOOKUP(D478,'IPDM_saúde   (IPARDES-PR)'!$A$4:$N$466,14,FALSE)</f>
        <v>0.92695234910500679</v>
      </c>
      <c r="L478" s="10" t="str">
        <f t="shared" si="14"/>
        <v>Oeste - A07</v>
      </c>
    </row>
    <row r="479" spans="1:12" x14ac:dyDescent="0.2">
      <c r="A479" s="5" t="s">
        <v>375</v>
      </c>
      <c r="B479" s="150" t="s">
        <v>417</v>
      </c>
      <c r="C479" s="145" t="s">
        <v>427</v>
      </c>
      <c r="D479" s="4" t="s">
        <v>381</v>
      </c>
      <c r="E479" s="142">
        <f>VLOOKUP(D479,'IDHM (IBGE2022)'!$A$4:$N$402,14,FALSE)</f>
        <v>187201.61</v>
      </c>
      <c r="F479" s="90">
        <f>VLOOKUP(D479,'IDHM (IBGE2022)'!$A$4:$J$402,10,FALSE)</f>
        <v>0.69899999999999995</v>
      </c>
      <c r="G479" s="92">
        <f t="shared" si="15"/>
        <v>0.79561116998403847</v>
      </c>
      <c r="H479" s="9">
        <f>VLOOKUP(D479,'IPDM_renda  (IPARDES-PR)'!$A$4:$N$420,14,FALSE)</f>
        <v>0.60016719860568324</v>
      </c>
      <c r="I479" s="9">
        <f>VLOOKUP(D479,'IPDM_educação  (IPARDES-PR)'!$A$4:$N$420,14,FALSE)</f>
        <v>0.9544320585185293</v>
      </c>
      <c r="J479" s="9">
        <f>VLOOKUP(D479,'IPDM_saúde   (IPARDES-PR)'!$A$4:$N$466,14,FALSE)</f>
        <v>0.83223425282790287</v>
      </c>
      <c r="L479" s="10" t="str">
        <f t="shared" si="14"/>
        <v>Oeste - A07</v>
      </c>
    </row>
    <row r="480" spans="1:12" x14ac:dyDescent="0.2">
      <c r="A480" s="5" t="s">
        <v>375</v>
      </c>
      <c r="B480" s="150" t="s">
        <v>417</v>
      </c>
      <c r="C480" s="145" t="s">
        <v>427</v>
      </c>
      <c r="D480" s="4" t="s">
        <v>382</v>
      </c>
      <c r="E480" s="142">
        <f>VLOOKUP(D480,'IDHM (IBGE2022)'!$A$4:$N$402,14,FALSE)</f>
        <v>55517.17</v>
      </c>
      <c r="F480" s="90">
        <f>VLOOKUP(D480,'IDHM (IBGE2022)'!$A$4:$J$402,10,FALSE)</f>
        <v>0.69299999999999995</v>
      </c>
      <c r="G480" s="92">
        <f t="shared" si="15"/>
        <v>0.76331564942810248</v>
      </c>
      <c r="H480" s="9">
        <f>VLOOKUP(D480,'IPDM_renda  (IPARDES-PR)'!$A$4:$N$420,14,FALSE)</f>
        <v>0.4996310290034327</v>
      </c>
      <c r="I480" s="9">
        <f>VLOOKUP(D480,'IPDM_educação  (IPARDES-PR)'!$A$4:$N$420,14,FALSE)</f>
        <v>0.8498140683599017</v>
      </c>
      <c r="J480" s="9">
        <f>VLOOKUP(D480,'IPDM_saúde   (IPARDES-PR)'!$A$4:$N$466,14,FALSE)</f>
        <v>0.94050185092097305</v>
      </c>
      <c r="L480" s="10" t="str">
        <f t="shared" si="14"/>
        <v>Oeste - A07</v>
      </c>
    </row>
    <row r="481" spans="1:12" x14ac:dyDescent="0.2">
      <c r="A481" s="5" t="s">
        <v>375</v>
      </c>
      <c r="B481" s="150" t="s">
        <v>417</v>
      </c>
      <c r="C481" s="145" t="s">
        <v>427</v>
      </c>
      <c r="D481" s="4" t="s">
        <v>363</v>
      </c>
      <c r="E481" s="142">
        <f>VLOOKUP(D481,'IDHM (IBGE2022)'!$A$4:$N$402,14,FALSE)</f>
        <v>76503.8</v>
      </c>
      <c r="F481" s="90">
        <f>VLOOKUP(D481,'IDHM (IBGE2022)'!$A$4:$J$402,10,FALSE)</f>
        <v>0.72</v>
      </c>
      <c r="G481" s="92">
        <f t="shared" si="15"/>
        <v>0.79163303991528533</v>
      </c>
      <c r="H481" s="9">
        <f>VLOOKUP(D481,'IPDM_renda  (IPARDES-PR)'!$A$4:$N$420,14,FALSE)</f>
        <v>0.49080155409376519</v>
      </c>
      <c r="I481" s="9">
        <f>VLOOKUP(D481,'IPDM_educação  (IPARDES-PR)'!$A$4:$N$420,14,FALSE)</f>
        <v>0.97336131216416799</v>
      </c>
      <c r="J481" s="9">
        <f>VLOOKUP(D481,'IPDM_saúde   (IPARDES-PR)'!$A$4:$N$466,14,FALSE)</f>
        <v>0.91073625348792309</v>
      </c>
      <c r="L481" s="10" t="str">
        <f t="shared" si="14"/>
        <v>Oeste - A07</v>
      </c>
    </row>
    <row r="482" spans="1:12" x14ac:dyDescent="0.2">
      <c r="A482" s="5" t="s">
        <v>383</v>
      </c>
      <c r="B482" s="150" t="s">
        <v>417</v>
      </c>
      <c r="C482" s="7" t="s">
        <v>428</v>
      </c>
      <c r="D482" s="4" t="s">
        <v>377</v>
      </c>
      <c r="E482" s="142">
        <f>VLOOKUP(D482,'IDHM (IBGE2022)'!$A$4:$N$402,14,FALSE)</f>
        <v>56739.86</v>
      </c>
      <c r="F482" s="90">
        <f>VLOOKUP(D482,'IDHM (IBGE2022)'!$A$4:$J$402,10,FALSE)</f>
        <v>0.74</v>
      </c>
      <c r="G482" s="92">
        <f t="shared" si="15"/>
        <v>0.77628559853271717</v>
      </c>
      <c r="H482" s="9">
        <f>VLOOKUP(D482,'IPDM_renda  (IPARDES-PR)'!$A$4:$N$420,14,FALSE)</f>
        <v>0.5439509786547021</v>
      </c>
      <c r="I482" s="9">
        <f>VLOOKUP(D482,'IPDM_educação  (IPARDES-PR)'!$A$4:$N$420,14,FALSE)</f>
        <v>0.9067501844537692</v>
      </c>
      <c r="J482" s="9">
        <f>VLOOKUP(D482,'IPDM_saúde   (IPARDES-PR)'!$A$4:$N$466,14,FALSE)</f>
        <v>0.8781556324896802</v>
      </c>
      <c r="L482" s="10" t="str">
        <f t="shared" si="14"/>
        <v>Oeste - A08</v>
      </c>
    </row>
    <row r="483" spans="1:12" x14ac:dyDescent="0.2">
      <c r="A483" s="5" t="s">
        <v>383</v>
      </c>
      <c r="B483" s="150" t="s">
        <v>417</v>
      </c>
      <c r="C483" s="7" t="s">
        <v>428</v>
      </c>
      <c r="D483" s="4" t="s">
        <v>384</v>
      </c>
      <c r="E483" s="142">
        <f>VLOOKUP(D483,'IDHM (IBGE2022)'!$A$4:$N$402,14,FALSE)</f>
        <v>60754.81</v>
      </c>
      <c r="F483" s="90">
        <f>VLOOKUP(D483,'IDHM (IBGE2022)'!$A$4:$J$402,10,FALSE)</f>
        <v>0.69399999999999995</v>
      </c>
      <c r="G483" s="92">
        <f t="shared" si="15"/>
        <v>0.71004109030009543</v>
      </c>
      <c r="H483" s="9">
        <f>VLOOKUP(D483,'IPDM_renda  (IPARDES-PR)'!$A$4:$N$420,14,FALSE)</f>
        <v>0.51178695440043043</v>
      </c>
      <c r="I483" s="9">
        <f>VLOOKUP(D483,'IPDM_educação  (IPARDES-PR)'!$A$4:$N$420,14,FALSE)</f>
        <v>0.80613832879299607</v>
      </c>
      <c r="J483" s="9">
        <f>VLOOKUP(D483,'IPDM_saúde   (IPARDES-PR)'!$A$4:$N$466,14,FALSE)</f>
        <v>0.81219798770685969</v>
      </c>
      <c r="L483" s="10" t="str">
        <f t="shared" si="14"/>
        <v>Oeste - A08</v>
      </c>
    </row>
    <row r="484" spans="1:12" x14ac:dyDescent="0.2">
      <c r="A484" s="5" t="s">
        <v>383</v>
      </c>
      <c r="B484" s="150" t="s">
        <v>417</v>
      </c>
      <c r="C484" s="7" t="s">
        <v>428</v>
      </c>
      <c r="D484" s="4" t="s">
        <v>385</v>
      </c>
      <c r="E484" s="142">
        <f>VLOOKUP(D484,'IDHM (IBGE2022)'!$A$4:$N$402,14,FALSE)</f>
        <v>58230.22</v>
      </c>
      <c r="F484" s="90">
        <f>VLOOKUP(D484,'IDHM (IBGE2022)'!$A$4:$J$402,10,FALSE)</f>
        <v>0.6</v>
      </c>
      <c r="G484" s="92">
        <f t="shared" si="15"/>
        <v>0.72335236226574817</v>
      </c>
      <c r="H484" s="9">
        <f>VLOOKUP(D484,'IPDM_renda  (IPARDES-PR)'!$A$4:$N$420,14,FALSE)</f>
        <v>0.51204057796364033</v>
      </c>
      <c r="I484" s="9">
        <f>VLOOKUP(D484,'IPDM_educação  (IPARDES-PR)'!$A$4:$N$420,14,FALSE)</f>
        <v>0.73261911711072691</v>
      </c>
      <c r="J484" s="9">
        <f>VLOOKUP(D484,'IPDM_saúde   (IPARDES-PR)'!$A$4:$N$466,14,FALSE)</f>
        <v>0.92539739172287705</v>
      </c>
      <c r="L484" s="10" t="str">
        <f t="shared" si="14"/>
        <v>Oeste - A08</v>
      </c>
    </row>
    <row r="485" spans="1:12" x14ac:dyDescent="0.2">
      <c r="A485" s="5" t="s">
        <v>383</v>
      </c>
      <c r="B485" s="150" t="s">
        <v>417</v>
      </c>
      <c r="C485" s="7" t="s">
        <v>428</v>
      </c>
      <c r="D485" s="4" t="s">
        <v>378</v>
      </c>
      <c r="E485" s="142">
        <f>VLOOKUP(D485,'IDHM (IBGE2022)'!$A$4:$N$402,14,FALSE)</f>
        <v>47552.24</v>
      </c>
      <c r="F485" s="90">
        <f>VLOOKUP(D485,'IDHM (IBGE2022)'!$A$4:$J$402,10,FALSE)</f>
        <v>0.72299999999999998</v>
      </c>
      <c r="G485" s="92">
        <f t="shared" si="15"/>
        <v>0.75901279443353076</v>
      </c>
      <c r="H485" s="9">
        <f>VLOOKUP(D485,'IPDM_renda  (IPARDES-PR)'!$A$4:$N$420,14,FALSE)</f>
        <v>0.53423610402304522</v>
      </c>
      <c r="I485" s="9">
        <f>VLOOKUP(D485,'IPDM_educação  (IPARDES-PR)'!$A$4:$N$420,14,FALSE)</f>
        <v>0.90773136789345221</v>
      </c>
      <c r="J485" s="9">
        <f>VLOOKUP(D485,'IPDM_saúde   (IPARDES-PR)'!$A$4:$N$466,14,FALSE)</f>
        <v>0.83507091138409495</v>
      </c>
      <c r="L485" s="10" t="str">
        <f t="shared" si="14"/>
        <v>Oeste - A08</v>
      </c>
    </row>
    <row r="486" spans="1:12" x14ac:dyDescent="0.2">
      <c r="A486" s="5" t="s">
        <v>383</v>
      </c>
      <c r="B486" s="150" t="s">
        <v>417</v>
      </c>
      <c r="C486" s="7" t="s">
        <v>428</v>
      </c>
      <c r="D486" s="4" t="s">
        <v>386</v>
      </c>
      <c r="E486" s="142">
        <f>VLOOKUP(D486,'IDHM (IBGE2022)'!$A$4:$N$402,14,FALSE)</f>
        <v>78227.210000000006</v>
      </c>
      <c r="F486" s="90">
        <f>VLOOKUP(D486,'IDHM (IBGE2022)'!$A$4:$J$402,10,FALSE)</f>
        <v>0.68300000000000005</v>
      </c>
      <c r="G486" s="92">
        <f t="shared" si="15"/>
        <v>0.77462767671834643</v>
      </c>
      <c r="H486" s="9">
        <f>VLOOKUP(D486,'IPDM_renda  (IPARDES-PR)'!$A$4:$N$420,14,FALSE)</f>
        <v>0.54088301856154952</v>
      </c>
      <c r="I486" s="9">
        <f>VLOOKUP(D486,'IPDM_educação  (IPARDES-PR)'!$A$4:$N$420,14,FALSE)</f>
        <v>0.89711505787183421</v>
      </c>
      <c r="J486" s="9">
        <f>VLOOKUP(D486,'IPDM_saúde   (IPARDES-PR)'!$A$4:$N$466,14,FALSE)</f>
        <v>0.88588495372165565</v>
      </c>
      <c r="L486" s="10" t="str">
        <f t="shared" si="14"/>
        <v>Oeste - A08</v>
      </c>
    </row>
    <row r="487" spans="1:12" x14ac:dyDescent="0.2">
      <c r="A487" s="5" t="s">
        <v>383</v>
      </c>
      <c r="B487" s="150" t="s">
        <v>417</v>
      </c>
      <c r="C487" s="7" t="s">
        <v>428</v>
      </c>
      <c r="D487" s="4" t="s">
        <v>387</v>
      </c>
      <c r="E487" s="142">
        <f>VLOOKUP(D487,'IDHM (IBGE2022)'!$A$4:$N$402,14,FALSE)</f>
        <v>112613.05</v>
      </c>
      <c r="F487" s="90">
        <f>VLOOKUP(D487,'IDHM (IBGE2022)'!$A$4:$J$402,10,FALSE)</f>
        <v>0.68799999999999994</v>
      </c>
      <c r="G487" s="92">
        <f t="shared" si="15"/>
        <v>0.74734939163495229</v>
      </c>
      <c r="H487" s="9">
        <f>VLOOKUP(D487,'IPDM_renda  (IPARDES-PR)'!$A$4:$N$420,14,FALSE)</f>
        <v>0.53001247915842031</v>
      </c>
      <c r="I487" s="9">
        <f>VLOOKUP(D487,'IPDM_educação  (IPARDES-PR)'!$A$4:$N$420,14,FALSE)</f>
        <v>0.85411866211365373</v>
      </c>
      <c r="J487" s="9">
        <f>VLOOKUP(D487,'IPDM_saúde   (IPARDES-PR)'!$A$4:$N$466,14,FALSE)</f>
        <v>0.85791703363278282</v>
      </c>
      <c r="L487" s="10" t="str">
        <f t="shared" si="14"/>
        <v>Oeste - A08</v>
      </c>
    </row>
    <row r="488" spans="1:12" x14ac:dyDescent="0.2">
      <c r="A488" s="5" t="s">
        <v>383</v>
      </c>
      <c r="B488" s="150" t="s">
        <v>417</v>
      </c>
      <c r="C488" s="7" t="s">
        <v>428</v>
      </c>
      <c r="D488" s="4" t="s">
        <v>388</v>
      </c>
      <c r="E488" s="142">
        <f>VLOOKUP(D488,'IDHM (IBGE2022)'!$A$4:$N$402,14,FALSE)</f>
        <v>86961.81</v>
      </c>
      <c r="F488" s="90">
        <f>VLOOKUP(D488,'IDHM (IBGE2022)'!$A$4:$J$402,10,FALSE)</f>
        <v>0.69799999999999995</v>
      </c>
      <c r="G488" s="92">
        <f t="shared" si="15"/>
        <v>0.7066225225345848</v>
      </c>
      <c r="H488" s="9">
        <f>VLOOKUP(D488,'IPDM_renda  (IPARDES-PR)'!$A$4:$N$420,14,FALSE)</f>
        <v>0.52509196464358654</v>
      </c>
      <c r="I488" s="9">
        <f>VLOOKUP(D488,'IPDM_educação  (IPARDES-PR)'!$A$4:$N$420,14,FALSE)</f>
        <v>0.91276222448786415</v>
      </c>
      <c r="J488" s="9">
        <f>VLOOKUP(D488,'IPDM_saúde   (IPARDES-PR)'!$A$4:$N$466,14,FALSE)</f>
        <v>0.6820133784723037</v>
      </c>
      <c r="L488" s="10" t="str">
        <f t="shared" si="14"/>
        <v>Oeste - A08</v>
      </c>
    </row>
    <row r="489" spans="1:12" x14ac:dyDescent="0.2">
      <c r="A489" s="5" t="s">
        <v>383</v>
      </c>
      <c r="B489" s="150" t="s">
        <v>417</v>
      </c>
      <c r="C489" s="7" t="s">
        <v>428</v>
      </c>
      <c r="D489" s="4" t="s">
        <v>389</v>
      </c>
      <c r="E489" s="142">
        <f>VLOOKUP(D489,'IDHM (IBGE2022)'!$A$4:$N$402,14,FALSE)</f>
        <v>35819.06</v>
      </c>
      <c r="F489" s="90">
        <f>VLOOKUP(D489,'IDHM (IBGE2022)'!$A$4:$J$402,10,FALSE)</f>
        <v>0.66</v>
      </c>
      <c r="G489" s="92">
        <f t="shared" si="15"/>
        <v>0.69221343676488123</v>
      </c>
      <c r="H489" s="9">
        <f>VLOOKUP(D489,'IPDM_renda  (IPARDES-PR)'!$A$4:$N$420,14,FALSE)</f>
        <v>0.54075627639469592</v>
      </c>
      <c r="I489" s="9">
        <f>VLOOKUP(D489,'IPDM_educação  (IPARDES-PR)'!$A$4:$N$420,14,FALSE)</f>
        <v>0.72698026104750368</v>
      </c>
      <c r="J489" s="9">
        <f>VLOOKUP(D489,'IPDM_saúde   (IPARDES-PR)'!$A$4:$N$466,14,FALSE)</f>
        <v>0.80890377285244408</v>
      </c>
      <c r="L489" s="10" t="str">
        <f t="shared" si="14"/>
        <v>Oeste - A08</v>
      </c>
    </row>
    <row r="490" spans="1:12" x14ac:dyDescent="0.2">
      <c r="A490" s="5" t="s">
        <v>383</v>
      </c>
      <c r="B490" s="150" t="s">
        <v>417</v>
      </c>
      <c r="C490" s="7" t="s">
        <v>428</v>
      </c>
      <c r="D490" s="4" t="s">
        <v>379</v>
      </c>
      <c r="E490" s="142">
        <f>VLOOKUP(D490,'IDHM (IBGE2022)'!$A$4:$N$402,14,FALSE)</f>
        <v>63350.93</v>
      </c>
      <c r="F490" s="90">
        <f>VLOOKUP(D490,'IDHM (IBGE2022)'!$A$4:$J$402,10,FALSE)</f>
        <v>0.78200000000000003</v>
      </c>
      <c r="G490" s="92">
        <f t="shared" si="15"/>
        <v>0.83029531835002202</v>
      </c>
      <c r="H490" s="9">
        <f>VLOOKUP(D490,'IPDM_renda  (IPARDES-PR)'!$A$4:$N$420,14,FALSE)</f>
        <v>0.69131032766511935</v>
      </c>
      <c r="I490" s="9">
        <f>VLOOKUP(D490,'IPDM_educação  (IPARDES-PR)'!$A$4:$N$420,14,FALSE)</f>
        <v>0.94353563627396841</v>
      </c>
      <c r="J490" s="9">
        <f>VLOOKUP(D490,'IPDM_saúde   (IPARDES-PR)'!$A$4:$N$466,14,FALSE)</f>
        <v>0.85603999111097828</v>
      </c>
      <c r="L490" s="10" t="str">
        <f t="shared" si="14"/>
        <v>Oeste - A08</v>
      </c>
    </row>
    <row r="491" spans="1:12" x14ac:dyDescent="0.2">
      <c r="A491" s="5" t="s">
        <v>383</v>
      </c>
      <c r="B491" s="150" t="s">
        <v>417</v>
      </c>
      <c r="C491" s="7" t="s">
        <v>428</v>
      </c>
      <c r="D491" s="4" t="s">
        <v>390</v>
      </c>
      <c r="E491" s="142">
        <f>VLOOKUP(D491,'IDHM (IBGE2022)'!$A$4:$N$402,14,FALSE)</f>
        <v>65013.87</v>
      </c>
      <c r="F491" s="90">
        <f>VLOOKUP(D491,'IDHM (IBGE2022)'!$A$4:$J$402,10,FALSE)</f>
        <v>0.70199999999999996</v>
      </c>
      <c r="G491" s="92">
        <f t="shared" si="15"/>
        <v>0.71694383586868948</v>
      </c>
      <c r="H491" s="9">
        <f>VLOOKUP(D491,'IPDM_renda  (IPARDES-PR)'!$A$4:$N$420,14,FALSE)</f>
        <v>0.52482725067043168</v>
      </c>
      <c r="I491" s="9">
        <f>VLOOKUP(D491,'IPDM_educação  (IPARDES-PR)'!$A$4:$N$420,14,FALSE)</f>
        <v>0.77299838681649891</v>
      </c>
      <c r="J491" s="9">
        <f>VLOOKUP(D491,'IPDM_saúde   (IPARDES-PR)'!$A$4:$N$466,14,FALSE)</f>
        <v>0.85300587011913775</v>
      </c>
      <c r="L491" s="10" t="str">
        <f t="shared" si="14"/>
        <v>Oeste - A08</v>
      </c>
    </row>
    <row r="495" spans="1:12" x14ac:dyDescent="0.2">
      <c r="G495" s="11"/>
      <c r="H495" s="11"/>
      <c r="I495" s="11"/>
      <c r="J495" s="11"/>
    </row>
  </sheetData>
  <autoFilter ref="A2:J491" xr:uid="{06E0E369-3A6B-416F-8F25-ED7A03E0468A}"/>
  <mergeCells count="2">
    <mergeCell ref="G1:J1"/>
    <mergeCell ref="E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766D-19D6-47BD-864D-CFED382015FB}">
  <dimension ref="A1:AR1371"/>
  <sheetViews>
    <sheetView workbookViewId="0">
      <selection activeCell="AN8" sqref="AN8"/>
    </sheetView>
  </sheetViews>
  <sheetFormatPr defaultRowHeight="12.75" x14ac:dyDescent="0.2"/>
  <cols>
    <col min="1" max="1" width="21.7109375" customWidth="1"/>
    <col min="2" max="6" width="21.7109375" hidden="1" customWidth="1"/>
    <col min="7" max="7" width="14.7109375" hidden="1" customWidth="1"/>
    <col min="8" max="8" width="67.7109375" hidden="1" customWidth="1"/>
    <col min="9" max="9" width="96.7109375" hidden="1" customWidth="1"/>
    <col min="10" max="10" width="10.7109375" hidden="1" customWidth="1"/>
    <col min="11" max="11" width="16.7109375" bestFit="1" customWidth="1"/>
    <col min="12" max="12" width="10.7109375" customWidth="1"/>
    <col min="13" max="13" width="23.5703125" hidden="1" customWidth="1"/>
    <col min="14" max="14" width="22.42578125" hidden="1" customWidth="1"/>
    <col min="15" max="15" width="20.5703125" style="6" hidden="1" customWidth="1"/>
    <col min="16" max="16" width="9" customWidth="1"/>
    <col min="17" max="17" width="11.140625" hidden="1" customWidth="1"/>
    <col min="18" max="18" width="14.28515625" hidden="1" customWidth="1"/>
    <col min="19" max="19" width="12.28515625" hidden="1" customWidth="1"/>
    <col min="20" max="20" width="13.7109375" hidden="1" customWidth="1"/>
    <col min="21" max="21" width="10.42578125" hidden="1" customWidth="1"/>
    <col min="22" max="22" width="9.28515625" customWidth="1"/>
    <col min="23" max="39" width="0" hidden="1" customWidth="1"/>
    <col min="40" max="40" width="16.5703125" bestFit="1" customWidth="1"/>
    <col min="43" max="43" width="14" bestFit="1" customWidth="1"/>
  </cols>
  <sheetData>
    <row r="1" spans="1:44" ht="5.0999999999999996" customHeight="1" x14ac:dyDescent="0.2"/>
    <row r="2" spans="1:44" ht="18" customHeight="1" x14ac:dyDescent="0.2">
      <c r="A2" s="160" t="s">
        <v>7068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1" t="s">
        <v>7067</v>
      </c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</row>
    <row r="3" spans="1:44" x14ac:dyDescent="0.2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1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</row>
    <row r="4" spans="1:44" x14ac:dyDescent="0.2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1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37">
        <f>ROUNDUP(AN1371/J1371,0)</f>
        <v>2199</v>
      </c>
    </row>
    <row r="5" spans="1:44" x14ac:dyDescent="0.2">
      <c r="A5" s="36" t="s">
        <v>7066</v>
      </c>
      <c r="B5" s="35"/>
      <c r="C5" s="35"/>
      <c r="D5" s="35"/>
      <c r="E5" s="35"/>
      <c r="F5" s="35"/>
      <c r="G5" s="34"/>
      <c r="H5" s="33" t="s">
        <v>7065</v>
      </c>
      <c r="I5" s="33" t="s">
        <v>7064</v>
      </c>
      <c r="J5" s="33" t="s">
        <v>431</v>
      </c>
      <c r="K5" s="33" t="s">
        <v>7063</v>
      </c>
      <c r="L5" s="33" t="s">
        <v>7062</v>
      </c>
      <c r="M5" s="33" t="s">
        <v>7061</v>
      </c>
      <c r="N5" s="33" t="s">
        <v>7060</v>
      </c>
      <c r="O5" s="33" t="s">
        <v>0</v>
      </c>
      <c r="P5" s="33" t="s">
        <v>7059</v>
      </c>
      <c r="Q5" s="33" t="s">
        <v>7058</v>
      </c>
      <c r="R5" s="33" t="s">
        <v>7057</v>
      </c>
      <c r="S5" s="33" t="s">
        <v>7056</v>
      </c>
      <c r="T5" s="33" t="s">
        <v>7055</v>
      </c>
      <c r="U5" s="33" t="s">
        <v>7054</v>
      </c>
      <c r="V5" s="33" t="s">
        <v>7053</v>
      </c>
      <c r="W5" s="33">
        <v>1</v>
      </c>
      <c r="X5" s="33">
        <v>2</v>
      </c>
      <c r="Y5" s="33">
        <v>3</v>
      </c>
      <c r="Z5" s="33">
        <v>4</v>
      </c>
      <c r="AA5" s="33">
        <v>5</v>
      </c>
      <c r="AE5" s="33">
        <v>1</v>
      </c>
      <c r="AF5" s="33">
        <v>2</v>
      </c>
      <c r="AG5" s="33">
        <v>3</v>
      </c>
      <c r="AH5" s="33">
        <v>4</v>
      </c>
      <c r="AI5" s="33">
        <v>5</v>
      </c>
      <c r="AN5" s="33" t="s">
        <v>7052</v>
      </c>
    </row>
    <row r="6" spans="1:44" x14ac:dyDescent="0.2">
      <c r="A6" s="107" t="s">
        <v>7051</v>
      </c>
      <c r="B6" s="106" t="s">
        <v>7050</v>
      </c>
      <c r="C6" s="106" t="s">
        <v>6857</v>
      </c>
      <c r="D6" s="106" t="s">
        <v>965</v>
      </c>
      <c r="E6" s="106" t="s">
        <v>6856</v>
      </c>
      <c r="F6" s="106" t="s">
        <v>490</v>
      </c>
      <c r="G6" s="106" t="s">
        <v>7049</v>
      </c>
      <c r="H6" s="120" t="s">
        <v>7048</v>
      </c>
      <c r="I6" s="120" t="s">
        <v>7044</v>
      </c>
      <c r="J6" s="119">
        <v>18</v>
      </c>
      <c r="K6" s="118" t="s">
        <v>430</v>
      </c>
      <c r="L6" s="117" t="s">
        <v>486</v>
      </c>
      <c r="M6" s="116"/>
      <c r="N6" s="12"/>
      <c r="O6" s="115">
        <v>22</v>
      </c>
      <c r="P6" s="12" t="s">
        <v>485</v>
      </c>
      <c r="Q6" s="12" t="s">
        <v>865</v>
      </c>
      <c r="R6" s="12" t="s">
        <v>576</v>
      </c>
      <c r="S6" s="32">
        <v>6.2</v>
      </c>
      <c r="T6" s="32">
        <v>0.5</v>
      </c>
      <c r="U6" s="32">
        <v>0</v>
      </c>
      <c r="V6" s="12">
        <v>1080</v>
      </c>
      <c r="W6" s="12">
        <v>0</v>
      </c>
      <c r="X6" s="12">
        <v>0</v>
      </c>
      <c r="Y6" s="12">
        <v>0</v>
      </c>
      <c r="Z6" s="12">
        <v>18</v>
      </c>
      <c r="AA6" s="12">
        <v>0</v>
      </c>
      <c r="AB6" s="13">
        <f t="shared" ref="AB6:AB69" si="0">SUM(W6:AA6)-J6</f>
        <v>0</v>
      </c>
      <c r="AE6" s="12">
        <v>0</v>
      </c>
      <c r="AF6" s="12">
        <v>0</v>
      </c>
      <c r="AG6" s="12">
        <v>0</v>
      </c>
      <c r="AH6" s="12">
        <v>18</v>
      </c>
      <c r="AI6" s="12">
        <v>0</v>
      </c>
      <c r="AJ6" s="13">
        <f t="shared" ref="AJ6:AJ69" si="1">SUM(AE6:AI6)-J6</f>
        <v>0</v>
      </c>
      <c r="AN6" s="12">
        <f>ROUNDUP(V6*J6,0)</f>
        <v>19440</v>
      </c>
      <c r="AQ6" s="8" t="s">
        <v>419</v>
      </c>
      <c r="AR6" t="str">
        <f t="shared" ref="AR6:AR69" si="2">AQ6&amp;" - "&amp;K6</f>
        <v>Norte - A10</v>
      </c>
    </row>
    <row r="7" spans="1:44" x14ac:dyDescent="0.2">
      <c r="A7" s="107" t="s">
        <v>7047</v>
      </c>
      <c r="B7" s="106" t="s">
        <v>7046</v>
      </c>
      <c r="C7" s="106" t="s">
        <v>6857</v>
      </c>
      <c r="D7" s="106" t="s">
        <v>633</v>
      </c>
      <c r="E7" s="106" t="s">
        <v>6856</v>
      </c>
      <c r="F7" s="106" t="s">
        <v>490</v>
      </c>
      <c r="G7" s="106" t="s">
        <v>7045</v>
      </c>
      <c r="H7" s="105" t="s">
        <v>7044</v>
      </c>
      <c r="I7" s="105" t="s">
        <v>7040</v>
      </c>
      <c r="J7" s="104">
        <v>7.53</v>
      </c>
      <c r="K7" s="103" t="s">
        <v>430</v>
      </c>
      <c r="L7" s="102" t="s">
        <v>486</v>
      </c>
      <c r="M7" s="95"/>
      <c r="N7" s="14"/>
      <c r="O7" s="94">
        <v>22</v>
      </c>
      <c r="P7" s="14" t="s">
        <v>485</v>
      </c>
      <c r="Q7" s="14" t="s">
        <v>865</v>
      </c>
      <c r="R7" s="14" t="s">
        <v>576</v>
      </c>
      <c r="S7" s="15">
        <v>6.2</v>
      </c>
      <c r="T7" s="15">
        <v>0.5</v>
      </c>
      <c r="U7" s="15">
        <v>0</v>
      </c>
      <c r="V7" s="14">
        <v>1080</v>
      </c>
      <c r="W7" s="12">
        <v>0</v>
      </c>
      <c r="X7" s="12">
        <v>0</v>
      </c>
      <c r="Y7" s="12">
        <v>0</v>
      </c>
      <c r="Z7" s="12">
        <v>7.53</v>
      </c>
      <c r="AA7" s="12">
        <v>0</v>
      </c>
      <c r="AB7" s="13">
        <f t="shared" si="0"/>
        <v>0</v>
      </c>
      <c r="AE7" s="12">
        <v>0</v>
      </c>
      <c r="AF7" s="12">
        <v>0</v>
      </c>
      <c r="AG7" s="12">
        <v>0</v>
      </c>
      <c r="AH7" s="12">
        <v>7.53</v>
      </c>
      <c r="AI7" s="12">
        <v>0</v>
      </c>
      <c r="AJ7" s="13">
        <f t="shared" si="1"/>
        <v>0</v>
      </c>
      <c r="AN7" s="12">
        <f t="shared" ref="AN7:AN69" si="3">ROUNDUP(V7*J7,0)</f>
        <v>8133</v>
      </c>
      <c r="AQ7" s="8" t="s">
        <v>419</v>
      </c>
      <c r="AR7" t="str">
        <f t="shared" si="2"/>
        <v>Norte - A10</v>
      </c>
    </row>
    <row r="8" spans="1:44" x14ac:dyDescent="0.2">
      <c r="A8" s="107" t="s">
        <v>7043</v>
      </c>
      <c r="B8" s="106" t="s">
        <v>7042</v>
      </c>
      <c r="C8" s="106" t="s">
        <v>6857</v>
      </c>
      <c r="D8" s="106" t="s">
        <v>2256</v>
      </c>
      <c r="E8" s="106" t="s">
        <v>6865</v>
      </c>
      <c r="F8" s="106" t="s">
        <v>590</v>
      </c>
      <c r="G8" s="106" t="s">
        <v>7041</v>
      </c>
      <c r="H8" s="105" t="s">
        <v>7040</v>
      </c>
      <c r="I8" s="105" t="s">
        <v>7036</v>
      </c>
      <c r="J8" s="104">
        <v>0.65</v>
      </c>
      <c r="K8" s="103" t="s">
        <v>430</v>
      </c>
      <c r="L8" s="102" t="s">
        <v>486</v>
      </c>
      <c r="M8" s="95"/>
      <c r="N8" s="14"/>
      <c r="O8" s="94">
        <v>22</v>
      </c>
      <c r="P8" s="14" t="s">
        <v>586</v>
      </c>
      <c r="Q8" s="14" t="s">
        <v>865</v>
      </c>
      <c r="R8" s="14" t="s">
        <v>576</v>
      </c>
      <c r="S8" s="15">
        <v>8.3000000000000007</v>
      </c>
      <c r="T8" s="15">
        <v>0</v>
      </c>
      <c r="U8" s="15">
        <v>0</v>
      </c>
      <c r="V8" s="14">
        <v>510</v>
      </c>
      <c r="W8" s="12">
        <v>0</v>
      </c>
      <c r="X8" s="12">
        <v>0</v>
      </c>
      <c r="Y8" s="12">
        <v>0</v>
      </c>
      <c r="Z8" s="12">
        <v>0.65</v>
      </c>
      <c r="AA8" s="12">
        <v>0</v>
      </c>
      <c r="AB8" s="13">
        <f t="shared" si="0"/>
        <v>0</v>
      </c>
      <c r="AE8" s="12">
        <v>0</v>
      </c>
      <c r="AF8" s="12">
        <v>0</v>
      </c>
      <c r="AG8" s="12">
        <v>0</v>
      </c>
      <c r="AH8" s="12">
        <v>0.65</v>
      </c>
      <c r="AI8" s="12">
        <v>0</v>
      </c>
      <c r="AJ8" s="13">
        <f t="shared" si="1"/>
        <v>0</v>
      </c>
      <c r="AN8" s="12">
        <f t="shared" si="3"/>
        <v>332</v>
      </c>
      <c r="AQ8" s="8" t="s">
        <v>419</v>
      </c>
      <c r="AR8" t="str">
        <f t="shared" si="2"/>
        <v>Norte - A10</v>
      </c>
    </row>
    <row r="9" spans="1:44" x14ac:dyDescent="0.2">
      <c r="A9" s="107" t="s">
        <v>7039</v>
      </c>
      <c r="B9" s="106" t="s">
        <v>7038</v>
      </c>
      <c r="C9" s="106" t="s">
        <v>6857</v>
      </c>
      <c r="D9" s="106" t="s">
        <v>2145</v>
      </c>
      <c r="E9" s="106" t="s">
        <v>6856</v>
      </c>
      <c r="F9" s="106" t="s">
        <v>490</v>
      </c>
      <c r="G9" s="106" t="s">
        <v>7037</v>
      </c>
      <c r="H9" s="105" t="s">
        <v>7036</v>
      </c>
      <c r="I9" s="105" t="s">
        <v>7035</v>
      </c>
      <c r="J9" s="104">
        <v>8.1199999999999992</v>
      </c>
      <c r="K9" s="103" t="s">
        <v>430</v>
      </c>
      <c r="L9" s="102" t="s">
        <v>486</v>
      </c>
      <c r="M9" s="95"/>
      <c r="N9" s="14"/>
      <c r="O9" s="94">
        <v>22</v>
      </c>
      <c r="P9" s="14" t="s">
        <v>485</v>
      </c>
      <c r="Q9" s="14" t="s">
        <v>865</v>
      </c>
      <c r="R9" s="14" t="s">
        <v>576</v>
      </c>
      <c r="S9" s="15">
        <v>7</v>
      </c>
      <c r="T9" s="15">
        <v>0.5</v>
      </c>
      <c r="U9" s="15">
        <v>0</v>
      </c>
      <c r="V9" s="14">
        <v>1080</v>
      </c>
      <c r="W9" s="12">
        <v>0</v>
      </c>
      <c r="X9" s="12">
        <v>0</v>
      </c>
      <c r="Y9" s="12">
        <v>0</v>
      </c>
      <c r="Z9" s="12">
        <v>8.1199999999999992</v>
      </c>
      <c r="AA9" s="12">
        <v>0</v>
      </c>
      <c r="AB9" s="13">
        <f t="shared" si="0"/>
        <v>0</v>
      </c>
      <c r="AE9" s="12">
        <v>0</v>
      </c>
      <c r="AF9" s="12">
        <v>0</v>
      </c>
      <c r="AG9" s="12">
        <v>0</v>
      </c>
      <c r="AH9" s="12">
        <v>8.1199999999999992</v>
      </c>
      <c r="AI9" s="12">
        <v>0</v>
      </c>
      <c r="AJ9" s="13">
        <f t="shared" si="1"/>
        <v>0</v>
      </c>
      <c r="AN9" s="12">
        <f t="shared" si="3"/>
        <v>8770</v>
      </c>
      <c r="AQ9" s="8" t="s">
        <v>419</v>
      </c>
      <c r="AR9" t="str">
        <f t="shared" si="2"/>
        <v>Norte - A10</v>
      </c>
    </row>
    <row r="10" spans="1:44" x14ac:dyDescent="0.2">
      <c r="A10" s="107" t="s">
        <v>7034</v>
      </c>
      <c r="B10" s="106" t="s">
        <v>7033</v>
      </c>
      <c r="C10" s="106" t="s">
        <v>6857</v>
      </c>
      <c r="D10" s="106" t="s">
        <v>2825</v>
      </c>
      <c r="E10" s="106" t="s">
        <v>6856</v>
      </c>
      <c r="F10" s="106" t="s">
        <v>490</v>
      </c>
      <c r="G10" s="106" t="s">
        <v>7032</v>
      </c>
      <c r="H10" s="105" t="s">
        <v>7031</v>
      </c>
      <c r="I10" s="105" t="s">
        <v>7027</v>
      </c>
      <c r="J10" s="104">
        <v>10.4</v>
      </c>
      <c r="K10" s="103" t="s">
        <v>427</v>
      </c>
      <c r="L10" s="102" t="s">
        <v>486</v>
      </c>
      <c r="M10" s="95"/>
      <c r="N10" s="14"/>
      <c r="O10" s="94">
        <v>19</v>
      </c>
      <c r="P10" s="14" t="s">
        <v>485</v>
      </c>
      <c r="Q10" s="14" t="s">
        <v>497</v>
      </c>
      <c r="R10" s="14" t="s">
        <v>576</v>
      </c>
      <c r="S10" s="15">
        <v>7.2</v>
      </c>
      <c r="T10" s="15">
        <v>1.2</v>
      </c>
      <c r="U10" s="15">
        <v>0</v>
      </c>
      <c r="V10" s="14">
        <v>3529</v>
      </c>
      <c r="W10" s="12">
        <v>0</v>
      </c>
      <c r="X10" s="12">
        <v>0</v>
      </c>
      <c r="Y10" s="12">
        <v>0</v>
      </c>
      <c r="Z10" s="12">
        <v>10.4</v>
      </c>
      <c r="AA10" s="12">
        <v>0</v>
      </c>
      <c r="AB10" s="13">
        <f t="shared" si="0"/>
        <v>0</v>
      </c>
      <c r="AE10" s="12">
        <v>0</v>
      </c>
      <c r="AF10" s="12">
        <v>0</v>
      </c>
      <c r="AG10" s="12">
        <v>0</v>
      </c>
      <c r="AH10" s="12">
        <v>10.4</v>
      </c>
      <c r="AI10" s="12">
        <v>0</v>
      </c>
      <c r="AJ10" s="13">
        <f t="shared" si="1"/>
        <v>0</v>
      </c>
      <c r="AN10" s="12">
        <f t="shared" si="3"/>
        <v>36702</v>
      </c>
      <c r="AQ10" s="8" t="s">
        <v>419</v>
      </c>
      <c r="AR10" t="str">
        <f t="shared" si="2"/>
        <v>Norte - A07</v>
      </c>
    </row>
    <row r="11" spans="1:44" ht="12.75" customHeight="1" x14ac:dyDescent="0.2">
      <c r="A11" s="107" t="s">
        <v>7030</v>
      </c>
      <c r="B11" s="106" t="s">
        <v>7029</v>
      </c>
      <c r="C11" s="106" t="s">
        <v>6857</v>
      </c>
      <c r="D11" s="106" t="s">
        <v>2682</v>
      </c>
      <c r="E11" s="106" t="s">
        <v>6856</v>
      </c>
      <c r="F11" s="106" t="s">
        <v>490</v>
      </c>
      <c r="G11" s="106" t="s">
        <v>7028</v>
      </c>
      <c r="H11" s="105" t="s">
        <v>7027</v>
      </c>
      <c r="I11" s="105" t="s">
        <v>7023</v>
      </c>
      <c r="J11" s="104">
        <v>14.48</v>
      </c>
      <c r="K11" s="103" t="s">
        <v>427</v>
      </c>
      <c r="L11" s="102" t="s">
        <v>486</v>
      </c>
      <c r="M11" s="95"/>
      <c r="N11" s="14"/>
      <c r="O11" s="94">
        <v>19</v>
      </c>
      <c r="P11" s="14" t="s">
        <v>485</v>
      </c>
      <c r="Q11" s="14" t="s">
        <v>497</v>
      </c>
      <c r="R11" s="14" t="s">
        <v>576</v>
      </c>
      <c r="S11" s="15">
        <v>7.3</v>
      </c>
      <c r="T11" s="15">
        <v>1.2</v>
      </c>
      <c r="U11" s="15">
        <v>0</v>
      </c>
      <c r="V11" s="14">
        <v>3176</v>
      </c>
      <c r="W11" s="12">
        <v>0</v>
      </c>
      <c r="X11" s="12">
        <v>0</v>
      </c>
      <c r="Y11" s="12">
        <v>0</v>
      </c>
      <c r="Z11" s="12">
        <v>14.48</v>
      </c>
      <c r="AA11" s="12">
        <v>0</v>
      </c>
      <c r="AB11" s="13">
        <f t="shared" si="0"/>
        <v>0</v>
      </c>
      <c r="AE11" s="12">
        <v>0</v>
      </c>
      <c r="AF11" s="12">
        <v>0</v>
      </c>
      <c r="AG11" s="12">
        <v>0</v>
      </c>
      <c r="AH11" s="12">
        <v>14.48</v>
      </c>
      <c r="AI11" s="12">
        <v>0</v>
      </c>
      <c r="AJ11" s="13">
        <f t="shared" si="1"/>
        <v>0</v>
      </c>
      <c r="AN11" s="12">
        <f t="shared" si="3"/>
        <v>45989</v>
      </c>
      <c r="AQ11" s="8" t="s">
        <v>419</v>
      </c>
      <c r="AR11" t="str">
        <f t="shared" si="2"/>
        <v>Norte - A07</v>
      </c>
    </row>
    <row r="12" spans="1:44" x14ac:dyDescent="0.2">
      <c r="A12" s="107" t="s">
        <v>7026</v>
      </c>
      <c r="B12" s="106" t="s">
        <v>7025</v>
      </c>
      <c r="C12" s="106" t="s">
        <v>6857</v>
      </c>
      <c r="D12" s="106" t="s">
        <v>2671</v>
      </c>
      <c r="E12" s="106" t="s">
        <v>6856</v>
      </c>
      <c r="F12" s="106" t="s">
        <v>490</v>
      </c>
      <c r="G12" s="106" t="s">
        <v>7024</v>
      </c>
      <c r="H12" s="105" t="s">
        <v>7023</v>
      </c>
      <c r="I12" s="105" t="s">
        <v>7019</v>
      </c>
      <c r="J12" s="104">
        <v>6.46</v>
      </c>
      <c r="K12" s="103" t="s">
        <v>427</v>
      </c>
      <c r="L12" s="102" t="s">
        <v>486</v>
      </c>
      <c r="M12" s="95"/>
      <c r="N12" s="14"/>
      <c r="O12" s="94">
        <v>19</v>
      </c>
      <c r="P12" s="14" t="s">
        <v>485</v>
      </c>
      <c r="Q12" s="14" t="s">
        <v>497</v>
      </c>
      <c r="R12" s="14" t="s">
        <v>576</v>
      </c>
      <c r="S12" s="15">
        <v>7.2</v>
      </c>
      <c r="T12" s="15">
        <v>1.2</v>
      </c>
      <c r="U12" s="15">
        <v>0.4</v>
      </c>
      <c r="V12" s="14">
        <v>3176</v>
      </c>
      <c r="W12" s="12">
        <v>0</v>
      </c>
      <c r="X12" s="12">
        <v>1</v>
      </c>
      <c r="Y12" s="12">
        <v>0</v>
      </c>
      <c r="Z12" s="12">
        <v>5.46</v>
      </c>
      <c r="AA12" s="12">
        <v>0</v>
      </c>
      <c r="AB12" s="13">
        <f t="shared" si="0"/>
        <v>0</v>
      </c>
      <c r="AE12" s="12">
        <v>0</v>
      </c>
      <c r="AF12" s="12">
        <v>1</v>
      </c>
      <c r="AG12" s="12">
        <v>0</v>
      </c>
      <c r="AH12" s="12">
        <v>5.46</v>
      </c>
      <c r="AI12" s="12">
        <v>0</v>
      </c>
      <c r="AJ12" s="13">
        <f t="shared" si="1"/>
        <v>0</v>
      </c>
      <c r="AN12" s="12">
        <f t="shared" si="3"/>
        <v>20517</v>
      </c>
      <c r="AQ12" s="8" t="s">
        <v>419</v>
      </c>
      <c r="AR12" t="str">
        <f t="shared" si="2"/>
        <v>Norte - A07</v>
      </c>
    </row>
    <row r="13" spans="1:44" x14ac:dyDescent="0.2">
      <c r="A13" s="107" t="s">
        <v>7022</v>
      </c>
      <c r="B13" s="106" t="s">
        <v>7021</v>
      </c>
      <c r="C13" s="106" t="s">
        <v>6857</v>
      </c>
      <c r="D13" s="106" t="s">
        <v>2651</v>
      </c>
      <c r="E13" s="106" t="s">
        <v>6856</v>
      </c>
      <c r="F13" s="106" t="s">
        <v>490</v>
      </c>
      <c r="G13" s="106" t="s">
        <v>7020</v>
      </c>
      <c r="H13" s="105" t="s">
        <v>7019</v>
      </c>
      <c r="I13" s="105" t="s">
        <v>7015</v>
      </c>
      <c r="J13" s="104">
        <v>6.58</v>
      </c>
      <c r="K13" s="103" t="s">
        <v>427</v>
      </c>
      <c r="L13" s="102" t="s">
        <v>486</v>
      </c>
      <c r="M13" s="95"/>
      <c r="N13" s="14"/>
      <c r="O13" s="94">
        <v>19</v>
      </c>
      <c r="P13" s="14" t="s">
        <v>485</v>
      </c>
      <c r="Q13" s="14" t="s">
        <v>497</v>
      </c>
      <c r="R13" s="14" t="s">
        <v>585</v>
      </c>
      <c r="S13" s="15">
        <v>7.2</v>
      </c>
      <c r="T13" s="15">
        <v>1.2</v>
      </c>
      <c r="U13" s="15">
        <v>0</v>
      </c>
      <c r="V13" s="14">
        <v>2549</v>
      </c>
      <c r="W13" s="12">
        <v>0</v>
      </c>
      <c r="X13" s="12">
        <v>1</v>
      </c>
      <c r="Y13" s="12">
        <v>2</v>
      </c>
      <c r="Z13" s="12">
        <v>3.58</v>
      </c>
      <c r="AA13" s="12">
        <v>0</v>
      </c>
      <c r="AB13" s="13">
        <f t="shared" si="0"/>
        <v>0</v>
      </c>
      <c r="AE13" s="12">
        <v>0</v>
      </c>
      <c r="AF13" s="12">
        <v>1</v>
      </c>
      <c r="AG13" s="12">
        <v>2</v>
      </c>
      <c r="AH13" s="12">
        <v>3.58</v>
      </c>
      <c r="AI13" s="12">
        <v>0</v>
      </c>
      <c r="AJ13" s="13">
        <f t="shared" si="1"/>
        <v>0</v>
      </c>
      <c r="AN13" s="12">
        <f t="shared" si="3"/>
        <v>16773</v>
      </c>
      <c r="AQ13" s="8" t="s">
        <v>419</v>
      </c>
      <c r="AR13" t="str">
        <f t="shared" si="2"/>
        <v>Norte - A07</v>
      </c>
    </row>
    <row r="14" spans="1:44" x14ac:dyDescent="0.2">
      <c r="A14" s="107" t="s">
        <v>7018</v>
      </c>
      <c r="B14" s="106" t="s">
        <v>7017</v>
      </c>
      <c r="C14" s="106" t="s">
        <v>6857</v>
      </c>
      <c r="D14" s="106" t="s">
        <v>2646</v>
      </c>
      <c r="E14" s="106" t="s">
        <v>6856</v>
      </c>
      <c r="F14" s="106" t="s">
        <v>490</v>
      </c>
      <c r="G14" s="106" t="s">
        <v>7016</v>
      </c>
      <c r="H14" s="105" t="s">
        <v>7015</v>
      </c>
      <c r="I14" s="105" t="s">
        <v>7011</v>
      </c>
      <c r="J14" s="104">
        <v>5</v>
      </c>
      <c r="K14" s="103" t="s">
        <v>427</v>
      </c>
      <c r="L14" s="102" t="s">
        <v>486</v>
      </c>
      <c r="M14" s="95"/>
      <c r="N14" s="14"/>
      <c r="O14" s="94">
        <v>19</v>
      </c>
      <c r="P14" s="14" t="s">
        <v>485</v>
      </c>
      <c r="Q14" s="14" t="s">
        <v>497</v>
      </c>
      <c r="R14" s="14" t="s">
        <v>585</v>
      </c>
      <c r="S14" s="15">
        <v>7.2</v>
      </c>
      <c r="T14" s="15">
        <v>1.2</v>
      </c>
      <c r="U14" s="15">
        <v>0</v>
      </c>
      <c r="V14" s="14">
        <v>2549</v>
      </c>
      <c r="W14" s="12">
        <v>0</v>
      </c>
      <c r="X14" s="12">
        <v>1</v>
      </c>
      <c r="Y14" s="12">
        <v>0</v>
      </c>
      <c r="Z14" s="12">
        <v>4</v>
      </c>
      <c r="AA14" s="12">
        <v>0</v>
      </c>
      <c r="AB14" s="13">
        <f t="shared" si="0"/>
        <v>0</v>
      </c>
      <c r="AE14" s="12">
        <v>0</v>
      </c>
      <c r="AF14" s="12">
        <v>1</v>
      </c>
      <c r="AG14" s="12">
        <v>0</v>
      </c>
      <c r="AH14" s="12">
        <v>4</v>
      </c>
      <c r="AI14" s="12">
        <v>0</v>
      </c>
      <c r="AJ14" s="13">
        <f t="shared" si="1"/>
        <v>0</v>
      </c>
      <c r="AN14" s="12">
        <f t="shared" si="3"/>
        <v>12745</v>
      </c>
      <c r="AQ14" s="8" t="s">
        <v>419</v>
      </c>
      <c r="AR14" t="str">
        <f t="shared" si="2"/>
        <v>Norte - A07</v>
      </c>
    </row>
    <row r="15" spans="1:44" x14ac:dyDescent="0.2">
      <c r="A15" s="107" t="s">
        <v>7014</v>
      </c>
      <c r="B15" s="106" t="s">
        <v>7013</v>
      </c>
      <c r="C15" s="106" t="s">
        <v>6857</v>
      </c>
      <c r="D15" s="106" t="s">
        <v>2641</v>
      </c>
      <c r="E15" s="106" t="s">
        <v>6856</v>
      </c>
      <c r="F15" s="106" t="s">
        <v>490</v>
      </c>
      <c r="G15" s="106" t="s">
        <v>7012</v>
      </c>
      <c r="H15" s="105" t="s">
        <v>7011</v>
      </c>
      <c r="I15" s="105" t="s">
        <v>7007</v>
      </c>
      <c r="J15" s="104">
        <v>2.27</v>
      </c>
      <c r="K15" s="103" t="s">
        <v>422</v>
      </c>
      <c r="L15" s="102" t="s">
        <v>533</v>
      </c>
      <c r="M15" s="95"/>
      <c r="N15" s="14"/>
      <c r="O15" s="94">
        <v>24</v>
      </c>
      <c r="P15" s="14" t="s">
        <v>485</v>
      </c>
      <c r="Q15" s="14" t="s">
        <v>561</v>
      </c>
      <c r="R15" s="14" t="s">
        <v>496</v>
      </c>
      <c r="S15" s="15">
        <v>7</v>
      </c>
      <c r="T15" s="15">
        <v>2.4</v>
      </c>
      <c r="U15" s="15">
        <v>0</v>
      </c>
      <c r="V15" s="14">
        <v>980</v>
      </c>
      <c r="W15" s="12">
        <v>0</v>
      </c>
      <c r="X15" s="12">
        <v>0</v>
      </c>
      <c r="Y15" s="12">
        <v>0</v>
      </c>
      <c r="Z15" s="12">
        <v>2.27</v>
      </c>
      <c r="AA15" s="12">
        <v>0</v>
      </c>
      <c r="AB15" s="13">
        <f t="shared" si="0"/>
        <v>0</v>
      </c>
      <c r="AE15" s="12">
        <v>0</v>
      </c>
      <c r="AF15" s="12">
        <v>0</v>
      </c>
      <c r="AG15" s="12">
        <v>0</v>
      </c>
      <c r="AH15" s="12">
        <v>2.27</v>
      </c>
      <c r="AI15" s="12">
        <v>0</v>
      </c>
      <c r="AJ15" s="13">
        <f t="shared" si="1"/>
        <v>0</v>
      </c>
      <c r="AN15" s="12">
        <f t="shared" si="3"/>
        <v>2225</v>
      </c>
      <c r="AQ15" s="8" t="s">
        <v>418</v>
      </c>
      <c r="AR15" t="str">
        <f t="shared" si="2"/>
        <v>Noroeste - A02</v>
      </c>
    </row>
    <row r="16" spans="1:44" x14ac:dyDescent="0.2">
      <c r="A16" s="107" t="s">
        <v>7010</v>
      </c>
      <c r="B16" s="106" t="s">
        <v>7009</v>
      </c>
      <c r="C16" s="106" t="s">
        <v>6857</v>
      </c>
      <c r="D16" s="106" t="s">
        <v>2636</v>
      </c>
      <c r="E16" s="106" t="s">
        <v>6856</v>
      </c>
      <c r="F16" s="106" t="s">
        <v>490</v>
      </c>
      <c r="G16" s="106" t="s">
        <v>7008</v>
      </c>
      <c r="H16" s="105" t="s">
        <v>7007</v>
      </c>
      <c r="I16" s="105" t="s">
        <v>7003</v>
      </c>
      <c r="J16" s="104">
        <v>0.48</v>
      </c>
      <c r="K16" s="103" t="s">
        <v>422</v>
      </c>
      <c r="L16" s="102" t="s">
        <v>533</v>
      </c>
      <c r="M16" s="95"/>
      <c r="N16" s="14"/>
      <c r="O16" s="94">
        <v>24</v>
      </c>
      <c r="P16" s="14" t="s">
        <v>485</v>
      </c>
      <c r="Q16" s="14" t="s">
        <v>561</v>
      </c>
      <c r="R16" s="14" t="s">
        <v>496</v>
      </c>
      <c r="S16" s="15">
        <v>7</v>
      </c>
      <c r="T16" s="15">
        <v>2.4</v>
      </c>
      <c r="U16" s="15">
        <v>0</v>
      </c>
      <c r="V16" s="14">
        <v>980</v>
      </c>
      <c r="W16" s="12">
        <v>0</v>
      </c>
      <c r="X16" s="12">
        <v>0</v>
      </c>
      <c r="Y16" s="12">
        <v>0</v>
      </c>
      <c r="Z16" s="12">
        <v>0.48</v>
      </c>
      <c r="AA16" s="12">
        <v>0</v>
      </c>
      <c r="AB16" s="13">
        <f t="shared" si="0"/>
        <v>0</v>
      </c>
      <c r="AE16" s="12">
        <v>0</v>
      </c>
      <c r="AF16" s="12">
        <v>0</v>
      </c>
      <c r="AG16" s="12">
        <v>0</v>
      </c>
      <c r="AH16" s="12">
        <v>0.48</v>
      </c>
      <c r="AI16" s="12">
        <v>0</v>
      </c>
      <c r="AJ16" s="13">
        <f t="shared" si="1"/>
        <v>0</v>
      </c>
      <c r="AN16" s="12">
        <f t="shared" si="3"/>
        <v>471</v>
      </c>
      <c r="AQ16" s="8" t="s">
        <v>418</v>
      </c>
      <c r="AR16" t="str">
        <f t="shared" si="2"/>
        <v>Noroeste - A02</v>
      </c>
    </row>
    <row r="17" spans="1:44" x14ac:dyDescent="0.2">
      <c r="A17" s="107" t="s">
        <v>7006</v>
      </c>
      <c r="B17" s="106" t="s">
        <v>7005</v>
      </c>
      <c r="C17" s="106" t="s">
        <v>6857</v>
      </c>
      <c r="D17" s="106" t="s">
        <v>2631</v>
      </c>
      <c r="E17" s="106" t="s">
        <v>6856</v>
      </c>
      <c r="F17" s="106" t="s">
        <v>490</v>
      </c>
      <c r="G17" s="106" t="s">
        <v>7004</v>
      </c>
      <c r="H17" s="105" t="s">
        <v>7003</v>
      </c>
      <c r="I17" s="105" t="s">
        <v>6999</v>
      </c>
      <c r="J17" s="104">
        <v>18.350000000000001</v>
      </c>
      <c r="K17" s="103" t="s">
        <v>422</v>
      </c>
      <c r="L17" s="102" t="s">
        <v>533</v>
      </c>
      <c r="M17" s="95"/>
      <c r="N17" s="14"/>
      <c r="O17" s="94">
        <v>24</v>
      </c>
      <c r="P17" s="14" t="s">
        <v>485</v>
      </c>
      <c r="Q17" s="14" t="s">
        <v>561</v>
      </c>
      <c r="R17" s="14" t="s">
        <v>496</v>
      </c>
      <c r="S17" s="15">
        <v>7</v>
      </c>
      <c r="T17" s="15">
        <v>2.4</v>
      </c>
      <c r="U17" s="15">
        <v>0</v>
      </c>
      <c r="V17" s="14">
        <v>974</v>
      </c>
      <c r="W17" s="12">
        <v>0</v>
      </c>
      <c r="X17" s="12">
        <v>0</v>
      </c>
      <c r="Y17" s="12">
        <v>0</v>
      </c>
      <c r="Z17" s="12">
        <v>18.350000000000001</v>
      </c>
      <c r="AA17" s="12">
        <v>0</v>
      </c>
      <c r="AB17" s="13">
        <f t="shared" si="0"/>
        <v>0</v>
      </c>
      <c r="AE17" s="12">
        <v>0</v>
      </c>
      <c r="AF17" s="12">
        <v>0</v>
      </c>
      <c r="AG17" s="12">
        <v>0</v>
      </c>
      <c r="AH17" s="12">
        <v>18.350000000000001</v>
      </c>
      <c r="AI17" s="12">
        <v>0</v>
      </c>
      <c r="AJ17" s="13">
        <f t="shared" si="1"/>
        <v>0</v>
      </c>
      <c r="AN17" s="12">
        <f t="shared" si="3"/>
        <v>17873</v>
      </c>
      <c r="AQ17" s="8" t="s">
        <v>418</v>
      </c>
      <c r="AR17" t="str">
        <f t="shared" si="2"/>
        <v>Noroeste - A02</v>
      </c>
    </row>
    <row r="18" spans="1:44" x14ac:dyDescent="0.2">
      <c r="A18" s="107" t="s">
        <v>7002</v>
      </c>
      <c r="B18" s="106" t="s">
        <v>7001</v>
      </c>
      <c r="C18" s="106" t="s">
        <v>6857</v>
      </c>
      <c r="D18" s="106" t="s">
        <v>2626</v>
      </c>
      <c r="E18" s="106" t="s">
        <v>6856</v>
      </c>
      <c r="F18" s="106" t="s">
        <v>490</v>
      </c>
      <c r="G18" s="106" t="s">
        <v>7000</v>
      </c>
      <c r="H18" s="105" t="s">
        <v>6999</v>
      </c>
      <c r="I18" s="105" t="s">
        <v>6995</v>
      </c>
      <c r="J18" s="104">
        <v>1.69</v>
      </c>
      <c r="K18" s="103" t="s">
        <v>422</v>
      </c>
      <c r="L18" s="102" t="s">
        <v>533</v>
      </c>
      <c r="M18" s="95"/>
      <c r="N18" s="14"/>
      <c r="O18" s="94">
        <v>24</v>
      </c>
      <c r="P18" s="14" t="s">
        <v>485</v>
      </c>
      <c r="Q18" s="14" t="s">
        <v>561</v>
      </c>
      <c r="R18" s="14" t="s">
        <v>496</v>
      </c>
      <c r="S18" s="15">
        <v>7</v>
      </c>
      <c r="T18" s="15">
        <v>2.4</v>
      </c>
      <c r="U18" s="15">
        <v>0</v>
      </c>
      <c r="V18" s="14">
        <v>974</v>
      </c>
      <c r="W18" s="12">
        <v>0</v>
      </c>
      <c r="X18" s="12">
        <v>0</v>
      </c>
      <c r="Y18" s="12">
        <v>0</v>
      </c>
      <c r="Z18" s="12">
        <v>1.69</v>
      </c>
      <c r="AA18" s="12">
        <v>0</v>
      </c>
      <c r="AB18" s="13">
        <f t="shared" si="0"/>
        <v>0</v>
      </c>
      <c r="AE18" s="12">
        <v>0</v>
      </c>
      <c r="AF18" s="12">
        <v>0</v>
      </c>
      <c r="AG18" s="12">
        <v>0</v>
      </c>
      <c r="AH18" s="12">
        <v>1.69</v>
      </c>
      <c r="AI18" s="12">
        <v>0</v>
      </c>
      <c r="AJ18" s="13">
        <f t="shared" si="1"/>
        <v>0</v>
      </c>
      <c r="AN18" s="12">
        <f t="shared" si="3"/>
        <v>1647</v>
      </c>
      <c r="AQ18" s="8" t="s">
        <v>418</v>
      </c>
      <c r="AR18" t="str">
        <f t="shared" si="2"/>
        <v>Noroeste - A02</v>
      </c>
    </row>
    <row r="19" spans="1:44" x14ac:dyDescent="0.2">
      <c r="A19" s="107" t="s">
        <v>6998</v>
      </c>
      <c r="B19" s="106" t="s">
        <v>6997</v>
      </c>
      <c r="C19" s="106" t="s">
        <v>6857</v>
      </c>
      <c r="D19" s="106" t="s">
        <v>2620</v>
      </c>
      <c r="E19" s="106" t="s">
        <v>6856</v>
      </c>
      <c r="F19" s="106" t="s">
        <v>490</v>
      </c>
      <c r="G19" s="106" t="s">
        <v>6996</v>
      </c>
      <c r="H19" s="105" t="s">
        <v>6995</v>
      </c>
      <c r="I19" s="105" t="s">
        <v>6994</v>
      </c>
      <c r="J19" s="104">
        <v>13.38</v>
      </c>
      <c r="K19" s="103" t="s">
        <v>422</v>
      </c>
      <c r="L19" s="102" t="s">
        <v>533</v>
      </c>
      <c r="M19" s="95"/>
      <c r="N19" s="14"/>
      <c r="O19" s="94">
        <v>24</v>
      </c>
      <c r="P19" s="14" t="s">
        <v>485</v>
      </c>
      <c r="Q19" s="14" t="s">
        <v>561</v>
      </c>
      <c r="R19" s="14" t="s">
        <v>496</v>
      </c>
      <c r="S19" s="15">
        <v>7.2</v>
      </c>
      <c r="T19" s="15">
        <v>2.4</v>
      </c>
      <c r="U19" s="15">
        <v>0</v>
      </c>
      <c r="V19" s="14">
        <v>3513</v>
      </c>
      <c r="W19" s="12">
        <v>0</v>
      </c>
      <c r="X19" s="12">
        <v>0</v>
      </c>
      <c r="Y19" s="12">
        <v>0.38000000000000078</v>
      </c>
      <c r="Z19" s="12">
        <v>13</v>
      </c>
      <c r="AA19" s="12">
        <v>0</v>
      </c>
      <c r="AB19" s="13">
        <f t="shared" si="0"/>
        <v>0</v>
      </c>
      <c r="AE19" s="12">
        <v>0</v>
      </c>
      <c r="AF19" s="12">
        <v>0</v>
      </c>
      <c r="AG19" s="12">
        <v>0.38000000000000078</v>
      </c>
      <c r="AH19" s="12">
        <v>13</v>
      </c>
      <c r="AI19" s="12">
        <v>0</v>
      </c>
      <c r="AJ19" s="13">
        <f t="shared" si="1"/>
        <v>0</v>
      </c>
      <c r="AN19" s="12">
        <f t="shared" si="3"/>
        <v>47004</v>
      </c>
      <c r="AQ19" s="8" t="s">
        <v>418</v>
      </c>
      <c r="AR19" t="str">
        <f t="shared" si="2"/>
        <v>Noroeste - A02</v>
      </c>
    </row>
    <row r="20" spans="1:44" x14ac:dyDescent="0.2">
      <c r="A20" s="107" t="s">
        <v>6993</v>
      </c>
      <c r="B20" s="106" t="s">
        <v>6992</v>
      </c>
      <c r="C20" s="106" t="s">
        <v>6857</v>
      </c>
      <c r="D20" s="106" t="s">
        <v>5154</v>
      </c>
      <c r="E20" s="106" t="s">
        <v>6856</v>
      </c>
      <c r="F20" s="106" t="s">
        <v>490</v>
      </c>
      <c r="G20" s="106" t="s">
        <v>6991</v>
      </c>
      <c r="H20" s="105" t="s">
        <v>6990</v>
      </c>
      <c r="I20" s="105" t="s">
        <v>6986</v>
      </c>
      <c r="J20" s="104">
        <v>19.43</v>
      </c>
      <c r="K20" s="103" t="s">
        <v>422</v>
      </c>
      <c r="L20" s="102" t="s">
        <v>533</v>
      </c>
      <c r="M20" s="95"/>
      <c r="N20" s="14"/>
      <c r="O20" s="94">
        <v>24</v>
      </c>
      <c r="P20" s="14" t="s">
        <v>485</v>
      </c>
      <c r="Q20" s="14" t="s">
        <v>497</v>
      </c>
      <c r="R20" s="14" t="s">
        <v>496</v>
      </c>
      <c r="S20" s="15">
        <v>7</v>
      </c>
      <c r="T20" s="15">
        <v>0.5</v>
      </c>
      <c r="U20" s="15">
        <v>0</v>
      </c>
      <c r="V20" s="14">
        <v>2176</v>
      </c>
      <c r="W20" s="12">
        <v>0</v>
      </c>
      <c r="X20" s="12">
        <v>0</v>
      </c>
      <c r="Y20" s="12">
        <v>0</v>
      </c>
      <c r="Z20" s="12">
        <v>19.43</v>
      </c>
      <c r="AA20" s="12">
        <v>0</v>
      </c>
      <c r="AB20" s="13">
        <f t="shared" si="0"/>
        <v>0</v>
      </c>
      <c r="AE20" s="12">
        <v>0</v>
      </c>
      <c r="AF20" s="12">
        <v>0</v>
      </c>
      <c r="AG20" s="12">
        <v>0</v>
      </c>
      <c r="AH20" s="12">
        <v>19.43</v>
      </c>
      <c r="AI20" s="12">
        <v>0</v>
      </c>
      <c r="AJ20" s="13">
        <f t="shared" si="1"/>
        <v>0</v>
      </c>
      <c r="AN20" s="12">
        <f t="shared" si="3"/>
        <v>42280</v>
      </c>
      <c r="AQ20" s="8" t="s">
        <v>418</v>
      </c>
      <c r="AR20" t="str">
        <f t="shared" si="2"/>
        <v>Noroeste - A02</v>
      </c>
    </row>
    <row r="21" spans="1:44" x14ac:dyDescent="0.2">
      <c r="A21" s="107" t="s">
        <v>6989</v>
      </c>
      <c r="B21" s="106" t="s">
        <v>6988</v>
      </c>
      <c r="C21" s="106" t="s">
        <v>6857</v>
      </c>
      <c r="D21" s="106" t="s">
        <v>2586</v>
      </c>
      <c r="E21" s="106" t="s">
        <v>6856</v>
      </c>
      <c r="F21" s="106" t="s">
        <v>490</v>
      </c>
      <c r="G21" s="106" t="s">
        <v>6987</v>
      </c>
      <c r="H21" s="105" t="s">
        <v>6986</v>
      </c>
      <c r="I21" s="105" t="s">
        <v>6982</v>
      </c>
      <c r="J21" s="104">
        <v>3.07</v>
      </c>
      <c r="K21" s="103" t="s">
        <v>422</v>
      </c>
      <c r="L21" s="102" t="s">
        <v>533</v>
      </c>
      <c r="M21" s="95"/>
      <c r="N21" s="14"/>
      <c r="O21" s="94">
        <v>24</v>
      </c>
      <c r="P21" s="14" t="s">
        <v>485</v>
      </c>
      <c r="Q21" s="14" t="s">
        <v>887</v>
      </c>
      <c r="R21" s="14" t="s">
        <v>1258</v>
      </c>
      <c r="S21" s="15">
        <v>6.6</v>
      </c>
      <c r="T21" s="15">
        <v>0.9</v>
      </c>
      <c r="U21" s="15">
        <v>0</v>
      </c>
      <c r="V21" s="14">
        <v>4226</v>
      </c>
      <c r="W21" s="12">
        <v>0</v>
      </c>
      <c r="X21" s="12">
        <v>0</v>
      </c>
      <c r="Y21" s="12">
        <v>1</v>
      </c>
      <c r="Z21" s="12">
        <v>2.0699999999999998</v>
      </c>
      <c r="AA21" s="12">
        <v>0</v>
      </c>
      <c r="AB21" s="13">
        <f t="shared" si="0"/>
        <v>0</v>
      </c>
      <c r="AE21" s="12">
        <v>0</v>
      </c>
      <c r="AF21" s="12">
        <v>0</v>
      </c>
      <c r="AG21" s="12">
        <v>1</v>
      </c>
      <c r="AH21" s="12">
        <v>2.0699999999999998</v>
      </c>
      <c r="AI21" s="12">
        <v>0</v>
      </c>
      <c r="AJ21" s="13">
        <f t="shared" si="1"/>
        <v>0</v>
      </c>
      <c r="AN21" s="12">
        <f t="shared" si="3"/>
        <v>12974</v>
      </c>
      <c r="AQ21" s="8" t="s">
        <v>418</v>
      </c>
      <c r="AR21" t="str">
        <f t="shared" si="2"/>
        <v>Noroeste - A02</v>
      </c>
    </row>
    <row r="22" spans="1:44" x14ac:dyDescent="0.2">
      <c r="A22" s="107" t="s">
        <v>6985</v>
      </c>
      <c r="B22" s="106" t="s">
        <v>6984</v>
      </c>
      <c r="C22" s="106" t="s">
        <v>6857</v>
      </c>
      <c r="D22" s="106" t="s">
        <v>2567</v>
      </c>
      <c r="E22" s="106" t="s">
        <v>6856</v>
      </c>
      <c r="F22" s="106" t="s">
        <v>490</v>
      </c>
      <c r="G22" s="106" t="s">
        <v>6983</v>
      </c>
      <c r="H22" s="105" t="s">
        <v>6982</v>
      </c>
      <c r="I22" s="105" t="s">
        <v>6978</v>
      </c>
      <c r="J22" s="104">
        <v>19.32</v>
      </c>
      <c r="K22" s="103" t="s">
        <v>423</v>
      </c>
      <c r="L22" s="102" t="s">
        <v>533</v>
      </c>
      <c r="M22" s="95"/>
      <c r="N22" s="14"/>
      <c r="O22" s="94">
        <v>25</v>
      </c>
      <c r="P22" s="14" t="s">
        <v>485</v>
      </c>
      <c r="Q22" s="14" t="s">
        <v>887</v>
      </c>
      <c r="R22" s="14" t="s">
        <v>1258</v>
      </c>
      <c r="S22" s="15">
        <v>6.6</v>
      </c>
      <c r="T22" s="15">
        <v>0.9</v>
      </c>
      <c r="U22" s="15">
        <v>0</v>
      </c>
      <c r="V22" s="14">
        <v>5119</v>
      </c>
      <c r="W22" s="12">
        <v>0</v>
      </c>
      <c r="X22" s="12">
        <v>0</v>
      </c>
      <c r="Y22" s="12">
        <v>3</v>
      </c>
      <c r="Z22" s="12">
        <v>16.32</v>
      </c>
      <c r="AA22" s="12">
        <v>0</v>
      </c>
      <c r="AB22" s="13">
        <f t="shared" si="0"/>
        <v>0</v>
      </c>
      <c r="AE22" s="12">
        <v>0</v>
      </c>
      <c r="AF22" s="12">
        <v>0</v>
      </c>
      <c r="AG22" s="12">
        <v>3</v>
      </c>
      <c r="AH22" s="12">
        <v>16.32</v>
      </c>
      <c r="AI22" s="12">
        <v>0</v>
      </c>
      <c r="AJ22" s="13">
        <f t="shared" si="1"/>
        <v>0</v>
      </c>
      <c r="AN22" s="12">
        <f t="shared" si="3"/>
        <v>98900</v>
      </c>
      <c r="AQ22" s="8" t="s">
        <v>418</v>
      </c>
      <c r="AR22" t="str">
        <f t="shared" si="2"/>
        <v>Noroeste - A03</v>
      </c>
    </row>
    <row r="23" spans="1:44" x14ac:dyDescent="0.2">
      <c r="A23" s="107" t="s">
        <v>6981</v>
      </c>
      <c r="B23" s="106" t="s">
        <v>6980</v>
      </c>
      <c r="C23" s="106" t="s">
        <v>6857</v>
      </c>
      <c r="D23" s="106" t="s">
        <v>2560</v>
      </c>
      <c r="E23" s="106" t="s">
        <v>6865</v>
      </c>
      <c r="F23" s="106" t="s">
        <v>590</v>
      </c>
      <c r="G23" s="106" t="s">
        <v>6979</v>
      </c>
      <c r="H23" s="105" t="s">
        <v>6978</v>
      </c>
      <c r="I23" s="105" t="s">
        <v>6974</v>
      </c>
      <c r="J23" s="104">
        <v>4.58</v>
      </c>
      <c r="K23" s="103" t="s">
        <v>423</v>
      </c>
      <c r="L23" s="102" t="s">
        <v>533</v>
      </c>
      <c r="M23" s="95"/>
      <c r="N23" s="14"/>
      <c r="O23" s="94">
        <v>25</v>
      </c>
      <c r="P23" s="14" t="s">
        <v>586</v>
      </c>
      <c r="Q23" s="14" t="s">
        <v>887</v>
      </c>
      <c r="R23" s="14" t="s">
        <v>1258</v>
      </c>
      <c r="S23" s="15">
        <v>13.1</v>
      </c>
      <c r="T23" s="15">
        <v>2</v>
      </c>
      <c r="U23" s="15">
        <v>0</v>
      </c>
      <c r="V23" s="14">
        <v>1021</v>
      </c>
      <c r="W23" s="12">
        <v>0</v>
      </c>
      <c r="X23" s="12">
        <v>1</v>
      </c>
      <c r="Y23" s="12">
        <v>3.58</v>
      </c>
      <c r="Z23" s="12">
        <v>0</v>
      </c>
      <c r="AA23" s="12">
        <v>0</v>
      </c>
      <c r="AB23" s="13">
        <f t="shared" si="0"/>
        <v>0</v>
      </c>
      <c r="AE23" s="12">
        <v>0</v>
      </c>
      <c r="AF23" s="12">
        <v>1</v>
      </c>
      <c r="AG23" s="12">
        <v>3.58</v>
      </c>
      <c r="AH23" s="12">
        <v>0</v>
      </c>
      <c r="AI23" s="12">
        <v>0</v>
      </c>
      <c r="AJ23" s="13">
        <f t="shared" si="1"/>
        <v>0</v>
      </c>
      <c r="AN23" s="12">
        <f t="shared" si="3"/>
        <v>4677</v>
      </c>
      <c r="AQ23" s="8" t="s">
        <v>418</v>
      </c>
      <c r="AR23" t="str">
        <f t="shared" si="2"/>
        <v>Noroeste - A03</v>
      </c>
    </row>
    <row r="24" spans="1:44" x14ac:dyDescent="0.2">
      <c r="A24" s="107" t="s">
        <v>6977</v>
      </c>
      <c r="B24" s="106" t="s">
        <v>6976</v>
      </c>
      <c r="C24" s="106" t="s">
        <v>6857</v>
      </c>
      <c r="D24" s="106" t="s">
        <v>4967</v>
      </c>
      <c r="E24" s="106" t="s">
        <v>6856</v>
      </c>
      <c r="F24" s="106" t="s">
        <v>490</v>
      </c>
      <c r="G24" s="106" t="s">
        <v>6975</v>
      </c>
      <c r="H24" s="105" t="s">
        <v>6974</v>
      </c>
      <c r="I24" s="105" t="s">
        <v>6970</v>
      </c>
      <c r="J24" s="104">
        <v>10.49</v>
      </c>
      <c r="K24" s="103" t="s">
        <v>423</v>
      </c>
      <c r="L24" s="102" t="s">
        <v>533</v>
      </c>
      <c r="M24" s="95"/>
      <c r="N24" s="14"/>
      <c r="O24" s="94">
        <v>25</v>
      </c>
      <c r="P24" s="14" t="s">
        <v>485</v>
      </c>
      <c r="Q24" s="14" t="s">
        <v>887</v>
      </c>
      <c r="R24" s="14" t="s">
        <v>1258</v>
      </c>
      <c r="S24" s="15">
        <v>6.6</v>
      </c>
      <c r="T24" s="15">
        <v>0.9</v>
      </c>
      <c r="U24" s="15">
        <v>0</v>
      </c>
      <c r="V24" s="14">
        <v>4063</v>
      </c>
      <c r="W24" s="12">
        <v>0</v>
      </c>
      <c r="X24" s="12">
        <v>0</v>
      </c>
      <c r="Y24" s="12">
        <v>3</v>
      </c>
      <c r="Z24" s="12">
        <v>7.49</v>
      </c>
      <c r="AA24" s="12">
        <v>0</v>
      </c>
      <c r="AB24" s="13">
        <f t="shared" si="0"/>
        <v>0</v>
      </c>
      <c r="AE24" s="12">
        <v>0</v>
      </c>
      <c r="AF24" s="12">
        <v>0</v>
      </c>
      <c r="AG24" s="12">
        <v>3</v>
      </c>
      <c r="AH24" s="12">
        <v>7.49</v>
      </c>
      <c r="AI24" s="12">
        <v>0</v>
      </c>
      <c r="AJ24" s="13">
        <f t="shared" si="1"/>
        <v>0</v>
      </c>
      <c r="AN24" s="12">
        <f t="shared" si="3"/>
        <v>42621</v>
      </c>
      <c r="AQ24" s="8" t="s">
        <v>418</v>
      </c>
      <c r="AR24" t="str">
        <f t="shared" si="2"/>
        <v>Noroeste - A03</v>
      </c>
    </row>
    <row r="25" spans="1:44" x14ac:dyDescent="0.2">
      <c r="A25" s="107" t="s">
        <v>6973</v>
      </c>
      <c r="B25" s="106" t="s">
        <v>6972</v>
      </c>
      <c r="C25" s="106" t="s">
        <v>6857</v>
      </c>
      <c r="D25" s="106" t="s">
        <v>4754</v>
      </c>
      <c r="E25" s="106" t="s">
        <v>6856</v>
      </c>
      <c r="F25" s="106" t="s">
        <v>490</v>
      </c>
      <c r="G25" s="106" t="s">
        <v>6971</v>
      </c>
      <c r="H25" s="105" t="s">
        <v>6970</v>
      </c>
      <c r="I25" s="105" t="s">
        <v>6965</v>
      </c>
      <c r="J25" s="104">
        <v>6.53</v>
      </c>
      <c r="K25" s="103" t="s">
        <v>423</v>
      </c>
      <c r="L25" s="102" t="s">
        <v>533</v>
      </c>
      <c r="M25" s="95"/>
      <c r="N25" s="14"/>
      <c r="O25" s="94">
        <v>25</v>
      </c>
      <c r="P25" s="14" t="s">
        <v>485</v>
      </c>
      <c r="Q25" s="14" t="s">
        <v>887</v>
      </c>
      <c r="R25" s="14" t="s">
        <v>1258</v>
      </c>
      <c r="S25" s="15">
        <v>6.6</v>
      </c>
      <c r="T25" s="15">
        <v>0.9</v>
      </c>
      <c r="U25" s="15">
        <v>0</v>
      </c>
      <c r="V25" s="14">
        <v>1046</v>
      </c>
      <c r="W25" s="12">
        <v>0</v>
      </c>
      <c r="X25" s="12">
        <v>0</v>
      </c>
      <c r="Y25" s="12">
        <v>5.53</v>
      </c>
      <c r="Z25" s="12">
        <v>1</v>
      </c>
      <c r="AA25" s="12">
        <v>0</v>
      </c>
      <c r="AB25" s="13">
        <f t="shared" si="0"/>
        <v>0</v>
      </c>
      <c r="AE25" s="12">
        <v>0</v>
      </c>
      <c r="AF25" s="12">
        <v>0</v>
      </c>
      <c r="AG25" s="12">
        <v>5.53</v>
      </c>
      <c r="AH25" s="12">
        <v>1</v>
      </c>
      <c r="AI25" s="12">
        <v>0</v>
      </c>
      <c r="AJ25" s="13">
        <f t="shared" si="1"/>
        <v>0</v>
      </c>
      <c r="AN25" s="12">
        <f t="shared" si="3"/>
        <v>6831</v>
      </c>
      <c r="AQ25" s="8" t="s">
        <v>418</v>
      </c>
      <c r="AR25" t="str">
        <f t="shared" si="2"/>
        <v>Noroeste - A03</v>
      </c>
    </row>
    <row r="26" spans="1:44" x14ac:dyDescent="0.2">
      <c r="A26" s="107" t="s">
        <v>6969</v>
      </c>
      <c r="B26" s="106" t="s">
        <v>6968</v>
      </c>
      <c r="C26" s="106" t="s">
        <v>6857</v>
      </c>
      <c r="D26" s="106" t="s">
        <v>6967</v>
      </c>
      <c r="E26" s="106" t="s">
        <v>6856</v>
      </c>
      <c r="F26" s="106" t="s">
        <v>490</v>
      </c>
      <c r="G26" s="106" t="s">
        <v>6966</v>
      </c>
      <c r="H26" s="105" t="s">
        <v>6965</v>
      </c>
      <c r="I26" s="105" t="s">
        <v>6961</v>
      </c>
      <c r="J26" s="104">
        <v>7.15</v>
      </c>
      <c r="K26" s="103" t="s">
        <v>423</v>
      </c>
      <c r="L26" s="102" t="s">
        <v>533</v>
      </c>
      <c r="M26" s="95"/>
      <c r="N26" s="14"/>
      <c r="O26" s="94">
        <v>25</v>
      </c>
      <c r="P26" s="14" t="s">
        <v>485</v>
      </c>
      <c r="Q26" s="14" t="s">
        <v>505</v>
      </c>
      <c r="R26" s="14" t="s">
        <v>496</v>
      </c>
      <c r="S26" s="15">
        <v>7</v>
      </c>
      <c r="T26" s="15">
        <v>0.8</v>
      </c>
      <c r="U26" s="15">
        <v>0</v>
      </c>
      <c r="V26" s="14">
        <v>3984</v>
      </c>
      <c r="W26" s="12">
        <v>0</v>
      </c>
      <c r="X26" s="12">
        <v>0</v>
      </c>
      <c r="Y26" s="12">
        <v>1.1500000000000004</v>
      </c>
      <c r="Z26" s="12">
        <v>6</v>
      </c>
      <c r="AA26" s="12">
        <v>0</v>
      </c>
      <c r="AB26" s="13">
        <f t="shared" si="0"/>
        <v>0</v>
      </c>
      <c r="AE26" s="12">
        <v>0</v>
      </c>
      <c r="AF26" s="12">
        <v>0</v>
      </c>
      <c r="AG26" s="12">
        <v>1.1500000000000004</v>
      </c>
      <c r="AH26" s="12">
        <v>6</v>
      </c>
      <c r="AI26" s="12">
        <v>0</v>
      </c>
      <c r="AJ26" s="13">
        <f t="shared" si="1"/>
        <v>0</v>
      </c>
      <c r="AN26" s="12">
        <f t="shared" si="3"/>
        <v>28486</v>
      </c>
      <c r="AQ26" s="8" t="s">
        <v>418</v>
      </c>
      <c r="AR26" t="str">
        <f t="shared" si="2"/>
        <v>Noroeste - A03</v>
      </c>
    </row>
    <row r="27" spans="1:44" x14ac:dyDescent="0.2">
      <c r="A27" s="107" t="s">
        <v>6964</v>
      </c>
      <c r="B27" s="106" t="s">
        <v>6963</v>
      </c>
      <c r="C27" s="106" t="s">
        <v>6857</v>
      </c>
      <c r="D27" s="106" t="s">
        <v>6429</v>
      </c>
      <c r="E27" s="106" t="s">
        <v>6856</v>
      </c>
      <c r="F27" s="106" t="s">
        <v>490</v>
      </c>
      <c r="G27" s="106" t="s">
        <v>6962</v>
      </c>
      <c r="H27" s="105" t="s">
        <v>6961</v>
      </c>
      <c r="I27" s="105" t="s">
        <v>6960</v>
      </c>
      <c r="J27" s="104">
        <v>0.99</v>
      </c>
      <c r="K27" s="103" t="s">
        <v>427</v>
      </c>
      <c r="L27" s="102" t="s">
        <v>533</v>
      </c>
      <c r="M27" s="95"/>
      <c r="N27" s="14"/>
      <c r="O27" s="94">
        <v>29</v>
      </c>
      <c r="P27" s="14" t="s">
        <v>485</v>
      </c>
      <c r="Q27" s="14" t="s">
        <v>505</v>
      </c>
      <c r="R27" s="14" t="s">
        <v>496</v>
      </c>
      <c r="S27" s="15">
        <v>6.6</v>
      </c>
      <c r="T27" s="15">
        <v>0.9</v>
      </c>
      <c r="U27" s="15">
        <v>0</v>
      </c>
      <c r="V27" s="14">
        <v>1046</v>
      </c>
      <c r="W27" s="12">
        <v>0</v>
      </c>
      <c r="X27" s="12">
        <v>0.99</v>
      </c>
      <c r="Y27" s="12">
        <v>0</v>
      </c>
      <c r="Z27" s="12">
        <v>0</v>
      </c>
      <c r="AA27" s="12">
        <v>0</v>
      </c>
      <c r="AB27" s="13">
        <f t="shared" si="0"/>
        <v>0</v>
      </c>
      <c r="AE27" s="12">
        <v>0</v>
      </c>
      <c r="AF27" s="12">
        <v>0.99</v>
      </c>
      <c r="AG27" s="12">
        <v>0</v>
      </c>
      <c r="AH27" s="12">
        <v>0</v>
      </c>
      <c r="AI27" s="12">
        <v>0</v>
      </c>
      <c r="AJ27" s="13">
        <f t="shared" si="1"/>
        <v>0</v>
      </c>
      <c r="AN27" s="12">
        <f t="shared" si="3"/>
        <v>1036</v>
      </c>
      <c r="AQ27" s="8" t="s">
        <v>418</v>
      </c>
      <c r="AR27" t="str">
        <f t="shared" si="2"/>
        <v>Noroeste - A07</v>
      </c>
    </row>
    <row r="28" spans="1:44" x14ac:dyDescent="0.2">
      <c r="A28" s="107" t="s">
        <v>6959</v>
      </c>
      <c r="B28" s="106" t="s">
        <v>6958</v>
      </c>
      <c r="C28" s="106" t="s">
        <v>6857</v>
      </c>
      <c r="D28" s="106" t="s">
        <v>4740</v>
      </c>
      <c r="E28" s="106" t="s">
        <v>6856</v>
      </c>
      <c r="F28" s="106" t="s">
        <v>490</v>
      </c>
      <c r="G28" s="106" t="s">
        <v>6957</v>
      </c>
      <c r="H28" s="105" t="s">
        <v>6956</v>
      </c>
      <c r="I28" s="105" t="s">
        <v>2402</v>
      </c>
      <c r="J28" s="104">
        <v>10.050000000000001</v>
      </c>
      <c r="K28" s="103" t="s">
        <v>427</v>
      </c>
      <c r="L28" s="102" t="s">
        <v>533</v>
      </c>
      <c r="M28" s="95"/>
      <c r="N28" s="14"/>
      <c r="O28" s="94">
        <v>29</v>
      </c>
      <c r="P28" s="14" t="s">
        <v>485</v>
      </c>
      <c r="Q28" s="14" t="s">
        <v>505</v>
      </c>
      <c r="R28" s="14" t="s">
        <v>496</v>
      </c>
      <c r="S28" s="15">
        <v>6.6</v>
      </c>
      <c r="T28" s="15">
        <v>0.9</v>
      </c>
      <c r="U28" s="15">
        <v>0</v>
      </c>
      <c r="V28" s="14">
        <v>2352</v>
      </c>
      <c r="W28" s="12">
        <v>0</v>
      </c>
      <c r="X28" s="12">
        <v>3.0500000000000007</v>
      </c>
      <c r="Y28" s="12">
        <v>7</v>
      </c>
      <c r="Z28" s="12">
        <v>0</v>
      </c>
      <c r="AA28" s="12">
        <v>0</v>
      </c>
      <c r="AB28" s="13">
        <f t="shared" si="0"/>
        <v>0</v>
      </c>
      <c r="AE28" s="12">
        <v>0</v>
      </c>
      <c r="AF28" s="12">
        <v>3.0500000000000007</v>
      </c>
      <c r="AG28" s="12">
        <v>7</v>
      </c>
      <c r="AH28" s="12">
        <v>0</v>
      </c>
      <c r="AI28" s="12">
        <v>0</v>
      </c>
      <c r="AJ28" s="13">
        <f t="shared" si="1"/>
        <v>0</v>
      </c>
      <c r="AN28" s="12">
        <f t="shared" si="3"/>
        <v>23638</v>
      </c>
      <c r="AQ28" s="8" t="s">
        <v>418</v>
      </c>
      <c r="AR28" t="str">
        <f t="shared" si="2"/>
        <v>Noroeste - A07</v>
      </c>
    </row>
    <row r="29" spans="1:44" x14ac:dyDescent="0.2">
      <c r="A29" s="107" t="s">
        <v>6955</v>
      </c>
      <c r="B29" s="106" t="s">
        <v>6954</v>
      </c>
      <c r="C29" s="106" t="s">
        <v>6857</v>
      </c>
      <c r="D29" s="106" t="s">
        <v>4735</v>
      </c>
      <c r="E29" s="106" t="s">
        <v>6856</v>
      </c>
      <c r="F29" s="106" t="s">
        <v>490</v>
      </c>
      <c r="G29" s="106" t="s">
        <v>6953</v>
      </c>
      <c r="H29" s="105" t="s">
        <v>2402</v>
      </c>
      <c r="I29" s="105" t="s">
        <v>6949</v>
      </c>
      <c r="J29" s="104">
        <v>4.42</v>
      </c>
      <c r="K29" s="103" t="s">
        <v>427</v>
      </c>
      <c r="L29" s="102" t="s">
        <v>533</v>
      </c>
      <c r="M29" s="95"/>
      <c r="N29" s="14"/>
      <c r="O29" s="94">
        <v>29</v>
      </c>
      <c r="P29" s="14" t="s">
        <v>485</v>
      </c>
      <c r="Q29" s="14" t="s">
        <v>505</v>
      </c>
      <c r="R29" s="14" t="s">
        <v>496</v>
      </c>
      <c r="S29" s="15">
        <v>7</v>
      </c>
      <c r="T29" s="15">
        <v>2.5</v>
      </c>
      <c r="U29" s="15">
        <v>0</v>
      </c>
      <c r="V29" s="14">
        <v>2978</v>
      </c>
      <c r="W29" s="12">
        <v>0</v>
      </c>
      <c r="X29" s="12">
        <v>0</v>
      </c>
      <c r="Y29" s="12">
        <v>2.42</v>
      </c>
      <c r="Z29" s="12">
        <v>2</v>
      </c>
      <c r="AA29" s="12">
        <v>0</v>
      </c>
      <c r="AB29" s="13">
        <f t="shared" si="0"/>
        <v>0</v>
      </c>
      <c r="AE29" s="12">
        <v>0</v>
      </c>
      <c r="AF29" s="12">
        <v>0</v>
      </c>
      <c r="AG29" s="12">
        <v>2.42</v>
      </c>
      <c r="AH29" s="12">
        <v>2</v>
      </c>
      <c r="AI29" s="12">
        <v>0</v>
      </c>
      <c r="AJ29" s="13">
        <f t="shared" si="1"/>
        <v>0</v>
      </c>
      <c r="AN29" s="12">
        <f t="shared" si="3"/>
        <v>13163</v>
      </c>
      <c r="AQ29" s="8" t="s">
        <v>418</v>
      </c>
      <c r="AR29" t="str">
        <f t="shared" si="2"/>
        <v>Noroeste - A07</v>
      </c>
    </row>
    <row r="30" spans="1:44" x14ac:dyDescent="0.2">
      <c r="A30" s="107" t="s">
        <v>6952</v>
      </c>
      <c r="B30" s="106" t="s">
        <v>6951</v>
      </c>
      <c r="C30" s="106" t="s">
        <v>6857</v>
      </c>
      <c r="D30" s="106" t="s">
        <v>4715</v>
      </c>
      <c r="E30" s="106" t="s">
        <v>6856</v>
      </c>
      <c r="F30" s="106" t="s">
        <v>490</v>
      </c>
      <c r="G30" s="106" t="s">
        <v>6950</v>
      </c>
      <c r="H30" s="105" t="s">
        <v>6949</v>
      </c>
      <c r="I30" s="105" t="s">
        <v>6948</v>
      </c>
      <c r="J30" s="104">
        <v>13.57</v>
      </c>
      <c r="K30" s="103" t="s">
        <v>427</v>
      </c>
      <c r="L30" s="102" t="s">
        <v>533</v>
      </c>
      <c r="M30" s="95"/>
      <c r="N30" s="14"/>
      <c r="O30" s="94">
        <v>29</v>
      </c>
      <c r="P30" s="14" t="s">
        <v>485</v>
      </c>
      <c r="Q30" s="14" t="s">
        <v>505</v>
      </c>
      <c r="R30" s="14" t="s">
        <v>585</v>
      </c>
      <c r="S30" s="15">
        <v>6.6</v>
      </c>
      <c r="T30" s="15">
        <v>1.5</v>
      </c>
      <c r="U30" s="15">
        <v>0</v>
      </c>
      <c r="V30" s="14">
        <v>2978</v>
      </c>
      <c r="W30" s="12">
        <v>0</v>
      </c>
      <c r="X30" s="12">
        <v>1</v>
      </c>
      <c r="Y30" s="12">
        <v>8.57</v>
      </c>
      <c r="Z30" s="12">
        <v>4</v>
      </c>
      <c r="AA30" s="12">
        <v>0</v>
      </c>
      <c r="AB30" s="13">
        <f t="shared" si="0"/>
        <v>0</v>
      </c>
      <c r="AE30" s="12">
        <v>0</v>
      </c>
      <c r="AF30" s="12">
        <v>1</v>
      </c>
      <c r="AG30" s="12">
        <v>8.57</v>
      </c>
      <c r="AH30" s="12">
        <v>4</v>
      </c>
      <c r="AI30" s="12">
        <v>0</v>
      </c>
      <c r="AJ30" s="13">
        <f t="shared" si="1"/>
        <v>0</v>
      </c>
      <c r="AN30" s="12">
        <f t="shared" si="3"/>
        <v>40412</v>
      </c>
      <c r="AQ30" s="8" t="s">
        <v>418</v>
      </c>
      <c r="AR30" t="str">
        <f t="shared" si="2"/>
        <v>Noroeste - A07</v>
      </c>
    </row>
    <row r="31" spans="1:44" x14ac:dyDescent="0.2">
      <c r="A31" s="107" t="s">
        <v>6947</v>
      </c>
      <c r="B31" s="106" t="s">
        <v>6946</v>
      </c>
      <c r="C31" s="106" t="s">
        <v>6857</v>
      </c>
      <c r="D31" s="106" t="s">
        <v>6941</v>
      </c>
      <c r="E31" s="106" t="s">
        <v>6945</v>
      </c>
      <c r="F31" s="106" t="s">
        <v>606</v>
      </c>
      <c r="G31" s="106" t="s">
        <v>6944</v>
      </c>
      <c r="H31" s="105" t="s">
        <v>979</v>
      </c>
      <c r="I31" s="105" t="s">
        <v>6934</v>
      </c>
      <c r="J31" s="104">
        <v>0.48</v>
      </c>
      <c r="K31" s="103" t="s">
        <v>427</v>
      </c>
      <c r="L31" s="102" t="s">
        <v>533</v>
      </c>
      <c r="M31" s="95"/>
      <c r="N31" s="14"/>
      <c r="O31" s="94">
        <v>29</v>
      </c>
      <c r="P31" s="14" t="s">
        <v>596</v>
      </c>
      <c r="Q31" s="14" t="s">
        <v>505</v>
      </c>
      <c r="R31" s="14" t="s">
        <v>585</v>
      </c>
      <c r="S31" s="15">
        <v>6.6</v>
      </c>
      <c r="T31" s="15">
        <v>1.5</v>
      </c>
      <c r="U31" s="15">
        <v>0</v>
      </c>
      <c r="V31" s="14">
        <v>2313</v>
      </c>
      <c r="W31" s="12">
        <v>0</v>
      </c>
      <c r="X31" s="12">
        <v>0</v>
      </c>
      <c r="Y31" s="12">
        <v>0</v>
      </c>
      <c r="Z31" s="12">
        <v>0.48</v>
      </c>
      <c r="AA31" s="12">
        <v>0</v>
      </c>
      <c r="AB31" s="13">
        <f t="shared" si="0"/>
        <v>0</v>
      </c>
      <c r="AE31" s="12">
        <v>0</v>
      </c>
      <c r="AF31" s="12">
        <v>0</v>
      </c>
      <c r="AG31" s="12">
        <v>0</v>
      </c>
      <c r="AH31" s="12">
        <v>0.48</v>
      </c>
      <c r="AI31" s="12">
        <v>0</v>
      </c>
      <c r="AJ31" s="13">
        <f t="shared" si="1"/>
        <v>0</v>
      </c>
      <c r="AN31" s="12">
        <f t="shared" si="3"/>
        <v>1111</v>
      </c>
      <c r="AQ31" s="8" t="s">
        <v>418</v>
      </c>
      <c r="AR31" t="str">
        <f t="shared" si="2"/>
        <v>Noroeste - A07</v>
      </c>
    </row>
    <row r="32" spans="1:44" x14ac:dyDescent="0.2">
      <c r="A32" s="107" t="s">
        <v>6943</v>
      </c>
      <c r="B32" s="106" t="s">
        <v>6942</v>
      </c>
      <c r="C32" s="106" t="s">
        <v>6857</v>
      </c>
      <c r="D32" s="106" t="s">
        <v>6941</v>
      </c>
      <c r="E32" s="106" t="s">
        <v>6940</v>
      </c>
      <c r="F32" s="106" t="s">
        <v>600</v>
      </c>
      <c r="G32" s="106" t="s">
        <v>6939</v>
      </c>
      <c r="H32" s="105" t="s">
        <v>979</v>
      </c>
      <c r="I32" s="105" t="s">
        <v>6934</v>
      </c>
      <c r="J32" s="104">
        <v>0.48</v>
      </c>
      <c r="K32" s="103" t="s">
        <v>427</v>
      </c>
      <c r="L32" s="102" t="s">
        <v>533</v>
      </c>
      <c r="M32" s="95"/>
      <c r="N32" s="14"/>
      <c r="O32" s="94">
        <v>29</v>
      </c>
      <c r="P32" s="14" t="s">
        <v>596</v>
      </c>
      <c r="Q32" s="14" t="s">
        <v>505</v>
      </c>
      <c r="R32" s="14" t="s">
        <v>585</v>
      </c>
      <c r="S32" s="15">
        <v>6.6</v>
      </c>
      <c r="T32" s="15">
        <v>1.5</v>
      </c>
      <c r="U32" s="15">
        <v>0</v>
      </c>
      <c r="V32" s="14">
        <v>2313</v>
      </c>
      <c r="W32" s="12">
        <v>0</v>
      </c>
      <c r="X32" s="12">
        <v>0</v>
      </c>
      <c r="Y32" s="12">
        <v>0</v>
      </c>
      <c r="Z32" s="12">
        <v>0.48</v>
      </c>
      <c r="AA32" s="12">
        <v>0</v>
      </c>
      <c r="AB32" s="13">
        <f t="shared" si="0"/>
        <v>0</v>
      </c>
      <c r="AE32" s="12">
        <v>0</v>
      </c>
      <c r="AF32" s="12">
        <v>0</v>
      </c>
      <c r="AG32" s="12">
        <v>0</v>
      </c>
      <c r="AH32" s="12">
        <v>0.48</v>
      </c>
      <c r="AI32" s="12">
        <v>0</v>
      </c>
      <c r="AJ32" s="13">
        <f t="shared" si="1"/>
        <v>0</v>
      </c>
      <c r="AN32" s="12">
        <f t="shared" si="3"/>
        <v>1111</v>
      </c>
      <c r="AQ32" s="8" t="s">
        <v>418</v>
      </c>
      <c r="AR32" t="str">
        <f t="shared" si="2"/>
        <v>Noroeste - A07</v>
      </c>
    </row>
    <row r="33" spans="1:44" x14ac:dyDescent="0.2">
      <c r="A33" s="107" t="s">
        <v>6938</v>
      </c>
      <c r="B33" s="106" t="s">
        <v>6937</v>
      </c>
      <c r="C33" s="106" t="s">
        <v>6857</v>
      </c>
      <c r="D33" s="106" t="s">
        <v>6936</v>
      </c>
      <c r="E33" s="106" t="s">
        <v>6856</v>
      </c>
      <c r="F33" s="106" t="s">
        <v>490</v>
      </c>
      <c r="G33" s="106" t="s">
        <v>6935</v>
      </c>
      <c r="H33" s="105" t="s">
        <v>6934</v>
      </c>
      <c r="I33" s="105" t="s">
        <v>6930</v>
      </c>
      <c r="J33" s="104">
        <v>2.36</v>
      </c>
      <c r="K33" s="103" t="s">
        <v>427</v>
      </c>
      <c r="L33" s="102" t="s">
        <v>533</v>
      </c>
      <c r="M33" s="95"/>
      <c r="N33" s="14"/>
      <c r="O33" s="94">
        <v>29</v>
      </c>
      <c r="P33" s="14" t="s">
        <v>485</v>
      </c>
      <c r="Q33" s="14" t="s">
        <v>887</v>
      </c>
      <c r="R33" s="14" t="s">
        <v>585</v>
      </c>
      <c r="S33" s="15">
        <v>6.6</v>
      </c>
      <c r="T33" s="15">
        <v>1.5</v>
      </c>
      <c r="U33" s="15">
        <v>0</v>
      </c>
      <c r="V33" s="14">
        <v>2978</v>
      </c>
      <c r="W33" s="12">
        <v>0</v>
      </c>
      <c r="X33" s="12">
        <v>0</v>
      </c>
      <c r="Y33" s="12">
        <v>2.36</v>
      </c>
      <c r="Z33" s="12">
        <v>0</v>
      </c>
      <c r="AA33" s="12">
        <v>0</v>
      </c>
      <c r="AB33" s="13">
        <f t="shared" si="0"/>
        <v>0</v>
      </c>
      <c r="AE33" s="12">
        <v>0</v>
      </c>
      <c r="AF33" s="12">
        <v>0</v>
      </c>
      <c r="AG33" s="12">
        <v>2.36</v>
      </c>
      <c r="AH33" s="12">
        <v>0</v>
      </c>
      <c r="AI33" s="12">
        <v>0</v>
      </c>
      <c r="AJ33" s="13">
        <f t="shared" si="1"/>
        <v>0</v>
      </c>
      <c r="AN33" s="12">
        <f t="shared" si="3"/>
        <v>7029</v>
      </c>
      <c r="AQ33" s="8" t="s">
        <v>418</v>
      </c>
      <c r="AR33" t="str">
        <f t="shared" si="2"/>
        <v>Noroeste - A07</v>
      </c>
    </row>
    <row r="34" spans="1:44" x14ac:dyDescent="0.2">
      <c r="A34" s="107" t="s">
        <v>6933</v>
      </c>
      <c r="B34" s="106" t="s">
        <v>6932</v>
      </c>
      <c r="C34" s="106" t="s">
        <v>6857</v>
      </c>
      <c r="D34" s="106" t="s">
        <v>4710</v>
      </c>
      <c r="E34" s="106" t="s">
        <v>6856</v>
      </c>
      <c r="F34" s="106" t="s">
        <v>490</v>
      </c>
      <c r="G34" s="106" t="s">
        <v>6931</v>
      </c>
      <c r="H34" s="105" t="s">
        <v>6930</v>
      </c>
      <c r="I34" s="105" t="s">
        <v>6926</v>
      </c>
      <c r="J34" s="104">
        <v>1.37</v>
      </c>
      <c r="K34" s="103" t="s">
        <v>427</v>
      </c>
      <c r="L34" s="102" t="s">
        <v>533</v>
      </c>
      <c r="M34" s="95"/>
      <c r="N34" s="14"/>
      <c r="O34" s="94">
        <v>29</v>
      </c>
      <c r="P34" s="14" t="s">
        <v>485</v>
      </c>
      <c r="Q34" s="14" t="s">
        <v>887</v>
      </c>
      <c r="R34" s="14" t="s">
        <v>585</v>
      </c>
      <c r="S34" s="15">
        <v>6.6</v>
      </c>
      <c r="T34" s="15">
        <v>1.5</v>
      </c>
      <c r="U34" s="15">
        <v>0</v>
      </c>
      <c r="V34" s="14">
        <v>2978</v>
      </c>
      <c r="W34" s="12">
        <v>0</v>
      </c>
      <c r="X34" s="12">
        <v>0</v>
      </c>
      <c r="Y34" s="12">
        <v>0</v>
      </c>
      <c r="Z34" s="12">
        <v>1.37</v>
      </c>
      <c r="AA34" s="12">
        <v>0</v>
      </c>
      <c r="AB34" s="13">
        <f t="shared" si="0"/>
        <v>0</v>
      </c>
      <c r="AE34" s="12">
        <v>0</v>
      </c>
      <c r="AF34" s="12">
        <v>0</v>
      </c>
      <c r="AG34" s="12">
        <v>0</v>
      </c>
      <c r="AH34" s="12">
        <v>1.37</v>
      </c>
      <c r="AI34" s="12">
        <v>0</v>
      </c>
      <c r="AJ34" s="13">
        <f t="shared" si="1"/>
        <v>0</v>
      </c>
      <c r="AN34" s="12">
        <f t="shared" si="3"/>
        <v>4080</v>
      </c>
      <c r="AQ34" s="8" t="s">
        <v>418</v>
      </c>
      <c r="AR34" t="str">
        <f t="shared" si="2"/>
        <v>Noroeste - A07</v>
      </c>
    </row>
    <row r="35" spans="1:44" x14ac:dyDescent="0.2">
      <c r="A35" s="107" t="s">
        <v>6929</v>
      </c>
      <c r="B35" s="106" t="s">
        <v>6928</v>
      </c>
      <c r="C35" s="106" t="s">
        <v>6857</v>
      </c>
      <c r="D35" s="106" t="s">
        <v>3524</v>
      </c>
      <c r="E35" s="106" t="s">
        <v>6865</v>
      </c>
      <c r="F35" s="106" t="s">
        <v>590</v>
      </c>
      <c r="G35" s="106" t="s">
        <v>6927</v>
      </c>
      <c r="H35" s="105" t="s">
        <v>6926</v>
      </c>
      <c r="I35" s="105" t="s">
        <v>6922</v>
      </c>
      <c r="J35" s="104">
        <v>3.25</v>
      </c>
      <c r="K35" s="103" t="s">
        <v>427</v>
      </c>
      <c r="L35" s="102" t="s">
        <v>533</v>
      </c>
      <c r="M35" s="95"/>
      <c r="N35" s="14"/>
      <c r="O35" s="94">
        <v>29</v>
      </c>
      <c r="P35" s="14" t="s">
        <v>586</v>
      </c>
      <c r="Q35" s="14" t="s">
        <v>887</v>
      </c>
      <c r="R35" s="14" t="s">
        <v>585</v>
      </c>
      <c r="S35" s="15">
        <v>14</v>
      </c>
      <c r="T35" s="15">
        <v>0</v>
      </c>
      <c r="U35" s="15">
        <v>0</v>
      </c>
      <c r="V35" s="14">
        <v>813</v>
      </c>
      <c r="W35" s="12">
        <v>0</v>
      </c>
      <c r="X35" s="12">
        <v>0</v>
      </c>
      <c r="Y35" s="12">
        <v>1</v>
      </c>
      <c r="Z35" s="12">
        <v>2.25</v>
      </c>
      <c r="AA35" s="12">
        <v>0</v>
      </c>
      <c r="AB35" s="13">
        <f t="shared" si="0"/>
        <v>0</v>
      </c>
      <c r="AE35" s="12">
        <v>0</v>
      </c>
      <c r="AF35" s="12">
        <v>0</v>
      </c>
      <c r="AG35" s="12">
        <v>1</v>
      </c>
      <c r="AH35" s="12">
        <v>2.25</v>
      </c>
      <c r="AI35" s="12">
        <v>0</v>
      </c>
      <c r="AJ35" s="13">
        <f t="shared" si="1"/>
        <v>0</v>
      </c>
      <c r="AN35" s="12">
        <f t="shared" si="3"/>
        <v>2643</v>
      </c>
      <c r="AQ35" s="8" t="s">
        <v>418</v>
      </c>
      <c r="AR35" t="str">
        <f t="shared" si="2"/>
        <v>Noroeste - A07</v>
      </c>
    </row>
    <row r="36" spans="1:44" x14ac:dyDescent="0.2">
      <c r="A36" s="107" t="s">
        <v>6925</v>
      </c>
      <c r="B36" s="106" t="s">
        <v>6924</v>
      </c>
      <c r="C36" s="106" t="s">
        <v>6857</v>
      </c>
      <c r="D36" s="106" t="s">
        <v>4705</v>
      </c>
      <c r="E36" s="106" t="s">
        <v>6856</v>
      </c>
      <c r="F36" s="106" t="s">
        <v>490</v>
      </c>
      <c r="G36" s="106" t="s">
        <v>6923</v>
      </c>
      <c r="H36" s="105" t="s">
        <v>6922</v>
      </c>
      <c r="I36" s="105" t="s">
        <v>2971</v>
      </c>
      <c r="J36" s="104">
        <v>18.89</v>
      </c>
      <c r="K36" s="103" t="s">
        <v>427</v>
      </c>
      <c r="L36" s="102" t="s">
        <v>533</v>
      </c>
      <c r="M36" s="95"/>
      <c r="N36" s="14"/>
      <c r="O36" s="94">
        <v>29</v>
      </c>
      <c r="P36" s="14" t="s">
        <v>485</v>
      </c>
      <c r="Q36" s="14" t="s">
        <v>505</v>
      </c>
      <c r="R36" s="14" t="s">
        <v>585</v>
      </c>
      <c r="S36" s="15">
        <v>6.6</v>
      </c>
      <c r="T36" s="15">
        <v>1.5</v>
      </c>
      <c r="U36" s="15">
        <v>0</v>
      </c>
      <c r="V36" s="14">
        <v>3068</v>
      </c>
      <c r="W36" s="12">
        <v>0</v>
      </c>
      <c r="X36" s="12">
        <v>0</v>
      </c>
      <c r="Y36" s="12">
        <v>0</v>
      </c>
      <c r="Z36" s="12">
        <v>18.89</v>
      </c>
      <c r="AA36" s="12">
        <v>0</v>
      </c>
      <c r="AB36" s="13">
        <f t="shared" si="0"/>
        <v>0</v>
      </c>
      <c r="AE36" s="12">
        <v>0</v>
      </c>
      <c r="AF36" s="12">
        <v>0</v>
      </c>
      <c r="AG36" s="12">
        <v>0</v>
      </c>
      <c r="AH36" s="12">
        <v>18.89</v>
      </c>
      <c r="AI36" s="12">
        <v>0</v>
      </c>
      <c r="AJ36" s="13">
        <f t="shared" si="1"/>
        <v>0</v>
      </c>
      <c r="AN36" s="12">
        <f t="shared" si="3"/>
        <v>57955</v>
      </c>
      <c r="AQ36" s="8" t="s">
        <v>418</v>
      </c>
      <c r="AR36" t="str">
        <f t="shared" si="2"/>
        <v>Noroeste - A07</v>
      </c>
    </row>
    <row r="37" spans="1:44" x14ac:dyDescent="0.2">
      <c r="A37" s="107" t="s">
        <v>6921</v>
      </c>
      <c r="B37" s="106" t="s">
        <v>6920</v>
      </c>
      <c r="C37" s="106" t="s">
        <v>6857</v>
      </c>
      <c r="D37" s="106" t="s">
        <v>4700</v>
      </c>
      <c r="E37" s="106" t="s">
        <v>6865</v>
      </c>
      <c r="F37" s="106" t="s">
        <v>590</v>
      </c>
      <c r="G37" s="106" t="s">
        <v>6919</v>
      </c>
      <c r="H37" s="105" t="s">
        <v>2971</v>
      </c>
      <c r="I37" s="105" t="s">
        <v>2853</v>
      </c>
      <c r="J37" s="104">
        <v>0.51</v>
      </c>
      <c r="K37" s="103" t="s">
        <v>427</v>
      </c>
      <c r="L37" s="102" t="s">
        <v>533</v>
      </c>
      <c r="M37" s="95"/>
      <c r="N37" s="14"/>
      <c r="O37" s="94">
        <v>29</v>
      </c>
      <c r="P37" s="14" t="s">
        <v>586</v>
      </c>
      <c r="Q37" s="14" t="s">
        <v>505</v>
      </c>
      <c r="R37" s="14" t="s">
        <v>585</v>
      </c>
      <c r="S37" s="15">
        <v>14</v>
      </c>
      <c r="T37" s="15">
        <v>0</v>
      </c>
      <c r="U37" s="15">
        <v>0</v>
      </c>
      <c r="V37" s="14">
        <v>813</v>
      </c>
      <c r="W37" s="12">
        <v>0</v>
      </c>
      <c r="X37" s="12">
        <v>0</v>
      </c>
      <c r="Y37" s="12">
        <v>0</v>
      </c>
      <c r="Z37" s="12">
        <v>0.51</v>
      </c>
      <c r="AA37" s="12">
        <v>0</v>
      </c>
      <c r="AB37" s="13">
        <f t="shared" si="0"/>
        <v>0</v>
      </c>
      <c r="AE37" s="12">
        <v>0</v>
      </c>
      <c r="AF37" s="12">
        <v>0</v>
      </c>
      <c r="AG37" s="12">
        <v>0</v>
      </c>
      <c r="AH37" s="12">
        <v>0.51</v>
      </c>
      <c r="AI37" s="12">
        <v>0</v>
      </c>
      <c r="AJ37" s="13">
        <f t="shared" si="1"/>
        <v>0</v>
      </c>
      <c r="AN37" s="12">
        <f t="shared" si="3"/>
        <v>415</v>
      </c>
      <c r="AQ37" s="8" t="s">
        <v>418</v>
      </c>
      <c r="AR37" t="str">
        <f t="shared" si="2"/>
        <v>Noroeste - A07</v>
      </c>
    </row>
    <row r="38" spans="1:44" x14ac:dyDescent="0.2">
      <c r="A38" s="107" t="s">
        <v>6918</v>
      </c>
      <c r="B38" s="106" t="s">
        <v>6917</v>
      </c>
      <c r="C38" s="106" t="s">
        <v>6857</v>
      </c>
      <c r="D38" s="106" t="s">
        <v>5405</v>
      </c>
      <c r="E38" s="106" t="s">
        <v>6856</v>
      </c>
      <c r="F38" s="106" t="s">
        <v>490</v>
      </c>
      <c r="G38" s="106" t="s">
        <v>6916</v>
      </c>
      <c r="H38" s="105" t="s">
        <v>2853</v>
      </c>
      <c r="I38" s="105" t="s">
        <v>6912</v>
      </c>
      <c r="J38" s="104">
        <v>3.21</v>
      </c>
      <c r="K38" s="103" t="s">
        <v>427</v>
      </c>
      <c r="L38" s="102" t="s">
        <v>533</v>
      </c>
      <c r="M38" s="95"/>
      <c r="N38" s="14"/>
      <c r="O38" s="94">
        <v>29</v>
      </c>
      <c r="P38" s="14" t="s">
        <v>485</v>
      </c>
      <c r="Q38" s="14" t="s">
        <v>505</v>
      </c>
      <c r="R38" s="14" t="s">
        <v>585</v>
      </c>
      <c r="S38" s="15">
        <v>6.6</v>
      </c>
      <c r="T38" s="15">
        <v>1.5</v>
      </c>
      <c r="U38" s="15">
        <v>0</v>
      </c>
      <c r="V38" s="14">
        <v>1636</v>
      </c>
      <c r="W38" s="12">
        <v>0</v>
      </c>
      <c r="X38" s="12">
        <v>0</v>
      </c>
      <c r="Y38" s="12">
        <v>0</v>
      </c>
      <c r="Z38" s="12">
        <v>3.21</v>
      </c>
      <c r="AA38" s="12">
        <v>0</v>
      </c>
      <c r="AB38" s="13">
        <f t="shared" si="0"/>
        <v>0</v>
      </c>
      <c r="AE38" s="12">
        <v>0</v>
      </c>
      <c r="AF38" s="12">
        <v>0</v>
      </c>
      <c r="AG38" s="12">
        <v>0</v>
      </c>
      <c r="AH38" s="12">
        <v>3.21</v>
      </c>
      <c r="AI38" s="12">
        <v>0</v>
      </c>
      <c r="AJ38" s="13">
        <f t="shared" si="1"/>
        <v>0</v>
      </c>
      <c r="AN38" s="12">
        <f t="shared" si="3"/>
        <v>5252</v>
      </c>
      <c r="AQ38" s="8" t="s">
        <v>418</v>
      </c>
      <c r="AR38" t="str">
        <f t="shared" si="2"/>
        <v>Noroeste - A07</v>
      </c>
    </row>
    <row r="39" spans="1:44" x14ac:dyDescent="0.2">
      <c r="A39" s="107" t="s">
        <v>6915</v>
      </c>
      <c r="B39" s="106" t="s">
        <v>6914</v>
      </c>
      <c r="C39" s="106" t="s">
        <v>6857</v>
      </c>
      <c r="D39" s="106" t="s">
        <v>4685</v>
      </c>
      <c r="E39" s="106" t="s">
        <v>6856</v>
      </c>
      <c r="F39" s="106" t="s">
        <v>490</v>
      </c>
      <c r="G39" s="106" t="s">
        <v>6913</v>
      </c>
      <c r="H39" s="105" t="s">
        <v>6912</v>
      </c>
      <c r="I39" s="105" t="s">
        <v>6907</v>
      </c>
      <c r="J39" s="104">
        <v>12.51</v>
      </c>
      <c r="K39" s="103" t="s">
        <v>427</v>
      </c>
      <c r="L39" s="102" t="s">
        <v>533</v>
      </c>
      <c r="M39" s="95"/>
      <c r="N39" s="14"/>
      <c r="O39" s="94">
        <v>29</v>
      </c>
      <c r="P39" s="14" t="s">
        <v>485</v>
      </c>
      <c r="Q39" s="14" t="s">
        <v>505</v>
      </c>
      <c r="R39" s="14" t="s">
        <v>585</v>
      </c>
      <c r="S39" s="15">
        <v>7.2</v>
      </c>
      <c r="T39" s="15">
        <v>0</v>
      </c>
      <c r="U39" s="15">
        <v>0</v>
      </c>
      <c r="V39" s="14">
        <v>372</v>
      </c>
      <c r="W39" s="12">
        <v>0</v>
      </c>
      <c r="X39" s="12">
        <v>0</v>
      </c>
      <c r="Y39" s="12">
        <v>9</v>
      </c>
      <c r="Z39" s="12">
        <v>3.51</v>
      </c>
      <c r="AA39" s="12">
        <v>0</v>
      </c>
      <c r="AB39" s="13">
        <f t="shared" si="0"/>
        <v>0</v>
      </c>
      <c r="AE39" s="12">
        <v>0</v>
      </c>
      <c r="AF39" s="12">
        <v>0</v>
      </c>
      <c r="AG39" s="12">
        <v>9</v>
      </c>
      <c r="AH39" s="12">
        <v>3.51</v>
      </c>
      <c r="AI39" s="12">
        <v>0</v>
      </c>
      <c r="AJ39" s="13">
        <f t="shared" si="1"/>
        <v>0</v>
      </c>
      <c r="AN39" s="12">
        <f t="shared" si="3"/>
        <v>4654</v>
      </c>
      <c r="AQ39" s="8" t="s">
        <v>418</v>
      </c>
      <c r="AR39" t="str">
        <f t="shared" si="2"/>
        <v>Noroeste - A07</v>
      </c>
    </row>
    <row r="40" spans="1:44" x14ac:dyDescent="0.2">
      <c r="A40" s="107" t="s">
        <v>6911</v>
      </c>
      <c r="B40" s="106" t="s">
        <v>6910</v>
      </c>
      <c r="C40" s="106" t="s">
        <v>6857</v>
      </c>
      <c r="D40" s="106" t="s">
        <v>6909</v>
      </c>
      <c r="E40" s="106" t="s">
        <v>6865</v>
      </c>
      <c r="F40" s="106" t="s">
        <v>590</v>
      </c>
      <c r="G40" s="106" t="s">
        <v>6908</v>
      </c>
      <c r="H40" s="105" t="s">
        <v>6907</v>
      </c>
      <c r="I40" s="105" t="s">
        <v>6906</v>
      </c>
      <c r="J40" s="104">
        <v>0.36</v>
      </c>
      <c r="K40" s="103" t="s">
        <v>427</v>
      </c>
      <c r="L40" s="102" t="s">
        <v>533</v>
      </c>
      <c r="M40" s="95"/>
      <c r="N40" s="14"/>
      <c r="O40" s="94">
        <v>29</v>
      </c>
      <c r="P40" s="14" t="s">
        <v>586</v>
      </c>
      <c r="Q40" s="14" t="s">
        <v>561</v>
      </c>
      <c r="R40" s="14" t="s">
        <v>585</v>
      </c>
      <c r="S40" s="15">
        <v>14</v>
      </c>
      <c r="T40" s="15">
        <v>0</v>
      </c>
      <c r="U40" s="15">
        <v>0</v>
      </c>
      <c r="V40" s="14">
        <v>325</v>
      </c>
      <c r="W40" s="12">
        <v>0</v>
      </c>
      <c r="X40" s="12">
        <v>0</v>
      </c>
      <c r="Y40" s="12">
        <v>0</v>
      </c>
      <c r="Z40" s="12">
        <v>0.36</v>
      </c>
      <c r="AA40" s="12">
        <v>0</v>
      </c>
      <c r="AB40" s="13">
        <f t="shared" si="0"/>
        <v>0</v>
      </c>
      <c r="AE40" s="12">
        <v>0</v>
      </c>
      <c r="AF40" s="12">
        <v>0</v>
      </c>
      <c r="AG40" s="12">
        <v>0</v>
      </c>
      <c r="AH40" s="12">
        <v>0.36</v>
      </c>
      <c r="AI40" s="12">
        <v>0</v>
      </c>
      <c r="AJ40" s="13">
        <f t="shared" si="1"/>
        <v>0</v>
      </c>
      <c r="AN40" s="12">
        <f t="shared" si="3"/>
        <v>117</v>
      </c>
      <c r="AQ40" s="8" t="s">
        <v>418</v>
      </c>
      <c r="AR40" t="str">
        <f t="shared" si="2"/>
        <v>Noroeste - A07</v>
      </c>
    </row>
    <row r="41" spans="1:44" x14ac:dyDescent="0.2">
      <c r="A41" s="107" t="s">
        <v>6905</v>
      </c>
      <c r="B41" s="106" t="s">
        <v>6904</v>
      </c>
      <c r="C41" s="106" t="s">
        <v>6857</v>
      </c>
      <c r="D41" s="106" t="s">
        <v>6903</v>
      </c>
      <c r="E41" s="106" t="s">
        <v>6856</v>
      </c>
      <c r="F41" s="106" t="s">
        <v>490</v>
      </c>
      <c r="G41" s="106" t="s">
        <v>6902</v>
      </c>
      <c r="H41" s="105" t="s">
        <v>6901</v>
      </c>
      <c r="I41" s="105" t="s">
        <v>1029</v>
      </c>
      <c r="J41" s="104">
        <v>11.5</v>
      </c>
      <c r="K41" s="103" t="s">
        <v>430</v>
      </c>
      <c r="L41" s="102" t="s">
        <v>533</v>
      </c>
      <c r="M41" s="95"/>
      <c r="N41" s="14"/>
      <c r="O41" s="94">
        <v>32</v>
      </c>
      <c r="P41" s="14" t="s">
        <v>485</v>
      </c>
      <c r="Q41" s="14" t="s">
        <v>947</v>
      </c>
      <c r="R41" s="14" t="s">
        <v>496</v>
      </c>
      <c r="S41" s="15">
        <v>7.2</v>
      </c>
      <c r="T41" s="15">
        <v>0</v>
      </c>
      <c r="U41" s="15">
        <v>0</v>
      </c>
      <c r="V41" s="14">
        <v>982</v>
      </c>
      <c r="W41" s="12">
        <v>0</v>
      </c>
      <c r="X41" s="12">
        <v>1</v>
      </c>
      <c r="Y41" s="12">
        <v>7.5</v>
      </c>
      <c r="Z41" s="12">
        <v>3</v>
      </c>
      <c r="AA41" s="12">
        <v>0</v>
      </c>
      <c r="AB41" s="13">
        <f t="shared" si="0"/>
        <v>0</v>
      </c>
      <c r="AE41" s="12">
        <v>0</v>
      </c>
      <c r="AF41" s="12">
        <v>1</v>
      </c>
      <c r="AG41" s="12">
        <v>7.5</v>
      </c>
      <c r="AH41" s="12">
        <v>3</v>
      </c>
      <c r="AI41" s="12">
        <v>0</v>
      </c>
      <c r="AJ41" s="13">
        <f t="shared" si="1"/>
        <v>0</v>
      </c>
      <c r="AN41" s="12">
        <f t="shared" si="3"/>
        <v>11293</v>
      </c>
      <c r="AQ41" s="8" t="s">
        <v>418</v>
      </c>
      <c r="AR41" t="str">
        <f t="shared" si="2"/>
        <v>Noroeste - A10</v>
      </c>
    </row>
    <row r="42" spans="1:44" x14ac:dyDescent="0.2">
      <c r="A42" s="107" t="s">
        <v>6900</v>
      </c>
      <c r="B42" s="106" t="s">
        <v>6899</v>
      </c>
      <c r="C42" s="106" t="s">
        <v>6857</v>
      </c>
      <c r="D42" s="106" t="s">
        <v>6898</v>
      </c>
      <c r="E42" s="106" t="s">
        <v>6865</v>
      </c>
      <c r="F42" s="106" t="s">
        <v>590</v>
      </c>
      <c r="G42" s="106" t="s">
        <v>6897</v>
      </c>
      <c r="H42" s="105" t="s">
        <v>1028</v>
      </c>
      <c r="I42" s="105" t="s">
        <v>6896</v>
      </c>
      <c r="J42" s="104">
        <v>0.97</v>
      </c>
      <c r="K42" s="103" t="s">
        <v>430</v>
      </c>
      <c r="L42" s="102" t="s">
        <v>533</v>
      </c>
      <c r="M42" s="95"/>
      <c r="N42" s="14"/>
      <c r="O42" s="94">
        <v>32</v>
      </c>
      <c r="P42" s="14" t="s">
        <v>586</v>
      </c>
      <c r="Q42" s="14" t="s">
        <v>561</v>
      </c>
      <c r="R42" s="14" t="s">
        <v>585</v>
      </c>
      <c r="S42" s="15">
        <v>14</v>
      </c>
      <c r="T42" s="15">
        <v>0</v>
      </c>
      <c r="U42" s="15">
        <v>0</v>
      </c>
      <c r="V42" s="14">
        <v>325</v>
      </c>
      <c r="W42" s="12">
        <v>0</v>
      </c>
      <c r="X42" s="12">
        <v>0</v>
      </c>
      <c r="Y42" s="12">
        <v>0.97</v>
      </c>
      <c r="Z42" s="12">
        <v>0</v>
      </c>
      <c r="AA42" s="12">
        <v>0</v>
      </c>
      <c r="AB42" s="13">
        <f t="shared" si="0"/>
        <v>0</v>
      </c>
      <c r="AE42" s="12">
        <v>0</v>
      </c>
      <c r="AF42" s="12">
        <v>0</v>
      </c>
      <c r="AG42" s="12">
        <v>0.97</v>
      </c>
      <c r="AH42" s="12">
        <v>0</v>
      </c>
      <c r="AI42" s="12">
        <v>0</v>
      </c>
      <c r="AJ42" s="13">
        <f t="shared" si="1"/>
        <v>0</v>
      </c>
      <c r="AN42" s="12">
        <f t="shared" si="3"/>
        <v>316</v>
      </c>
      <c r="AQ42" s="8" t="s">
        <v>418</v>
      </c>
      <c r="AR42" t="str">
        <f t="shared" si="2"/>
        <v>Noroeste - A10</v>
      </c>
    </row>
    <row r="43" spans="1:44" x14ac:dyDescent="0.2">
      <c r="A43" s="107" t="s">
        <v>6895</v>
      </c>
      <c r="B43" s="106" t="s">
        <v>6894</v>
      </c>
      <c r="C43" s="106" t="s">
        <v>6857</v>
      </c>
      <c r="D43" s="106" t="s">
        <v>6893</v>
      </c>
      <c r="E43" s="106" t="s">
        <v>6856</v>
      </c>
      <c r="F43" s="106" t="s">
        <v>490</v>
      </c>
      <c r="G43" s="106" t="s">
        <v>6892</v>
      </c>
      <c r="H43" s="105" t="s">
        <v>6891</v>
      </c>
      <c r="I43" s="105" t="s">
        <v>6886</v>
      </c>
      <c r="J43" s="104">
        <v>8.4600000000000009</v>
      </c>
      <c r="K43" s="103" t="s">
        <v>430</v>
      </c>
      <c r="L43" s="102" t="s">
        <v>533</v>
      </c>
      <c r="M43" s="95"/>
      <c r="N43" s="14"/>
      <c r="O43" s="94">
        <v>32</v>
      </c>
      <c r="P43" s="14" t="s">
        <v>485</v>
      </c>
      <c r="Q43" s="14" t="s">
        <v>947</v>
      </c>
      <c r="R43" s="14" t="s">
        <v>496</v>
      </c>
      <c r="S43" s="15">
        <v>7.2</v>
      </c>
      <c r="T43" s="15">
        <v>0</v>
      </c>
      <c r="U43" s="15">
        <v>0</v>
      </c>
      <c r="V43" s="14">
        <v>1970</v>
      </c>
      <c r="W43" s="12">
        <v>0</v>
      </c>
      <c r="X43" s="12">
        <v>0</v>
      </c>
      <c r="Y43" s="12">
        <v>5.4600000000000009</v>
      </c>
      <c r="Z43" s="12">
        <v>3</v>
      </c>
      <c r="AA43" s="12">
        <v>0</v>
      </c>
      <c r="AB43" s="13">
        <f t="shared" si="0"/>
        <v>0</v>
      </c>
      <c r="AE43" s="12">
        <v>0</v>
      </c>
      <c r="AF43" s="12">
        <v>0</v>
      </c>
      <c r="AG43" s="12">
        <v>5.4600000000000009</v>
      </c>
      <c r="AH43" s="12">
        <v>3</v>
      </c>
      <c r="AI43" s="12">
        <v>0</v>
      </c>
      <c r="AJ43" s="13">
        <f t="shared" si="1"/>
        <v>0</v>
      </c>
      <c r="AN43" s="12">
        <f t="shared" si="3"/>
        <v>16667</v>
      </c>
      <c r="AQ43" s="8" t="s">
        <v>418</v>
      </c>
      <c r="AR43" t="str">
        <f t="shared" si="2"/>
        <v>Noroeste - A10</v>
      </c>
    </row>
    <row r="44" spans="1:44" x14ac:dyDescent="0.2">
      <c r="A44" s="107" t="s">
        <v>6890</v>
      </c>
      <c r="B44" s="106" t="s">
        <v>6889</v>
      </c>
      <c r="C44" s="106" t="s">
        <v>6857</v>
      </c>
      <c r="D44" s="106" t="s">
        <v>6888</v>
      </c>
      <c r="E44" s="106" t="s">
        <v>6865</v>
      </c>
      <c r="F44" s="106" t="s">
        <v>590</v>
      </c>
      <c r="G44" s="106" t="s">
        <v>6887</v>
      </c>
      <c r="H44" s="105" t="s">
        <v>6886</v>
      </c>
      <c r="I44" s="105" t="s">
        <v>5927</v>
      </c>
      <c r="J44" s="104">
        <v>0.34</v>
      </c>
      <c r="K44" s="103" t="s">
        <v>430</v>
      </c>
      <c r="L44" s="102" t="s">
        <v>533</v>
      </c>
      <c r="M44" s="95"/>
      <c r="N44" s="14"/>
      <c r="O44" s="94">
        <v>32</v>
      </c>
      <c r="P44" s="14" t="s">
        <v>586</v>
      </c>
      <c r="Q44" s="14" t="s">
        <v>561</v>
      </c>
      <c r="R44" s="14" t="s">
        <v>496</v>
      </c>
      <c r="S44" s="15">
        <v>14</v>
      </c>
      <c r="T44" s="15">
        <v>0</v>
      </c>
      <c r="U44" s="15">
        <v>0</v>
      </c>
      <c r="V44" s="14">
        <v>210</v>
      </c>
      <c r="W44" s="12">
        <v>0</v>
      </c>
      <c r="X44" s="12">
        <v>0</v>
      </c>
      <c r="Y44" s="12">
        <v>0</v>
      </c>
      <c r="Z44" s="12">
        <v>0.34</v>
      </c>
      <c r="AA44" s="12">
        <v>0</v>
      </c>
      <c r="AB44" s="13">
        <f t="shared" si="0"/>
        <v>0</v>
      </c>
      <c r="AE44" s="12">
        <v>0</v>
      </c>
      <c r="AF44" s="12">
        <v>0</v>
      </c>
      <c r="AG44" s="12">
        <v>0</v>
      </c>
      <c r="AH44" s="12">
        <v>0.34</v>
      </c>
      <c r="AI44" s="12">
        <v>0</v>
      </c>
      <c r="AJ44" s="13">
        <f t="shared" si="1"/>
        <v>0</v>
      </c>
      <c r="AN44" s="12">
        <f t="shared" si="3"/>
        <v>72</v>
      </c>
      <c r="AQ44" s="8" t="s">
        <v>418</v>
      </c>
      <c r="AR44" t="str">
        <f t="shared" si="2"/>
        <v>Noroeste - A10</v>
      </c>
    </row>
    <row r="45" spans="1:44" x14ac:dyDescent="0.2">
      <c r="A45" s="107" t="s">
        <v>6885</v>
      </c>
      <c r="B45" s="106" t="s">
        <v>6884</v>
      </c>
      <c r="C45" s="106" t="s">
        <v>6857</v>
      </c>
      <c r="D45" s="106" t="s">
        <v>6883</v>
      </c>
      <c r="E45" s="106" t="s">
        <v>6865</v>
      </c>
      <c r="F45" s="106" t="s">
        <v>590</v>
      </c>
      <c r="G45" s="106" t="s">
        <v>6882</v>
      </c>
      <c r="H45" s="105" t="s">
        <v>5927</v>
      </c>
      <c r="I45" s="105" t="s">
        <v>5922</v>
      </c>
      <c r="J45" s="104">
        <v>0.64</v>
      </c>
      <c r="K45" s="103" t="s">
        <v>430</v>
      </c>
      <c r="L45" s="102" t="s">
        <v>533</v>
      </c>
      <c r="M45" s="95"/>
      <c r="N45" s="14"/>
      <c r="O45" s="94">
        <v>32</v>
      </c>
      <c r="P45" s="14" t="s">
        <v>586</v>
      </c>
      <c r="Q45" s="14" t="s">
        <v>561</v>
      </c>
      <c r="R45" s="14" t="s">
        <v>496</v>
      </c>
      <c r="S45" s="15">
        <v>7.2</v>
      </c>
      <c r="T45" s="15">
        <v>0</v>
      </c>
      <c r="U45" s="15">
        <v>0</v>
      </c>
      <c r="V45" s="14">
        <v>210</v>
      </c>
      <c r="W45" s="12">
        <v>0</v>
      </c>
      <c r="X45" s="12">
        <v>0</v>
      </c>
      <c r="Y45" s="12">
        <v>0</v>
      </c>
      <c r="Z45" s="12">
        <v>0.64</v>
      </c>
      <c r="AA45" s="12">
        <v>0</v>
      </c>
      <c r="AB45" s="13">
        <f t="shared" si="0"/>
        <v>0</v>
      </c>
      <c r="AE45" s="12">
        <v>0</v>
      </c>
      <c r="AF45" s="12">
        <v>0</v>
      </c>
      <c r="AG45" s="12">
        <v>0</v>
      </c>
      <c r="AH45" s="12">
        <v>0.64</v>
      </c>
      <c r="AI45" s="12">
        <v>0</v>
      </c>
      <c r="AJ45" s="13">
        <f t="shared" si="1"/>
        <v>0</v>
      </c>
      <c r="AN45" s="12">
        <f t="shared" si="3"/>
        <v>135</v>
      </c>
      <c r="AQ45" s="8" t="s">
        <v>418</v>
      </c>
      <c r="AR45" t="str">
        <f t="shared" si="2"/>
        <v>Noroeste - A10</v>
      </c>
    </row>
    <row r="46" spans="1:44" x14ac:dyDescent="0.2">
      <c r="A46" s="107" t="s">
        <v>6881</v>
      </c>
      <c r="B46" s="106" t="s">
        <v>6880</v>
      </c>
      <c r="C46" s="106" t="s">
        <v>6857</v>
      </c>
      <c r="D46" s="106" t="s">
        <v>6879</v>
      </c>
      <c r="E46" s="106" t="s">
        <v>6856</v>
      </c>
      <c r="F46" s="106" t="s">
        <v>490</v>
      </c>
      <c r="G46" s="106" t="s">
        <v>6878</v>
      </c>
      <c r="H46" s="105" t="s">
        <v>5922</v>
      </c>
      <c r="I46" s="105" t="s">
        <v>6873</v>
      </c>
      <c r="J46" s="104">
        <v>3.47</v>
      </c>
      <c r="K46" s="103" t="s">
        <v>430</v>
      </c>
      <c r="L46" s="102" t="s">
        <v>533</v>
      </c>
      <c r="M46" s="95"/>
      <c r="N46" s="14"/>
      <c r="O46" s="94">
        <v>32</v>
      </c>
      <c r="P46" s="14" t="s">
        <v>485</v>
      </c>
      <c r="Q46" s="14" t="s">
        <v>947</v>
      </c>
      <c r="R46" s="14" t="s">
        <v>496</v>
      </c>
      <c r="S46" s="15">
        <v>7</v>
      </c>
      <c r="T46" s="15">
        <v>0.5</v>
      </c>
      <c r="U46" s="15">
        <v>0</v>
      </c>
      <c r="V46" s="14">
        <v>2984</v>
      </c>
      <c r="W46" s="12">
        <v>0</v>
      </c>
      <c r="X46" s="12">
        <v>0</v>
      </c>
      <c r="Y46" s="12">
        <v>0</v>
      </c>
      <c r="Z46" s="12">
        <v>3.47</v>
      </c>
      <c r="AA46" s="12">
        <v>0</v>
      </c>
      <c r="AB46" s="13">
        <f t="shared" si="0"/>
        <v>0</v>
      </c>
      <c r="AE46" s="12">
        <v>0</v>
      </c>
      <c r="AF46" s="12">
        <v>0</v>
      </c>
      <c r="AG46" s="12">
        <v>0</v>
      </c>
      <c r="AH46" s="12">
        <v>3.47</v>
      </c>
      <c r="AI46" s="12">
        <v>0</v>
      </c>
      <c r="AJ46" s="13">
        <f t="shared" si="1"/>
        <v>0</v>
      </c>
      <c r="AN46" s="12">
        <f t="shared" si="3"/>
        <v>10355</v>
      </c>
      <c r="AQ46" s="8" t="s">
        <v>418</v>
      </c>
      <c r="AR46" t="str">
        <f t="shared" si="2"/>
        <v>Noroeste - A10</v>
      </c>
    </row>
    <row r="47" spans="1:44" x14ac:dyDescent="0.2">
      <c r="A47" s="107" t="s">
        <v>6877</v>
      </c>
      <c r="B47" s="106" t="s">
        <v>6876</v>
      </c>
      <c r="C47" s="106" t="s">
        <v>6857</v>
      </c>
      <c r="D47" s="106" t="s">
        <v>6875</v>
      </c>
      <c r="E47" s="106" t="s">
        <v>6856</v>
      </c>
      <c r="F47" s="106" t="s">
        <v>490</v>
      </c>
      <c r="G47" s="106" t="s">
        <v>6874</v>
      </c>
      <c r="H47" s="105" t="s">
        <v>6873</v>
      </c>
      <c r="I47" s="105" t="s">
        <v>6868</v>
      </c>
      <c r="J47" s="104">
        <v>20.71</v>
      </c>
      <c r="K47" s="103" t="s">
        <v>430</v>
      </c>
      <c r="L47" s="102" t="s">
        <v>533</v>
      </c>
      <c r="M47" s="95"/>
      <c r="N47" s="14"/>
      <c r="O47" s="94">
        <v>32</v>
      </c>
      <c r="P47" s="14" t="s">
        <v>485</v>
      </c>
      <c r="Q47" s="14" t="s">
        <v>947</v>
      </c>
      <c r="R47" s="14" t="s">
        <v>496</v>
      </c>
      <c r="S47" s="15">
        <v>7</v>
      </c>
      <c r="T47" s="15">
        <v>0.5</v>
      </c>
      <c r="U47" s="15">
        <v>0</v>
      </c>
      <c r="V47" s="14">
        <v>1837</v>
      </c>
      <c r="W47" s="12">
        <v>0</v>
      </c>
      <c r="X47" s="12">
        <v>0</v>
      </c>
      <c r="Y47" s="12">
        <v>0</v>
      </c>
      <c r="Z47" s="12">
        <v>20.71</v>
      </c>
      <c r="AA47" s="12">
        <v>0</v>
      </c>
      <c r="AB47" s="13">
        <f t="shared" si="0"/>
        <v>0</v>
      </c>
      <c r="AE47" s="12">
        <v>0</v>
      </c>
      <c r="AF47" s="12">
        <v>0</v>
      </c>
      <c r="AG47" s="12">
        <v>0</v>
      </c>
      <c r="AH47" s="12">
        <v>20.71</v>
      </c>
      <c r="AI47" s="12">
        <v>0</v>
      </c>
      <c r="AJ47" s="13">
        <f t="shared" si="1"/>
        <v>0</v>
      </c>
      <c r="AN47" s="12">
        <f t="shared" si="3"/>
        <v>38045</v>
      </c>
      <c r="AQ47" s="8" t="s">
        <v>418</v>
      </c>
      <c r="AR47" t="str">
        <f t="shared" si="2"/>
        <v>Noroeste - A10</v>
      </c>
    </row>
    <row r="48" spans="1:44" x14ac:dyDescent="0.2">
      <c r="A48" s="107" t="s">
        <v>6872</v>
      </c>
      <c r="B48" s="106" t="s">
        <v>6871</v>
      </c>
      <c r="C48" s="106" t="s">
        <v>6857</v>
      </c>
      <c r="D48" s="106" t="s">
        <v>6870</v>
      </c>
      <c r="E48" s="106" t="s">
        <v>6856</v>
      </c>
      <c r="F48" s="106" t="s">
        <v>490</v>
      </c>
      <c r="G48" s="106" t="s">
        <v>6869</v>
      </c>
      <c r="H48" s="105" t="s">
        <v>6868</v>
      </c>
      <c r="I48" s="105" t="s">
        <v>993</v>
      </c>
      <c r="J48" s="104">
        <v>3.94</v>
      </c>
      <c r="K48" s="103" t="s">
        <v>430</v>
      </c>
      <c r="L48" s="102" t="s">
        <v>533</v>
      </c>
      <c r="M48" s="95"/>
      <c r="N48" s="14"/>
      <c r="O48" s="94">
        <v>32</v>
      </c>
      <c r="P48" s="14" t="s">
        <v>485</v>
      </c>
      <c r="Q48" s="14" t="s">
        <v>947</v>
      </c>
      <c r="R48" s="14" t="s">
        <v>496</v>
      </c>
      <c r="S48" s="15">
        <v>14</v>
      </c>
      <c r="T48" s="15">
        <v>0.5</v>
      </c>
      <c r="U48" s="15">
        <v>0</v>
      </c>
      <c r="V48" s="14">
        <v>2984</v>
      </c>
      <c r="W48" s="12">
        <v>0</v>
      </c>
      <c r="X48" s="12">
        <v>0</v>
      </c>
      <c r="Y48" s="12">
        <v>0</v>
      </c>
      <c r="Z48" s="12">
        <v>3.94</v>
      </c>
      <c r="AA48" s="12">
        <v>0</v>
      </c>
      <c r="AB48" s="13">
        <f t="shared" si="0"/>
        <v>0</v>
      </c>
      <c r="AE48" s="12">
        <v>0</v>
      </c>
      <c r="AF48" s="12">
        <v>0</v>
      </c>
      <c r="AG48" s="12">
        <v>0</v>
      </c>
      <c r="AH48" s="12">
        <v>3.94</v>
      </c>
      <c r="AI48" s="12">
        <v>0</v>
      </c>
      <c r="AJ48" s="13">
        <f t="shared" si="1"/>
        <v>0</v>
      </c>
      <c r="AN48" s="12">
        <f t="shared" si="3"/>
        <v>11757</v>
      </c>
      <c r="AQ48" s="8" t="s">
        <v>418</v>
      </c>
      <c r="AR48" t="str">
        <f t="shared" si="2"/>
        <v>Noroeste - A10</v>
      </c>
    </row>
    <row r="49" spans="1:44" x14ac:dyDescent="0.2">
      <c r="A49" s="107" t="s">
        <v>6867</v>
      </c>
      <c r="B49" s="106" t="s">
        <v>6866</v>
      </c>
      <c r="C49" s="106" t="s">
        <v>6857</v>
      </c>
      <c r="D49" s="106" t="s">
        <v>5384</v>
      </c>
      <c r="E49" s="106" t="s">
        <v>6865</v>
      </c>
      <c r="F49" s="106" t="s">
        <v>590</v>
      </c>
      <c r="G49" s="106" t="s">
        <v>6864</v>
      </c>
      <c r="H49" s="105" t="s">
        <v>993</v>
      </c>
      <c r="I49" s="105" t="s">
        <v>6860</v>
      </c>
      <c r="J49" s="104">
        <v>1.77</v>
      </c>
      <c r="K49" s="103" t="s">
        <v>430</v>
      </c>
      <c r="L49" s="102" t="s">
        <v>533</v>
      </c>
      <c r="M49" s="95"/>
      <c r="N49" s="14"/>
      <c r="O49" s="94">
        <v>32</v>
      </c>
      <c r="P49" s="14" t="s">
        <v>586</v>
      </c>
      <c r="Q49" s="14" t="s">
        <v>561</v>
      </c>
      <c r="R49" s="14" t="s">
        <v>496</v>
      </c>
      <c r="S49" s="15">
        <v>14</v>
      </c>
      <c r="T49" s="15">
        <v>0</v>
      </c>
      <c r="U49" s="15">
        <v>0</v>
      </c>
      <c r="V49" s="14">
        <v>945</v>
      </c>
      <c r="W49" s="12">
        <v>0</v>
      </c>
      <c r="X49" s="12">
        <v>0</v>
      </c>
      <c r="Y49" s="12">
        <v>0</v>
      </c>
      <c r="Z49" s="12">
        <v>1.77</v>
      </c>
      <c r="AA49" s="12">
        <v>0</v>
      </c>
      <c r="AB49" s="13">
        <f t="shared" si="0"/>
        <v>0</v>
      </c>
      <c r="AE49" s="12">
        <v>0</v>
      </c>
      <c r="AF49" s="12">
        <v>0</v>
      </c>
      <c r="AG49" s="12">
        <v>0</v>
      </c>
      <c r="AH49" s="12">
        <v>1.77</v>
      </c>
      <c r="AI49" s="12">
        <v>0</v>
      </c>
      <c r="AJ49" s="13">
        <f t="shared" si="1"/>
        <v>0</v>
      </c>
      <c r="AN49" s="12">
        <f t="shared" si="3"/>
        <v>1673</v>
      </c>
      <c r="AQ49" s="8" t="s">
        <v>418</v>
      </c>
      <c r="AR49" t="str">
        <f t="shared" si="2"/>
        <v>Noroeste - A10</v>
      </c>
    </row>
    <row r="50" spans="1:44" x14ac:dyDescent="0.2">
      <c r="A50" s="107" t="s">
        <v>6863</v>
      </c>
      <c r="B50" s="106" t="s">
        <v>6862</v>
      </c>
      <c r="C50" s="106" t="s">
        <v>6857</v>
      </c>
      <c r="D50" s="106" t="s">
        <v>5378</v>
      </c>
      <c r="E50" s="106" t="s">
        <v>6856</v>
      </c>
      <c r="F50" s="106" t="s">
        <v>490</v>
      </c>
      <c r="G50" s="106" t="s">
        <v>6861</v>
      </c>
      <c r="H50" s="105" t="s">
        <v>6860</v>
      </c>
      <c r="I50" s="105" t="s">
        <v>6854</v>
      </c>
      <c r="J50" s="104">
        <v>1.72</v>
      </c>
      <c r="K50" s="103" t="s">
        <v>430</v>
      </c>
      <c r="L50" s="102" t="s">
        <v>533</v>
      </c>
      <c r="M50" s="95"/>
      <c r="N50" s="14"/>
      <c r="O50" s="94">
        <v>32</v>
      </c>
      <c r="P50" s="14" t="s">
        <v>485</v>
      </c>
      <c r="Q50" s="14" t="s">
        <v>947</v>
      </c>
      <c r="R50" s="14" t="s">
        <v>496</v>
      </c>
      <c r="S50" s="15">
        <v>7</v>
      </c>
      <c r="T50" s="15">
        <v>0.5</v>
      </c>
      <c r="U50" s="15">
        <v>0</v>
      </c>
      <c r="V50" s="14">
        <v>420</v>
      </c>
      <c r="W50" s="12">
        <v>0</v>
      </c>
      <c r="X50" s="12">
        <v>0</v>
      </c>
      <c r="Y50" s="12">
        <v>0</v>
      </c>
      <c r="Z50" s="12">
        <v>1.72</v>
      </c>
      <c r="AA50" s="12">
        <v>0</v>
      </c>
      <c r="AB50" s="13">
        <f t="shared" si="0"/>
        <v>0</v>
      </c>
      <c r="AE50" s="12">
        <v>0</v>
      </c>
      <c r="AF50" s="12">
        <v>0</v>
      </c>
      <c r="AG50" s="12">
        <v>0</v>
      </c>
      <c r="AH50" s="12">
        <v>1.72</v>
      </c>
      <c r="AI50" s="12">
        <v>0</v>
      </c>
      <c r="AJ50" s="13">
        <f t="shared" si="1"/>
        <v>0</v>
      </c>
      <c r="AN50" s="12">
        <f t="shared" si="3"/>
        <v>723</v>
      </c>
      <c r="AQ50" s="8" t="s">
        <v>418</v>
      </c>
      <c r="AR50" t="str">
        <f t="shared" si="2"/>
        <v>Noroeste - A10</v>
      </c>
    </row>
    <row r="51" spans="1:44" x14ac:dyDescent="0.2">
      <c r="A51" s="107" t="s">
        <v>6859</v>
      </c>
      <c r="B51" s="106" t="s">
        <v>6858</v>
      </c>
      <c r="C51" s="106" t="s">
        <v>6857</v>
      </c>
      <c r="D51" s="106" t="s">
        <v>3514</v>
      </c>
      <c r="E51" s="106" t="s">
        <v>6856</v>
      </c>
      <c r="F51" s="106" t="s">
        <v>490</v>
      </c>
      <c r="G51" s="106" t="s">
        <v>6855</v>
      </c>
      <c r="H51" s="105" t="s">
        <v>6854</v>
      </c>
      <c r="I51" s="105" t="s">
        <v>6853</v>
      </c>
      <c r="J51" s="104">
        <v>11.65</v>
      </c>
      <c r="K51" s="103" t="s">
        <v>430</v>
      </c>
      <c r="L51" s="102" t="s">
        <v>533</v>
      </c>
      <c r="M51" s="95"/>
      <c r="N51" s="14"/>
      <c r="O51" s="94"/>
      <c r="P51" s="14" t="s">
        <v>485</v>
      </c>
      <c r="Q51" s="14" t="s">
        <v>947</v>
      </c>
      <c r="R51" s="14" t="s">
        <v>496</v>
      </c>
      <c r="S51" s="15">
        <v>7</v>
      </c>
      <c r="T51" s="15">
        <v>0.5</v>
      </c>
      <c r="U51" s="15">
        <v>0</v>
      </c>
      <c r="V51" s="14">
        <v>420</v>
      </c>
      <c r="W51" s="12">
        <v>0</v>
      </c>
      <c r="X51" s="12">
        <v>0</v>
      </c>
      <c r="Y51" s="12">
        <v>0</v>
      </c>
      <c r="Z51" s="12">
        <v>11.65</v>
      </c>
      <c r="AA51" s="12">
        <v>0</v>
      </c>
      <c r="AB51" s="13">
        <f t="shared" si="0"/>
        <v>0</v>
      </c>
      <c r="AE51" s="12">
        <v>0</v>
      </c>
      <c r="AF51" s="12">
        <v>0</v>
      </c>
      <c r="AG51" s="12">
        <v>0</v>
      </c>
      <c r="AH51" s="12">
        <v>11.65</v>
      </c>
      <c r="AI51" s="12">
        <v>0</v>
      </c>
      <c r="AJ51" s="13">
        <f t="shared" si="1"/>
        <v>0</v>
      </c>
      <c r="AN51" s="12">
        <f t="shared" si="3"/>
        <v>4893</v>
      </c>
      <c r="AQ51" s="8" t="s">
        <v>418</v>
      </c>
      <c r="AR51" t="str">
        <f t="shared" si="2"/>
        <v>Noroeste - A10</v>
      </c>
    </row>
    <row r="52" spans="1:44" x14ac:dyDescent="0.2">
      <c r="A52" s="107" t="s">
        <v>6852</v>
      </c>
      <c r="B52" s="106" t="s">
        <v>6851</v>
      </c>
      <c r="C52" s="106" t="s">
        <v>6690</v>
      </c>
      <c r="D52" s="106" t="s">
        <v>492</v>
      </c>
      <c r="E52" s="106" t="s">
        <v>6850</v>
      </c>
      <c r="F52" s="106" t="s">
        <v>606</v>
      </c>
      <c r="G52" s="106" t="s">
        <v>6849</v>
      </c>
      <c r="H52" s="105" t="s">
        <v>6844</v>
      </c>
      <c r="I52" s="105" t="s">
        <v>1483</v>
      </c>
      <c r="J52" s="104">
        <v>1.3</v>
      </c>
      <c r="K52" s="103" t="s">
        <v>423</v>
      </c>
      <c r="L52" s="102" t="s">
        <v>801</v>
      </c>
      <c r="M52" s="95"/>
      <c r="N52" s="14"/>
      <c r="O52" s="94">
        <v>3</v>
      </c>
      <c r="P52" s="14" t="s">
        <v>596</v>
      </c>
      <c r="Q52" s="14" t="s">
        <v>497</v>
      </c>
      <c r="R52" s="14" t="s">
        <v>496</v>
      </c>
      <c r="S52" s="15">
        <v>8.2678159398496316</v>
      </c>
      <c r="T52" s="15">
        <v>0</v>
      </c>
      <c r="U52" s="15">
        <v>0</v>
      </c>
      <c r="V52" s="14">
        <v>6995</v>
      </c>
      <c r="W52" s="12">
        <v>0</v>
      </c>
      <c r="X52" s="12">
        <v>0</v>
      </c>
      <c r="Y52" s="12">
        <v>1.3</v>
      </c>
      <c r="Z52" s="12">
        <v>0</v>
      </c>
      <c r="AA52" s="12">
        <v>0</v>
      </c>
      <c r="AB52" s="13">
        <f t="shared" si="0"/>
        <v>0</v>
      </c>
      <c r="AE52" s="12">
        <v>0</v>
      </c>
      <c r="AF52" s="12">
        <v>0</v>
      </c>
      <c r="AG52" s="12">
        <v>1.3</v>
      </c>
      <c r="AH52" s="12">
        <v>0</v>
      </c>
      <c r="AI52" s="12">
        <v>0</v>
      </c>
      <c r="AJ52" s="13">
        <f t="shared" si="1"/>
        <v>0</v>
      </c>
      <c r="AN52" s="12">
        <f t="shared" si="3"/>
        <v>9094</v>
      </c>
      <c r="AQ52" s="8" t="s">
        <v>416</v>
      </c>
      <c r="AR52" t="str">
        <f t="shared" si="2"/>
        <v>Leste - A03</v>
      </c>
    </row>
    <row r="53" spans="1:44" x14ac:dyDescent="0.2">
      <c r="A53" s="107" t="s">
        <v>6848</v>
      </c>
      <c r="B53" s="106" t="s">
        <v>6847</v>
      </c>
      <c r="C53" s="106" t="s">
        <v>6690</v>
      </c>
      <c r="D53" s="106" t="s">
        <v>492</v>
      </c>
      <c r="E53" s="106" t="s">
        <v>6846</v>
      </c>
      <c r="F53" s="106" t="s">
        <v>600</v>
      </c>
      <c r="G53" s="106" t="s">
        <v>6845</v>
      </c>
      <c r="H53" s="105" t="s">
        <v>6844</v>
      </c>
      <c r="I53" s="105" t="s">
        <v>1483</v>
      </c>
      <c r="J53" s="104">
        <v>1.3</v>
      </c>
      <c r="K53" s="103" t="s">
        <v>423</v>
      </c>
      <c r="L53" s="102" t="s">
        <v>801</v>
      </c>
      <c r="M53" s="95"/>
      <c r="N53" s="14"/>
      <c r="O53" s="94">
        <v>3</v>
      </c>
      <c r="P53" s="14" t="s">
        <v>596</v>
      </c>
      <c r="Q53" s="14" t="s">
        <v>497</v>
      </c>
      <c r="R53" s="14" t="s">
        <v>496</v>
      </c>
      <c r="S53" s="15">
        <v>8.2678159398496316</v>
      </c>
      <c r="T53" s="15">
        <v>0</v>
      </c>
      <c r="U53" s="15">
        <v>0</v>
      </c>
      <c r="V53" s="14">
        <v>6995</v>
      </c>
      <c r="W53" s="12">
        <v>0</v>
      </c>
      <c r="X53" s="12">
        <v>0</v>
      </c>
      <c r="Y53" s="12">
        <v>1.3</v>
      </c>
      <c r="Z53" s="12">
        <v>0</v>
      </c>
      <c r="AA53" s="12">
        <v>0</v>
      </c>
      <c r="AB53" s="13">
        <f t="shared" si="0"/>
        <v>0</v>
      </c>
      <c r="AE53" s="12">
        <v>0</v>
      </c>
      <c r="AF53" s="12">
        <v>0</v>
      </c>
      <c r="AG53" s="12">
        <v>1.3</v>
      </c>
      <c r="AH53" s="12">
        <v>0</v>
      </c>
      <c r="AI53" s="12">
        <v>0</v>
      </c>
      <c r="AJ53" s="13">
        <f t="shared" si="1"/>
        <v>0</v>
      </c>
      <c r="AN53" s="12">
        <f t="shared" si="3"/>
        <v>9094</v>
      </c>
      <c r="AQ53" s="8" t="s">
        <v>416</v>
      </c>
      <c r="AR53" t="str">
        <f t="shared" si="2"/>
        <v>Leste - A03</v>
      </c>
    </row>
    <row r="54" spans="1:44" x14ac:dyDescent="0.2">
      <c r="A54" s="107" t="s">
        <v>6843</v>
      </c>
      <c r="B54" s="106" t="s">
        <v>6842</v>
      </c>
      <c r="C54" s="106" t="s">
        <v>6690</v>
      </c>
      <c r="D54" s="106" t="s">
        <v>1637</v>
      </c>
      <c r="E54" s="106" t="s">
        <v>6689</v>
      </c>
      <c r="F54" s="106" t="s">
        <v>490</v>
      </c>
      <c r="G54" s="106" t="s">
        <v>6841</v>
      </c>
      <c r="H54" s="105" t="s">
        <v>1483</v>
      </c>
      <c r="I54" s="105" t="s">
        <v>6837</v>
      </c>
      <c r="J54" s="104">
        <v>6.7</v>
      </c>
      <c r="K54" s="103" t="s">
        <v>423</v>
      </c>
      <c r="L54" s="102" t="s">
        <v>801</v>
      </c>
      <c r="M54" s="95"/>
      <c r="N54" s="14"/>
      <c r="O54" s="94">
        <v>3</v>
      </c>
      <c r="P54" s="14" t="s">
        <v>485</v>
      </c>
      <c r="Q54" s="14" t="s">
        <v>505</v>
      </c>
      <c r="R54" s="14" t="s">
        <v>496</v>
      </c>
      <c r="S54" s="15">
        <v>8.4874029850746293</v>
      </c>
      <c r="T54" s="15">
        <v>2.5</v>
      </c>
      <c r="U54" s="15">
        <v>0</v>
      </c>
      <c r="V54" s="14">
        <v>8953</v>
      </c>
      <c r="W54" s="12">
        <v>0</v>
      </c>
      <c r="X54" s="12">
        <v>0</v>
      </c>
      <c r="Y54" s="12">
        <v>3.7</v>
      </c>
      <c r="Z54" s="12">
        <v>3</v>
      </c>
      <c r="AA54" s="12">
        <v>0</v>
      </c>
      <c r="AB54" s="13">
        <f t="shared" si="0"/>
        <v>0</v>
      </c>
      <c r="AE54" s="12">
        <v>0</v>
      </c>
      <c r="AF54" s="12">
        <v>0</v>
      </c>
      <c r="AG54" s="12">
        <v>3.7</v>
      </c>
      <c r="AH54" s="12">
        <v>3</v>
      </c>
      <c r="AI54" s="12">
        <v>0</v>
      </c>
      <c r="AJ54" s="13">
        <f t="shared" si="1"/>
        <v>0</v>
      </c>
      <c r="AN54" s="12">
        <f t="shared" si="3"/>
        <v>59986</v>
      </c>
      <c r="AQ54" s="8" t="s">
        <v>416</v>
      </c>
      <c r="AR54" t="str">
        <f t="shared" si="2"/>
        <v>Leste - A03</v>
      </c>
    </row>
    <row r="55" spans="1:44" x14ac:dyDescent="0.2">
      <c r="A55" s="107" t="s">
        <v>6840</v>
      </c>
      <c r="B55" s="106" t="s">
        <v>6839</v>
      </c>
      <c r="C55" s="106" t="s">
        <v>6690</v>
      </c>
      <c r="D55" s="106" t="s">
        <v>1128</v>
      </c>
      <c r="E55" s="106" t="s">
        <v>6689</v>
      </c>
      <c r="F55" s="106" t="s">
        <v>490</v>
      </c>
      <c r="G55" s="106" t="s">
        <v>6838</v>
      </c>
      <c r="H55" s="105" t="s">
        <v>6837</v>
      </c>
      <c r="I55" s="105" t="s">
        <v>6833</v>
      </c>
      <c r="J55" s="104">
        <v>9.5399999999999991</v>
      </c>
      <c r="K55" s="103" t="s">
        <v>423</v>
      </c>
      <c r="L55" s="102" t="s">
        <v>801</v>
      </c>
      <c r="M55" s="95"/>
      <c r="N55" s="14"/>
      <c r="O55" s="94">
        <v>3</v>
      </c>
      <c r="P55" s="14" t="s">
        <v>485</v>
      </c>
      <c r="Q55" s="14" t="s">
        <v>505</v>
      </c>
      <c r="R55" s="14" t="s">
        <v>496</v>
      </c>
      <c r="S55" s="15">
        <v>8.0376939203354301</v>
      </c>
      <c r="T55" s="15">
        <v>2.5</v>
      </c>
      <c r="U55" s="15">
        <v>0</v>
      </c>
      <c r="V55" s="14">
        <v>1461</v>
      </c>
      <c r="W55" s="12">
        <v>0</v>
      </c>
      <c r="X55" s="12">
        <v>0</v>
      </c>
      <c r="Y55" s="12">
        <v>2</v>
      </c>
      <c r="Z55" s="12">
        <v>7.5399999999999991</v>
      </c>
      <c r="AA55" s="12">
        <v>0</v>
      </c>
      <c r="AB55" s="13">
        <f t="shared" si="0"/>
        <v>0</v>
      </c>
      <c r="AE55" s="12">
        <v>0</v>
      </c>
      <c r="AF55" s="12">
        <v>0</v>
      </c>
      <c r="AG55" s="12">
        <v>2</v>
      </c>
      <c r="AH55" s="12">
        <v>7.5399999999999991</v>
      </c>
      <c r="AI55" s="12">
        <v>0</v>
      </c>
      <c r="AJ55" s="13">
        <f t="shared" si="1"/>
        <v>0</v>
      </c>
      <c r="AN55" s="12">
        <f t="shared" si="3"/>
        <v>13938</v>
      </c>
      <c r="AQ55" s="8" t="s">
        <v>416</v>
      </c>
      <c r="AR55" t="str">
        <f t="shared" si="2"/>
        <v>Leste - A03</v>
      </c>
    </row>
    <row r="56" spans="1:44" x14ac:dyDescent="0.2">
      <c r="A56" s="107" t="s">
        <v>6836</v>
      </c>
      <c r="B56" s="106" t="s">
        <v>6835</v>
      </c>
      <c r="C56" s="106" t="s">
        <v>6690</v>
      </c>
      <c r="D56" s="106" t="s">
        <v>3073</v>
      </c>
      <c r="E56" s="106" t="s">
        <v>6689</v>
      </c>
      <c r="F56" s="106" t="s">
        <v>490</v>
      </c>
      <c r="G56" s="106" t="s">
        <v>6834</v>
      </c>
      <c r="H56" s="105" t="s">
        <v>6833</v>
      </c>
      <c r="I56" s="105" t="s">
        <v>6832</v>
      </c>
      <c r="J56" s="104">
        <v>0.93</v>
      </c>
      <c r="K56" s="103" t="s">
        <v>423</v>
      </c>
      <c r="L56" s="102" t="s">
        <v>801</v>
      </c>
      <c r="M56" s="95"/>
      <c r="N56" s="14"/>
      <c r="O56" s="94">
        <v>3</v>
      </c>
      <c r="P56" s="14" t="s">
        <v>485</v>
      </c>
      <c r="Q56" s="14" t="s">
        <v>497</v>
      </c>
      <c r="R56" s="14" t="s">
        <v>496</v>
      </c>
      <c r="S56" s="15">
        <v>8.574193548387095</v>
      </c>
      <c r="T56" s="15">
        <v>2.5</v>
      </c>
      <c r="U56" s="15">
        <v>0</v>
      </c>
      <c r="V56" s="14">
        <v>632</v>
      </c>
      <c r="W56" s="12">
        <v>0</v>
      </c>
      <c r="X56" s="12">
        <v>0</v>
      </c>
      <c r="Y56" s="12">
        <v>0</v>
      </c>
      <c r="Z56" s="12">
        <v>0.93</v>
      </c>
      <c r="AA56" s="12">
        <v>0</v>
      </c>
      <c r="AB56" s="13">
        <f t="shared" si="0"/>
        <v>0</v>
      </c>
      <c r="AE56" s="12">
        <v>0</v>
      </c>
      <c r="AF56" s="12">
        <v>0</v>
      </c>
      <c r="AG56" s="12">
        <v>0</v>
      </c>
      <c r="AH56" s="12">
        <v>0.93</v>
      </c>
      <c r="AI56" s="12">
        <v>0</v>
      </c>
      <c r="AJ56" s="13">
        <f t="shared" si="1"/>
        <v>0</v>
      </c>
      <c r="AN56" s="12">
        <f t="shared" si="3"/>
        <v>588</v>
      </c>
      <c r="AQ56" s="8" t="s">
        <v>416</v>
      </c>
      <c r="AR56" t="str">
        <f t="shared" si="2"/>
        <v>Leste - A03</v>
      </c>
    </row>
    <row r="57" spans="1:44" x14ac:dyDescent="0.2">
      <c r="A57" s="107" t="s">
        <v>6831</v>
      </c>
      <c r="B57" s="106" t="s">
        <v>6830</v>
      </c>
      <c r="C57" s="106" t="s">
        <v>6690</v>
      </c>
      <c r="D57" s="106" t="s">
        <v>513</v>
      </c>
      <c r="E57" s="106" t="s">
        <v>6689</v>
      </c>
      <c r="F57" s="106" t="s">
        <v>490</v>
      </c>
      <c r="G57" s="106" t="s">
        <v>6829</v>
      </c>
      <c r="H57" s="105" t="s">
        <v>6828</v>
      </c>
      <c r="I57" s="105" t="s">
        <v>6827</v>
      </c>
      <c r="J57" s="104">
        <v>8.3800000000000008</v>
      </c>
      <c r="K57" s="103" t="s">
        <v>423</v>
      </c>
      <c r="L57" s="102" t="s">
        <v>801</v>
      </c>
      <c r="M57" s="95"/>
      <c r="N57" s="14"/>
      <c r="O57" s="94">
        <v>3</v>
      </c>
      <c r="P57" s="14" t="s">
        <v>485</v>
      </c>
      <c r="Q57" s="14" t="s">
        <v>497</v>
      </c>
      <c r="R57" s="14" t="s">
        <v>496</v>
      </c>
      <c r="S57" s="15">
        <v>9.32342243436754</v>
      </c>
      <c r="T57" s="15">
        <v>1.5</v>
      </c>
      <c r="U57" s="15">
        <v>1.1000000000000001</v>
      </c>
      <c r="V57" s="14">
        <v>1171</v>
      </c>
      <c r="W57" s="12">
        <v>0</v>
      </c>
      <c r="X57" s="12">
        <v>0</v>
      </c>
      <c r="Y57" s="12">
        <v>0</v>
      </c>
      <c r="Z57" s="12">
        <v>8.3800000000000008</v>
      </c>
      <c r="AA57" s="12">
        <v>0</v>
      </c>
      <c r="AB57" s="13">
        <f t="shared" si="0"/>
        <v>0</v>
      </c>
      <c r="AE57" s="12">
        <v>0</v>
      </c>
      <c r="AF57" s="12">
        <v>0</v>
      </c>
      <c r="AG57" s="12">
        <v>0</v>
      </c>
      <c r="AH57" s="12">
        <v>8.3800000000000008</v>
      </c>
      <c r="AI57" s="12">
        <v>0</v>
      </c>
      <c r="AJ57" s="13">
        <f t="shared" si="1"/>
        <v>0</v>
      </c>
      <c r="AN57" s="12">
        <f t="shared" si="3"/>
        <v>9813</v>
      </c>
      <c r="AQ57" s="8" t="s">
        <v>416</v>
      </c>
      <c r="AR57" t="str">
        <f t="shared" si="2"/>
        <v>Leste - A03</v>
      </c>
    </row>
    <row r="58" spans="1:44" x14ac:dyDescent="0.2">
      <c r="A58" s="107" t="s">
        <v>6826</v>
      </c>
      <c r="B58" s="106" t="s">
        <v>6825</v>
      </c>
      <c r="C58" s="106" t="s">
        <v>6690</v>
      </c>
      <c r="D58" s="106" t="s">
        <v>1820</v>
      </c>
      <c r="E58" s="106" t="s">
        <v>6689</v>
      </c>
      <c r="F58" s="106" t="s">
        <v>490</v>
      </c>
      <c r="G58" s="106" t="s">
        <v>6824</v>
      </c>
      <c r="H58" s="105" t="s">
        <v>6823</v>
      </c>
      <c r="I58" s="105" t="s">
        <v>6819</v>
      </c>
      <c r="J58" s="104">
        <v>18.829999999999998</v>
      </c>
      <c r="K58" s="103" t="s">
        <v>422</v>
      </c>
      <c r="L58" s="102" t="s">
        <v>577</v>
      </c>
      <c r="M58" s="95"/>
      <c r="N58" s="14"/>
      <c r="O58" s="94">
        <v>7</v>
      </c>
      <c r="P58" s="14" t="s">
        <v>485</v>
      </c>
      <c r="Q58" s="14" t="s">
        <v>497</v>
      </c>
      <c r="R58" s="14" t="s">
        <v>496</v>
      </c>
      <c r="S58" s="15">
        <v>7</v>
      </c>
      <c r="T58" s="15">
        <v>1.5</v>
      </c>
      <c r="U58" s="15">
        <v>0</v>
      </c>
      <c r="V58" s="14">
        <v>1812</v>
      </c>
      <c r="W58" s="12">
        <v>0</v>
      </c>
      <c r="X58" s="12">
        <v>0</v>
      </c>
      <c r="Y58" s="12">
        <v>9</v>
      </c>
      <c r="Z58" s="12">
        <v>9.8299999999999983</v>
      </c>
      <c r="AA58" s="12">
        <v>0</v>
      </c>
      <c r="AB58" s="13">
        <f t="shared" si="0"/>
        <v>0</v>
      </c>
      <c r="AE58" s="12">
        <v>0</v>
      </c>
      <c r="AF58" s="12">
        <v>0</v>
      </c>
      <c r="AG58" s="12">
        <v>9</v>
      </c>
      <c r="AH58" s="12">
        <v>9.8299999999999983</v>
      </c>
      <c r="AI58" s="12">
        <v>0</v>
      </c>
      <c r="AJ58" s="13">
        <f t="shared" si="1"/>
        <v>0</v>
      </c>
      <c r="AN58" s="12">
        <f t="shared" si="3"/>
        <v>34120</v>
      </c>
      <c r="AQ58" s="8" t="s">
        <v>420</v>
      </c>
      <c r="AR58" t="str">
        <f t="shared" si="2"/>
        <v>Campos Gerais - A02</v>
      </c>
    </row>
    <row r="59" spans="1:44" x14ac:dyDescent="0.2">
      <c r="A59" s="107" t="s">
        <v>6822</v>
      </c>
      <c r="B59" s="106" t="s">
        <v>6821</v>
      </c>
      <c r="C59" s="106" t="s">
        <v>6690</v>
      </c>
      <c r="D59" s="106" t="s">
        <v>1263</v>
      </c>
      <c r="E59" s="106" t="s">
        <v>6689</v>
      </c>
      <c r="F59" s="106" t="s">
        <v>490</v>
      </c>
      <c r="G59" s="106" t="s">
        <v>6820</v>
      </c>
      <c r="H59" s="105" t="s">
        <v>6819</v>
      </c>
      <c r="I59" s="105" t="s">
        <v>6818</v>
      </c>
      <c r="J59" s="104">
        <v>3.07</v>
      </c>
      <c r="K59" s="103" t="s">
        <v>421</v>
      </c>
      <c r="L59" s="102" t="s">
        <v>577</v>
      </c>
      <c r="M59" s="95"/>
      <c r="N59" s="14"/>
      <c r="O59" s="94">
        <v>6</v>
      </c>
      <c r="P59" s="14" t="s">
        <v>485</v>
      </c>
      <c r="Q59" s="14" t="s">
        <v>497</v>
      </c>
      <c r="R59" s="14" t="s">
        <v>496</v>
      </c>
      <c r="S59" s="15">
        <v>7</v>
      </c>
      <c r="T59" s="15">
        <v>1.5</v>
      </c>
      <c r="U59" s="15">
        <v>0</v>
      </c>
      <c r="V59" s="14">
        <v>1812</v>
      </c>
      <c r="W59" s="12">
        <v>0</v>
      </c>
      <c r="X59" s="12">
        <v>0</v>
      </c>
      <c r="Y59" s="12">
        <v>6.999999999999984E-2</v>
      </c>
      <c r="Z59" s="12">
        <v>3</v>
      </c>
      <c r="AA59" s="12">
        <v>0</v>
      </c>
      <c r="AB59" s="13">
        <f t="shared" si="0"/>
        <v>0</v>
      </c>
      <c r="AE59" s="12">
        <v>0</v>
      </c>
      <c r="AF59" s="12">
        <v>0</v>
      </c>
      <c r="AG59" s="12">
        <v>6.999999999999984E-2</v>
      </c>
      <c r="AH59" s="12">
        <v>3</v>
      </c>
      <c r="AI59" s="12">
        <v>0</v>
      </c>
      <c r="AJ59" s="13">
        <f t="shared" si="1"/>
        <v>0</v>
      </c>
      <c r="AN59" s="12">
        <f t="shared" si="3"/>
        <v>5563</v>
      </c>
      <c r="AQ59" s="8" t="s">
        <v>420</v>
      </c>
      <c r="AR59" t="str">
        <f t="shared" si="2"/>
        <v>Campos Gerais - A01</v>
      </c>
    </row>
    <row r="60" spans="1:44" x14ac:dyDescent="0.2">
      <c r="A60" s="107" t="s">
        <v>6817</v>
      </c>
      <c r="B60" s="106" t="s">
        <v>6816</v>
      </c>
      <c r="C60" s="106" t="s">
        <v>6690</v>
      </c>
      <c r="D60" s="106" t="s">
        <v>2825</v>
      </c>
      <c r="E60" s="106" t="s">
        <v>6689</v>
      </c>
      <c r="F60" s="106" t="s">
        <v>490</v>
      </c>
      <c r="G60" s="106" t="s">
        <v>6815</v>
      </c>
      <c r="H60" s="105" t="s">
        <v>6814</v>
      </c>
      <c r="I60" s="105" t="s">
        <v>6813</v>
      </c>
      <c r="J60" s="104">
        <v>0.85</v>
      </c>
      <c r="K60" s="103" t="s">
        <v>421</v>
      </c>
      <c r="L60" s="102" t="s">
        <v>577</v>
      </c>
      <c r="M60" s="95"/>
      <c r="N60" s="14"/>
      <c r="O60" s="94">
        <v>6</v>
      </c>
      <c r="P60" s="14" t="s">
        <v>485</v>
      </c>
      <c r="Q60" s="14" t="s">
        <v>561</v>
      </c>
      <c r="R60" s="14" t="s">
        <v>496</v>
      </c>
      <c r="S60" s="15">
        <v>7.3</v>
      </c>
      <c r="T60" s="15">
        <v>0</v>
      </c>
      <c r="U60" s="15">
        <v>0</v>
      </c>
      <c r="V60" s="14">
        <v>2819</v>
      </c>
      <c r="W60" s="12">
        <v>0</v>
      </c>
      <c r="X60" s="12">
        <v>0</v>
      </c>
      <c r="Y60" s="12">
        <v>0</v>
      </c>
      <c r="Z60" s="12">
        <v>0.85</v>
      </c>
      <c r="AA60" s="12">
        <v>0</v>
      </c>
      <c r="AB60" s="13">
        <f t="shared" si="0"/>
        <v>0</v>
      </c>
      <c r="AE60" s="12">
        <v>0</v>
      </c>
      <c r="AF60" s="12">
        <v>0</v>
      </c>
      <c r="AG60" s="12">
        <v>0</v>
      </c>
      <c r="AH60" s="12">
        <v>0.85</v>
      </c>
      <c r="AI60" s="12">
        <v>0</v>
      </c>
      <c r="AJ60" s="13">
        <f t="shared" si="1"/>
        <v>0</v>
      </c>
      <c r="AN60" s="12">
        <f t="shared" si="3"/>
        <v>2397</v>
      </c>
      <c r="AQ60" s="8" t="s">
        <v>420</v>
      </c>
      <c r="AR60" t="str">
        <f t="shared" si="2"/>
        <v>Campos Gerais - A01</v>
      </c>
    </row>
    <row r="61" spans="1:44" x14ac:dyDescent="0.2">
      <c r="A61" s="107" t="s">
        <v>6812</v>
      </c>
      <c r="B61" s="106" t="s">
        <v>6811</v>
      </c>
      <c r="C61" s="106" t="s">
        <v>6690</v>
      </c>
      <c r="D61" s="106" t="s">
        <v>2996</v>
      </c>
      <c r="E61" s="106" t="s">
        <v>6689</v>
      </c>
      <c r="F61" s="106" t="s">
        <v>490</v>
      </c>
      <c r="G61" s="106" t="s">
        <v>6810</v>
      </c>
      <c r="H61" s="105" t="s">
        <v>6809</v>
      </c>
      <c r="I61" s="105" t="s">
        <v>6804</v>
      </c>
      <c r="J61" s="104">
        <v>1.97</v>
      </c>
      <c r="K61" s="103" t="s">
        <v>421</v>
      </c>
      <c r="L61" s="102" t="s">
        <v>577</v>
      </c>
      <c r="M61" s="95"/>
      <c r="N61" s="14"/>
      <c r="O61" s="94">
        <v>6</v>
      </c>
      <c r="P61" s="14" t="s">
        <v>485</v>
      </c>
      <c r="Q61" s="14" t="s">
        <v>561</v>
      </c>
      <c r="R61" s="14" t="s">
        <v>496</v>
      </c>
      <c r="S61" s="15">
        <v>7.2</v>
      </c>
      <c r="T61" s="15">
        <v>0</v>
      </c>
      <c r="U61" s="15">
        <v>0</v>
      </c>
      <c r="V61" s="14">
        <v>2819</v>
      </c>
      <c r="W61" s="12">
        <v>0</v>
      </c>
      <c r="X61" s="12">
        <v>0</v>
      </c>
      <c r="Y61" s="12">
        <v>0</v>
      </c>
      <c r="Z61" s="12">
        <v>1.97</v>
      </c>
      <c r="AA61" s="12">
        <v>0</v>
      </c>
      <c r="AB61" s="13">
        <f t="shared" si="0"/>
        <v>0</v>
      </c>
      <c r="AE61" s="12">
        <v>0</v>
      </c>
      <c r="AF61" s="12">
        <v>0</v>
      </c>
      <c r="AG61" s="12">
        <v>0</v>
      </c>
      <c r="AH61" s="12">
        <v>1.97</v>
      </c>
      <c r="AI61" s="12">
        <v>0</v>
      </c>
      <c r="AJ61" s="13">
        <f t="shared" si="1"/>
        <v>0</v>
      </c>
      <c r="AN61" s="12">
        <f t="shared" si="3"/>
        <v>5554</v>
      </c>
      <c r="AQ61" s="8" t="s">
        <v>420</v>
      </c>
      <c r="AR61" t="str">
        <f t="shared" si="2"/>
        <v>Campos Gerais - A01</v>
      </c>
    </row>
    <row r="62" spans="1:44" x14ac:dyDescent="0.2">
      <c r="A62" s="107" t="s">
        <v>6808</v>
      </c>
      <c r="B62" s="106" t="s">
        <v>6807</v>
      </c>
      <c r="C62" s="106" t="s">
        <v>6690</v>
      </c>
      <c r="D62" s="106" t="s">
        <v>6806</v>
      </c>
      <c r="E62" s="106" t="s">
        <v>6689</v>
      </c>
      <c r="F62" s="106" t="s">
        <v>490</v>
      </c>
      <c r="G62" s="106" t="s">
        <v>6805</v>
      </c>
      <c r="H62" s="105" t="s">
        <v>6804</v>
      </c>
      <c r="I62" s="105" t="s">
        <v>6800</v>
      </c>
      <c r="J62" s="104">
        <v>22.2</v>
      </c>
      <c r="K62" s="103" t="s">
        <v>421</v>
      </c>
      <c r="L62" s="102" t="s">
        <v>577</v>
      </c>
      <c r="M62" s="95"/>
      <c r="N62" s="14"/>
      <c r="O62" s="94">
        <v>6</v>
      </c>
      <c r="P62" s="14" t="s">
        <v>485</v>
      </c>
      <c r="Q62" s="14" t="s">
        <v>561</v>
      </c>
      <c r="R62" s="14" t="s">
        <v>496</v>
      </c>
      <c r="S62" s="15">
        <v>7.3</v>
      </c>
      <c r="T62" s="15">
        <v>0</v>
      </c>
      <c r="U62" s="15">
        <v>0</v>
      </c>
      <c r="V62" s="14">
        <v>2404</v>
      </c>
      <c r="W62" s="12">
        <v>0</v>
      </c>
      <c r="X62" s="12">
        <v>0</v>
      </c>
      <c r="Y62" s="12">
        <v>6</v>
      </c>
      <c r="Z62" s="12">
        <v>16.2</v>
      </c>
      <c r="AA62" s="12">
        <v>0</v>
      </c>
      <c r="AB62" s="13">
        <f t="shared" si="0"/>
        <v>0</v>
      </c>
      <c r="AE62" s="12">
        <v>0</v>
      </c>
      <c r="AF62" s="12">
        <v>0</v>
      </c>
      <c r="AG62" s="12">
        <v>6</v>
      </c>
      <c r="AH62" s="12">
        <v>16.2</v>
      </c>
      <c r="AI62" s="12">
        <v>0</v>
      </c>
      <c r="AJ62" s="13">
        <f t="shared" si="1"/>
        <v>0</v>
      </c>
      <c r="AN62" s="12">
        <f t="shared" si="3"/>
        <v>53369</v>
      </c>
      <c r="AQ62" s="8" t="s">
        <v>420</v>
      </c>
      <c r="AR62" t="str">
        <f t="shared" si="2"/>
        <v>Campos Gerais - A01</v>
      </c>
    </row>
    <row r="63" spans="1:44" x14ac:dyDescent="0.2">
      <c r="A63" s="107" t="s">
        <v>6803</v>
      </c>
      <c r="B63" s="106" t="s">
        <v>6802</v>
      </c>
      <c r="C63" s="106" t="s">
        <v>6690</v>
      </c>
      <c r="D63" s="106" t="s">
        <v>2682</v>
      </c>
      <c r="E63" s="106" t="s">
        <v>6689</v>
      </c>
      <c r="F63" s="106" t="s">
        <v>490</v>
      </c>
      <c r="G63" s="106" t="s">
        <v>6801</v>
      </c>
      <c r="H63" s="105" t="s">
        <v>6800</v>
      </c>
      <c r="I63" s="105" t="s">
        <v>6796</v>
      </c>
      <c r="J63" s="104">
        <v>15.74</v>
      </c>
      <c r="K63" s="103" t="s">
        <v>421</v>
      </c>
      <c r="L63" s="102" t="s">
        <v>577</v>
      </c>
      <c r="M63" s="95"/>
      <c r="N63" s="14"/>
      <c r="O63" s="94">
        <v>6</v>
      </c>
      <c r="P63" s="14" t="s">
        <v>485</v>
      </c>
      <c r="Q63" s="14" t="s">
        <v>497</v>
      </c>
      <c r="R63" s="14" t="s">
        <v>496</v>
      </c>
      <c r="S63" s="15">
        <v>7</v>
      </c>
      <c r="T63" s="15">
        <v>1.5</v>
      </c>
      <c r="U63" s="15">
        <v>1</v>
      </c>
      <c r="V63" s="14">
        <v>2819</v>
      </c>
      <c r="W63" s="12">
        <v>0</v>
      </c>
      <c r="X63" s="12">
        <v>0</v>
      </c>
      <c r="Y63" s="12">
        <v>4</v>
      </c>
      <c r="Z63" s="12">
        <v>11.74</v>
      </c>
      <c r="AA63" s="12">
        <v>0</v>
      </c>
      <c r="AB63" s="13">
        <f t="shared" si="0"/>
        <v>0</v>
      </c>
      <c r="AE63" s="12">
        <v>0</v>
      </c>
      <c r="AF63" s="12">
        <v>0</v>
      </c>
      <c r="AG63" s="12">
        <v>4</v>
      </c>
      <c r="AH63" s="12">
        <v>11.74</v>
      </c>
      <c r="AI63" s="12">
        <v>0</v>
      </c>
      <c r="AJ63" s="13">
        <f t="shared" si="1"/>
        <v>0</v>
      </c>
      <c r="AN63" s="12">
        <f t="shared" si="3"/>
        <v>44372</v>
      </c>
      <c r="AQ63" s="8" t="s">
        <v>420</v>
      </c>
      <c r="AR63" t="str">
        <f t="shared" si="2"/>
        <v>Campos Gerais - A01</v>
      </c>
    </row>
    <row r="64" spans="1:44" x14ac:dyDescent="0.2">
      <c r="A64" s="107" t="s">
        <v>6799</v>
      </c>
      <c r="B64" s="106" t="s">
        <v>6798</v>
      </c>
      <c r="C64" s="106" t="s">
        <v>6690</v>
      </c>
      <c r="D64" s="106" t="s">
        <v>2671</v>
      </c>
      <c r="E64" s="106" t="s">
        <v>6689</v>
      </c>
      <c r="F64" s="106" t="s">
        <v>490</v>
      </c>
      <c r="G64" s="106" t="s">
        <v>6797</v>
      </c>
      <c r="H64" s="105" t="s">
        <v>6796</v>
      </c>
      <c r="I64" s="105" t="s">
        <v>6792</v>
      </c>
      <c r="J64" s="104">
        <v>5.18</v>
      </c>
      <c r="K64" s="103" t="s">
        <v>421</v>
      </c>
      <c r="L64" s="102" t="s">
        <v>577</v>
      </c>
      <c r="M64" s="95"/>
      <c r="N64" s="14"/>
      <c r="O64" s="94">
        <v>6</v>
      </c>
      <c r="P64" s="14" t="s">
        <v>485</v>
      </c>
      <c r="Q64" s="14" t="s">
        <v>497</v>
      </c>
      <c r="R64" s="14" t="s">
        <v>496</v>
      </c>
      <c r="S64" s="15">
        <v>7</v>
      </c>
      <c r="T64" s="15">
        <v>1.5</v>
      </c>
      <c r="U64" s="15">
        <v>0</v>
      </c>
      <c r="V64" s="14">
        <v>2803</v>
      </c>
      <c r="W64" s="12">
        <v>0</v>
      </c>
      <c r="X64" s="12">
        <v>1.1799999999999997</v>
      </c>
      <c r="Y64" s="12">
        <v>3</v>
      </c>
      <c r="Z64" s="12">
        <v>1</v>
      </c>
      <c r="AA64" s="12">
        <v>0</v>
      </c>
      <c r="AB64" s="13">
        <f t="shared" si="0"/>
        <v>0</v>
      </c>
      <c r="AE64" s="12">
        <v>0</v>
      </c>
      <c r="AF64" s="12">
        <v>1.1799999999999997</v>
      </c>
      <c r="AG64" s="12">
        <v>3</v>
      </c>
      <c r="AH64" s="12">
        <v>1</v>
      </c>
      <c r="AI64" s="12">
        <v>0</v>
      </c>
      <c r="AJ64" s="13">
        <f t="shared" si="1"/>
        <v>0</v>
      </c>
      <c r="AN64" s="12">
        <f t="shared" si="3"/>
        <v>14520</v>
      </c>
      <c r="AQ64" s="8" t="s">
        <v>420</v>
      </c>
      <c r="AR64" t="str">
        <f t="shared" si="2"/>
        <v>Campos Gerais - A01</v>
      </c>
    </row>
    <row r="65" spans="1:44" x14ac:dyDescent="0.2">
      <c r="A65" s="107" t="s">
        <v>6795</v>
      </c>
      <c r="B65" s="106" t="s">
        <v>6794</v>
      </c>
      <c r="C65" s="106" t="s">
        <v>6690</v>
      </c>
      <c r="D65" s="106" t="s">
        <v>2651</v>
      </c>
      <c r="E65" s="106" t="s">
        <v>6689</v>
      </c>
      <c r="F65" s="106" t="s">
        <v>490</v>
      </c>
      <c r="G65" s="106" t="s">
        <v>6793</v>
      </c>
      <c r="H65" s="105" t="s">
        <v>6792</v>
      </c>
      <c r="I65" s="105" t="s">
        <v>6788</v>
      </c>
      <c r="J65" s="104">
        <v>6.68</v>
      </c>
      <c r="K65" s="103" t="s">
        <v>421</v>
      </c>
      <c r="L65" s="102" t="s">
        <v>577</v>
      </c>
      <c r="M65" s="95"/>
      <c r="N65" s="14"/>
      <c r="O65" s="94">
        <v>6</v>
      </c>
      <c r="P65" s="14" t="s">
        <v>485</v>
      </c>
      <c r="Q65" s="14" t="s">
        <v>497</v>
      </c>
      <c r="R65" s="14" t="s">
        <v>496</v>
      </c>
      <c r="S65" s="15">
        <v>7</v>
      </c>
      <c r="T65" s="15">
        <v>1.5</v>
      </c>
      <c r="U65" s="15">
        <v>0</v>
      </c>
      <c r="V65" s="14">
        <v>864</v>
      </c>
      <c r="W65" s="12">
        <v>0</v>
      </c>
      <c r="X65" s="12">
        <v>0</v>
      </c>
      <c r="Y65" s="12">
        <v>3</v>
      </c>
      <c r="Z65" s="12">
        <v>3.6799999999999997</v>
      </c>
      <c r="AA65" s="12">
        <v>0</v>
      </c>
      <c r="AB65" s="13">
        <f t="shared" si="0"/>
        <v>0</v>
      </c>
      <c r="AE65" s="12">
        <v>0</v>
      </c>
      <c r="AF65" s="12">
        <v>0</v>
      </c>
      <c r="AG65" s="12">
        <v>3</v>
      </c>
      <c r="AH65" s="12">
        <v>3.6799999999999997</v>
      </c>
      <c r="AI65" s="12">
        <v>0</v>
      </c>
      <c r="AJ65" s="13">
        <f t="shared" si="1"/>
        <v>0</v>
      </c>
      <c r="AN65" s="12">
        <f t="shared" si="3"/>
        <v>5772</v>
      </c>
      <c r="AQ65" s="8" t="s">
        <v>420</v>
      </c>
      <c r="AR65" t="str">
        <f t="shared" si="2"/>
        <v>Campos Gerais - A01</v>
      </c>
    </row>
    <row r="66" spans="1:44" x14ac:dyDescent="0.2">
      <c r="A66" s="107" t="s">
        <v>6791</v>
      </c>
      <c r="B66" s="106" t="s">
        <v>6790</v>
      </c>
      <c r="C66" s="106" t="s">
        <v>6690</v>
      </c>
      <c r="D66" s="106" t="s">
        <v>2641</v>
      </c>
      <c r="E66" s="106" t="s">
        <v>6689</v>
      </c>
      <c r="F66" s="106" t="s">
        <v>490</v>
      </c>
      <c r="G66" s="106" t="s">
        <v>6789</v>
      </c>
      <c r="H66" s="105" t="s">
        <v>6788</v>
      </c>
      <c r="I66" s="105" t="s">
        <v>6787</v>
      </c>
      <c r="J66" s="104">
        <v>4.87</v>
      </c>
      <c r="K66" s="103" t="s">
        <v>421</v>
      </c>
      <c r="L66" s="102" t="s">
        <v>577</v>
      </c>
      <c r="M66" s="95"/>
      <c r="N66" s="14"/>
      <c r="O66" s="94">
        <v>6</v>
      </c>
      <c r="P66" s="14" t="s">
        <v>485</v>
      </c>
      <c r="Q66" s="14" t="s">
        <v>497</v>
      </c>
      <c r="R66" s="14" t="s">
        <v>496</v>
      </c>
      <c r="S66" s="15">
        <v>7</v>
      </c>
      <c r="T66" s="15">
        <v>1.5</v>
      </c>
      <c r="U66" s="15">
        <v>0</v>
      </c>
      <c r="V66" s="14">
        <v>849</v>
      </c>
      <c r="W66" s="12">
        <v>0</v>
      </c>
      <c r="X66" s="12">
        <v>0</v>
      </c>
      <c r="Y66" s="12">
        <v>1</v>
      </c>
      <c r="Z66" s="12">
        <v>3.87</v>
      </c>
      <c r="AA66" s="12">
        <v>0</v>
      </c>
      <c r="AB66" s="13">
        <f t="shared" si="0"/>
        <v>0</v>
      </c>
      <c r="AE66" s="12">
        <v>0</v>
      </c>
      <c r="AF66" s="12">
        <v>0</v>
      </c>
      <c r="AG66" s="12">
        <v>1</v>
      </c>
      <c r="AH66" s="12">
        <v>3.87</v>
      </c>
      <c r="AI66" s="12">
        <v>0</v>
      </c>
      <c r="AJ66" s="13">
        <f t="shared" si="1"/>
        <v>0</v>
      </c>
      <c r="AN66" s="12">
        <f t="shared" si="3"/>
        <v>4135</v>
      </c>
      <c r="AQ66" s="8" t="s">
        <v>420</v>
      </c>
      <c r="AR66" t="str">
        <f t="shared" si="2"/>
        <v>Campos Gerais - A01</v>
      </c>
    </row>
    <row r="67" spans="1:44" x14ac:dyDescent="0.2">
      <c r="A67" s="107" t="s">
        <v>6786</v>
      </c>
      <c r="B67" s="106" t="s">
        <v>6785</v>
      </c>
      <c r="C67" s="106" t="s">
        <v>6690</v>
      </c>
      <c r="D67" s="106" t="s">
        <v>2631</v>
      </c>
      <c r="E67" s="106" t="s">
        <v>6689</v>
      </c>
      <c r="F67" s="106" t="s">
        <v>490</v>
      </c>
      <c r="G67" s="106" t="s">
        <v>6784</v>
      </c>
      <c r="H67" s="105" t="s">
        <v>6783</v>
      </c>
      <c r="I67" s="105" t="s">
        <v>6779</v>
      </c>
      <c r="J67" s="104">
        <v>12.25</v>
      </c>
      <c r="K67" s="103" t="s">
        <v>428</v>
      </c>
      <c r="L67" s="102" t="s">
        <v>486</v>
      </c>
      <c r="M67" s="95"/>
      <c r="N67" s="17"/>
      <c r="O67" s="18" t="s">
        <v>452</v>
      </c>
      <c r="P67" s="14" t="s">
        <v>485</v>
      </c>
      <c r="Q67" s="14" t="s">
        <v>497</v>
      </c>
      <c r="R67" s="14" t="s">
        <v>496</v>
      </c>
      <c r="S67" s="15">
        <v>7</v>
      </c>
      <c r="T67" s="15">
        <v>1.5</v>
      </c>
      <c r="U67" s="15">
        <v>0</v>
      </c>
      <c r="V67" s="14">
        <v>1744</v>
      </c>
      <c r="W67" s="12">
        <v>0</v>
      </c>
      <c r="X67" s="12">
        <v>0</v>
      </c>
      <c r="Y67" s="12">
        <v>1</v>
      </c>
      <c r="Z67" s="12">
        <v>11.25</v>
      </c>
      <c r="AA67" s="12">
        <v>0</v>
      </c>
      <c r="AB67" s="13">
        <f t="shared" si="0"/>
        <v>0</v>
      </c>
      <c r="AE67" s="12">
        <v>0</v>
      </c>
      <c r="AF67" s="12">
        <v>0</v>
      </c>
      <c r="AG67" s="12">
        <v>1</v>
      </c>
      <c r="AH67" s="12">
        <v>11.25</v>
      </c>
      <c r="AI67" s="12">
        <v>0</v>
      </c>
      <c r="AJ67" s="13">
        <f t="shared" si="1"/>
        <v>0</v>
      </c>
      <c r="AN67" s="12">
        <f t="shared" si="3"/>
        <v>21364</v>
      </c>
      <c r="AQ67" s="8" t="s">
        <v>419</v>
      </c>
      <c r="AR67" t="str">
        <f t="shared" si="2"/>
        <v>Norte - A08</v>
      </c>
    </row>
    <row r="68" spans="1:44" x14ac:dyDescent="0.2">
      <c r="A68" s="107" t="s">
        <v>6782</v>
      </c>
      <c r="B68" s="106" t="s">
        <v>6781</v>
      </c>
      <c r="C68" s="106" t="s">
        <v>6690</v>
      </c>
      <c r="D68" s="106" t="s">
        <v>4543</v>
      </c>
      <c r="E68" s="106" t="s">
        <v>6689</v>
      </c>
      <c r="F68" s="106" t="s">
        <v>490</v>
      </c>
      <c r="G68" s="106" t="s">
        <v>6780</v>
      </c>
      <c r="H68" s="105" t="s">
        <v>6779</v>
      </c>
      <c r="I68" s="105" t="s">
        <v>6775</v>
      </c>
      <c r="J68" s="104">
        <v>18.809999999999999</v>
      </c>
      <c r="K68" s="103" t="s">
        <v>428</v>
      </c>
      <c r="L68" s="102" t="s">
        <v>486</v>
      </c>
      <c r="M68" s="95"/>
      <c r="N68" s="14"/>
      <c r="O68" s="94">
        <v>20</v>
      </c>
      <c r="P68" s="14" t="s">
        <v>485</v>
      </c>
      <c r="Q68" s="14" t="s">
        <v>497</v>
      </c>
      <c r="R68" s="14" t="s">
        <v>496</v>
      </c>
      <c r="S68" s="15">
        <v>7</v>
      </c>
      <c r="T68" s="15">
        <v>1.5</v>
      </c>
      <c r="U68" s="15">
        <v>0</v>
      </c>
      <c r="V68" s="14">
        <v>1351</v>
      </c>
      <c r="W68" s="12">
        <v>0</v>
      </c>
      <c r="X68" s="12">
        <v>0</v>
      </c>
      <c r="Y68" s="12">
        <v>2</v>
      </c>
      <c r="Z68" s="12">
        <v>16.809999999999999</v>
      </c>
      <c r="AA68" s="12">
        <v>0</v>
      </c>
      <c r="AB68" s="13">
        <f t="shared" si="0"/>
        <v>0</v>
      </c>
      <c r="AE68" s="12">
        <v>0</v>
      </c>
      <c r="AF68" s="12">
        <v>0</v>
      </c>
      <c r="AG68" s="12">
        <v>2</v>
      </c>
      <c r="AH68" s="12">
        <v>16.809999999999999</v>
      </c>
      <c r="AI68" s="12">
        <v>0</v>
      </c>
      <c r="AJ68" s="13">
        <f t="shared" si="1"/>
        <v>0</v>
      </c>
      <c r="AN68" s="12">
        <f t="shared" si="3"/>
        <v>25413</v>
      </c>
      <c r="AQ68" s="8" t="s">
        <v>419</v>
      </c>
      <c r="AR68" t="str">
        <f t="shared" si="2"/>
        <v>Norte - A08</v>
      </c>
    </row>
    <row r="69" spans="1:44" x14ac:dyDescent="0.2">
      <c r="A69" s="107" t="s">
        <v>6778</v>
      </c>
      <c r="B69" s="106" t="s">
        <v>6777</v>
      </c>
      <c r="C69" s="106" t="s">
        <v>6690</v>
      </c>
      <c r="D69" s="106" t="s">
        <v>2626</v>
      </c>
      <c r="E69" s="106" t="s">
        <v>6689</v>
      </c>
      <c r="F69" s="106" t="s">
        <v>490</v>
      </c>
      <c r="G69" s="106" t="s">
        <v>6776</v>
      </c>
      <c r="H69" s="105" t="s">
        <v>6775</v>
      </c>
      <c r="I69" s="105" t="s">
        <v>6774</v>
      </c>
      <c r="J69" s="104">
        <v>6.09</v>
      </c>
      <c r="K69" s="103" t="s">
        <v>428</v>
      </c>
      <c r="L69" s="102" t="s">
        <v>486</v>
      </c>
      <c r="M69" s="95"/>
      <c r="N69" s="14"/>
      <c r="O69" s="94">
        <v>20</v>
      </c>
      <c r="P69" s="14" t="s">
        <v>485</v>
      </c>
      <c r="Q69" s="14" t="s">
        <v>497</v>
      </c>
      <c r="R69" s="14" t="s">
        <v>496</v>
      </c>
      <c r="S69" s="15">
        <v>7</v>
      </c>
      <c r="T69" s="15">
        <v>1.5</v>
      </c>
      <c r="U69" s="15">
        <v>0</v>
      </c>
      <c r="V69" s="14">
        <v>1873</v>
      </c>
      <c r="W69" s="12">
        <v>0</v>
      </c>
      <c r="X69" s="12">
        <v>0</v>
      </c>
      <c r="Y69" s="12">
        <v>0</v>
      </c>
      <c r="Z69" s="12">
        <v>6.09</v>
      </c>
      <c r="AA69" s="12">
        <v>0</v>
      </c>
      <c r="AB69" s="13">
        <f t="shared" si="0"/>
        <v>0</v>
      </c>
      <c r="AE69" s="12">
        <v>0</v>
      </c>
      <c r="AF69" s="12">
        <v>0</v>
      </c>
      <c r="AG69" s="12">
        <v>0</v>
      </c>
      <c r="AH69" s="12">
        <v>6.09</v>
      </c>
      <c r="AI69" s="12">
        <v>0</v>
      </c>
      <c r="AJ69" s="13">
        <f t="shared" si="1"/>
        <v>0</v>
      </c>
      <c r="AN69" s="12">
        <f t="shared" si="3"/>
        <v>11407</v>
      </c>
      <c r="AQ69" s="8" t="s">
        <v>419</v>
      </c>
      <c r="AR69" t="str">
        <f t="shared" si="2"/>
        <v>Norte - A08</v>
      </c>
    </row>
    <row r="70" spans="1:44" x14ac:dyDescent="0.2">
      <c r="A70" s="107" t="s">
        <v>6773</v>
      </c>
      <c r="B70" s="106" t="s">
        <v>6772</v>
      </c>
      <c r="C70" s="106" t="s">
        <v>6690</v>
      </c>
      <c r="D70" s="106" t="s">
        <v>2620</v>
      </c>
      <c r="E70" s="106" t="s">
        <v>6689</v>
      </c>
      <c r="F70" s="106" t="s">
        <v>490</v>
      </c>
      <c r="G70" s="106" t="s">
        <v>6771</v>
      </c>
      <c r="H70" s="105" t="s">
        <v>6770</v>
      </c>
      <c r="I70" s="105" t="s">
        <v>6766</v>
      </c>
      <c r="J70" s="104">
        <v>2.73</v>
      </c>
      <c r="K70" s="103" t="s">
        <v>428</v>
      </c>
      <c r="L70" s="102" t="s">
        <v>486</v>
      </c>
      <c r="M70" s="95"/>
      <c r="N70" s="14"/>
      <c r="O70" s="94">
        <v>20</v>
      </c>
      <c r="P70" s="14" t="s">
        <v>485</v>
      </c>
      <c r="Q70" s="14" t="s">
        <v>497</v>
      </c>
      <c r="R70" s="14" t="s">
        <v>496</v>
      </c>
      <c r="S70" s="15">
        <v>7</v>
      </c>
      <c r="T70" s="15">
        <v>1.5</v>
      </c>
      <c r="U70" s="15">
        <v>1.7</v>
      </c>
      <c r="V70" s="14">
        <v>3722</v>
      </c>
      <c r="W70" s="12">
        <v>0</v>
      </c>
      <c r="X70" s="12">
        <v>0</v>
      </c>
      <c r="Y70" s="12">
        <v>1</v>
      </c>
      <c r="Z70" s="12">
        <v>1.73</v>
      </c>
      <c r="AA70" s="12">
        <v>0</v>
      </c>
      <c r="AB70" s="13">
        <f t="shared" ref="AB70:AB133" si="4">SUM(W70:AA70)-J70</f>
        <v>0</v>
      </c>
      <c r="AE70" s="12">
        <v>0</v>
      </c>
      <c r="AF70" s="12">
        <v>0</v>
      </c>
      <c r="AG70" s="12">
        <v>1</v>
      </c>
      <c r="AH70" s="12">
        <v>1.73</v>
      </c>
      <c r="AI70" s="12">
        <v>0</v>
      </c>
      <c r="AJ70" s="13">
        <f t="shared" ref="AJ70:AJ133" si="5">SUM(AE70:AI70)-J70</f>
        <v>0</v>
      </c>
      <c r="AN70" s="12">
        <f t="shared" ref="AN70:AN133" si="6">ROUNDUP(V70*J70,0)</f>
        <v>10162</v>
      </c>
      <c r="AQ70" s="8" t="s">
        <v>419</v>
      </c>
      <c r="AR70" t="str">
        <f t="shared" ref="AR70:AR133" si="7">AQ70&amp;" - "&amp;K70</f>
        <v>Norte - A08</v>
      </c>
    </row>
    <row r="71" spans="1:44" x14ac:dyDescent="0.2">
      <c r="A71" s="107" t="s">
        <v>6769</v>
      </c>
      <c r="B71" s="106" t="s">
        <v>6768</v>
      </c>
      <c r="C71" s="106" t="s">
        <v>6690</v>
      </c>
      <c r="D71" s="106" t="s">
        <v>2602</v>
      </c>
      <c r="E71" s="106" t="s">
        <v>6689</v>
      </c>
      <c r="F71" s="106" t="s">
        <v>490</v>
      </c>
      <c r="G71" s="106" t="s">
        <v>6767</v>
      </c>
      <c r="H71" s="105" t="s">
        <v>6766</v>
      </c>
      <c r="I71" s="105" t="s">
        <v>6762</v>
      </c>
      <c r="J71" s="104">
        <v>18.86</v>
      </c>
      <c r="K71" s="103" t="s">
        <v>428</v>
      </c>
      <c r="L71" s="102" t="s">
        <v>486</v>
      </c>
      <c r="M71" s="95"/>
      <c r="N71" s="14"/>
      <c r="O71" s="94">
        <v>20</v>
      </c>
      <c r="P71" s="14" t="s">
        <v>485</v>
      </c>
      <c r="Q71" s="14" t="s">
        <v>497</v>
      </c>
      <c r="R71" s="16" t="s">
        <v>496</v>
      </c>
      <c r="S71" s="15">
        <v>6.6</v>
      </c>
      <c r="T71" s="15">
        <v>1.5</v>
      </c>
      <c r="U71" s="15">
        <v>2.9</v>
      </c>
      <c r="V71" s="14">
        <v>2276</v>
      </c>
      <c r="W71" s="12">
        <v>0</v>
      </c>
      <c r="X71" s="12">
        <v>0</v>
      </c>
      <c r="Y71" s="12">
        <v>0</v>
      </c>
      <c r="Z71" s="12">
        <v>18.86</v>
      </c>
      <c r="AA71" s="12">
        <v>0</v>
      </c>
      <c r="AB71" s="13">
        <f t="shared" si="4"/>
        <v>0</v>
      </c>
      <c r="AE71" s="12">
        <v>0</v>
      </c>
      <c r="AF71" s="12">
        <v>0</v>
      </c>
      <c r="AG71" s="12">
        <v>0</v>
      </c>
      <c r="AH71" s="12">
        <v>18.86</v>
      </c>
      <c r="AI71" s="12">
        <v>0</v>
      </c>
      <c r="AJ71" s="13">
        <f t="shared" si="5"/>
        <v>0</v>
      </c>
      <c r="AN71" s="12">
        <f t="shared" si="6"/>
        <v>42926</v>
      </c>
      <c r="AQ71" s="8" t="s">
        <v>419</v>
      </c>
      <c r="AR71" t="str">
        <f t="shared" si="7"/>
        <v>Norte - A08</v>
      </c>
    </row>
    <row r="72" spans="1:44" x14ac:dyDescent="0.2">
      <c r="A72" s="107" t="s">
        <v>6765</v>
      </c>
      <c r="B72" s="106" t="s">
        <v>6764</v>
      </c>
      <c r="C72" s="106" t="s">
        <v>6690</v>
      </c>
      <c r="D72" s="106" t="s">
        <v>5154</v>
      </c>
      <c r="E72" s="106" t="s">
        <v>6689</v>
      </c>
      <c r="F72" s="106" t="s">
        <v>490</v>
      </c>
      <c r="G72" s="106" t="s">
        <v>6763</v>
      </c>
      <c r="H72" s="105" t="s">
        <v>6762</v>
      </c>
      <c r="I72" s="105" t="s">
        <v>6758</v>
      </c>
      <c r="J72" s="104">
        <v>32.57</v>
      </c>
      <c r="K72" s="103" t="s">
        <v>424</v>
      </c>
      <c r="L72" s="102" t="s">
        <v>486</v>
      </c>
      <c r="M72" s="95"/>
      <c r="N72" s="14"/>
      <c r="O72" s="94">
        <v>16</v>
      </c>
      <c r="P72" s="14" t="s">
        <v>485</v>
      </c>
      <c r="Q72" s="14" t="s">
        <v>497</v>
      </c>
      <c r="R72" s="16" t="s">
        <v>496</v>
      </c>
      <c r="S72" s="15">
        <v>6.6</v>
      </c>
      <c r="T72" s="15">
        <v>1.5</v>
      </c>
      <c r="U72" s="15">
        <v>5.9</v>
      </c>
      <c r="V72" s="14">
        <v>1156</v>
      </c>
      <c r="W72" s="12">
        <v>0</v>
      </c>
      <c r="X72" s="12">
        <v>0</v>
      </c>
      <c r="Y72" s="12">
        <v>6</v>
      </c>
      <c r="Z72" s="12">
        <v>26.57</v>
      </c>
      <c r="AA72" s="12">
        <v>0</v>
      </c>
      <c r="AB72" s="13">
        <f t="shared" si="4"/>
        <v>0</v>
      </c>
      <c r="AE72" s="12">
        <v>0</v>
      </c>
      <c r="AF72" s="12">
        <v>0</v>
      </c>
      <c r="AG72" s="12">
        <v>6</v>
      </c>
      <c r="AH72" s="12">
        <v>26.57</v>
      </c>
      <c r="AI72" s="12">
        <v>0</v>
      </c>
      <c r="AJ72" s="13">
        <f t="shared" si="5"/>
        <v>0</v>
      </c>
      <c r="AN72" s="12">
        <f t="shared" si="6"/>
        <v>37651</v>
      </c>
      <c r="AQ72" s="8" t="s">
        <v>419</v>
      </c>
      <c r="AR72" t="str">
        <f t="shared" si="7"/>
        <v>Norte - A04</v>
      </c>
    </row>
    <row r="73" spans="1:44" x14ac:dyDescent="0.2">
      <c r="A73" s="107" t="s">
        <v>6761</v>
      </c>
      <c r="B73" s="106" t="s">
        <v>6760</v>
      </c>
      <c r="C73" s="106" t="s">
        <v>6690</v>
      </c>
      <c r="D73" s="106" t="s">
        <v>2586</v>
      </c>
      <c r="E73" s="106" t="s">
        <v>6689</v>
      </c>
      <c r="F73" s="106" t="s">
        <v>490</v>
      </c>
      <c r="G73" s="106" t="s">
        <v>6759</v>
      </c>
      <c r="H73" s="105" t="s">
        <v>6758</v>
      </c>
      <c r="I73" s="105" t="s">
        <v>6754</v>
      </c>
      <c r="J73" s="104">
        <v>0.95</v>
      </c>
      <c r="K73" s="103" t="s">
        <v>424</v>
      </c>
      <c r="L73" s="102" t="s">
        <v>486</v>
      </c>
      <c r="M73" s="95"/>
      <c r="N73" s="14"/>
      <c r="O73" s="94">
        <v>16</v>
      </c>
      <c r="P73" s="14" t="s">
        <v>485</v>
      </c>
      <c r="Q73" s="14" t="s">
        <v>497</v>
      </c>
      <c r="R73" s="14" t="s">
        <v>496</v>
      </c>
      <c r="S73" s="15">
        <v>7.2</v>
      </c>
      <c r="T73" s="15">
        <v>2.5</v>
      </c>
      <c r="U73" s="15">
        <v>0</v>
      </c>
      <c r="V73" s="14">
        <v>1049</v>
      </c>
      <c r="W73" s="12">
        <v>0</v>
      </c>
      <c r="X73" s="12">
        <v>0</v>
      </c>
      <c r="Y73" s="12">
        <v>0</v>
      </c>
      <c r="Z73" s="12">
        <v>0.95</v>
      </c>
      <c r="AA73" s="12">
        <v>0</v>
      </c>
      <c r="AB73" s="13">
        <f t="shared" si="4"/>
        <v>0</v>
      </c>
      <c r="AE73" s="12">
        <v>0</v>
      </c>
      <c r="AF73" s="12">
        <v>0</v>
      </c>
      <c r="AG73" s="12">
        <v>0</v>
      </c>
      <c r="AH73" s="12">
        <v>0.95</v>
      </c>
      <c r="AI73" s="12">
        <v>0</v>
      </c>
      <c r="AJ73" s="13">
        <f t="shared" si="5"/>
        <v>0</v>
      </c>
      <c r="AN73" s="12">
        <f t="shared" si="6"/>
        <v>997</v>
      </c>
      <c r="AQ73" s="8" t="s">
        <v>419</v>
      </c>
      <c r="AR73" t="str">
        <f t="shared" si="7"/>
        <v>Norte - A04</v>
      </c>
    </row>
    <row r="74" spans="1:44" x14ac:dyDescent="0.2">
      <c r="A74" s="107" t="s">
        <v>6757</v>
      </c>
      <c r="B74" s="106" t="s">
        <v>6756</v>
      </c>
      <c r="C74" s="106" t="s">
        <v>6690</v>
      </c>
      <c r="D74" s="106" t="s">
        <v>5690</v>
      </c>
      <c r="E74" s="106" t="s">
        <v>6689</v>
      </c>
      <c r="F74" s="106" t="s">
        <v>490</v>
      </c>
      <c r="G74" s="106" t="s">
        <v>6755</v>
      </c>
      <c r="H74" s="105" t="s">
        <v>6754</v>
      </c>
      <c r="I74" s="105" t="s">
        <v>6750</v>
      </c>
      <c r="J74" s="104">
        <v>14.09</v>
      </c>
      <c r="K74" s="103" t="s">
        <v>424</v>
      </c>
      <c r="L74" s="102" t="s">
        <v>486</v>
      </c>
      <c r="M74" s="95"/>
      <c r="N74" s="14"/>
      <c r="O74" s="94">
        <v>16</v>
      </c>
      <c r="P74" s="14" t="s">
        <v>485</v>
      </c>
      <c r="Q74" s="14" t="s">
        <v>497</v>
      </c>
      <c r="R74" s="14" t="s">
        <v>496</v>
      </c>
      <c r="S74" s="15">
        <v>7.2</v>
      </c>
      <c r="T74" s="15">
        <v>2.5</v>
      </c>
      <c r="U74" s="15">
        <v>0</v>
      </c>
      <c r="V74" s="14">
        <v>1049</v>
      </c>
      <c r="W74" s="12">
        <v>0</v>
      </c>
      <c r="X74" s="12">
        <v>0</v>
      </c>
      <c r="Y74" s="12">
        <v>0</v>
      </c>
      <c r="Z74" s="12">
        <v>14.09</v>
      </c>
      <c r="AA74" s="12">
        <v>0</v>
      </c>
      <c r="AB74" s="13">
        <f t="shared" si="4"/>
        <v>0</v>
      </c>
      <c r="AE74" s="12">
        <v>0</v>
      </c>
      <c r="AF74" s="12">
        <v>0</v>
      </c>
      <c r="AG74" s="12">
        <v>0</v>
      </c>
      <c r="AH74" s="12">
        <v>14.09</v>
      </c>
      <c r="AI74" s="12">
        <v>0</v>
      </c>
      <c r="AJ74" s="13">
        <f t="shared" si="5"/>
        <v>0</v>
      </c>
      <c r="AN74" s="12">
        <f t="shared" si="6"/>
        <v>14781</v>
      </c>
      <c r="AQ74" s="8" t="s">
        <v>419</v>
      </c>
      <c r="AR74" t="str">
        <f t="shared" si="7"/>
        <v>Norte - A04</v>
      </c>
    </row>
    <row r="75" spans="1:44" x14ac:dyDescent="0.2">
      <c r="A75" s="107" t="s">
        <v>6753</v>
      </c>
      <c r="B75" s="106" t="s">
        <v>6752</v>
      </c>
      <c r="C75" s="106" t="s">
        <v>6690</v>
      </c>
      <c r="D75" s="106" t="s">
        <v>2567</v>
      </c>
      <c r="E75" s="106" t="s">
        <v>6689</v>
      </c>
      <c r="F75" s="106" t="s">
        <v>490</v>
      </c>
      <c r="G75" s="106" t="s">
        <v>6751</v>
      </c>
      <c r="H75" s="105" t="s">
        <v>6750</v>
      </c>
      <c r="I75" s="105" t="s">
        <v>6746</v>
      </c>
      <c r="J75" s="104">
        <v>8.61</v>
      </c>
      <c r="K75" s="103" t="s">
        <v>424</v>
      </c>
      <c r="L75" s="102" t="s">
        <v>486</v>
      </c>
      <c r="M75" s="95"/>
      <c r="N75" s="14"/>
      <c r="O75" s="94">
        <v>16</v>
      </c>
      <c r="P75" s="14" t="s">
        <v>485</v>
      </c>
      <c r="Q75" s="14" t="s">
        <v>497</v>
      </c>
      <c r="R75" s="14" t="s">
        <v>496</v>
      </c>
      <c r="S75" s="15">
        <v>7.2</v>
      </c>
      <c r="T75" s="15">
        <v>2.5</v>
      </c>
      <c r="U75" s="15">
        <v>0</v>
      </c>
      <c r="V75" s="14">
        <v>1049</v>
      </c>
      <c r="W75" s="12">
        <v>0</v>
      </c>
      <c r="X75" s="12">
        <v>0</v>
      </c>
      <c r="Y75" s="12">
        <v>0</v>
      </c>
      <c r="Z75" s="12">
        <v>8.61</v>
      </c>
      <c r="AA75" s="12">
        <v>0</v>
      </c>
      <c r="AB75" s="13">
        <f t="shared" si="4"/>
        <v>0</v>
      </c>
      <c r="AE75" s="12">
        <v>0</v>
      </c>
      <c r="AF75" s="12">
        <v>0</v>
      </c>
      <c r="AG75" s="12">
        <v>0</v>
      </c>
      <c r="AH75" s="12">
        <v>8.61</v>
      </c>
      <c r="AI75" s="12">
        <v>0</v>
      </c>
      <c r="AJ75" s="13">
        <f t="shared" si="5"/>
        <v>0</v>
      </c>
      <c r="AN75" s="12">
        <f t="shared" si="6"/>
        <v>9032</v>
      </c>
      <c r="AQ75" s="8" t="s">
        <v>419</v>
      </c>
      <c r="AR75" t="str">
        <f t="shared" si="7"/>
        <v>Norte - A04</v>
      </c>
    </row>
    <row r="76" spans="1:44" x14ac:dyDescent="0.2">
      <c r="A76" s="107" t="s">
        <v>6749</v>
      </c>
      <c r="B76" s="106" t="s">
        <v>6748</v>
      </c>
      <c r="C76" s="106" t="s">
        <v>6690</v>
      </c>
      <c r="D76" s="106" t="s">
        <v>2560</v>
      </c>
      <c r="E76" s="106" t="s">
        <v>6689</v>
      </c>
      <c r="F76" s="106" t="s">
        <v>490</v>
      </c>
      <c r="G76" s="106" t="s">
        <v>6747</v>
      </c>
      <c r="H76" s="105" t="s">
        <v>6746</v>
      </c>
      <c r="I76" s="105" t="s">
        <v>6742</v>
      </c>
      <c r="J76" s="104">
        <v>0.85</v>
      </c>
      <c r="K76" s="103" t="s">
        <v>424</v>
      </c>
      <c r="L76" s="102" t="s">
        <v>486</v>
      </c>
      <c r="M76" s="95"/>
      <c r="N76" s="14"/>
      <c r="O76" s="94">
        <v>16</v>
      </c>
      <c r="P76" s="14" t="s">
        <v>485</v>
      </c>
      <c r="Q76" s="14" t="s">
        <v>497</v>
      </c>
      <c r="R76" s="14" t="s">
        <v>496</v>
      </c>
      <c r="S76" s="15">
        <v>7.2</v>
      </c>
      <c r="T76" s="15">
        <v>2.5</v>
      </c>
      <c r="U76" s="15">
        <v>0</v>
      </c>
      <c r="V76" s="14">
        <v>4243</v>
      </c>
      <c r="W76" s="12">
        <v>0</v>
      </c>
      <c r="X76" s="12">
        <v>0</v>
      </c>
      <c r="Y76" s="12">
        <v>0.85</v>
      </c>
      <c r="Z76" s="12">
        <v>0</v>
      </c>
      <c r="AA76" s="12">
        <v>0</v>
      </c>
      <c r="AB76" s="13">
        <f t="shared" si="4"/>
        <v>0</v>
      </c>
      <c r="AE76" s="12">
        <v>0</v>
      </c>
      <c r="AF76" s="12">
        <v>0</v>
      </c>
      <c r="AG76" s="12">
        <v>0.85</v>
      </c>
      <c r="AH76" s="12">
        <v>0</v>
      </c>
      <c r="AI76" s="12">
        <v>0</v>
      </c>
      <c r="AJ76" s="13">
        <f t="shared" si="5"/>
        <v>0</v>
      </c>
      <c r="AN76" s="12">
        <f t="shared" si="6"/>
        <v>3607</v>
      </c>
      <c r="AQ76" s="8" t="s">
        <v>419</v>
      </c>
      <c r="AR76" t="str">
        <f t="shared" si="7"/>
        <v>Norte - A04</v>
      </c>
    </row>
    <row r="77" spans="1:44" x14ac:dyDescent="0.2">
      <c r="A77" s="107" t="s">
        <v>6745</v>
      </c>
      <c r="B77" s="106" t="s">
        <v>6744</v>
      </c>
      <c r="C77" s="106" t="s">
        <v>6690</v>
      </c>
      <c r="D77" s="106" t="s">
        <v>4967</v>
      </c>
      <c r="E77" s="106" t="s">
        <v>6689</v>
      </c>
      <c r="F77" s="106" t="s">
        <v>490</v>
      </c>
      <c r="G77" s="106" t="s">
        <v>6743</v>
      </c>
      <c r="H77" s="105" t="s">
        <v>6742</v>
      </c>
      <c r="I77" s="105" t="s">
        <v>6738</v>
      </c>
      <c r="J77" s="104">
        <v>7.8</v>
      </c>
      <c r="K77" s="103" t="s">
        <v>424</v>
      </c>
      <c r="L77" s="102" t="s">
        <v>486</v>
      </c>
      <c r="M77" s="95"/>
      <c r="N77" s="14"/>
      <c r="O77" s="94">
        <v>16</v>
      </c>
      <c r="P77" s="14" t="s">
        <v>485</v>
      </c>
      <c r="Q77" s="14" t="s">
        <v>497</v>
      </c>
      <c r="R77" s="14" t="s">
        <v>496</v>
      </c>
      <c r="S77" s="15">
        <v>7.2</v>
      </c>
      <c r="T77" s="15">
        <v>2.5</v>
      </c>
      <c r="U77" s="15">
        <v>0</v>
      </c>
      <c r="V77" s="14">
        <v>4243</v>
      </c>
      <c r="W77" s="12">
        <v>0</v>
      </c>
      <c r="X77" s="12">
        <v>0</v>
      </c>
      <c r="Y77" s="12">
        <v>0</v>
      </c>
      <c r="Z77" s="12">
        <v>7.8</v>
      </c>
      <c r="AA77" s="12">
        <v>0</v>
      </c>
      <c r="AB77" s="13">
        <f t="shared" si="4"/>
        <v>0</v>
      </c>
      <c r="AE77" s="12">
        <v>0</v>
      </c>
      <c r="AF77" s="12">
        <v>0</v>
      </c>
      <c r="AG77" s="12">
        <v>0</v>
      </c>
      <c r="AH77" s="12">
        <v>7.8</v>
      </c>
      <c r="AI77" s="12">
        <v>0</v>
      </c>
      <c r="AJ77" s="13">
        <f t="shared" si="5"/>
        <v>0</v>
      </c>
      <c r="AN77" s="12">
        <f t="shared" si="6"/>
        <v>33096</v>
      </c>
      <c r="AQ77" s="8" t="s">
        <v>419</v>
      </c>
      <c r="AR77" t="str">
        <f t="shared" si="7"/>
        <v>Norte - A04</v>
      </c>
    </row>
    <row r="78" spans="1:44" x14ac:dyDescent="0.2">
      <c r="A78" s="107" t="s">
        <v>6741</v>
      </c>
      <c r="B78" s="106" t="s">
        <v>6740</v>
      </c>
      <c r="C78" s="106" t="s">
        <v>6690</v>
      </c>
      <c r="D78" s="106" t="s">
        <v>4754</v>
      </c>
      <c r="E78" s="106" t="s">
        <v>6689</v>
      </c>
      <c r="F78" s="106" t="s">
        <v>490</v>
      </c>
      <c r="G78" s="106" t="s">
        <v>6739</v>
      </c>
      <c r="H78" s="105" t="s">
        <v>6738</v>
      </c>
      <c r="I78" s="105" t="s">
        <v>6733</v>
      </c>
      <c r="J78" s="104">
        <v>8.82</v>
      </c>
      <c r="K78" s="103" t="s">
        <v>424</v>
      </c>
      <c r="L78" s="102" t="s">
        <v>486</v>
      </c>
      <c r="M78" s="95"/>
      <c r="N78" s="14"/>
      <c r="O78" s="94">
        <v>16</v>
      </c>
      <c r="P78" s="14" t="s">
        <v>485</v>
      </c>
      <c r="Q78" s="14" t="s">
        <v>497</v>
      </c>
      <c r="R78" s="14" t="s">
        <v>496</v>
      </c>
      <c r="S78" s="15">
        <v>7</v>
      </c>
      <c r="T78" s="15">
        <v>2.5</v>
      </c>
      <c r="U78" s="15">
        <v>0</v>
      </c>
      <c r="V78" s="14">
        <v>4243</v>
      </c>
      <c r="W78" s="12">
        <v>0</v>
      </c>
      <c r="X78" s="12">
        <v>0</v>
      </c>
      <c r="Y78" s="12">
        <v>0</v>
      </c>
      <c r="Z78" s="12">
        <v>8.82</v>
      </c>
      <c r="AA78" s="12">
        <v>0</v>
      </c>
      <c r="AB78" s="13">
        <f t="shared" si="4"/>
        <v>0</v>
      </c>
      <c r="AE78" s="12">
        <v>0</v>
      </c>
      <c r="AF78" s="12">
        <v>0</v>
      </c>
      <c r="AG78" s="12">
        <v>0</v>
      </c>
      <c r="AH78" s="12">
        <v>8.82</v>
      </c>
      <c r="AI78" s="12">
        <v>0</v>
      </c>
      <c r="AJ78" s="13">
        <f t="shared" si="5"/>
        <v>0</v>
      </c>
      <c r="AN78" s="12">
        <f t="shared" si="6"/>
        <v>37424</v>
      </c>
      <c r="AQ78" s="8" t="s">
        <v>419</v>
      </c>
      <c r="AR78" t="str">
        <f t="shared" si="7"/>
        <v>Norte - A04</v>
      </c>
    </row>
    <row r="79" spans="1:44" x14ac:dyDescent="0.2">
      <c r="A79" s="107" t="s">
        <v>6737</v>
      </c>
      <c r="B79" s="106" t="s">
        <v>6736</v>
      </c>
      <c r="C79" s="106" t="s">
        <v>6690</v>
      </c>
      <c r="D79" s="106" t="s">
        <v>6735</v>
      </c>
      <c r="E79" s="106" t="s">
        <v>6689</v>
      </c>
      <c r="F79" s="106" t="s">
        <v>490</v>
      </c>
      <c r="G79" s="106" t="s">
        <v>6734</v>
      </c>
      <c r="H79" s="105" t="s">
        <v>6733</v>
      </c>
      <c r="I79" s="105" t="s">
        <v>6729</v>
      </c>
      <c r="J79" s="104">
        <v>1.95</v>
      </c>
      <c r="K79" s="103" t="s">
        <v>424</v>
      </c>
      <c r="L79" s="102" t="s">
        <v>486</v>
      </c>
      <c r="M79" s="95"/>
      <c r="N79" s="14"/>
      <c r="O79" s="94">
        <v>16</v>
      </c>
      <c r="P79" s="14" t="s">
        <v>485</v>
      </c>
      <c r="Q79" s="14" t="s">
        <v>497</v>
      </c>
      <c r="R79" s="14" t="s">
        <v>496</v>
      </c>
      <c r="S79" s="15">
        <v>7</v>
      </c>
      <c r="T79" s="15">
        <v>2.5</v>
      </c>
      <c r="U79" s="15">
        <v>0</v>
      </c>
      <c r="V79" s="14">
        <v>4442</v>
      </c>
      <c r="W79" s="12">
        <v>0</v>
      </c>
      <c r="X79" s="12">
        <v>0</v>
      </c>
      <c r="Y79" s="12">
        <v>0</v>
      </c>
      <c r="Z79" s="12">
        <v>1.95</v>
      </c>
      <c r="AA79" s="12">
        <v>0</v>
      </c>
      <c r="AB79" s="13">
        <f t="shared" si="4"/>
        <v>0</v>
      </c>
      <c r="AE79" s="12">
        <v>0</v>
      </c>
      <c r="AF79" s="12">
        <v>0</v>
      </c>
      <c r="AG79" s="12">
        <v>0</v>
      </c>
      <c r="AH79" s="12">
        <v>1.95</v>
      </c>
      <c r="AI79" s="12">
        <v>0</v>
      </c>
      <c r="AJ79" s="13">
        <f t="shared" si="5"/>
        <v>0</v>
      </c>
      <c r="AN79" s="12">
        <f t="shared" si="6"/>
        <v>8662</v>
      </c>
      <c r="AQ79" s="8" t="s">
        <v>419</v>
      </c>
      <c r="AR79" t="str">
        <f t="shared" si="7"/>
        <v>Norte - A04</v>
      </c>
    </row>
    <row r="80" spans="1:44" x14ac:dyDescent="0.2">
      <c r="A80" s="107" t="s">
        <v>6732</v>
      </c>
      <c r="B80" s="106" t="s">
        <v>6731</v>
      </c>
      <c r="C80" s="106" t="s">
        <v>6690</v>
      </c>
      <c r="D80" s="106" t="s">
        <v>4749</v>
      </c>
      <c r="E80" s="106" t="s">
        <v>6689</v>
      </c>
      <c r="F80" s="106" t="s">
        <v>490</v>
      </c>
      <c r="G80" s="106" t="s">
        <v>6730</v>
      </c>
      <c r="H80" s="105" t="s">
        <v>6729</v>
      </c>
      <c r="I80" s="105" t="s">
        <v>6724</v>
      </c>
      <c r="J80" s="104">
        <v>2.4300000000000002</v>
      </c>
      <c r="K80" s="103" t="s">
        <v>424</v>
      </c>
      <c r="L80" s="102" t="s">
        <v>486</v>
      </c>
      <c r="M80" s="95"/>
      <c r="N80" s="14"/>
      <c r="O80" s="94">
        <v>16</v>
      </c>
      <c r="P80" s="14" t="s">
        <v>485</v>
      </c>
      <c r="Q80" s="14" t="s">
        <v>497</v>
      </c>
      <c r="R80" s="14" t="s">
        <v>496</v>
      </c>
      <c r="S80" s="15">
        <v>7</v>
      </c>
      <c r="T80" s="15">
        <v>2.5</v>
      </c>
      <c r="U80" s="15">
        <v>0</v>
      </c>
      <c r="V80" s="14">
        <v>4243</v>
      </c>
      <c r="W80" s="12">
        <v>0</v>
      </c>
      <c r="X80" s="12">
        <v>0</v>
      </c>
      <c r="Y80" s="12">
        <v>0</v>
      </c>
      <c r="Z80" s="12">
        <v>2.4300000000000002</v>
      </c>
      <c r="AA80" s="12">
        <v>0</v>
      </c>
      <c r="AB80" s="13">
        <f t="shared" si="4"/>
        <v>0</v>
      </c>
      <c r="AE80" s="12">
        <v>0</v>
      </c>
      <c r="AF80" s="12">
        <v>0</v>
      </c>
      <c r="AG80" s="12">
        <v>0</v>
      </c>
      <c r="AH80" s="12">
        <v>2.4300000000000002</v>
      </c>
      <c r="AI80" s="12">
        <v>0</v>
      </c>
      <c r="AJ80" s="13">
        <f t="shared" si="5"/>
        <v>0</v>
      </c>
      <c r="AN80" s="12">
        <f t="shared" si="6"/>
        <v>10311</v>
      </c>
      <c r="AQ80" s="8" t="s">
        <v>419</v>
      </c>
      <c r="AR80" t="str">
        <f t="shared" si="7"/>
        <v>Norte - A04</v>
      </c>
    </row>
    <row r="81" spans="1:44" x14ac:dyDescent="0.2">
      <c r="A81" s="107" t="s">
        <v>6728</v>
      </c>
      <c r="B81" s="106" t="s">
        <v>6727</v>
      </c>
      <c r="C81" s="106" t="s">
        <v>6690</v>
      </c>
      <c r="D81" s="106" t="s">
        <v>6726</v>
      </c>
      <c r="E81" s="106" t="s">
        <v>6689</v>
      </c>
      <c r="F81" s="106" t="s">
        <v>490</v>
      </c>
      <c r="G81" s="106" t="s">
        <v>6725</v>
      </c>
      <c r="H81" s="105" t="s">
        <v>6724</v>
      </c>
      <c r="I81" s="105" t="s">
        <v>6723</v>
      </c>
      <c r="J81" s="104">
        <v>2.62</v>
      </c>
      <c r="K81" s="103" t="s">
        <v>424</v>
      </c>
      <c r="L81" s="102" t="s">
        <v>486</v>
      </c>
      <c r="M81" s="95"/>
      <c r="N81" s="14"/>
      <c r="O81" s="94">
        <v>16</v>
      </c>
      <c r="P81" s="14" t="s">
        <v>485</v>
      </c>
      <c r="Q81" s="14" t="s">
        <v>497</v>
      </c>
      <c r="R81" s="14" t="s">
        <v>496</v>
      </c>
      <c r="S81" s="15">
        <v>7</v>
      </c>
      <c r="T81" s="15">
        <v>2.5</v>
      </c>
      <c r="U81" s="15">
        <v>0</v>
      </c>
      <c r="V81" s="14">
        <v>4243</v>
      </c>
      <c r="W81" s="12">
        <v>0</v>
      </c>
      <c r="X81" s="12">
        <v>0</v>
      </c>
      <c r="Y81" s="12">
        <v>0</v>
      </c>
      <c r="Z81" s="12">
        <v>2.62</v>
      </c>
      <c r="AA81" s="12">
        <v>0</v>
      </c>
      <c r="AB81" s="13">
        <f t="shared" si="4"/>
        <v>0</v>
      </c>
      <c r="AE81" s="12">
        <v>0</v>
      </c>
      <c r="AF81" s="12">
        <v>0</v>
      </c>
      <c r="AG81" s="12">
        <v>0</v>
      </c>
      <c r="AH81" s="12">
        <v>2.62</v>
      </c>
      <c r="AI81" s="12">
        <v>0</v>
      </c>
      <c r="AJ81" s="13">
        <f t="shared" si="5"/>
        <v>0</v>
      </c>
      <c r="AN81" s="12">
        <f t="shared" si="6"/>
        <v>11117</v>
      </c>
      <c r="AQ81" s="8" t="s">
        <v>419</v>
      </c>
      <c r="AR81" t="str">
        <f t="shared" si="7"/>
        <v>Norte - A04</v>
      </c>
    </row>
    <row r="82" spans="1:44" x14ac:dyDescent="0.2">
      <c r="A82" s="107" t="s">
        <v>6722</v>
      </c>
      <c r="B82" s="106" t="s">
        <v>6721</v>
      </c>
      <c r="C82" s="106" t="s">
        <v>6690</v>
      </c>
      <c r="D82" s="106" t="s">
        <v>3529</v>
      </c>
      <c r="E82" s="106" t="s">
        <v>6689</v>
      </c>
      <c r="F82" s="106" t="s">
        <v>490</v>
      </c>
      <c r="G82" s="106" t="s">
        <v>6720</v>
      </c>
      <c r="H82" s="105" t="s">
        <v>6719</v>
      </c>
      <c r="I82" s="105" t="s">
        <v>5445</v>
      </c>
      <c r="J82" s="104">
        <v>14.47</v>
      </c>
      <c r="K82" s="103" t="s">
        <v>424</v>
      </c>
      <c r="L82" s="102" t="s">
        <v>486</v>
      </c>
      <c r="M82" s="95"/>
      <c r="N82" s="14"/>
      <c r="O82" s="94">
        <v>16</v>
      </c>
      <c r="P82" s="14" t="s">
        <v>485</v>
      </c>
      <c r="Q82" s="14" t="s">
        <v>497</v>
      </c>
      <c r="R82" s="14" t="s">
        <v>496</v>
      </c>
      <c r="S82" s="15">
        <v>7.2</v>
      </c>
      <c r="T82" s="15">
        <v>2.5</v>
      </c>
      <c r="U82" s="15">
        <v>0</v>
      </c>
      <c r="V82" s="14">
        <v>3958</v>
      </c>
      <c r="W82" s="12">
        <v>0</v>
      </c>
      <c r="X82" s="12">
        <v>1</v>
      </c>
      <c r="Y82" s="12">
        <v>10.47</v>
      </c>
      <c r="Z82" s="12">
        <v>3</v>
      </c>
      <c r="AA82" s="12">
        <v>0</v>
      </c>
      <c r="AB82" s="13">
        <f t="shared" si="4"/>
        <v>0</v>
      </c>
      <c r="AE82" s="12">
        <v>0</v>
      </c>
      <c r="AF82" s="12">
        <v>1</v>
      </c>
      <c r="AG82" s="12">
        <v>10.47</v>
      </c>
      <c r="AH82" s="12">
        <v>3</v>
      </c>
      <c r="AI82" s="12">
        <v>0</v>
      </c>
      <c r="AJ82" s="13">
        <f t="shared" si="5"/>
        <v>0</v>
      </c>
      <c r="AN82" s="12">
        <f t="shared" si="6"/>
        <v>57273</v>
      </c>
      <c r="AQ82" s="8" t="s">
        <v>419</v>
      </c>
      <c r="AR82" t="str">
        <f t="shared" si="7"/>
        <v>Norte - A04</v>
      </c>
    </row>
    <row r="83" spans="1:44" x14ac:dyDescent="0.2">
      <c r="A83" s="107" t="s">
        <v>6718</v>
      </c>
      <c r="B83" s="106" t="s">
        <v>6717</v>
      </c>
      <c r="C83" s="106" t="s">
        <v>6690</v>
      </c>
      <c r="D83" s="106" t="s">
        <v>4715</v>
      </c>
      <c r="E83" s="106" t="s">
        <v>6689</v>
      </c>
      <c r="F83" s="106" t="s">
        <v>490</v>
      </c>
      <c r="G83" s="106" t="s">
        <v>6716</v>
      </c>
      <c r="H83" s="105" t="s">
        <v>6715</v>
      </c>
      <c r="I83" s="105" t="s">
        <v>6714</v>
      </c>
      <c r="J83" s="104">
        <v>2.48</v>
      </c>
      <c r="K83" s="103" t="s">
        <v>423</v>
      </c>
      <c r="L83" s="102" t="s">
        <v>486</v>
      </c>
      <c r="M83" s="95"/>
      <c r="N83" s="14"/>
      <c r="O83" s="94">
        <v>15</v>
      </c>
      <c r="P83" s="14" t="s">
        <v>485</v>
      </c>
      <c r="Q83" s="14" t="s">
        <v>497</v>
      </c>
      <c r="R83" s="14" t="s">
        <v>496</v>
      </c>
      <c r="S83" s="15">
        <v>7.2</v>
      </c>
      <c r="T83" s="15">
        <v>2.5</v>
      </c>
      <c r="U83" s="15">
        <v>0</v>
      </c>
      <c r="V83" s="14">
        <v>1930</v>
      </c>
      <c r="W83" s="12">
        <v>0</v>
      </c>
      <c r="X83" s="12">
        <v>0</v>
      </c>
      <c r="Y83" s="12">
        <v>2.48</v>
      </c>
      <c r="Z83" s="12">
        <v>0</v>
      </c>
      <c r="AA83" s="12">
        <v>0</v>
      </c>
      <c r="AB83" s="13">
        <f t="shared" si="4"/>
        <v>0</v>
      </c>
      <c r="AE83" s="12">
        <v>0</v>
      </c>
      <c r="AF83" s="12">
        <v>0</v>
      </c>
      <c r="AG83" s="12">
        <v>2.48</v>
      </c>
      <c r="AH83" s="12">
        <v>0</v>
      </c>
      <c r="AI83" s="12">
        <v>0</v>
      </c>
      <c r="AJ83" s="13">
        <f t="shared" si="5"/>
        <v>0</v>
      </c>
      <c r="AN83" s="12">
        <f t="shared" si="6"/>
        <v>4787</v>
      </c>
      <c r="AQ83" s="8" t="s">
        <v>419</v>
      </c>
      <c r="AR83" t="str">
        <f t="shared" si="7"/>
        <v>Norte - A03</v>
      </c>
    </row>
    <row r="84" spans="1:44" x14ac:dyDescent="0.2">
      <c r="A84" s="107" t="s">
        <v>6713</v>
      </c>
      <c r="B84" s="106" t="s">
        <v>6712</v>
      </c>
      <c r="C84" s="106" t="s">
        <v>6690</v>
      </c>
      <c r="D84" s="106" t="s">
        <v>4705</v>
      </c>
      <c r="E84" s="106" t="s">
        <v>6689</v>
      </c>
      <c r="F84" s="106" t="s">
        <v>490</v>
      </c>
      <c r="G84" s="106" t="s">
        <v>6711</v>
      </c>
      <c r="H84" s="105" t="s">
        <v>6710</v>
      </c>
      <c r="I84" s="105" t="s">
        <v>6705</v>
      </c>
      <c r="J84" s="104">
        <v>16.510000000000002</v>
      </c>
      <c r="K84" s="103" t="s">
        <v>423</v>
      </c>
      <c r="L84" s="102" t="s">
        <v>486</v>
      </c>
      <c r="M84" s="95"/>
      <c r="N84" s="14"/>
      <c r="O84" s="94">
        <v>15</v>
      </c>
      <c r="P84" s="14" t="s">
        <v>485</v>
      </c>
      <c r="Q84" s="14" t="s">
        <v>561</v>
      </c>
      <c r="R84" s="14" t="s">
        <v>496</v>
      </c>
      <c r="S84" s="15">
        <v>7.2</v>
      </c>
      <c r="T84" s="15">
        <v>0.6</v>
      </c>
      <c r="U84" s="15">
        <v>0</v>
      </c>
      <c r="V84" s="14">
        <v>1930</v>
      </c>
      <c r="W84" s="12">
        <v>0</v>
      </c>
      <c r="X84" s="12">
        <v>0</v>
      </c>
      <c r="Y84" s="12">
        <v>0</v>
      </c>
      <c r="Z84" s="12">
        <v>16.510000000000002</v>
      </c>
      <c r="AA84" s="12">
        <v>0</v>
      </c>
      <c r="AB84" s="13">
        <f t="shared" si="4"/>
        <v>0</v>
      </c>
      <c r="AE84" s="12">
        <v>0</v>
      </c>
      <c r="AF84" s="12">
        <v>0</v>
      </c>
      <c r="AG84" s="12">
        <v>0</v>
      </c>
      <c r="AH84" s="12">
        <v>16.510000000000002</v>
      </c>
      <c r="AI84" s="12">
        <v>0</v>
      </c>
      <c r="AJ84" s="13">
        <f t="shared" si="5"/>
        <v>0</v>
      </c>
      <c r="AN84" s="12">
        <f t="shared" si="6"/>
        <v>31865</v>
      </c>
      <c r="AQ84" s="8" t="s">
        <v>419</v>
      </c>
      <c r="AR84" t="str">
        <f t="shared" si="7"/>
        <v>Norte - A03</v>
      </c>
    </row>
    <row r="85" spans="1:44" x14ac:dyDescent="0.2">
      <c r="A85" s="107" t="s">
        <v>6709</v>
      </c>
      <c r="B85" s="106" t="s">
        <v>6708</v>
      </c>
      <c r="C85" s="106" t="s">
        <v>6690</v>
      </c>
      <c r="D85" s="106" t="s">
        <v>6707</v>
      </c>
      <c r="E85" s="106" t="s">
        <v>6702</v>
      </c>
      <c r="F85" s="106" t="s">
        <v>590</v>
      </c>
      <c r="G85" s="106" t="s">
        <v>6706</v>
      </c>
      <c r="H85" s="105" t="s">
        <v>6705</v>
      </c>
      <c r="I85" s="105" t="s">
        <v>6700</v>
      </c>
      <c r="J85" s="104">
        <v>2</v>
      </c>
      <c r="K85" s="103" t="s">
        <v>422</v>
      </c>
      <c r="L85" s="102" t="s">
        <v>486</v>
      </c>
      <c r="M85" s="95"/>
      <c r="N85" s="14"/>
      <c r="O85" s="94">
        <v>14</v>
      </c>
      <c r="P85" s="14" t="s">
        <v>586</v>
      </c>
      <c r="Q85" s="14" t="s">
        <v>561</v>
      </c>
      <c r="R85" s="14" t="s">
        <v>496</v>
      </c>
      <c r="S85" s="15">
        <v>7.6</v>
      </c>
      <c r="T85" s="15">
        <v>0</v>
      </c>
      <c r="U85" s="15">
        <v>0</v>
      </c>
      <c r="V85" s="14">
        <v>235</v>
      </c>
      <c r="W85" s="12">
        <v>0</v>
      </c>
      <c r="X85" s="12">
        <v>1</v>
      </c>
      <c r="Y85" s="12">
        <v>0</v>
      </c>
      <c r="Z85" s="12">
        <v>1</v>
      </c>
      <c r="AA85" s="12">
        <v>0</v>
      </c>
      <c r="AB85" s="13">
        <f t="shared" si="4"/>
        <v>0</v>
      </c>
      <c r="AE85" s="12">
        <v>0</v>
      </c>
      <c r="AF85" s="12">
        <v>1</v>
      </c>
      <c r="AG85" s="12">
        <v>0</v>
      </c>
      <c r="AH85" s="12">
        <v>1</v>
      </c>
      <c r="AI85" s="12">
        <v>0</v>
      </c>
      <c r="AJ85" s="13">
        <f t="shared" si="5"/>
        <v>0</v>
      </c>
      <c r="AN85" s="12">
        <f t="shared" si="6"/>
        <v>470</v>
      </c>
      <c r="AQ85" s="8" t="s">
        <v>419</v>
      </c>
      <c r="AR85" t="str">
        <f t="shared" si="7"/>
        <v>Norte - A02</v>
      </c>
    </row>
    <row r="86" spans="1:44" x14ac:dyDescent="0.2">
      <c r="A86" s="107" t="s">
        <v>6704</v>
      </c>
      <c r="B86" s="106" t="s">
        <v>6703</v>
      </c>
      <c r="C86" s="106" t="s">
        <v>6690</v>
      </c>
      <c r="D86" s="106" t="s">
        <v>4696</v>
      </c>
      <c r="E86" s="106" t="s">
        <v>6702</v>
      </c>
      <c r="F86" s="106" t="s">
        <v>590</v>
      </c>
      <c r="G86" s="106" t="s">
        <v>6701</v>
      </c>
      <c r="H86" s="105" t="s">
        <v>6700</v>
      </c>
      <c r="I86" s="105" t="s">
        <v>4044</v>
      </c>
      <c r="J86" s="104">
        <v>0.7</v>
      </c>
      <c r="K86" s="103" t="s">
        <v>422</v>
      </c>
      <c r="L86" s="102" t="s">
        <v>486</v>
      </c>
      <c r="M86" s="95"/>
      <c r="N86" s="14"/>
      <c r="O86" s="94">
        <v>14</v>
      </c>
      <c r="P86" s="14" t="s">
        <v>586</v>
      </c>
      <c r="Q86" s="14" t="s">
        <v>561</v>
      </c>
      <c r="R86" s="14" t="s">
        <v>496</v>
      </c>
      <c r="S86" s="15">
        <v>7.8</v>
      </c>
      <c r="T86" s="15">
        <v>2</v>
      </c>
      <c r="U86" s="15">
        <v>0</v>
      </c>
      <c r="V86" s="14">
        <v>235</v>
      </c>
      <c r="W86" s="12">
        <v>0</v>
      </c>
      <c r="X86" s="12">
        <v>0.7</v>
      </c>
      <c r="Y86" s="12">
        <v>0</v>
      </c>
      <c r="Z86" s="12">
        <v>0</v>
      </c>
      <c r="AA86" s="12">
        <v>0</v>
      </c>
      <c r="AB86" s="13">
        <f t="shared" si="4"/>
        <v>0</v>
      </c>
      <c r="AE86" s="12">
        <v>0</v>
      </c>
      <c r="AF86" s="12">
        <v>0.7</v>
      </c>
      <c r="AG86" s="12">
        <v>0</v>
      </c>
      <c r="AH86" s="12">
        <v>0</v>
      </c>
      <c r="AI86" s="12">
        <v>0</v>
      </c>
      <c r="AJ86" s="13">
        <f t="shared" si="5"/>
        <v>0</v>
      </c>
      <c r="AN86" s="12">
        <f t="shared" si="6"/>
        <v>165</v>
      </c>
      <c r="AQ86" s="8" t="s">
        <v>419</v>
      </c>
      <c r="AR86" t="str">
        <f t="shared" si="7"/>
        <v>Norte - A02</v>
      </c>
    </row>
    <row r="87" spans="1:44" x14ac:dyDescent="0.2">
      <c r="A87" s="107" t="s">
        <v>6699</v>
      </c>
      <c r="B87" s="106" t="s">
        <v>6698</v>
      </c>
      <c r="C87" s="106" t="s">
        <v>6690</v>
      </c>
      <c r="D87" s="106" t="s">
        <v>5405</v>
      </c>
      <c r="E87" s="106" t="s">
        <v>6689</v>
      </c>
      <c r="F87" s="106" t="s">
        <v>490</v>
      </c>
      <c r="G87" s="106" t="s">
        <v>6697</v>
      </c>
      <c r="H87" s="105" t="s">
        <v>4044</v>
      </c>
      <c r="I87" s="105" t="s">
        <v>6693</v>
      </c>
      <c r="J87" s="104">
        <v>3.14</v>
      </c>
      <c r="K87" s="103" t="s">
        <v>422</v>
      </c>
      <c r="L87" s="102" t="s">
        <v>486</v>
      </c>
      <c r="M87" s="95"/>
      <c r="N87" s="14"/>
      <c r="O87" s="94">
        <v>14</v>
      </c>
      <c r="P87" s="14" t="s">
        <v>485</v>
      </c>
      <c r="Q87" s="14" t="s">
        <v>887</v>
      </c>
      <c r="R87" s="14" t="s">
        <v>496</v>
      </c>
      <c r="S87" s="15">
        <v>7</v>
      </c>
      <c r="T87" s="15">
        <v>1.3</v>
      </c>
      <c r="U87" s="15">
        <v>0</v>
      </c>
      <c r="V87" s="14">
        <v>1930</v>
      </c>
      <c r="W87" s="12">
        <v>0</v>
      </c>
      <c r="X87" s="12">
        <v>0</v>
      </c>
      <c r="Y87" s="12">
        <v>0</v>
      </c>
      <c r="Z87" s="12">
        <v>3.14</v>
      </c>
      <c r="AA87" s="12">
        <v>0</v>
      </c>
      <c r="AB87" s="13">
        <f t="shared" si="4"/>
        <v>0</v>
      </c>
      <c r="AE87" s="12">
        <v>0</v>
      </c>
      <c r="AF87" s="12">
        <v>0</v>
      </c>
      <c r="AG87" s="12">
        <v>0</v>
      </c>
      <c r="AH87" s="12">
        <v>3.14</v>
      </c>
      <c r="AI87" s="12">
        <v>0</v>
      </c>
      <c r="AJ87" s="13">
        <f t="shared" si="5"/>
        <v>0</v>
      </c>
      <c r="AN87" s="12">
        <f t="shared" si="6"/>
        <v>6061</v>
      </c>
      <c r="AQ87" s="8" t="s">
        <v>419</v>
      </c>
      <c r="AR87" t="str">
        <f t="shared" si="7"/>
        <v>Norte - A02</v>
      </c>
    </row>
    <row r="88" spans="1:44" x14ac:dyDescent="0.2">
      <c r="A88" s="107" t="s">
        <v>6696</v>
      </c>
      <c r="B88" s="106" t="s">
        <v>6695</v>
      </c>
      <c r="C88" s="106" t="s">
        <v>6690</v>
      </c>
      <c r="D88" s="106" t="s">
        <v>4685</v>
      </c>
      <c r="E88" s="106" t="s">
        <v>6689</v>
      </c>
      <c r="F88" s="106" t="s">
        <v>490</v>
      </c>
      <c r="G88" s="106" t="s">
        <v>6694</v>
      </c>
      <c r="H88" s="105" t="s">
        <v>6693</v>
      </c>
      <c r="I88" s="105" t="s">
        <v>6687</v>
      </c>
      <c r="J88" s="104">
        <v>22.43</v>
      </c>
      <c r="K88" s="103" t="s">
        <v>422</v>
      </c>
      <c r="L88" s="102" t="s">
        <v>486</v>
      </c>
      <c r="M88" s="95"/>
      <c r="N88" s="14"/>
      <c r="O88" s="94">
        <v>14</v>
      </c>
      <c r="P88" s="14" t="s">
        <v>485</v>
      </c>
      <c r="Q88" s="14" t="s">
        <v>887</v>
      </c>
      <c r="R88" s="14" t="s">
        <v>496</v>
      </c>
      <c r="S88" s="15">
        <v>7</v>
      </c>
      <c r="T88" s="15">
        <v>1.5</v>
      </c>
      <c r="U88" s="15">
        <v>0</v>
      </c>
      <c r="V88" s="14">
        <v>3276</v>
      </c>
      <c r="W88" s="12">
        <v>0</v>
      </c>
      <c r="X88" s="12">
        <v>5</v>
      </c>
      <c r="Y88" s="12">
        <v>16.43</v>
      </c>
      <c r="Z88" s="12">
        <v>1</v>
      </c>
      <c r="AA88" s="12">
        <v>0</v>
      </c>
      <c r="AB88" s="13">
        <f t="shared" si="4"/>
        <v>0</v>
      </c>
      <c r="AE88" s="12">
        <v>0</v>
      </c>
      <c r="AF88" s="12">
        <v>5</v>
      </c>
      <c r="AG88" s="12">
        <v>16.43</v>
      </c>
      <c r="AH88" s="12">
        <v>1</v>
      </c>
      <c r="AI88" s="12">
        <v>0</v>
      </c>
      <c r="AJ88" s="13">
        <f t="shared" si="5"/>
        <v>0</v>
      </c>
      <c r="AN88" s="12">
        <f t="shared" si="6"/>
        <v>73481</v>
      </c>
      <c r="AQ88" s="8" t="s">
        <v>419</v>
      </c>
      <c r="AR88" t="str">
        <f t="shared" si="7"/>
        <v>Norte - A02</v>
      </c>
    </row>
    <row r="89" spans="1:44" x14ac:dyDescent="0.2">
      <c r="A89" s="107" t="s">
        <v>6692</v>
      </c>
      <c r="B89" s="106" t="s">
        <v>6691</v>
      </c>
      <c r="C89" s="106" t="s">
        <v>6690</v>
      </c>
      <c r="D89" s="106" t="s">
        <v>3519</v>
      </c>
      <c r="E89" s="106" t="s">
        <v>6689</v>
      </c>
      <c r="F89" s="106" t="s">
        <v>490</v>
      </c>
      <c r="G89" s="106" t="s">
        <v>6688</v>
      </c>
      <c r="H89" s="105" t="s">
        <v>6687</v>
      </c>
      <c r="I89" s="105" t="s">
        <v>6686</v>
      </c>
      <c r="J89" s="104">
        <v>20.05</v>
      </c>
      <c r="K89" s="103" t="s">
        <v>422</v>
      </c>
      <c r="L89" s="102" t="s">
        <v>486</v>
      </c>
      <c r="M89" s="95"/>
      <c r="N89" s="17"/>
      <c r="O89" s="94">
        <v>14</v>
      </c>
      <c r="P89" s="14" t="s">
        <v>485</v>
      </c>
      <c r="Q89" s="14" t="s">
        <v>887</v>
      </c>
      <c r="R89" s="14" t="s">
        <v>496</v>
      </c>
      <c r="S89" s="15">
        <v>7</v>
      </c>
      <c r="T89" s="15">
        <v>1</v>
      </c>
      <c r="U89" s="15">
        <v>0</v>
      </c>
      <c r="V89" s="14">
        <v>2212</v>
      </c>
      <c r="W89" s="12">
        <v>0</v>
      </c>
      <c r="X89" s="12">
        <v>1</v>
      </c>
      <c r="Y89" s="12">
        <v>19.05</v>
      </c>
      <c r="Z89" s="12">
        <v>0</v>
      </c>
      <c r="AA89" s="12">
        <v>0</v>
      </c>
      <c r="AB89" s="13">
        <f t="shared" si="4"/>
        <v>0</v>
      </c>
      <c r="AE89" s="12">
        <v>0</v>
      </c>
      <c r="AF89" s="12">
        <v>1</v>
      </c>
      <c r="AG89" s="12">
        <v>19.05</v>
      </c>
      <c r="AH89" s="12">
        <v>0</v>
      </c>
      <c r="AI89" s="12">
        <v>0</v>
      </c>
      <c r="AJ89" s="13">
        <f t="shared" si="5"/>
        <v>0</v>
      </c>
      <c r="AN89" s="12">
        <f t="shared" si="6"/>
        <v>44351</v>
      </c>
      <c r="AQ89" s="8" t="s">
        <v>419</v>
      </c>
      <c r="AR89" t="str">
        <f t="shared" si="7"/>
        <v>Norte - A02</v>
      </c>
    </row>
    <row r="90" spans="1:44" x14ac:dyDescent="0.2">
      <c r="A90" s="107" t="s">
        <v>6685</v>
      </c>
      <c r="B90" s="106" t="s">
        <v>6684</v>
      </c>
      <c r="C90" s="106" t="s">
        <v>6621</v>
      </c>
      <c r="D90" s="106" t="s">
        <v>751</v>
      </c>
      <c r="E90" s="106" t="s">
        <v>6620</v>
      </c>
      <c r="F90" s="106" t="s">
        <v>490</v>
      </c>
      <c r="G90" s="106" t="s">
        <v>6683</v>
      </c>
      <c r="H90" s="105" t="s">
        <v>6682</v>
      </c>
      <c r="I90" s="105" t="s">
        <v>6678</v>
      </c>
      <c r="J90" s="104">
        <v>3.09</v>
      </c>
      <c r="K90" s="103" t="s">
        <v>422</v>
      </c>
      <c r="L90" s="102" t="s">
        <v>801</v>
      </c>
      <c r="M90" s="95"/>
      <c r="N90" s="14"/>
      <c r="O90" s="94">
        <v>2</v>
      </c>
      <c r="P90" s="14" t="s">
        <v>485</v>
      </c>
      <c r="Q90" s="14" t="s">
        <v>497</v>
      </c>
      <c r="R90" s="14" t="s">
        <v>496</v>
      </c>
      <c r="S90" s="15">
        <v>7</v>
      </c>
      <c r="T90" s="15">
        <v>1.5</v>
      </c>
      <c r="U90" s="15">
        <v>0</v>
      </c>
      <c r="V90" s="14">
        <v>21916</v>
      </c>
      <c r="W90" s="12">
        <v>0</v>
      </c>
      <c r="X90" s="12">
        <v>0</v>
      </c>
      <c r="Y90" s="12">
        <v>0</v>
      </c>
      <c r="Z90" s="12">
        <v>3.09</v>
      </c>
      <c r="AA90" s="12">
        <v>0</v>
      </c>
      <c r="AB90" s="13">
        <f t="shared" si="4"/>
        <v>0</v>
      </c>
      <c r="AE90" s="12">
        <v>0</v>
      </c>
      <c r="AF90" s="12">
        <v>0</v>
      </c>
      <c r="AG90" s="12">
        <v>0</v>
      </c>
      <c r="AH90" s="12">
        <v>3.09</v>
      </c>
      <c r="AI90" s="12">
        <v>0</v>
      </c>
      <c r="AJ90" s="13">
        <f t="shared" si="5"/>
        <v>0</v>
      </c>
      <c r="AN90" s="12">
        <f t="shared" si="6"/>
        <v>67721</v>
      </c>
      <c r="AQ90" s="8" t="s">
        <v>416</v>
      </c>
      <c r="AR90" t="str">
        <f t="shared" si="7"/>
        <v>Leste - A02</v>
      </c>
    </row>
    <row r="91" spans="1:44" x14ac:dyDescent="0.2">
      <c r="A91" s="107" t="s">
        <v>6681</v>
      </c>
      <c r="B91" s="106" t="s">
        <v>6680</v>
      </c>
      <c r="C91" s="106" t="s">
        <v>6621</v>
      </c>
      <c r="D91" s="106" t="s">
        <v>492</v>
      </c>
      <c r="E91" s="106" t="s">
        <v>6620</v>
      </c>
      <c r="F91" s="106" t="s">
        <v>490</v>
      </c>
      <c r="G91" s="106" t="s">
        <v>6679</v>
      </c>
      <c r="H91" s="105" t="s">
        <v>6678</v>
      </c>
      <c r="I91" s="105" t="s">
        <v>6673</v>
      </c>
      <c r="J91" s="104">
        <v>0.33</v>
      </c>
      <c r="K91" s="103" t="s">
        <v>422</v>
      </c>
      <c r="L91" s="102" t="s">
        <v>801</v>
      </c>
      <c r="M91" s="95"/>
      <c r="N91" s="14"/>
      <c r="O91" s="94">
        <v>2</v>
      </c>
      <c r="P91" s="14" t="s">
        <v>485</v>
      </c>
      <c r="Q91" s="14" t="s">
        <v>561</v>
      </c>
      <c r="R91" s="14" t="s">
        <v>496</v>
      </c>
      <c r="S91" s="15">
        <v>6.94</v>
      </c>
      <c r="T91" s="15">
        <v>2.5</v>
      </c>
      <c r="U91" s="15">
        <v>0</v>
      </c>
      <c r="V91" s="14">
        <v>21916</v>
      </c>
      <c r="W91" s="12">
        <v>0</v>
      </c>
      <c r="X91" s="12">
        <v>0</v>
      </c>
      <c r="Y91" s="12">
        <v>0</v>
      </c>
      <c r="Z91" s="12">
        <v>0.33</v>
      </c>
      <c r="AA91" s="12">
        <v>0</v>
      </c>
      <c r="AB91" s="13">
        <f t="shared" si="4"/>
        <v>0</v>
      </c>
      <c r="AE91" s="12">
        <v>0</v>
      </c>
      <c r="AF91" s="12">
        <v>0</v>
      </c>
      <c r="AG91" s="12">
        <v>0</v>
      </c>
      <c r="AH91" s="12">
        <v>0.33</v>
      </c>
      <c r="AI91" s="12">
        <v>0</v>
      </c>
      <c r="AJ91" s="13">
        <f t="shared" si="5"/>
        <v>0</v>
      </c>
      <c r="AN91" s="12">
        <f t="shared" si="6"/>
        <v>7233</v>
      </c>
      <c r="AQ91" s="8" t="s">
        <v>416</v>
      </c>
      <c r="AR91" t="str">
        <f t="shared" si="7"/>
        <v>Leste - A02</v>
      </c>
    </row>
    <row r="92" spans="1:44" x14ac:dyDescent="0.2">
      <c r="A92" s="107" t="s">
        <v>6677</v>
      </c>
      <c r="B92" s="106" t="s">
        <v>6676</v>
      </c>
      <c r="C92" s="106" t="s">
        <v>6621</v>
      </c>
      <c r="D92" s="106" t="s">
        <v>592</v>
      </c>
      <c r="E92" s="106" t="s">
        <v>6675</v>
      </c>
      <c r="F92" s="106" t="s">
        <v>511</v>
      </c>
      <c r="G92" s="106" t="s">
        <v>6674</v>
      </c>
      <c r="H92" s="105" t="s">
        <v>6673</v>
      </c>
      <c r="I92" s="105" t="s">
        <v>6669</v>
      </c>
      <c r="J92" s="104">
        <v>4.82</v>
      </c>
      <c r="K92" s="103" t="s">
        <v>422</v>
      </c>
      <c r="L92" s="102" t="s">
        <v>801</v>
      </c>
      <c r="M92" s="95"/>
      <c r="N92" s="14"/>
      <c r="O92" s="94"/>
      <c r="P92" s="14" t="s">
        <v>4440</v>
      </c>
      <c r="Q92" s="14" t="s">
        <v>561</v>
      </c>
      <c r="R92" s="14" t="s">
        <v>496</v>
      </c>
      <c r="S92" s="15">
        <v>6.94</v>
      </c>
      <c r="T92" s="15">
        <v>2.5</v>
      </c>
      <c r="U92" s="15">
        <v>0</v>
      </c>
      <c r="V92" s="14">
        <v>21916</v>
      </c>
      <c r="W92" s="12">
        <v>0</v>
      </c>
      <c r="X92" s="12">
        <v>0</v>
      </c>
      <c r="Y92" s="12">
        <v>0.82000000000000028</v>
      </c>
      <c r="Z92" s="12">
        <v>4</v>
      </c>
      <c r="AA92" s="12">
        <v>0</v>
      </c>
      <c r="AB92" s="13">
        <f t="shared" si="4"/>
        <v>0</v>
      </c>
      <c r="AE92" s="12">
        <v>0</v>
      </c>
      <c r="AF92" s="12">
        <v>0</v>
      </c>
      <c r="AG92" s="12">
        <v>0.82000000000000028</v>
      </c>
      <c r="AH92" s="12">
        <v>4</v>
      </c>
      <c r="AI92" s="12">
        <v>0</v>
      </c>
      <c r="AJ92" s="13">
        <f t="shared" si="5"/>
        <v>0</v>
      </c>
      <c r="AN92" s="12">
        <f t="shared" si="6"/>
        <v>105636</v>
      </c>
      <c r="AQ92" s="8" t="s">
        <v>416</v>
      </c>
      <c r="AR92" t="str">
        <f t="shared" si="7"/>
        <v>Leste - A02</v>
      </c>
    </row>
    <row r="93" spans="1:44" x14ac:dyDescent="0.2">
      <c r="A93" s="107" t="s">
        <v>6672</v>
      </c>
      <c r="B93" s="106" t="s">
        <v>6671</v>
      </c>
      <c r="C93" s="106" t="s">
        <v>6621</v>
      </c>
      <c r="D93" s="106" t="s">
        <v>519</v>
      </c>
      <c r="E93" s="106" t="s">
        <v>6620</v>
      </c>
      <c r="F93" s="106" t="s">
        <v>490</v>
      </c>
      <c r="G93" s="106" t="s">
        <v>6670</v>
      </c>
      <c r="H93" s="105" t="s">
        <v>6669</v>
      </c>
      <c r="I93" s="105" t="s">
        <v>6665</v>
      </c>
      <c r="J93" s="104">
        <v>0.22</v>
      </c>
      <c r="K93" s="103" t="s">
        <v>422</v>
      </c>
      <c r="L93" s="102" t="s">
        <v>801</v>
      </c>
      <c r="M93" s="95"/>
      <c r="N93" s="14"/>
      <c r="O93" s="94">
        <v>2</v>
      </c>
      <c r="P93" s="14" t="s">
        <v>485</v>
      </c>
      <c r="Q93" s="14" t="s">
        <v>561</v>
      </c>
      <c r="R93" s="14" t="s">
        <v>496</v>
      </c>
      <c r="S93" s="15">
        <v>7.0681818181818175</v>
      </c>
      <c r="T93" s="15">
        <v>2.5</v>
      </c>
      <c r="U93" s="15">
        <v>0</v>
      </c>
      <c r="V93" s="14">
        <v>15879</v>
      </c>
      <c r="W93" s="12">
        <v>0</v>
      </c>
      <c r="X93" s="12">
        <v>0</v>
      </c>
      <c r="Y93" s="12">
        <v>0</v>
      </c>
      <c r="Z93" s="12">
        <v>0.22</v>
      </c>
      <c r="AA93" s="12">
        <v>0</v>
      </c>
      <c r="AB93" s="13">
        <f t="shared" si="4"/>
        <v>0</v>
      </c>
      <c r="AE93" s="12">
        <v>0</v>
      </c>
      <c r="AF93" s="12">
        <v>0</v>
      </c>
      <c r="AG93" s="12">
        <v>0</v>
      </c>
      <c r="AH93" s="12">
        <v>0.22</v>
      </c>
      <c r="AI93" s="12">
        <v>0</v>
      </c>
      <c r="AJ93" s="13">
        <f t="shared" si="5"/>
        <v>0</v>
      </c>
      <c r="AN93" s="12">
        <f t="shared" si="6"/>
        <v>3494</v>
      </c>
      <c r="AQ93" s="8" t="s">
        <v>416</v>
      </c>
      <c r="AR93" t="str">
        <f t="shared" si="7"/>
        <v>Leste - A02</v>
      </c>
    </row>
    <row r="94" spans="1:44" x14ac:dyDescent="0.2">
      <c r="A94" s="107" t="s">
        <v>6668</v>
      </c>
      <c r="B94" s="106" t="s">
        <v>6667</v>
      </c>
      <c r="C94" s="106" t="s">
        <v>6621</v>
      </c>
      <c r="D94" s="106" t="s">
        <v>513</v>
      </c>
      <c r="E94" s="106" t="s">
        <v>6620</v>
      </c>
      <c r="F94" s="106" t="s">
        <v>490</v>
      </c>
      <c r="G94" s="106" t="s">
        <v>6666</v>
      </c>
      <c r="H94" s="105" t="s">
        <v>6665</v>
      </c>
      <c r="I94" s="105" t="s">
        <v>6661</v>
      </c>
      <c r="J94" s="104">
        <v>6.28</v>
      </c>
      <c r="K94" s="103" t="s">
        <v>422</v>
      </c>
      <c r="L94" s="102" t="s">
        <v>801</v>
      </c>
      <c r="M94" s="95"/>
      <c r="N94" s="14"/>
      <c r="O94" s="94">
        <v>2</v>
      </c>
      <c r="P94" s="14" t="s">
        <v>485</v>
      </c>
      <c r="Q94" s="14" t="s">
        <v>561</v>
      </c>
      <c r="R94" s="14" t="s">
        <v>496</v>
      </c>
      <c r="S94" s="15">
        <v>8.6670270700636944</v>
      </c>
      <c r="T94" s="15">
        <v>1.5</v>
      </c>
      <c r="U94" s="15">
        <v>2.4000000000000004</v>
      </c>
      <c r="V94" s="14">
        <v>15879</v>
      </c>
      <c r="W94" s="12">
        <v>0</v>
      </c>
      <c r="X94" s="12">
        <v>1</v>
      </c>
      <c r="Y94" s="12">
        <v>4</v>
      </c>
      <c r="Z94" s="12">
        <v>1.2800000000000002</v>
      </c>
      <c r="AA94" s="12">
        <v>0</v>
      </c>
      <c r="AB94" s="13">
        <f t="shared" si="4"/>
        <v>0</v>
      </c>
      <c r="AE94" s="12">
        <v>0</v>
      </c>
      <c r="AF94" s="12">
        <v>1</v>
      </c>
      <c r="AG94" s="12">
        <v>4</v>
      </c>
      <c r="AH94" s="12">
        <v>1.2800000000000002</v>
      </c>
      <c r="AI94" s="12">
        <v>0</v>
      </c>
      <c r="AJ94" s="13">
        <f t="shared" si="5"/>
        <v>0</v>
      </c>
      <c r="AN94" s="12">
        <f t="shared" si="6"/>
        <v>99721</v>
      </c>
      <c r="AQ94" s="8" t="s">
        <v>416</v>
      </c>
      <c r="AR94" t="str">
        <f t="shared" si="7"/>
        <v>Leste - A02</v>
      </c>
    </row>
    <row r="95" spans="1:44" x14ac:dyDescent="0.2">
      <c r="A95" s="107" t="s">
        <v>6664</v>
      </c>
      <c r="B95" s="106" t="s">
        <v>6663</v>
      </c>
      <c r="C95" s="106" t="s">
        <v>6621</v>
      </c>
      <c r="D95" s="106" t="s">
        <v>1324</v>
      </c>
      <c r="E95" s="106" t="s">
        <v>6620</v>
      </c>
      <c r="F95" s="106" t="s">
        <v>490</v>
      </c>
      <c r="G95" s="106" t="s">
        <v>6662</v>
      </c>
      <c r="H95" s="105" t="s">
        <v>6661</v>
      </c>
      <c r="I95" s="105" t="s">
        <v>6657</v>
      </c>
      <c r="J95" s="104">
        <v>4.87</v>
      </c>
      <c r="K95" s="103" t="s">
        <v>422</v>
      </c>
      <c r="L95" s="102" t="s">
        <v>801</v>
      </c>
      <c r="M95" s="95"/>
      <c r="N95" s="14"/>
      <c r="O95" s="94">
        <v>2</v>
      </c>
      <c r="P95" s="14" t="s">
        <v>485</v>
      </c>
      <c r="Q95" s="14" t="s">
        <v>561</v>
      </c>
      <c r="R95" s="14" t="s">
        <v>496</v>
      </c>
      <c r="S95" s="15">
        <v>7.734907597535936</v>
      </c>
      <c r="T95" s="15">
        <v>2</v>
      </c>
      <c r="U95" s="15">
        <v>0.9</v>
      </c>
      <c r="V95" s="14">
        <v>15015</v>
      </c>
      <c r="W95" s="12">
        <v>0</v>
      </c>
      <c r="X95" s="12">
        <v>1</v>
      </c>
      <c r="Y95" s="12">
        <v>3.87</v>
      </c>
      <c r="Z95" s="12">
        <v>0</v>
      </c>
      <c r="AA95" s="12">
        <v>0</v>
      </c>
      <c r="AB95" s="13">
        <f t="shared" si="4"/>
        <v>0</v>
      </c>
      <c r="AE95" s="12">
        <v>0</v>
      </c>
      <c r="AF95" s="12">
        <v>1</v>
      </c>
      <c r="AG95" s="12">
        <v>3.87</v>
      </c>
      <c r="AH95" s="12">
        <v>0</v>
      </c>
      <c r="AI95" s="12">
        <v>0</v>
      </c>
      <c r="AJ95" s="13">
        <f t="shared" si="5"/>
        <v>0</v>
      </c>
      <c r="AN95" s="12">
        <f t="shared" si="6"/>
        <v>73124</v>
      </c>
      <c r="AQ95" s="8" t="s">
        <v>416</v>
      </c>
      <c r="AR95" t="str">
        <f t="shared" si="7"/>
        <v>Leste - A02</v>
      </c>
    </row>
    <row r="96" spans="1:44" x14ac:dyDescent="0.2">
      <c r="A96" s="107" t="s">
        <v>6660</v>
      </c>
      <c r="B96" s="106" t="s">
        <v>6659</v>
      </c>
      <c r="C96" s="106" t="s">
        <v>6621</v>
      </c>
      <c r="D96" s="106" t="s">
        <v>989</v>
      </c>
      <c r="E96" s="106" t="s">
        <v>6620</v>
      </c>
      <c r="F96" s="106" t="s">
        <v>490</v>
      </c>
      <c r="G96" s="106" t="s">
        <v>6658</v>
      </c>
      <c r="H96" s="105" t="s">
        <v>6657</v>
      </c>
      <c r="I96" s="105" t="s">
        <v>6656</v>
      </c>
      <c r="J96" s="104">
        <v>3.14</v>
      </c>
      <c r="K96" s="103" t="s">
        <v>422</v>
      </c>
      <c r="L96" s="102" t="s">
        <v>801</v>
      </c>
      <c r="M96" s="95"/>
      <c r="N96" s="14"/>
      <c r="O96" s="94">
        <v>2</v>
      </c>
      <c r="P96" s="14" t="s">
        <v>485</v>
      </c>
      <c r="Q96" s="14" t="s">
        <v>561</v>
      </c>
      <c r="R96" s="14" t="s">
        <v>496</v>
      </c>
      <c r="S96" s="15">
        <v>9.4165605095541416</v>
      </c>
      <c r="T96" s="15">
        <v>2.5</v>
      </c>
      <c r="U96" s="15">
        <v>2.2000000000000002</v>
      </c>
      <c r="V96" s="14">
        <v>12264</v>
      </c>
      <c r="W96" s="12">
        <v>0</v>
      </c>
      <c r="X96" s="12">
        <v>0</v>
      </c>
      <c r="Y96" s="12">
        <v>1</v>
      </c>
      <c r="Z96" s="12">
        <v>2.14</v>
      </c>
      <c r="AA96" s="12">
        <v>0</v>
      </c>
      <c r="AB96" s="13">
        <f t="shared" si="4"/>
        <v>0</v>
      </c>
      <c r="AE96" s="12">
        <v>0</v>
      </c>
      <c r="AF96" s="12">
        <v>0</v>
      </c>
      <c r="AG96" s="12">
        <v>1</v>
      </c>
      <c r="AH96" s="12">
        <v>2.14</v>
      </c>
      <c r="AI96" s="12">
        <v>0</v>
      </c>
      <c r="AJ96" s="13">
        <f t="shared" si="5"/>
        <v>0</v>
      </c>
      <c r="AN96" s="12">
        <f t="shared" si="6"/>
        <v>38509</v>
      </c>
      <c r="AQ96" s="8" t="s">
        <v>416</v>
      </c>
      <c r="AR96" t="str">
        <f t="shared" si="7"/>
        <v>Leste - A02</v>
      </c>
    </row>
    <row r="97" spans="1:44" x14ac:dyDescent="0.2">
      <c r="A97" s="107" t="s">
        <v>6655</v>
      </c>
      <c r="B97" s="106" t="s">
        <v>6654</v>
      </c>
      <c r="C97" s="106" t="s">
        <v>6621</v>
      </c>
      <c r="D97" s="106" t="s">
        <v>981</v>
      </c>
      <c r="E97" s="106" t="s">
        <v>6620</v>
      </c>
      <c r="F97" s="106" t="s">
        <v>490</v>
      </c>
      <c r="G97" s="106" t="s">
        <v>6653</v>
      </c>
      <c r="H97" s="105" t="s">
        <v>6652</v>
      </c>
      <c r="I97" s="105" t="s">
        <v>6648</v>
      </c>
      <c r="J97" s="104">
        <v>2.66</v>
      </c>
      <c r="K97" s="103" t="s">
        <v>422</v>
      </c>
      <c r="L97" s="102" t="s">
        <v>801</v>
      </c>
      <c r="M97" s="95"/>
      <c r="N97" s="14"/>
      <c r="O97" s="94">
        <v>2</v>
      </c>
      <c r="P97" s="14" t="s">
        <v>485</v>
      </c>
      <c r="Q97" s="14" t="s">
        <v>561</v>
      </c>
      <c r="R97" s="14" t="s">
        <v>496</v>
      </c>
      <c r="S97" s="15">
        <v>7.3229323308270677</v>
      </c>
      <c r="T97" s="15">
        <v>0</v>
      </c>
      <c r="U97" s="15">
        <v>0</v>
      </c>
      <c r="V97" s="14">
        <v>3354</v>
      </c>
      <c r="W97" s="12">
        <v>0</v>
      </c>
      <c r="X97" s="12">
        <v>0</v>
      </c>
      <c r="Y97" s="12">
        <v>2</v>
      </c>
      <c r="Z97" s="12">
        <v>0.66000000000000014</v>
      </c>
      <c r="AA97" s="12">
        <v>0</v>
      </c>
      <c r="AB97" s="13">
        <f t="shared" si="4"/>
        <v>0</v>
      </c>
      <c r="AE97" s="12">
        <v>0</v>
      </c>
      <c r="AF97" s="12">
        <v>0</v>
      </c>
      <c r="AG97" s="12">
        <v>2</v>
      </c>
      <c r="AH97" s="12">
        <v>0.66000000000000014</v>
      </c>
      <c r="AI97" s="12">
        <v>0</v>
      </c>
      <c r="AJ97" s="13">
        <f t="shared" si="5"/>
        <v>0</v>
      </c>
      <c r="AN97" s="12">
        <f t="shared" si="6"/>
        <v>8922</v>
      </c>
      <c r="AQ97" s="8" t="s">
        <v>416</v>
      </c>
      <c r="AR97" t="str">
        <f t="shared" si="7"/>
        <v>Leste - A02</v>
      </c>
    </row>
    <row r="98" spans="1:44" x14ac:dyDescent="0.2">
      <c r="A98" s="107" t="s">
        <v>6651</v>
      </c>
      <c r="B98" s="106" t="s">
        <v>6650</v>
      </c>
      <c r="C98" s="106" t="s">
        <v>6621</v>
      </c>
      <c r="D98" s="106" t="s">
        <v>975</v>
      </c>
      <c r="E98" s="106" t="s">
        <v>6620</v>
      </c>
      <c r="F98" s="106" t="s">
        <v>490</v>
      </c>
      <c r="G98" s="106" t="s">
        <v>6649</v>
      </c>
      <c r="H98" s="105" t="s">
        <v>6648</v>
      </c>
      <c r="I98" s="105" t="s">
        <v>6642</v>
      </c>
      <c r="J98" s="104">
        <v>49.39</v>
      </c>
      <c r="K98" s="103" t="s">
        <v>422</v>
      </c>
      <c r="L98" s="102" t="s">
        <v>801</v>
      </c>
      <c r="M98" s="95"/>
      <c r="N98" s="14"/>
      <c r="O98" s="18" t="s">
        <v>6647</v>
      </c>
      <c r="P98" s="14" t="s">
        <v>485</v>
      </c>
      <c r="Q98" s="14" t="s">
        <v>561</v>
      </c>
      <c r="R98" s="14" t="s">
        <v>496</v>
      </c>
      <c r="S98" s="15">
        <v>8.2074797570850198</v>
      </c>
      <c r="T98" s="15">
        <v>1.5</v>
      </c>
      <c r="U98" s="15">
        <v>5.6</v>
      </c>
      <c r="V98" s="14">
        <v>1249</v>
      </c>
      <c r="W98" s="12">
        <v>0</v>
      </c>
      <c r="X98" s="12">
        <v>7</v>
      </c>
      <c r="Y98" s="12">
        <v>12.39</v>
      </c>
      <c r="Z98" s="12">
        <v>25</v>
      </c>
      <c r="AA98" s="12">
        <v>5</v>
      </c>
      <c r="AB98" s="13">
        <f t="shared" si="4"/>
        <v>0</v>
      </c>
      <c r="AE98" s="12">
        <v>0</v>
      </c>
      <c r="AF98" s="12">
        <v>7</v>
      </c>
      <c r="AG98" s="12">
        <v>12.39</v>
      </c>
      <c r="AH98" s="12">
        <v>25</v>
      </c>
      <c r="AI98" s="12">
        <v>5</v>
      </c>
      <c r="AJ98" s="13">
        <f t="shared" si="5"/>
        <v>0</v>
      </c>
      <c r="AN98" s="12">
        <f t="shared" si="6"/>
        <v>61689</v>
      </c>
      <c r="AQ98" s="8" t="s">
        <v>416</v>
      </c>
      <c r="AR98" t="str">
        <f t="shared" si="7"/>
        <v>Leste - A02</v>
      </c>
    </row>
    <row r="99" spans="1:44" x14ac:dyDescent="0.2">
      <c r="A99" s="107" t="s">
        <v>6646</v>
      </c>
      <c r="B99" s="106" t="s">
        <v>6645</v>
      </c>
      <c r="C99" s="106" t="s">
        <v>6621</v>
      </c>
      <c r="D99" s="106" t="s">
        <v>1284</v>
      </c>
      <c r="E99" s="106" t="s">
        <v>6644</v>
      </c>
      <c r="F99" s="106" t="s">
        <v>590</v>
      </c>
      <c r="G99" s="106" t="s">
        <v>6643</v>
      </c>
      <c r="H99" s="105" t="s">
        <v>6642</v>
      </c>
      <c r="I99" s="105" t="s">
        <v>6641</v>
      </c>
      <c r="J99" s="104">
        <v>1.31</v>
      </c>
      <c r="K99" s="103" t="s">
        <v>422</v>
      </c>
      <c r="L99" s="102" t="s">
        <v>801</v>
      </c>
      <c r="M99" s="95"/>
      <c r="N99" s="14"/>
      <c r="O99" s="94">
        <v>2</v>
      </c>
      <c r="P99" s="14" t="s">
        <v>586</v>
      </c>
      <c r="Q99" s="14" t="s">
        <v>872</v>
      </c>
      <c r="R99" s="14" t="s">
        <v>496</v>
      </c>
      <c r="S99" s="15">
        <v>9</v>
      </c>
      <c r="T99" s="15">
        <v>0</v>
      </c>
      <c r="U99" s="15">
        <v>0</v>
      </c>
      <c r="V99" s="14">
        <v>1686</v>
      </c>
      <c r="W99" s="12">
        <v>0</v>
      </c>
      <c r="X99" s="12">
        <v>0</v>
      </c>
      <c r="Y99" s="12">
        <v>1.74</v>
      </c>
      <c r="Z99" s="12">
        <v>0</v>
      </c>
      <c r="AA99" s="12">
        <v>0</v>
      </c>
      <c r="AB99" s="13">
        <f t="shared" si="4"/>
        <v>0.42999999999999994</v>
      </c>
      <c r="AE99" s="12">
        <f>IF(W99=0,0,W99-$AB99)</f>
        <v>0</v>
      </c>
      <c r="AF99" s="12">
        <f>IF(X99=0,0,X99-$AB99)</f>
        <v>0</v>
      </c>
      <c r="AG99" s="12">
        <f>IF(Y99=0,0,Y99-$AB99)</f>
        <v>1.31</v>
      </c>
      <c r="AH99" s="12">
        <f>IF(Z99=0,0,Z99-$AB99)</f>
        <v>0</v>
      </c>
      <c r="AI99" s="12">
        <f>IF(AA99=0,0,AA99-$AB99)</f>
        <v>0</v>
      </c>
      <c r="AJ99" s="13">
        <f t="shared" si="5"/>
        <v>0</v>
      </c>
      <c r="AN99" s="12">
        <f t="shared" si="6"/>
        <v>2209</v>
      </c>
      <c r="AQ99" s="8" t="s">
        <v>416</v>
      </c>
      <c r="AR99" t="str">
        <f t="shared" si="7"/>
        <v>Leste - A02</v>
      </c>
    </row>
    <row r="100" spans="1:44" x14ac:dyDescent="0.2">
      <c r="A100" s="107" t="s">
        <v>6640</v>
      </c>
      <c r="B100" s="106" t="s">
        <v>6639</v>
      </c>
      <c r="C100" s="106" t="s">
        <v>6621</v>
      </c>
      <c r="D100" s="106" t="s">
        <v>2560</v>
      </c>
      <c r="E100" s="106" t="s">
        <v>6620</v>
      </c>
      <c r="F100" s="106" t="s">
        <v>490</v>
      </c>
      <c r="G100" s="106" t="s">
        <v>6638</v>
      </c>
      <c r="H100" s="105" t="s">
        <v>6637</v>
      </c>
      <c r="I100" s="105" t="s">
        <v>6633</v>
      </c>
      <c r="J100" s="104">
        <v>26.77</v>
      </c>
      <c r="K100" s="103" t="s">
        <v>426</v>
      </c>
      <c r="L100" s="102" t="s">
        <v>486</v>
      </c>
      <c r="M100" s="95"/>
      <c r="N100" s="17" t="str">
        <f>O100</f>
        <v>18</v>
      </c>
      <c r="O100" s="18" t="s">
        <v>450</v>
      </c>
      <c r="P100" s="14" t="s">
        <v>485</v>
      </c>
      <c r="Q100" s="14" t="s">
        <v>561</v>
      </c>
      <c r="R100" s="14" t="s">
        <v>496</v>
      </c>
      <c r="S100" s="15">
        <v>6.6</v>
      </c>
      <c r="T100" s="15">
        <v>1.2</v>
      </c>
      <c r="U100" s="15">
        <v>0</v>
      </c>
      <c r="V100" s="14">
        <v>1533</v>
      </c>
      <c r="W100" s="12">
        <v>0</v>
      </c>
      <c r="X100" s="12">
        <v>9</v>
      </c>
      <c r="Y100" s="12">
        <v>17.77</v>
      </c>
      <c r="Z100" s="12">
        <v>0</v>
      </c>
      <c r="AA100" s="12">
        <v>0</v>
      </c>
      <c r="AB100" s="13">
        <f t="shared" si="4"/>
        <v>0</v>
      </c>
      <c r="AE100" s="12">
        <v>0</v>
      </c>
      <c r="AF100" s="12">
        <v>9</v>
      </c>
      <c r="AG100" s="12">
        <v>17.77</v>
      </c>
      <c r="AH100" s="12">
        <v>0</v>
      </c>
      <c r="AI100" s="12">
        <v>0</v>
      </c>
      <c r="AJ100" s="13">
        <f t="shared" si="5"/>
        <v>0</v>
      </c>
      <c r="AN100" s="12">
        <f t="shared" si="6"/>
        <v>41039</v>
      </c>
      <c r="AQ100" s="8" t="s">
        <v>419</v>
      </c>
      <c r="AR100" t="str">
        <f t="shared" si="7"/>
        <v>Norte - A06</v>
      </c>
    </row>
    <row r="101" spans="1:44" x14ac:dyDescent="0.2">
      <c r="A101" s="107" t="s">
        <v>6636</v>
      </c>
      <c r="B101" s="106" t="s">
        <v>6635</v>
      </c>
      <c r="C101" s="106" t="s">
        <v>6621</v>
      </c>
      <c r="D101" s="106" t="s">
        <v>4754</v>
      </c>
      <c r="E101" s="106" t="s">
        <v>6620</v>
      </c>
      <c r="F101" s="106" t="s">
        <v>490</v>
      </c>
      <c r="G101" s="106" t="s">
        <v>6634</v>
      </c>
      <c r="H101" s="105" t="s">
        <v>6633</v>
      </c>
      <c r="I101" s="105" t="s">
        <v>6629</v>
      </c>
      <c r="J101" s="104">
        <v>8.39</v>
      </c>
      <c r="K101" s="103" t="s">
        <v>426</v>
      </c>
      <c r="L101" s="102" t="s">
        <v>486</v>
      </c>
      <c r="M101" s="95"/>
      <c r="N101" s="17" t="str">
        <f>O101</f>
        <v>18</v>
      </c>
      <c r="O101" s="18" t="s">
        <v>450</v>
      </c>
      <c r="P101" s="14" t="s">
        <v>485</v>
      </c>
      <c r="Q101" s="14" t="s">
        <v>865</v>
      </c>
      <c r="R101" s="14" t="s">
        <v>496</v>
      </c>
      <c r="S101" s="15">
        <v>6.6</v>
      </c>
      <c r="T101" s="15">
        <v>1.2</v>
      </c>
      <c r="U101" s="15">
        <v>0</v>
      </c>
      <c r="V101" s="14">
        <v>3258</v>
      </c>
      <c r="W101" s="12">
        <v>0</v>
      </c>
      <c r="X101" s="12">
        <v>4</v>
      </c>
      <c r="Y101" s="12">
        <v>3.3900000000000006</v>
      </c>
      <c r="Z101" s="12">
        <v>1</v>
      </c>
      <c r="AA101" s="12">
        <v>0</v>
      </c>
      <c r="AB101" s="13">
        <f t="shared" si="4"/>
        <v>0</v>
      </c>
      <c r="AE101" s="12">
        <v>0</v>
      </c>
      <c r="AF101" s="12">
        <v>4</v>
      </c>
      <c r="AG101" s="12">
        <v>3.3900000000000006</v>
      </c>
      <c r="AH101" s="12">
        <v>1</v>
      </c>
      <c r="AI101" s="12">
        <v>0</v>
      </c>
      <c r="AJ101" s="13">
        <f t="shared" si="5"/>
        <v>0</v>
      </c>
      <c r="AN101" s="12">
        <f t="shared" si="6"/>
        <v>27335</v>
      </c>
      <c r="AQ101" s="8" t="s">
        <v>419</v>
      </c>
      <c r="AR101" t="str">
        <f t="shared" si="7"/>
        <v>Norte - A06</v>
      </c>
    </row>
    <row r="102" spans="1:44" x14ac:dyDescent="0.2">
      <c r="A102" s="107" t="s">
        <v>6632</v>
      </c>
      <c r="B102" s="106" t="s">
        <v>6631</v>
      </c>
      <c r="C102" s="106" t="s">
        <v>6621</v>
      </c>
      <c r="D102" s="106" t="s">
        <v>4749</v>
      </c>
      <c r="E102" s="106" t="s">
        <v>6620</v>
      </c>
      <c r="F102" s="106" t="s">
        <v>490</v>
      </c>
      <c r="G102" s="106" t="s">
        <v>6630</v>
      </c>
      <c r="H102" s="105" t="s">
        <v>6629</v>
      </c>
      <c r="I102" s="105" t="s">
        <v>6628</v>
      </c>
      <c r="J102" s="104">
        <v>3.49</v>
      </c>
      <c r="K102" s="103" t="s">
        <v>426</v>
      </c>
      <c r="L102" s="102" t="s">
        <v>486</v>
      </c>
      <c r="M102" s="95"/>
      <c r="N102" s="17" t="str">
        <f>O102</f>
        <v>18</v>
      </c>
      <c r="O102" s="18" t="s">
        <v>450</v>
      </c>
      <c r="P102" s="14" t="s">
        <v>485</v>
      </c>
      <c r="Q102" s="14" t="s">
        <v>865</v>
      </c>
      <c r="R102" s="14" t="s">
        <v>496</v>
      </c>
      <c r="S102" s="15">
        <v>6.6</v>
      </c>
      <c r="T102" s="15">
        <v>1.2</v>
      </c>
      <c r="U102" s="15">
        <v>0</v>
      </c>
      <c r="V102" s="14">
        <v>258</v>
      </c>
      <c r="W102" s="12">
        <v>0</v>
      </c>
      <c r="X102" s="12">
        <v>2</v>
      </c>
      <c r="Y102" s="12">
        <v>0</v>
      </c>
      <c r="Z102" s="12">
        <v>1.4900000000000002</v>
      </c>
      <c r="AA102" s="12">
        <v>0</v>
      </c>
      <c r="AB102" s="13">
        <f t="shared" si="4"/>
        <v>0</v>
      </c>
      <c r="AE102" s="12">
        <v>0</v>
      </c>
      <c r="AF102" s="12">
        <v>2</v>
      </c>
      <c r="AG102" s="12">
        <v>0</v>
      </c>
      <c r="AH102" s="12">
        <v>1.4900000000000002</v>
      </c>
      <c r="AI102" s="12">
        <v>0</v>
      </c>
      <c r="AJ102" s="13">
        <f t="shared" si="5"/>
        <v>0</v>
      </c>
      <c r="AN102" s="12">
        <f t="shared" si="6"/>
        <v>901</v>
      </c>
      <c r="AQ102" s="8" t="s">
        <v>419</v>
      </c>
      <c r="AR102" t="str">
        <f t="shared" si="7"/>
        <v>Norte - A06</v>
      </c>
    </row>
    <row r="103" spans="1:44" x14ac:dyDescent="0.2">
      <c r="A103" s="107" t="s">
        <v>6627</v>
      </c>
      <c r="B103" s="106" t="s">
        <v>6626</v>
      </c>
      <c r="C103" s="106" t="s">
        <v>6621</v>
      </c>
      <c r="D103" s="106" t="s">
        <v>3529</v>
      </c>
      <c r="E103" s="106" t="s">
        <v>6620</v>
      </c>
      <c r="F103" s="106" t="s">
        <v>490</v>
      </c>
      <c r="G103" s="106" t="s">
        <v>6625</v>
      </c>
      <c r="H103" s="105" t="s">
        <v>6624</v>
      </c>
      <c r="I103" s="105" t="s">
        <v>6618</v>
      </c>
      <c r="J103" s="104">
        <v>3.91</v>
      </c>
      <c r="K103" s="103" t="s">
        <v>426</v>
      </c>
      <c r="L103" s="102" t="s">
        <v>486</v>
      </c>
      <c r="M103" s="95"/>
      <c r="N103" s="17" t="str">
        <f>O103</f>
        <v>18</v>
      </c>
      <c r="O103" s="18" t="s">
        <v>450</v>
      </c>
      <c r="P103" s="14" t="s">
        <v>485</v>
      </c>
      <c r="Q103" s="14" t="s">
        <v>887</v>
      </c>
      <c r="R103" s="14" t="s">
        <v>496</v>
      </c>
      <c r="S103" s="15">
        <v>6.6</v>
      </c>
      <c r="T103" s="15">
        <v>1.2</v>
      </c>
      <c r="U103" s="15">
        <v>0</v>
      </c>
      <c r="V103" s="14">
        <v>734</v>
      </c>
      <c r="W103" s="12">
        <v>0</v>
      </c>
      <c r="X103" s="12">
        <v>1</v>
      </c>
      <c r="Y103" s="12">
        <v>2.91</v>
      </c>
      <c r="Z103" s="12">
        <v>0</v>
      </c>
      <c r="AA103" s="12">
        <v>0</v>
      </c>
      <c r="AB103" s="13">
        <f t="shared" si="4"/>
        <v>0</v>
      </c>
      <c r="AE103" s="12">
        <v>0</v>
      </c>
      <c r="AF103" s="12">
        <v>1</v>
      </c>
      <c r="AG103" s="12">
        <v>2.91</v>
      </c>
      <c r="AH103" s="12">
        <v>0</v>
      </c>
      <c r="AI103" s="12">
        <v>0</v>
      </c>
      <c r="AJ103" s="13">
        <f t="shared" si="5"/>
        <v>0</v>
      </c>
      <c r="AN103" s="12">
        <f t="shared" si="6"/>
        <v>2870</v>
      </c>
      <c r="AQ103" s="8" t="s">
        <v>419</v>
      </c>
      <c r="AR103" t="str">
        <f t="shared" si="7"/>
        <v>Norte - A06</v>
      </c>
    </row>
    <row r="104" spans="1:44" x14ac:dyDescent="0.2">
      <c r="A104" s="107" t="s">
        <v>6623</v>
      </c>
      <c r="B104" s="106" t="s">
        <v>6622</v>
      </c>
      <c r="C104" s="106" t="s">
        <v>6621</v>
      </c>
      <c r="D104" s="106" t="s">
        <v>4735</v>
      </c>
      <c r="E104" s="106" t="s">
        <v>6620</v>
      </c>
      <c r="F104" s="106" t="s">
        <v>490</v>
      </c>
      <c r="G104" s="106" t="s">
        <v>6619</v>
      </c>
      <c r="H104" s="105" t="s">
        <v>6618</v>
      </c>
      <c r="I104" s="105" t="s">
        <v>6617</v>
      </c>
      <c r="J104" s="104">
        <v>10.59</v>
      </c>
      <c r="K104" s="103" t="s">
        <v>426</v>
      </c>
      <c r="L104" s="102" t="s">
        <v>486</v>
      </c>
      <c r="M104" s="95"/>
      <c r="N104" s="17" t="str">
        <f>O104</f>
        <v>18</v>
      </c>
      <c r="O104" s="18" t="s">
        <v>450</v>
      </c>
      <c r="P104" s="14" t="s">
        <v>485</v>
      </c>
      <c r="Q104" s="14" t="s">
        <v>865</v>
      </c>
      <c r="R104" s="14" t="s">
        <v>496</v>
      </c>
      <c r="S104" s="15">
        <v>6</v>
      </c>
      <c r="T104" s="15">
        <v>0.7</v>
      </c>
      <c r="U104" s="15">
        <v>0</v>
      </c>
      <c r="V104" s="14">
        <v>2495</v>
      </c>
      <c r="W104" s="12">
        <v>0</v>
      </c>
      <c r="X104" s="12">
        <v>5</v>
      </c>
      <c r="Y104" s="12">
        <v>5.59</v>
      </c>
      <c r="Z104" s="12">
        <v>0</v>
      </c>
      <c r="AA104" s="12">
        <v>0</v>
      </c>
      <c r="AB104" s="13">
        <f t="shared" si="4"/>
        <v>0</v>
      </c>
      <c r="AE104" s="12">
        <v>0</v>
      </c>
      <c r="AF104" s="12">
        <v>5</v>
      </c>
      <c r="AG104" s="12">
        <v>5.59</v>
      </c>
      <c r="AH104" s="12">
        <v>0</v>
      </c>
      <c r="AI104" s="12">
        <v>0</v>
      </c>
      <c r="AJ104" s="13">
        <f t="shared" si="5"/>
        <v>0</v>
      </c>
      <c r="AN104" s="12">
        <f t="shared" si="6"/>
        <v>26423</v>
      </c>
      <c r="AQ104" s="8" t="s">
        <v>419</v>
      </c>
      <c r="AR104" t="str">
        <f t="shared" si="7"/>
        <v>Norte - A06</v>
      </c>
    </row>
    <row r="105" spans="1:44" x14ac:dyDescent="0.2">
      <c r="A105" s="107" t="s">
        <v>6616</v>
      </c>
      <c r="B105" s="106" t="s">
        <v>6615</v>
      </c>
      <c r="C105" s="106" t="s">
        <v>6505</v>
      </c>
      <c r="D105" s="106" t="s">
        <v>492</v>
      </c>
      <c r="E105" s="106" t="s">
        <v>6504</v>
      </c>
      <c r="F105" s="106" t="s">
        <v>490</v>
      </c>
      <c r="G105" s="106" t="s">
        <v>6614</v>
      </c>
      <c r="H105" s="105" t="s">
        <v>6613</v>
      </c>
      <c r="I105" s="105" t="s">
        <v>6609</v>
      </c>
      <c r="J105" s="104">
        <v>0.3</v>
      </c>
      <c r="K105" s="103" t="s">
        <v>426</v>
      </c>
      <c r="L105" s="102" t="s">
        <v>486</v>
      </c>
      <c r="M105" s="95"/>
      <c r="N105" s="14"/>
      <c r="O105" s="94">
        <v>18</v>
      </c>
      <c r="P105" s="14" t="s">
        <v>485</v>
      </c>
      <c r="Q105" s="14" t="s">
        <v>887</v>
      </c>
      <c r="R105" s="14" t="s">
        <v>1918</v>
      </c>
      <c r="S105" s="15">
        <v>6.6</v>
      </c>
      <c r="T105" s="15">
        <v>0.3</v>
      </c>
      <c r="U105" s="15">
        <v>0</v>
      </c>
      <c r="V105" s="14">
        <v>272</v>
      </c>
      <c r="W105" s="12">
        <v>0</v>
      </c>
      <c r="X105" s="12">
        <v>0</v>
      </c>
      <c r="Y105" s="12">
        <v>0</v>
      </c>
      <c r="Z105" s="12">
        <v>0.3</v>
      </c>
      <c r="AA105" s="12">
        <v>0</v>
      </c>
      <c r="AB105" s="13">
        <f t="shared" si="4"/>
        <v>0</v>
      </c>
      <c r="AE105" s="12">
        <v>0</v>
      </c>
      <c r="AF105" s="12">
        <v>0</v>
      </c>
      <c r="AG105" s="12">
        <v>0</v>
      </c>
      <c r="AH105" s="12">
        <v>0.3</v>
      </c>
      <c r="AI105" s="12">
        <v>0</v>
      </c>
      <c r="AJ105" s="13">
        <f t="shared" si="5"/>
        <v>0</v>
      </c>
      <c r="AN105" s="12">
        <f t="shared" si="6"/>
        <v>82</v>
      </c>
      <c r="AQ105" s="8" t="s">
        <v>419</v>
      </c>
      <c r="AR105" t="str">
        <f t="shared" si="7"/>
        <v>Norte - A06</v>
      </c>
    </row>
    <row r="106" spans="1:44" x14ac:dyDescent="0.2">
      <c r="A106" s="107" t="s">
        <v>6612</v>
      </c>
      <c r="B106" s="106" t="s">
        <v>6611</v>
      </c>
      <c r="C106" s="106" t="s">
        <v>6505</v>
      </c>
      <c r="D106" s="106" t="s">
        <v>519</v>
      </c>
      <c r="E106" s="106" t="s">
        <v>6504</v>
      </c>
      <c r="F106" s="106" t="s">
        <v>490</v>
      </c>
      <c r="G106" s="106" t="s">
        <v>6610</v>
      </c>
      <c r="H106" s="105" t="s">
        <v>6609</v>
      </c>
      <c r="I106" s="105" t="s">
        <v>6605</v>
      </c>
      <c r="J106" s="104">
        <v>12.63</v>
      </c>
      <c r="K106" s="103" t="s">
        <v>426</v>
      </c>
      <c r="L106" s="102" t="s">
        <v>486</v>
      </c>
      <c r="M106" s="95"/>
      <c r="N106" s="14"/>
      <c r="O106" s="94">
        <v>18</v>
      </c>
      <c r="P106" s="14" t="s">
        <v>485</v>
      </c>
      <c r="Q106" s="14" t="s">
        <v>887</v>
      </c>
      <c r="R106" s="14" t="s">
        <v>1918</v>
      </c>
      <c r="S106" s="15">
        <v>6.6</v>
      </c>
      <c r="T106" s="15">
        <v>0.3</v>
      </c>
      <c r="U106" s="15">
        <v>0</v>
      </c>
      <c r="V106" s="14">
        <v>272</v>
      </c>
      <c r="W106" s="12">
        <v>0</v>
      </c>
      <c r="X106" s="12">
        <v>0</v>
      </c>
      <c r="Y106" s="12">
        <v>2</v>
      </c>
      <c r="Z106" s="12">
        <v>10.63</v>
      </c>
      <c r="AA106" s="12">
        <v>0</v>
      </c>
      <c r="AB106" s="13">
        <f t="shared" si="4"/>
        <v>0</v>
      </c>
      <c r="AE106" s="12">
        <v>0</v>
      </c>
      <c r="AF106" s="12">
        <v>0</v>
      </c>
      <c r="AG106" s="12">
        <v>2</v>
      </c>
      <c r="AH106" s="12">
        <v>10.63</v>
      </c>
      <c r="AI106" s="12">
        <v>0</v>
      </c>
      <c r="AJ106" s="13">
        <f t="shared" si="5"/>
        <v>0</v>
      </c>
      <c r="AN106" s="12">
        <f t="shared" si="6"/>
        <v>3436</v>
      </c>
      <c r="AQ106" s="8" t="s">
        <v>419</v>
      </c>
      <c r="AR106" t="str">
        <f t="shared" si="7"/>
        <v>Norte - A06</v>
      </c>
    </row>
    <row r="107" spans="1:44" x14ac:dyDescent="0.2">
      <c r="A107" s="107" t="s">
        <v>6608</v>
      </c>
      <c r="B107" s="106" t="s">
        <v>6607</v>
      </c>
      <c r="C107" s="106" t="s">
        <v>6505</v>
      </c>
      <c r="D107" s="106" t="s">
        <v>2454</v>
      </c>
      <c r="E107" s="106" t="s">
        <v>6522</v>
      </c>
      <c r="F107" s="106" t="s">
        <v>590</v>
      </c>
      <c r="G107" s="106" t="s">
        <v>6606</v>
      </c>
      <c r="H107" s="105" t="s">
        <v>6605</v>
      </c>
      <c r="I107" s="105" t="s">
        <v>6598</v>
      </c>
      <c r="J107" s="104">
        <v>0.23</v>
      </c>
      <c r="K107" s="103" t="s">
        <v>426</v>
      </c>
      <c r="L107" s="102" t="s">
        <v>486</v>
      </c>
      <c r="M107" s="95"/>
      <c r="N107" s="14"/>
      <c r="O107" s="94">
        <v>18</v>
      </c>
      <c r="P107" s="14" t="s">
        <v>586</v>
      </c>
      <c r="Q107" s="14" t="s">
        <v>887</v>
      </c>
      <c r="R107" s="14" t="s">
        <v>1918</v>
      </c>
      <c r="S107" s="15">
        <v>9.5</v>
      </c>
      <c r="T107" s="15">
        <v>0</v>
      </c>
      <c r="U107" s="15">
        <v>0</v>
      </c>
      <c r="V107" s="14">
        <v>211</v>
      </c>
      <c r="W107" s="12">
        <v>0</v>
      </c>
      <c r="X107" s="12">
        <v>0</v>
      </c>
      <c r="Y107" s="12">
        <v>0</v>
      </c>
      <c r="Z107" s="12">
        <v>0.23</v>
      </c>
      <c r="AA107" s="12">
        <v>0</v>
      </c>
      <c r="AB107" s="13">
        <f t="shared" si="4"/>
        <v>0</v>
      </c>
      <c r="AE107" s="12">
        <v>0</v>
      </c>
      <c r="AF107" s="12">
        <v>0</v>
      </c>
      <c r="AG107" s="12">
        <v>0</v>
      </c>
      <c r="AH107" s="12">
        <v>0.23</v>
      </c>
      <c r="AI107" s="12">
        <v>0</v>
      </c>
      <c r="AJ107" s="13">
        <f t="shared" si="5"/>
        <v>0</v>
      </c>
      <c r="AN107" s="12">
        <f t="shared" si="6"/>
        <v>49</v>
      </c>
      <c r="AQ107" s="8" t="s">
        <v>419</v>
      </c>
      <c r="AR107" t="str">
        <f t="shared" si="7"/>
        <v>Norte - A06</v>
      </c>
    </row>
    <row r="108" spans="1:44" x14ac:dyDescent="0.2">
      <c r="A108" s="107" t="s">
        <v>6604</v>
      </c>
      <c r="B108" s="106" t="s">
        <v>6601</v>
      </c>
      <c r="C108" s="106" t="s">
        <v>6505</v>
      </c>
      <c r="D108" s="106" t="s">
        <v>1032</v>
      </c>
      <c r="E108" s="106" t="s">
        <v>6522</v>
      </c>
      <c r="F108" s="106" t="s">
        <v>590</v>
      </c>
      <c r="G108" s="106" t="s">
        <v>6603</v>
      </c>
      <c r="H108" s="105" t="s">
        <v>6598</v>
      </c>
      <c r="I108" s="105" t="s">
        <v>6599</v>
      </c>
      <c r="J108" s="104">
        <v>1.22</v>
      </c>
      <c r="K108" s="103" t="s">
        <v>426</v>
      </c>
      <c r="L108" s="102" t="s">
        <v>486</v>
      </c>
      <c r="M108" s="95"/>
      <c r="N108" s="14"/>
      <c r="O108" s="94">
        <v>18</v>
      </c>
      <c r="P108" s="14" t="s">
        <v>586</v>
      </c>
      <c r="Q108" s="14" t="s">
        <v>887</v>
      </c>
      <c r="R108" s="14" t="s">
        <v>1918</v>
      </c>
      <c r="S108" s="15">
        <v>9.5</v>
      </c>
      <c r="T108" s="15">
        <v>0</v>
      </c>
      <c r="U108" s="15">
        <v>0</v>
      </c>
      <c r="V108" s="14">
        <v>211</v>
      </c>
      <c r="W108" s="12">
        <v>0</v>
      </c>
      <c r="X108" s="12">
        <v>0</v>
      </c>
      <c r="Y108" s="12">
        <v>0</v>
      </c>
      <c r="Z108" s="12">
        <v>1.22</v>
      </c>
      <c r="AA108" s="12">
        <v>0</v>
      </c>
      <c r="AB108" s="13">
        <f t="shared" si="4"/>
        <v>0</v>
      </c>
      <c r="AE108" s="12">
        <v>0</v>
      </c>
      <c r="AF108" s="12">
        <v>0</v>
      </c>
      <c r="AG108" s="12">
        <v>0</v>
      </c>
      <c r="AH108" s="12">
        <v>1.22</v>
      </c>
      <c r="AI108" s="12">
        <v>0</v>
      </c>
      <c r="AJ108" s="13">
        <f t="shared" si="5"/>
        <v>0</v>
      </c>
      <c r="AN108" s="12">
        <f t="shared" si="6"/>
        <v>258</v>
      </c>
      <c r="AQ108" s="8" t="s">
        <v>419</v>
      </c>
      <c r="AR108" t="str">
        <f t="shared" si="7"/>
        <v>Norte - A06</v>
      </c>
    </row>
    <row r="109" spans="1:44" x14ac:dyDescent="0.2">
      <c r="A109" s="107" t="s">
        <v>6602</v>
      </c>
      <c r="B109" s="106" t="s">
        <v>6601</v>
      </c>
      <c r="C109" s="106" t="s">
        <v>6505</v>
      </c>
      <c r="D109" s="106" t="s">
        <v>1032</v>
      </c>
      <c r="E109" s="106" t="s">
        <v>6522</v>
      </c>
      <c r="F109" s="106" t="s">
        <v>590</v>
      </c>
      <c r="G109" s="106" t="s">
        <v>6600</v>
      </c>
      <c r="H109" s="105" t="s">
        <v>6599</v>
      </c>
      <c r="I109" s="105" t="s">
        <v>6598</v>
      </c>
      <c r="J109" s="104">
        <v>1.42</v>
      </c>
      <c r="K109" s="103" t="s">
        <v>426</v>
      </c>
      <c r="L109" s="102" t="s">
        <v>486</v>
      </c>
      <c r="M109" s="95"/>
      <c r="N109" s="14"/>
      <c r="O109" s="94">
        <v>18</v>
      </c>
      <c r="P109" s="14" t="s">
        <v>586</v>
      </c>
      <c r="Q109" s="14" t="s">
        <v>887</v>
      </c>
      <c r="R109" s="14" t="s">
        <v>1918</v>
      </c>
      <c r="S109" s="15">
        <v>9.5</v>
      </c>
      <c r="T109" s="15">
        <v>0</v>
      </c>
      <c r="U109" s="15">
        <v>0</v>
      </c>
      <c r="V109" s="14">
        <v>211</v>
      </c>
      <c r="W109" s="12">
        <v>0</v>
      </c>
      <c r="X109" s="12">
        <v>0</v>
      </c>
      <c r="Y109" s="12">
        <v>0</v>
      </c>
      <c r="Z109" s="12">
        <v>1.42</v>
      </c>
      <c r="AA109" s="12">
        <v>0</v>
      </c>
      <c r="AB109" s="13">
        <f t="shared" si="4"/>
        <v>0</v>
      </c>
      <c r="AE109" s="12">
        <v>0</v>
      </c>
      <c r="AF109" s="12">
        <v>0</v>
      </c>
      <c r="AG109" s="12">
        <v>0</v>
      </c>
      <c r="AH109" s="12">
        <v>1.42</v>
      </c>
      <c r="AI109" s="12">
        <v>0</v>
      </c>
      <c r="AJ109" s="13">
        <f t="shared" si="5"/>
        <v>0</v>
      </c>
      <c r="AN109" s="12">
        <f t="shared" si="6"/>
        <v>300</v>
      </c>
      <c r="AQ109" s="8" t="s">
        <v>419</v>
      </c>
      <c r="AR109" t="str">
        <f t="shared" si="7"/>
        <v>Norte - A06</v>
      </c>
    </row>
    <row r="110" spans="1:44" x14ac:dyDescent="0.2">
      <c r="A110" s="107" t="s">
        <v>6597</v>
      </c>
      <c r="B110" s="106" t="s">
        <v>6596</v>
      </c>
      <c r="C110" s="106" t="s">
        <v>6505</v>
      </c>
      <c r="D110" s="106" t="s">
        <v>2327</v>
      </c>
      <c r="E110" s="106" t="s">
        <v>6522</v>
      </c>
      <c r="F110" s="106" t="s">
        <v>590</v>
      </c>
      <c r="G110" s="106" t="s">
        <v>6595</v>
      </c>
      <c r="H110" s="105" t="s">
        <v>6594</v>
      </c>
      <c r="I110" s="105" t="s">
        <v>6593</v>
      </c>
      <c r="J110" s="104">
        <v>0.3</v>
      </c>
      <c r="K110" s="103" t="s">
        <v>426</v>
      </c>
      <c r="L110" s="102" t="s">
        <v>486</v>
      </c>
      <c r="M110" s="95"/>
      <c r="N110" s="14"/>
      <c r="O110" s="94">
        <v>18</v>
      </c>
      <c r="P110" s="14" t="s">
        <v>586</v>
      </c>
      <c r="Q110" s="14" t="s">
        <v>887</v>
      </c>
      <c r="R110" s="14" t="s">
        <v>1918</v>
      </c>
      <c r="S110" s="15">
        <v>9.5</v>
      </c>
      <c r="T110" s="15">
        <v>0</v>
      </c>
      <c r="U110" s="15">
        <v>0</v>
      </c>
      <c r="V110" s="14">
        <v>211</v>
      </c>
      <c r="W110" s="12">
        <v>0</v>
      </c>
      <c r="X110" s="12">
        <v>0</v>
      </c>
      <c r="Y110" s="12">
        <v>0</v>
      </c>
      <c r="Z110" s="12">
        <v>0.3</v>
      </c>
      <c r="AA110" s="12">
        <v>0</v>
      </c>
      <c r="AB110" s="13">
        <f t="shared" si="4"/>
        <v>0</v>
      </c>
      <c r="AE110" s="12">
        <v>0</v>
      </c>
      <c r="AF110" s="12">
        <v>0</v>
      </c>
      <c r="AG110" s="12">
        <v>0</v>
      </c>
      <c r="AH110" s="12">
        <v>0.3</v>
      </c>
      <c r="AI110" s="12">
        <v>0</v>
      </c>
      <c r="AJ110" s="13">
        <f t="shared" si="5"/>
        <v>0</v>
      </c>
      <c r="AN110" s="12">
        <f t="shared" si="6"/>
        <v>64</v>
      </c>
      <c r="AQ110" s="8" t="s">
        <v>419</v>
      </c>
      <c r="AR110" t="str">
        <f t="shared" si="7"/>
        <v>Norte - A06</v>
      </c>
    </row>
    <row r="111" spans="1:44" x14ac:dyDescent="0.2">
      <c r="A111" s="107" t="s">
        <v>6592</v>
      </c>
      <c r="B111" s="106" t="s">
        <v>6591</v>
      </c>
      <c r="C111" s="106" t="s">
        <v>6505</v>
      </c>
      <c r="D111" s="106" t="s">
        <v>513</v>
      </c>
      <c r="E111" s="106" t="s">
        <v>6504</v>
      </c>
      <c r="F111" s="106" t="s">
        <v>490</v>
      </c>
      <c r="G111" s="106" t="s">
        <v>6590</v>
      </c>
      <c r="H111" s="105" t="s">
        <v>6589</v>
      </c>
      <c r="I111" s="105" t="s">
        <v>6585</v>
      </c>
      <c r="J111" s="104">
        <v>10.029999999999999</v>
      </c>
      <c r="K111" s="103" t="s">
        <v>426</v>
      </c>
      <c r="L111" s="102" t="s">
        <v>486</v>
      </c>
      <c r="M111" s="95"/>
      <c r="N111" s="14"/>
      <c r="O111" s="94">
        <v>18</v>
      </c>
      <c r="P111" s="14" t="s">
        <v>485</v>
      </c>
      <c r="Q111" s="14" t="s">
        <v>497</v>
      </c>
      <c r="R111" s="14" t="s">
        <v>496</v>
      </c>
      <c r="S111" s="15">
        <v>6.6</v>
      </c>
      <c r="T111" s="15">
        <v>1.2</v>
      </c>
      <c r="U111" s="15">
        <v>1.3</v>
      </c>
      <c r="V111" s="14">
        <v>1388</v>
      </c>
      <c r="W111" s="12">
        <v>0</v>
      </c>
      <c r="X111" s="12">
        <v>0</v>
      </c>
      <c r="Y111" s="12">
        <v>2</v>
      </c>
      <c r="Z111" s="12">
        <v>8.0299999999999994</v>
      </c>
      <c r="AA111" s="12">
        <v>0</v>
      </c>
      <c r="AB111" s="13">
        <f t="shared" si="4"/>
        <v>0</v>
      </c>
      <c r="AE111" s="12">
        <v>0</v>
      </c>
      <c r="AF111" s="12">
        <v>0</v>
      </c>
      <c r="AG111" s="12">
        <v>2</v>
      </c>
      <c r="AH111" s="12">
        <v>8.0299999999999994</v>
      </c>
      <c r="AI111" s="12">
        <v>0</v>
      </c>
      <c r="AJ111" s="13">
        <f t="shared" si="5"/>
        <v>0</v>
      </c>
      <c r="AN111" s="12">
        <f t="shared" si="6"/>
        <v>13922</v>
      </c>
      <c r="AQ111" s="8" t="s">
        <v>419</v>
      </c>
      <c r="AR111" t="str">
        <f t="shared" si="7"/>
        <v>Norte - A06</v>
      </c>
    </row>
    <row r="112" spans="1:44" x14ac:dyDescent="0.2">
      <c r="A112" s="107" t="s">
        <v>6588</v>
      </c>
      <c r="B112" s="106" t="s">
        <v>6587</v>
      </c>
      <c r="C112" s="106" t="s">
        <v>6505</v>
      </c>
      <c r="D112" s="106" t="s">
        <v>1324</v>
      </c>
      <c r="E112" s="106" t="s">
        <v>6504</v>
      </c>
      <c r="F112" s="106" t="s">
        <v>490</v>
      </c>
      <c r="G112" s="106" t="s">
        <v>6586</v>
      </c>
      <c r="H112" s="105" t="s">
        <v>6585</v>
      </c>
      <c r="I112" s="105" t="s">
        <v>5769</v>
      </c>
      <c r="J112" s="104">
        <v>23.63</v>
      </c>
      <c r="K112" s="103" t="s">
        <v>426</v>
      </c>
      <c r="L112" s="102" t="s">
        <v>486</v>
      </c>
      <c r="M112" s="95"/>
      <c r="N112" s="14"/>
      <c r="O112" s="94">
        <v>18</v>
      </c>
      <c r="P112" s="14" t="s">
        <v>485</v>
      </c>
      <c r="Q112" s="14" t="s">
        <v>497</v>
      </c>
      <c r="R112" s="14" t="s">
        <v>496</v>
      </c>
      <c r="S112" s="15">
        <v>6.6</v>
      </c>
      <c r="T112" s="15">
        <v>1.2</v>
      </c>
      <c r="U112" s="15">
        <v>0</v>
      </c>
      <c r="V112" s="14">
        <v>1388</v>
      </c>
      <c r="W112" s="12">
        <v>0</v>
      </c>
      <c r="X112" s="12">
        <v>0</v>
      </c>
      <c r="Y112" s="12">
        <v>2</v>
      </c>
      <c r="Z112" s="12">
        <v>21.63</v>
      </c>
      <c r="AA112" s="12">
        <v>0</v>
      </c>
      <c r="AB112" s="13">
        <f t="shared" si="4"/>
        <v>0</v>
      </c>
      <c r="AE112" s="12">
        <v>0</v>
      </c>
      <c r="AF112" s="12">
        <v>0</v>
      </c>
      <c r="AG112" s="12">
        <v>2</v>
      </c>
      <c r="AH112" s="12">
        <v>21.63</v>
      </c>
      <c r="AI112" s="12">
        <v>0</v>
      </c>
      <c r="AJ112" s="13">
        <f t="shared" si="5"/>
        <v>0</v>
      </c>
      <c r="AN112" s="12">
        <f t="shared" si="6"/>
        <v>32799</v>
      </c>
      <c r="AQ112" s="8" t="s">
        <v>419</v>
      </c>
      <c r="AR112" t="str">
        <f t="shared" si="7"/>
        <v>Norte - A06</v>
      </c>
    </row>
    <row r="113" spans="1:44" x14ac:dyDescent="0.2">
      <c r="A113" s="107" t="s">
        <v>6584</v>
      </c>
      <c r="B113" s="106" t="s">
        <v>6583</v>
      </c>
      <c r="C113" s="106" t="s">
        <v>6505</v>
      </c>
      <c r="D113" s="106" t="s">
        <v>3904</v>
      </c>
      <c r="E113" s="106" t="s">
        <v>6522</v>
      </c>
      <c r="F113" s="106" t="s">
        <v>590</v>
      </c>
      <c r="G113" s="106" t="s">
        <v>6582</v>
      </c>
      <c r="H113" s="105" t="s">
        <v>5769</v>
      </c>
      <c r="I113" s="105" t="s">
        <v>6581</v>
      </c>
      <c r="J113" s="104">
        <v>0.3</v>
      </c>
      <c r="K113" s="103" t="s">
        <v>426</v>
      </c>
      <c r="L113" s="102" t="s">
        <v>486</v>
      </c>
      <c r="M113" s="95"/>
      <c r="N113" s="14"/>
      <c r="O113" s="94">
        <v>18</v>
      </c>
      <c r="P113" s="14" t="s">
        <v>586</v>
      </c>
      <c r="Q113" s="14" t="s">
        <v>497</v>
      </c>
      <c r="R113" s="14" t="s">
        <v>496</v>
      </c>
      <c r="S113" s="15">
        <v>8.1999999999999993</v>
      </c>
      <c r="T113" s="15">
        <v>0</v>
      </c>
      <c r="U113" s="15">
        <v>0</v>
      </c>
      <c r="V113" s="14">
        <v>327</v>
      </c>
      <c r="W113" s="12">
        <v>0</v>
      </c>
      <c r="X113" s="12">
        <v>0</v>
      </c>
      <c r="Y113" s="12">
        <v>0</v>
      </c>
      <c r="Z113" s="12">
        <v>0.7</v>
      </c>
      <c r="AA113" s="12">
        <v>0</v>
      </c>
      <c r="AB113" s="13">
        <f t="shared" si="4"/>
        <v>0.39999999999999997</v>
      </c>
      <c r="AE113" s="12">
        <f>IF(W113=0,0,W113-$AB113)</f>
        <v>0</v>
      </c>
      <c r="AF113" s="12">
        <f>IF(X113=0,0,X113-$AB113)</f>
        <v>0</v>
      </c>
      <c r="AG113" s="12">
        <f>IF(Y113=0,0,Y113-$AB113)</f>
        <v>0</v>
      </c>
      <c r="AH113" s="12">
        <f>IF(Z113=0,0,Z113-$AB113)</f>
        <v>0.3</v>
      </c>
      <c r="AI113" s="12">
        <f>IF(AA113=0,0,AA113-$AB113)</f>
        <v>0</v>
      </c>
      <c r="AJ113" s="13">
        <f t="shared" si="5"/>
        <v>0</v>
      </c>
      <c r="AN113" s="12">
        <f t="shared" si="6"/>
        <v>99</v>
      </c>
      <c r="AQ113" s="8" t="s">
        <v>419</v>
      </c>
      <c r="AR113" t="str">
        <f t="shared" si="7"/>
        <v>Norte - A06</v>
      </c>
    </row>
    <row r="114" spans="1:44" x14ac:dyDescent="0.2">
      <c r="A114" s="107" t="s">
        <v>6580</v>
      </c>
      <c r="B114" s="106" t="s">
        <v>6579</v>
      </c>
      <c r="C114" s="106" t="s">
        <v>6505</v>
      </c>
      <c r="D114" s="106" t="s">
        <v>2797</v>
      </c>
      <c r="E114" s="106" t="s">
        <v>6504</v>
      </c>
      <c r="F114" s="106" t="s">
        <v>490</v>
      </c>
      <c r="G114" s="106" t="s">
        <v>6578</v>
      </c>
      <c r="H114" s="105" t="s">
        <v>6577</v>
      </c>
      <c r="I114" s="105" t="s">
        <v>6576</v>
      </c>
      <c r="J114" s="104">
        <v>4.8499999999999996</v>
      </c>
      <c r="K114" s="103" t="s">
        <v>429</v>
      </c>
      <c r="L114" s="102" t="s">
        <v>486</v>
      </c>
      <c r="M114" s="95"/>
      <c r="N114" s="14"/>
      <c r="O114" s="94">
        <v>21</v>
      </c>
      <c r="P114" s="14" t="s">
        <v>485</v>
      </c>
      <c r="Q114" s="14" t="s">
        <v>505</v>
      </c>
      <c r="R114" s="14" t="s">
        <v>496</v>
      </c>
      <c r="S114" s="15">
        <v>6</v>
      </c>
      <c r="T114" s="15">
        <v>0</v>
      </c>
      <c r="U114" s="15">
        <v>0</v>
      </c>
      <c r="V114" s="14">
        <v>66</v>
      </c>
      <c r="W114" s="12">
        <v>0</v>
      </c>
      <c r="X114" s="12">
        <v>0</v>
      </c>
      <c r="Y114" s="12">
        <v>0</v>
      </c>
      <c r="Z114" s="12">
        <v>4.8499999999999996</v>
      </c>
      <c r="AA114" s="12">
        <v>0</v>
      </c>
      <c r="AB114" s="13">
        <f t="shared" si="4"/>
        <v>0</v>
      </c>
      <c r="AE114" s="12">
        <v>0</v>
      </c>
      <c r="AF114" s="12">
        <v>0</v>
      </c>
      <c r="AG114" s="12">
        <v>0</v>
      </c>
      <c r="AH114" s="12">
        <v>4.8499999999999996</v>
      </c>
      <c r="AI114" s="12">
        <v>0</v>
      </c>
      <c r="AJ114" s="13">
        <f t="shared" si="5"/>
        <v>0</v>
      </c>
      <c r="AN114" s="12">
        <f t="shared" si="6"/>
        <v>321</v>
      </c>
      <c r="AQ114" s="8" t="s">
        <v>419</v>
      </c>
      <c r="AR114" t="str">
        <f t="shared" si="7"/>
        <v>Norte - A09</v>
      </c>
    </row>
    <row r="115" spans="1:44" x14ac:dyDescent="0.2">
      <c r="A115" s="107" t="s">
        <v>6575</v>
      </c>
      <c r="B115" s="106" t="s">
        <v>6574</v>
      </c>
      <c r="C115" s="106" t="s">
        <v>6505</v>
      </c>
      <c r="D115" s="106" t="s">
        <v>2487</v>
      </c>
      <c r="E115" s="106" t="s">
        <v>6504</v>
      </c>
      <c r="F115" s="106" t="s">
        <v>490</v>
      </c>
      <c r="G115" s="106" t="s">
        <v>6573</v>
      </c>
      <c r="H115" s="105" t="s">
        <v>6572</v>
      </c>
      <c r="I115" s="105" t="s">
        <v>6571</v>
      </c>
      <c r="J115" s="104">
        <v>1.1000000000000001</v>
      </c>
      <c r="K115" s="103" t="s">
        <v>429</v>
      </c>
      <c r="L115" s="102" t="s">
        <v>486</v>
      </c>
      <c r="M115" s="95"/>
      <c r="N115" s="14"/>
      <c r="O115" s="94">
        <v>21</v>
      </c>
      <c r="P115" s="14" t="s">
        <v>485</v>
      </c>
      <c r="Q115" s="14" t="s">
        <v>505</v>
      </c>
      <c r="R115" s="14" t="s">
        <v>496</v>
      </c>
      <c r="S115" s="15">
        <v>6.3</v>
      </c>
      <c r="T115" s="15">
        <v>0</v>
      </c>
      <c r="U115" s="15">
        <v>0</v>
      </c>
      <c r="V115" s="14">
        <v>2453</v>
      </c>
      <c r="W115" s="12">
        <v>0</v>
      </c>
      <c r="X115" s="12">
        <v>0</v>
      </c>
      <c r="Y115" s="12">
        <v>0</v>
      </c>
      <c r="Z115" s="12">
        <v>1.1000000000000001</v>
      </c>
      <c r="AA115" s="12">
        <v>0</v>
      </c>
      <c r="AB115" s="13">
        <f t="shared" si="4"/>
        <v>0</v>
      </c>
      <c r="AE115" s="12">
        <v>0</v>
      </c>
      <c r="AF115" s="12">
        <v>0</v>
      </c>
      <c r="AG115" s="12">
        <v>0</v>
      </c>
      <c r="AH115" s="12">
        <v>1.1000000000000001</v>
      </c>
      <c r="AI115" s="12">
        <v>0</v>
      </c>
      <c r="AJ115" s="13">
        <f t="shared" si="5"/>
        <v>0</v>
      </c>
      <c r="AN115" s="12">
        <f t="shared" si="6"/>
        <v>2699</v>
      </c>
      <c r="AQ115" s="8" t="s">
        <v>419</v>
      </c>
      <c r="AR115" t="str">
        <f t="shared" si="7"/>
        <v>Norte - A09</v>
      </c>
    </row>
    <row r="116" spans="1:44" x14ac:dyDescent="0.2">
      <c r="A116" s="107" t="s">
        <v>6570</v>
      </c>
      <c r="B116" s="106" t="s">
        <v>6569</v>
      </c>
      <c r="C116" s="106" t="s">
        <v>6505</v>
      </c>
      <c r="D116" s="106" t="s">
        <v>1820</v>
      </c>
      <c r="E116" s="106" t="s">
        <v>6504</v>
      </c>
      <c r="F116" s="106" t="s">
        <v>490</v>
      </c>
      <c r="G116" s="106" t="s">
        <v>6568</v>
      </c>
      <c r="H116" s="105" t="s">
        <v>6567</v>
      </c>
      <c r="I116" s="105" t="s">
        <v>6563</v>
      </c>
      <c r="J116" s="104">
        <v>1.55</v>
      </c>
      <c r="K116" s="103" t="s">
        <v>421</v>
      </c>
      <c r="L116" s="102" t="s">
        <v>577</v>
      </c>
      <c r="M116" s="95"/>
      <c r="N116" s="14"/>
      <c r="O116" s="94">
        <v>6</v>
      </c>
      <c r="P116" s="14" t="s">
        <v>485</v>
      </c>
      <c r="Q116" s="14" t="s">
        <v>561</v>
      </c>
      <c r="R116" s="14" t="s">
        <v>585</v>
      </c>
      <c r="S116" s="15">
        <v>6.6</v>
      </c>
      <c r="T116" s="15">
        <v>0</v>
      </c>
      <c r="U116" s="15">
        <v>0</v>
      </c>
      <c r="V116" s="14">
        <v>50</v>
      </c>
      <c r="W116" s="12">
        <v>0</v>
      </c>
      <c r="X116" s="12">
        <v>0</v>
      </c>
      <c r="Y116" s="12">
        <v>1</v>
      </c>
      <c r="Z116" s="12">
        <v>0.55000000000000004</v>
      </c>
      <c r="AA116" s="12">
        <v>0</v>
      </c>
      <c r="AB116" s="13">
        <f t="shared" si="4"/>
        <v>0</v>
      </c>
      <c r="AE116" s="12">
        <v>0</v>
      </c>
      <c r="AF116" s="12">
        <v>0</v>
      </c>
      <c r="AG116" s="12">
        <v>1</v>
      </c>
      <c r="AH116" s="12">
        <v>0.55000000000000004</v>
      </c>
      <c r="AI116" s="12">
        <v>0</v>
      </c>
      <c r="AJ116" s="13">
        <f t="shared" si="5"/>
        <v>0</v>
      </c>
      <c r="AN116" s="12">
        <f t="shared" si="6"/>
        <v>78</v>
      </c>
      <c r="AQ116" s="8" t="s">
        <v>420</v>
      </c>
      <c r="AR116" t="str">
        <f t="shared" si="7"/>
        <v>Campos Gerais - A01</v>
      </c>
    </row>
    <row r="117" spans="1:44" x14ac:dyDescent="0.2">
      <c r="A117" s="107" t="s">
        <v>6566</v>
      </c>
      <c r="B117" s="106" t="s">
        <v>6565</v>
      </c>
      <c r="C117" s="106" t="s">
        <v>6505</v>
      </c>
      <c r="D117" s="106" t="s">
        <v>1263</v>
      </c>
      <c r="E117" s="106" t="s">
        <v>6504</v>
      </c>
      <c r="F117" s="106" t="s">
        <v>490</v>
      </c>
      <c r="G117" s="106" t="s">
        <v>6564</v>
      </c>
      <c r="H117" s="105" t="s">
        <v>6563</v>
      </c>
      <c r="I117" s="105" t="s">
        <v>6559</v>
      </c>
      <c r="J117" s="104">
        <v>24.37</v>
      </c>
      <c r="K117" s="103" t="s">
        <v>421</v>
      </c>
      <c r="L117" s="102" t="s">
        <v>577</v>
      </c>
      <c r="M117" s="95"/>
      <c r="N117" s="14"/>
      <c r="O117" s="94">
        <v>6</v>
      </c>
      <c r="P117" s="14" t="s">
        <v>485</v>
      </c>
      <c r="Q117" s="14" t="s">
        <v>561</v>
      </c>
      <c r="R117" s="14" t="s">
        <v>585</v>
      </c>
      <c r="S117" s="15">
        <v>6.6</v>
      </c>
      <c r="T117" s="15">
        <v>0</v>
      </c>
      <c r="U117" s="15">
        <v>0</v>
      </c>
      <c r="V117" s="14">
        <v>3056</v>
      </c>
      <c r="W117" s="12">
        <v>0</v>
      </c>
      <c r="X117" s="12">
        <v>0</v>
      </c>
      <c r="Y117" s="12">
        <v>0</v>
      </c>
      <c r="Z117" s="12">
        <v>24.37</v>
      </c>
      <c r="AA117" s="12">
        <v>0</v>
      </c>
      <c r="AB117" s="13">
        <f t="shared" si="4"/>
        <v>0</v>
      </c>
      <c r="AE117" s="12">
        <v>0</v>
      </c>
      <c r="AF117" s="12">
        <v>0</v>
      </c>
      <c r="AG117" s="12">
        <v>0</v>
      </c>
      <c r="AH117" s="12">
        <v>24.37</v>
      </c>
      <c r="AI117" s="12">
        <v>0</v>
      </c>
      <c r="AJ117" s="13">
        <f t="shared" si="5"/>
        <v>0</v>
      </c>
      <c r="AN117" s="12">
        <f t="shared" si="6"/>
        <v>74475</v>
      </c>
      <c r="AQ117" s="8" t="s">
        <v>420</v>
      </c>
      <c r="AR117" t="str">
        <f t="shared" si="7"/>
        <v>Campos Gerais - A01</v>
      </c>
    </row>
    <row r="118" spans="1:44" x14ac:dyDescent="0.2">
      <c r="A118" s="107" t="s">
        <v>6562</v>
      </c>
      <c r="B118" s="106" t="s">
        <v>6561</v>
      </c>
      <c r="C118" s="106" t="s">
        <v>6505</v>
      </c>
      <c r="D118" s="106" t="s">
        <v>965</v>
      </c>
      <c r="E118" s="106" t="s">
        <v>6504</v>
      </c>
      <c r="F118" s="106" t="s">
        <v>490</v>
      </c>
      <c r="G118" s="106" t="s">
        <v>6560</v>
      </c>
      <c r="H118" s="105" t="s">
        <v>6559</v>
      </c>
      <c r="I118" s="105" t="s">
        <v>6558</v>
      </c>
      <c r="J118" s="104">
        <v>11.05</v>
      </c>
      <c r="K118" s="103" t="s">
        <v>421</v>
      </c>
      <c r="L118" s="102" t="s">
        <v>577</v>
      </c>
      <c r="M118" s="95"/>
      <c r="N118" s="14"/>
      <c r="O118" s="94">
        <v>6</v>
      </c>
      <c r="P118" s="14" t="s">
        <v>485</v>
      </c>
      <c r="Q118" s="14" t="s">
        <v>561</v>
      </c>
      <c r="R118" s="14" t="s">
        <v>1258</v>
      </c>
      <c r="S118" s="15">
        <v>6.6</v>
      </c>
      <c r="T118" s="15">
        <v>0</v>
      </c>
      <c r="U118" s="15">
        <v>0</v>
      </c>
      <c r="V118" s="14">
        <v>1927</v>
      </c>
      <c r="W118" s="12">
        <v>0</v>
      </c>
      <c r="X118" s="12">
        <v>2</v>
      </c>
      <c r="Y118" s="12">
        <v>4</v>
      </c>
      <c r="Z118" s="12">
        <v>5.0500000000000007</v>
      </c>
      <c r="AA118" s="12">
        <v>0</v>
      </c>
      <c r="AB118" s="13">
        <f t="shared" si="4"/>
        <v>0</v>
      </c>
      <c r="AE118" s="12">
        <v>0</v>
      </c>
      <c r="AF118" s="12">
        <v>2</v>
      </c>
      <c r="AG118" s="12">
        <v>4</v>
      </c>
      <c r="AH118" s="12">
        <v>5.0500000000000007</v>
      </c>
      <c r="AI118" s="12">
        <v>0</v>
      </c>
      <c r="AJ118" s="13">
        <f t="shared" si="5"/>
        <v>0</v>
      </c>
      <c r="AN118" s="12">
        <f t="shared" si="6"/>
        <v>21294</v>
      </c>
      <c r="AQ118" s="8" t="s">
        <v>420</v>
      </c>
      <c r="AR118" t="str">
        <f t="shared" si="7"/>
        <v>Campos Gerais - A01</v>
      </c>
    </row>
    <row r="119" spans="1:44" x14ac:dyDescent="0.2">
      <c r="A119" s="107" t="s">
        <v>6557</v>
      </c>
      <c r="B119" s="106" t="s">
        <v>6556</v>
      </c>
      <c r="C119" s="106" t="s">
        <v>6505</v>
      </c>
      <c r="D119" s="106" t="s">
        <v>5154</v>
      </c>
      <c r="E119" s="106" t="s">
        <v>6504</v>
      </c>
      <c r="F119" s="106" t="s">
        <v>490</v>
      </c>
      <c r="G119" s="106" t="s">
        <v>6555</v>
      </c>
      <c r="H119" s="105" t="s">
        <v>6554</v>
      </c>
      <c r="I119" s="105" t="s">
        <v>6553</v>
      </c>
      <c r="J119" s="104">
        <v>5.24</v>
      </c>
      <c r="K119" s="103" t="s">
        <v>422</v>
      </c>
      <c r="L119" s="102" t="s">
        <v>577</v>
      </c>
      <c r="M119" s="95"/>
      <c r="N119" s="14"/>
      <c r="O119" s="94">
        <v>7</v>
      </c>
      <c r="P119" s="14" t="s">
        <v>485</v>
      </c>
      <c r="Q119" s="14" t="s">
        <v>561</v>
      </c>
      <c r="R119" s="14" t="s">
        <v>496</v>
      </c>
      <c r="S119" s="15">
        <v>7</v>
      </c>
      <c r="T119" s="15">
        <v>1</v>
      </c>
      <c r="U119" s="15">
        <v>0</v>
      </c>
      <c r="V119" s="14">
        <v>7858</v>
      </c>
      <c r="W119" s="12">
        <v>0</v>
      </c>
      <c r="X119" s="12">
        <v>0</v>
      </c>
      <c r="Y119" s="12">
        <v>0.24000000000000021</v>
      </c>
      <c r="Z119" s="12">
        <v>5</v>
      </c>
      <c r="AA119" s="12">
        <v>0</v>
      </c>
      <c r="AB119" s="13">
        <f t="shared" si="4"/>
        <v>0</v>
      </c>
      <c r="AE119" s="12">
        <v>0</v>
      </c>
      <c r="AF119" s="12">
        <v>0</v>
      </c>
      <c r="AG119" s="12">
        <v>0.24000000000000021</v>
      </c>
      <c r="AH119" s="12">
        <v>5</v>
      </c>
      <c r="AI119" s="12">
        <v>0</v>
      </c>
      <c r="AJ119" s="13">
        <f t="shared" si="5"/>
        <v>0</v>
      </c>
      <c r="AN119" s="12">
        <f t="shared" si="6"/>
        <v>41176</v>
      </c>
      <c r="AQ119" s="8" t="s">
        <v>420</v>
      </c>
      <c r="AR119" t="str">
        <f t="shared" si="7"/>
        <v>Campos Gerais - A02</v>
      </c>
    </row>
    <row r="120" spans="1:44" x14ac:dyDescent="0.2">
      <c r="A120" s="107" t="s">
        <v>6552</v>
      </c>
      <c r="B120" s="106" t="s">
        <v>6551</v>
      </c>
      <c r="C120" s="106" t="s">
        <v>6505</v>
      </c>
      <c r="D120" s="106" t="s">
        <v>2560</v>
      </c>
      <c r="E120" s="106" t="s">
        <v>6504</v>
      </c>
      <c r="F120" s="106" t="s">
        <v>490</v>
      </c>
      <c r="G120" s="106" t="s">
        <v>6550</v>
      </c>
      <c r="H120" s="105" t="s">
        <v>6549</v>
      </c>
      <c r="I120" s="105" t="s">
        <v>6545</v>
      </c>
      <c r="J120" s="104">
        <v>4.83</v>
      </c>
      <c r="K120" s="103" t="s">
        <v>422</v>
      </c>
      <c r="L120" s="102" t="s">
        <v>577</v>
      </c>
      <c r="M120" s="95"/>
      <c r="N120" s="14"/>
      <c r="O120" s="94">
        <v>7</v>
      </c>
      <c r="P120" s="14" t="s">
        <v>485</v>
      </c>
      <c r="Q120" s="14" t="s">
        <v>497</v>
      </c>
      <c r="R120" s="14" t="s">
        <v>496</v>
      </c>
      <c r="S120" s="15">
        <v>6.6</v>
      </c>
      <c r="T120" s="15">
        <v>0</v>
      </c>
      <c r="U120" s="15">
        <v>0</v>
      </c>
      <c r="V120" s="14">
        <v>5618</v>
      </c>
      <c r="W120" s="12">
        <v>0</v>
      </c>
      <c r="X120" s="12">
        <v>1</v>
      </c>
      <c r="Y120" s="12">
        <v>2</v>
      </c>
      <c r="Z120" s="12">
        <v>1.83</v>
      </c>
      <c r="AA120" s="12">
        <v>0</v>
      </c>
      <c r="AB120" s="13">
        <f t="shared" si="4"/>
        <v>0</v>
      </c>
      <c r="AE120" s="12">
        <v>0</v>
      </c>
      <c r="AF120" s="12">
        <v>1</v>
      </c>
      <c r="AG120" s="12">
        <v>2</v>
      </c>
      <c r="AH120" s="12">
        <v>1.83</v>
      </c>
      <c r="AI120" s="12">
        <v>0</v>
      </c>
      <c r="AJ120" s="13">
        <f t="shared" si="5"/>
        <v>0</v>
      </c>
      <c r="AN120" s="12">
        <f t="shared" si="6"/>
        <v>27135</v>
      </c>
      <c r="AQ120" s="8" t="s">
        <v>420</v>
      </c>
      <c r="AR120" t="str">
        <f t="shared" si="7"/>
        <v>Campos Gerais - A02</v>
      </c>
    </row>
    <row r="121" spans="1:44" x14ac:dyDescent="0.2">
      <c r="A121" s="107" t="s">
        <v>6548</v>
      </c>
      <c r="B121" s="106" t="s">
        <v>6547</v>
      </c>
      <c r="C121" s="106" t="s">
        <v>6505</v>
      </c>
      <c r="D121" s="106" t="s">
        <v>4972</v>
      </c>
      <c r="E121" s="106" t="s">
        <v>6504</v>
      </c>
      <c r="F121" s="106" t="s">
        <v>490</v>
      </c>
      <c r="G121" s="106" t="s">
        <v>6546</v>
      </c>
      <c r="H121" s="105" t="s">
        <v>6545</v>
      </c>
      <c r="I121" s="105" t="s">
        <v>6541</v>
      </c>
      <c r="J121" s="104">
        <v>1.97</v>
      </c>
      <c r="K121" s="103" t="s">
        <v>422</v>
      </c>
      <c r="L121" s="102" t="s">
        <v>577</v>
      </c>
      <c r="M121" s="95"/>
      <c r="N121" s="14"/>
      <c r="O121" s="94">
        <v>7</v>
      </c>
      <c r="P121" s="14" t="s">
        <v>485</v>
      </c>
      <c r="Q121" s="14" t="s">
        <v>497</v>
      </c>
      <c r="R121" s="14" t="s">
        <v>496</v>
      </c>
      <c r="S121" s="15">
        <v>6.6</v>
      </c>
      <c r="T121" s="15">
        <v>0</v>
      </c>
      <c r="U121" s="15">
        <v>0</v>
      </c>
      <c r="V121" s="14">
        <v>2381</v>
      </c>
      <c r="W121" s="12">
        <v>0</v>
      </c>
      <c r="X121" s="12">
        <v>0</v>
      </c>
      <c r="Y121" s="12">
        <v>1</v>
      </c>
      <c r="Z121" s="12">
        <v>0.97</v>
      </c>
      <c r="AA121" s="12">
        <v>0</v>
      </c>
      <c r="AB121" s="13">
        <f t="shared" si="4"/>
        <v>0</v>
      </c>
      <c r="AE121" s="12">
        <v>0</v>
      </c>
      <c r="AF121" s="12">
        <v>0</v>
      </c>
      <c r="AG121" s="12">
        <v>1</v>
      </c>
      <c r="AH121" s="12">
        <v>0.97</v>
      </c>
      <c r="AI121" s="12">
        <v>0</v>
      </c>
      <c r="AJ121" s="13">
        <f t="shared" si="5"/>
        <v>0</v>
      </c>
      <c r="AN121" s="12">
        <f t="shared" si="6"/>
        <v>4691</v>
      </c>
      <c r="AQ121" s="8" t="s">
        <v>420</v>
      </c>
      <c r="AR121" t="str">
        <f t="shared" si="7"/>
        <v>Campos Gerais - A02</v>
      </c>
    </row>
    <row r="122" spans="1:44" x14ac:dyDescent="0.2">
      <c r="A122" s="107" t="s">
        <v>6544</v>
      </c>
      <c r="B122" s="106" t="s">
        <v>6543</v>
      </c>
      <c r="C122" s="106" t="s">
        <v>6505</v>
      </c>
      <c r="D122" s="106" t="s">
        <v>4967</v>
      </c>
      <c r="E122" s="106" t="s">
        <v>6504</v>
      </c>
      <c r="F122" s="106" t="s">
        <v>490</v>
      </c>
      <c r="G122" s="106" t="s">
        <v>6542</v>
      </c>
      <c r="H122" s="105" t="s">
        <v>6541</v>
      </c>
      <c r="I122" s="105" t="s">
        <v>6537</v>
      </c>
      <c r="J122" s="104">
        <v>15.49</v>
      </c>
      <c r="K122" s="103" t="s">
        <v>422</v>
      </c>
      <c r="L122" s="102" t="s">
        <v>577</v>
      </c>
      <c r="M122" s="95"/>
      <c r="N122" s="14"/>
      <c r="O122" s="94">
        <v>7</v>
      </c>
      <c r="P122" s="14" t="s">
        <v>485</v>
      </c>
      <c r="Q122" s="14" t="s">
        <v>497</v>
      </c>
      <c r="R122" s="14" t="s">
        <v>496</v>
      </c>
      <c r="S122" s="15">
        <v>6.6</v>
      </c>
      <c r="T122" s="15">
        <v>0.6</v>
      </c>
      <c r="U122" s="15">
        <v>0</v>
      </c>
      <c r="V122" s="14">
        <v>3291</v>
      </c>
      <c r="W122" s="12">
        <v>0</v>
      </c>
      <c r="X122" s="12">
        <v>3</v>
      </c>
      <c r="Y122" s="12">
        <v>3.49</v>
      </c>
      <c r="Z122" s="12">
        <v>9</v>
      </c>
      <c r="AA122" s="12">
        <v>0</v>
      </c>
      <c r="AB122" s="13">
        <f t="shared" si="4"/>
        <v>0</v>
      </c>
      <c r="AE122" s="12">
        <v>0</v>
      </c>
      <c r="AF122" s="12">
        <v>3</v>
      </c>
      <c r="AG122" s="12">
        <v>3.49</v>
      </c>
      <c r="AH122" s="12">
        <v>9</v>
      </c>
      <c r="AI122" s="12">
        <v>0</v>
      </c>
      <c r="AJ122" s="13">
        <f t="shared" si="5"/>
        <v>0</v>
      </c>
      <c r="AN122" s="12">
        <f t="shared" si="6"/>
        <v>50978</v>
      </c>
      <c r="AQ122" s="8" t="s">
        <v>420</v>
      </c>
      <c r="AR122" t="str">
        <f t="shared" si="7"/>
        <v>Campos Gerais - A02</v>
      </c>
    </row>
    <row r="123" spans="1:44" x14ac:dyDescent="0.2">
      <c r="A123" s="107" t="s">
        <v>6540</v>
      </c>
      <c r="B123" s="106" t="s">
        <v>6539</v>
      </c>
      <c r="C123" s="106" t="s">
        <v>6505</v>
      </c>
      <c r="D123" s="106" t="s">
        <v>4754</v>
      </c>
      <c r="E123" s="106" t="s">
        <v>6504</v>
      </c>
      <c r="F123" s="106" t="s">
        <v>490</v>
      </c>
      <c r="G123" s="106" t="s">
        <v>6538</v>
      </c>
      <c r="H123" s="105" t="s">
        <v>6537</v>
      </c>
      <c r="I123" s="105" t="s">
        <v>6533</v>
      </c>
      <c r="J123" s="104">
        <v>15.2</v>
      </c>
      <c r="K123" s="103" t="s">
        <v>422</v>
      </c>
      <c r="L123" s="102" t="s">
        <v>577</v>
      </c>
      <c r="M123" s="95"/>
      <c r="N123" s="14"/>
      <c r="O123" s="94">
        <v>7</v>
      </c>
      <c r="P123" s="14" t="s">
        <v>485</v>
      </c>
      <c r="Q123" s="14" t="s">
        <v>561</v>
      </c>
      <c r="R123" s="14" t="s">
        <v>496</v>
      </c>
      <c r="S123" s="15">
        <v>6.6</v>
      </c>
      <c r="T123" s="15">
        <v>0</v>
      </c>
      <c r="U123" s="15">
        <v>0</v>
      </c>
      <c r="V123" s="14">
        <v>3580</v>
      </c>
      <c r="W123" s="12">
        <v>0</v>
      </c>
      <c r="X123" s="12">
        <v>2</v>
      </c>
      <c r="Y123" s="12">
        <v>5.1999999999999993</v>
      </c>
      <c r="Z123" s="12">
        <v>8</v>
      </c>
      <c r="AA123" s="12">
        <v>0</v>
      </c>
      <c r="AB123" s="13">
        <f t="shared" si="4"/>
        <v>0</v>
      </c>
      <c r="AE123" s="12">
        <v>0</v>
      </c>
      <c r="AF123" s="12">
        <v>2</v>
      </c>
      <c r="AG123" s="12">
        <v>5.1999999999999993</v>
      </c>
      <c r="AH123" s="12">
        <v>8</v>
      </c>
      <c r="AI123" s="12">
        <v>0</v>
      </c>
      <c r="AJ123" s="13">
        <f t="shared" si="5"/>
        <v>0</v>
      </c>
      <c r="AN123" s="12">
        <f t="shared" si="6"/>
        <v>54416</v>
      </c>
      <c r="AQ123" s="8" t="s">
        <v>420</v>
      </c>
      <c r="AR123" t="str">
        <f t="shared" si="7"/>
        <v>Campos Gerais - A02</v>
      </c>
    </row>
    <row r="124" spans="1:44" x14ac:dyDescent="0.2">
      <c r="A124" s="107" t="s">
        <v>6536</v>
      </c>
      <c r="B124" s="106" t="s">
        <v>6535</v>
      </c>
      <c r="C124" s="106" t="s">
        <v>6505</v>
      </c>
      <c r="D124" s="106" t="s">
        <v>3529</v>
      </c>
      <c r="E124" s="106" t="s">
        <v>6504</v>
      </c>
      <c r="F124" s="106" t="s">
        <v>490</v>
      </c>
      <c r="G124" s="106" t="s">
        <v>6534</v>
      </c>
      <c r="H124" s="105" t="s">
        <v>6533</v>
      </c>
      <c r="I124" s="105" t="s">
        <v>579</v>
      </c>
      <c r="J124" s="104">
        <v>2.62</v>
      </c>
      <c r="K124" s="103" t="s">
        <v>422</v>
      </c>
      <c r="L124" s="102" t="s">
        <v>577</v>
      </c>
      <c r="M124" s="95"/>
      <c r="N124" s="14"/>
      <c r="O124" s="94">
        <v>7</v>
      </c>
      <c r="P124" s="14" t="s">
        <v>485</v>
      </c>
      <c r="Q124" s="14" t="s">
        <v>497</v>
      </c>
      <c r="R124" s="14" t="s">
        <v>496</v>
      </c>
      <c r="S124" s="15">
        <v>6.6</v>
      </c>
      <c r="T124" s="15">
        <v>0</v>
      </c>
      <c r="U124" s="15">
        <v>0</v>
      </c>
      <c r="V124" s="14">
        <v>3580</v>
      </c>
      <c r="W124" s="12">
        <v>1</v>
      </c>
      <c r="X124" s="12">
        <v>0</v>
      </c>
      <c r="Y124" s="12">
        <v>1.62</v>
      </c>
      <c r="Z124" s="12">
        <v>0</v>
      </c>
      <c r="AA124" s="12">
        <v>0</v>
      </c>
      <c r="AB124" s="13">
        <f t="shared" si="4"/>
        <v>0</v>
      </c>
      <c r="AE124" s="12">
        <v>1</v>
      </c>
      <c r="AF124" s="12">
        <v>0</v>
      </c>
      <c r="AG124" s="12">
        <v>1.62</v>
      </c>
      <c r="AH124" s="12">
        <v>0</v>
      </c>
      <c r="AI124" s="12">
        <v>0</v>
      </c>
      <c r="AJ124" s="13">
        <f t="shared" si="5"/>
        <v>0</v>
      </c>
      <c r="AN124" s="12">
        <f t="shared" si="6"/>
        <v>9380</v>
      </c>
      <c r="AQ124" s="8" t="s">
        <v>420</v>
      </c>
      <c r="AR124" t="str">
        <f t="shared" si="7"/>
        <v>Campos Gerais - A02</v>
      </c>
    </row>
    <row r="125" spans="1:44" x14ac:dyDescent="0.2">
      <c r="A125" s="107" t="s">
        <v>6532</v>
      </c>
      <c r="B125" s="106" t="s">
        <v>6531</v>
      </c>
      <c r="C125" s="106" t="s">
        <v>6505</v>
      </c>
      <c r="D125" s="106" t="s">
        <v>4735</v>
      </c>
      <c r="E125" s="106" t="s">
        <v>6504</v>
      </c>
      <c r="F125" s="106" t="s">
        <v>490</v>
      </c>
      <c r="G125" s="106" t="s">
        <v>6530</v>
      </c>
      <c r="H125" s="105" t="s">
        <v>579</v>
      </c>
      <c r="I125" s="105" t="s">
        <v>6526</v>
      </c>
      <c r="J125" s="104">
        <v>46.48</v>
      </c>
      <c r="K125" s="103" t="s">
        <v>424</v>
      </c>
      <c r="L125" s="102" t="s">
        <v>801</v>
      </c>
      <c r="M125" s="95"/>
      <c r="N125" s="14"/>
      <c r="O125" s="18" t="s">
        <v>6525</v>
      </c>
      <c r="P125" s="14" t="s">
        <v>485</v>
      </c>
      <c r="Q125" s="14" t="s">
        <v>865</v>
      </c>
      <c r="R125" s="14" t="s">
        <v>496</v>
      </c>
      <c r="S125" s="15">
        <v>6.6</v>
      </c>
      <c r="T125" s="15">
        <v>0.7</v>
      </c>
      <c r="U125" s="15">
        <v>0</v>
      </c>
      <c r="V125" s="14">
        <v>6022</v>
      </c>
      <c r="W125" s="12">
        <v>0</v>
      </c>
      <c r="X125" s="12">
        <v>5</v>
      </c>
      <c r="Y125" s="12">
        <v>20</v>
      </c>
      <c r="Z125" s="12">
        <v>21.479999999999997</v>
      </c>
      <c r="AA125" s="12">
        <v>0</v>
      </c>
      <c r="AB125" s="13">
        <f t="shared" si="4"/>
        <v>0</v>
      </c>
      <c r="AE125" s="12">
        <v>0</v>
      </c>
      <c r="AF125" s="12">
        <v>5</v>
      </c>
      <c r="AG125" s="12">
        <v>20</v>
      </c>
      <c r="AH125" s="12">
        <v>21.479999999999997</v>
      </c>
      <c r="AI125" s="12">
        <v>0</v>
      </c>
      <c r="AJ125" s="13">
        <f t="shared" si="5"/>
        <v>0</v>
      </c>
      <c r="AN125" s="12">
        <f t="shared" si="6"/>
        <v>279903</v>
      </c>
      <c r="AQ125" s="8" t="s">
        <v>416</v>
      </c>
      <c r="AR125" t="str">
        <f t="shared" si="7"/>
        <v>Leste - A04</v>
      </c>
    </row>
    <row r="126" spans="1:44" x14ac:dyDescent="0.2">
      <c r="A126" s="107" t="s">
        <v>6529</v>
      </c>
      <c r="B126" s="106" t="s">
        <v>6528</v>
      </c>
      <c r="C126" s="106" t="s">
        <v>6505</v>
      </c>
      <c r="D126" s="106" t="s">
        <v>4715</v>
      </c>
      <c r="E126" s="106" t="s">
        <v>6504</v>
      </c>
      <c r="F126" s="106" t="s">
        <v>490</v>
      </c>
      <c r="G126" s="106" t="s">
        <v>6527</v>
      </c>
      <c r="H126" s="105" t="s">
        <v>6526</v>
      </c>
      <c r="I126" s="105" t="s">
        <v>6520</v>
      </c>
      <c r="J126" s="104">
        <v>27.47</v>
      </c>
      <c r="K126" s="103" t="s">
        <v>424</v>
      </c>
      <c r="L126" s="102" t="s">
        <v>801</v>
      </c>
      <c r="M126" s="95"/>
      <c r="N126" s="14"/>
      <c r="O126" s="18" t="s">
        <v>6525</v>
      </c>
      <c r="P126" s="14" t="s">
        <v>485</v>
      </c>
      <c r="Q126" s="14" t="s">
        <v>497</v>
      </c>
      <c r="R126" s="14" t="s">
        <v>496</v>
      </c>
      <c r="S126" s="15">
        <v>6.6</v>
      </c>
      <c r="T126" s="15">
        <v>1.2</v>
      </c>
      <c r="U126" s="15">
        <v>0</v>
      </c>
      <c r="V126" s="14">
        <v>3986</v>
      </c>
      <c r="W126" s="12">
        <v>0</v>
      </c>
      <c r="X126" s="12">
        <v>3</v>
      </c>
      <c r="Y126" s="12">
        <v>7</v>
      </c>
      <c r="Z126" s="12">
        <v>17.47</v>
      </c>
      <c r="AA126" s="12">
        <v>0</v>
      </c>
      <c r="AB126" s="13">
        <f t="shared" si="4"/>
        <v>0</v>
      </c>
      <c r="AE126" s="12">
        <v>0</v>
      </c>
      <c r="AF126" s="12">
        <v>3</v>
      </c>
      <c r="AG126" s="12">
        <v>7</v>
      </c>
      <c r="AH126" s="12">
        <v>17.47</v>
      </c>
      <c r="AI126" s="12">
        <v>0</v>
      </c>
      <c r="AJ126" s="13">
        <f t="shared" si="5"/>
        <v>0</v>
      </c>
      <c r="AN126" s="12">
        <f t="shared" si="6"/>
        <v>109496</v>
      </c>
      <c r="AQ126" s="8" t="s">
        <v>416</v>
      </c>
      <c r="AR126" t="str">
        <f t="shared" si="7"/>
        <v>Leste - A04</v>
      </c>
    </row>
    <row r="127" spans="1:44" x14ac:dyDescent="0.2">
      <c r="A127" s="107" t="s">
        <v>6524</v>
      </c>
      <c r="B127" s="106" t="s">
        <v>6523</v>
      </c>
      <c r="C127" s="106" t="s">
        <v>6505</v>
      </c>
      <c r="D127" s="106" t="s">
        <v>4710</v>
      </c>
      <c r="E127" s="106" t="s">
        <v>6522</v>
      </c>
      <c r="F127" s="106" t="s">
        <v>590</v>
      </c>
      <c r="G127" s="106" t="s">
        <v>6521</v>
      </c>
      <c r="H127" s="105" t="s">
        <v>6520</v>
      </c>
      <c r="I127" s="105" t="s">
        <v>6516</v>
      </c>
      <c r="J127" s="104">
        <v>1.67</v>
      </c>
      <c r="K127" s="103" t="s">
        <v>424</v>
      </c>
      <c r="L127" s="102" t="s">
        <v>801</v>
      </c>
      <c r="M127" s="95"/>
      <c r="N127" s="14"/>
      <c r="O127" s="94">
        <v>4</v>
      </c>
      <c r="P127" s="14" t="s">
        <v>586</v>
      </c>
      <c r="Q127" s="14" t="s">
        <v>497</v>
      </c>
      <c r="R127" s="14" t="s">
        <v>496</v>
      </c>
      <c r="S127" s="15">
        <v>12.25</v>
      </c>
      <c r="T127" s="15">
        <v>0</v>
      </c>
      <c r="U127" s="15">
        <v>0</v>
      </c>
      <c r="V127" s="14">
        <v>796</v>
      </c>
      <c r="W127" s="12">
        <v>0</v>
      </c>
      <c r="X127" s="12">
        <v>0</v>
      </c>
      <c r="Y127" s="12">
        <v>0</v>
      </c>
      <c r="Z127" s="12">
        <v>1.67</v>
      </c>
      <c r="AA127" s="12">
        <v>0</v>
      </c>
      <c r="AB127" s="13">
        <f t="shared" si="4"/>
        <v>0</v>
      </c>
      <c r="AE127" s="12">
        <v>0</v>
      </c>
      <c r="AF127" s="12">
        <v>0</v>
      </c>
      <c r="AG127" s="12">
        <v>0</v>
      </c>
      <c r="AH127" s="12">
        <v>1.67</v>
      </c>
      <c r="AI127" s="12">
        <v>0</v>
      </c>
      <c r="AJ127" s="13">
        <f t="shared" si="5"/>
        <v>0</v>
      </c>
      <c r="AN127" s="12">
        <f t="shared" si="6"/>
        <v>1330</v>
      </c>
      <c r="AQ127" s="8" t="s">
        <v>416</v>
      </c>
      <c r="AR127" t="str">
        <f t="shared" si="7"/>
        <v>Leste - A04</v>
      </c>
    </row>
    <row r="128" spans="1:44" x14ac:dyDescent="0.2">
      <c r="A128" s="107" t="s">
        <v>6519</v>
      </c>
      <c r="B128" s="106" t="s">
        <v>6518</v>
      </c>
      <c r="C128" s="106" t="s">
        <v>6505</v>
      </c>
      <c r="D128" s="106" t="s">
        <v>3524</v>
      </c>
      <c r="E128" s="106" t="s">
        <v>6504</v>
      </c>
      <c r="F128" s="106" t="s">
        <v>490</v>
      </c>
      <c r="G128" s="106" t="s">
        <v>6517</v>
      </c>
      <c r="H128" s="105" t="s">
        <v>6516</v>
      </c>
      <c r="I128" s="105" t="s">
        <v>5171</v>
      </c>
      <c r="J128" s="104">
        <v>0.51</v>
      </c>
      <c r="K128" s="103" t="s">
        <v>424</v>
      </c>
      <c r="L128" s="102" t="s">
        <v>801</v>
      </c>
      <c r="M128" s="95"/>
      <c r="N128" s="14"/>
      <c r="O128" s="94">
        <v>4</v>
      </c>
      <c r="P128" s="14" t="s">
        <v>485</v>
      </c>
      <c r="Q128" s="14" t="s">
        <v>497</v>
      </c>
      <c r="R128" s="14" t="s">
        <v>496</v>
      </c>
      <c r="S128" s="15">
        <v>6.6</v>
      </c>
      <c r="T128" s="15">
        <v>1.2</v>
      </c>
      <c r="U128" s="15">
        <v>0</v>
      </c>
      <c r="V128" s="14">
        <v>3668</v>
      </c>
      <c r="W128" s="12">
        <v>0</v>
      </c>
      <c r="X128" s="12">
        <v>0</v>
      </c>
      <c r="Y128" s="12">
        <v>0</v>
      </c>
      <c r="Z128" s="12">
        <v>0.51</v>
      </c>
      <c r="AA128" s="12">
        <v>0</v>
      </c>
      <c r="AB128" s="13">
        <f t="shared" si="4"/>
        <v>0</v>
      </c>
      <c r="AE128" s="12">
        <v>0</v>
      </c>
      <c r="AF128" s="12">
        <v>0</v>
      </c>
      <c r="AG128" s="12">
        <v>0</v>
      </c>
      <c r="AH128" s="12">
        <v>0.51</v>
      </c>
      <c r="AI128" s="12">
        <v>0</v>
      </c>
      <c r="AJ128" s="13">
        <f t="shared" si="5"/>
        <v>0</v>
      </c>
      <c r="AN128" s="12">
        <f t="shared" si="6"/>
        <v>1871</v>
      </c>
      <c r="AQ128" s="8" t="s">
        <v>416</v>
      </c>
      <c r="AR128" t="str">
        <f t="shared" si="7"/>
        <v>Leste - A04</v>
      </c>
    </row>
    <row r="129" spans="1:44" x14ac:dyDescent="0.2">
      <c r="A129" s="107" t="s">
        <v>6515</v>
      </c>
      <c r="B129" s="106" t="s">
        <v>6514</v>
      </c>
      <c r="C129" s="106" t="s">
        <v>6505</v>
      </c>
      <c r="D129" s="106" t="s">
        <v>4685</v>
      </c>
      <c r="E129" s="106" t="s">
        <v>6504</v>
      </c>
      <c r="F129" s="106" t="s">
        <v>490</v>
      </c>
      <c r="G129" s="106" t="s">
        <v>6513</v>
      </c>
      <c r="H129" s="105" t="s">
        <v>6512</v>
      </c>
      <c r="I129" s="105" t="s">
        <v>6508</v>
      </c>
      <c r="J129" s="104">
        <v>11.87</v>
      </c>
      <c r="K129" s="103" t="s">
        <v>424</v>
      </c>
      <c r="L129" s="102" t="s">
        <v>801</v>
      </c>
      <c r="M129" s="95"/>
      <c r="N129" s="14"/>
      <c r="O129" s="94">
        <v>4</v>
      </c>
      <c r="P129" s="14" t="s">
        <v>485</v>
      </c>
      <c r="Q129" s="14" t="s">
        <v>497</v>
      </c>
      <c r="R129" s="14" t="s">
        <v>496</v>
      </c>
      <c r="S129" s="15">
        <v>7.87</v>
      </c>
      <c r="T129" s="15">
        <v>0</v>
      </c>
      <c r="U129" s="15">
        <v>0</v>
      </c>
      <c r="V129" s="14">
        <v>2721</v>
      </c>
      <c r="W129" s="12">
        <v>0</v>
      </c>
      <c r="X129" s="12">
        <v>0</v>
      </c>
      <c r="Y129" s="12">
        <v>2</v>
      </c>
      <c r="Z129" s="12">
        <v>9.8699999999999992</v>
      </c>
      <c r="AA129" s="12">
        <v>0</v>
      </c>
      <c r="AB129" s="13">
        <f t="shared" si="4"/>
        <v>0</v>
      </c>
      <c r="AE129" s="12">
        <v>0</v>
      </c>
      <c r="AF129" s="12">
        <v>0</v>
      </c>
      <c r="AG129" s="12">
        <v>2</v>
      </c>
      <c r="AH129" s="12">
        <v>9.8699999999999992</v>
      </c>
      <c r="AI129" s="12">
        <v>0</v>
      </c>
      <c r="AJ129" s="13">
        <f t="shared" si="5"/>
        <v>0</v>
      </c>
      <c r="AN129" s="12">
        <f t="shared" si="6"/>
        <v>32299</v>
      </c>
      <c r="AQ129" s="8" t="s">
        <v>416</v>
      </c>
      <c r="AR129" t="str">
        <f t="shared" si="7"/>
        <v>Leste - A04</v>
      </c>
    </row>
    <row r="130" spans="1:44" x14ac:dyDescent="0.2">
      <c r="A130" s="107" t="s">
        <v>6511</v>
      </c>
      <c r="B130" s="106" t="s">
        <v>6510</v>
      </c>
      <c r="C130" s="106" t="s">
        <v>6505</v>
      </c>
      <c r="D130" s="106" t="s">
        <v>4882</v>
      </c>
      <c r="E130" s="106" t="s">
        <v>6504</v>
      </c>
      <c r="F130" s="106" t="s">
        <v>490</v>
      </c>
      <c r="G130" s="106" t="s">
        <v>6509</v>
      </c>
      <c r="H130" s="105" t="s">
        <v>6508</v>
      </c>
      <c r="I130" s="105" t="s">
        <v>6502</v>
      </c>
      <c r="J130" s="104">
        <v>10.28</v>
      </c>
      <c r="K130" s="103" t="s">
        <v>424</v>
      </c>
      <c r="L130" s="102" t="s">
        <v>801</v>
      </c>
      <c r="M130" s="95"/>
      <c r="N130" s="14"/>
      <c r="O130" s="94">
        <v>4</v>
      </c>
      <c r="P130" s="14" t="s">
        <v>485</v>
      </c>
      <c r="Q130" s="14" t="s">
        <v>497</v>
      </c>
      <c r="R130" s="14" t="s">
        <v>496</v>
      </c>
      <c r="S130" s="15">
        <v>7.87</v>
      </c>
      <c r="T130" s="15">
        <v>0</v>
      </c>
      <c r="U130" s="15">
        <v>0</v>
      </c>
      <c r="V130" s="14">
        <v>1193</v>
      </c>
      <c r="W130" s="12">
        <v>0</v>
      </c>
      <c r="X130" s="12">
        <v>0</v>
      </c>
      <c r="Y130" s="12">
        <v>0</v>
      </c>
      <c r="Z130" s="12">
        <v>10.28</v>
      </c>
      <c r="AA130" s="12">
        <v>0</v>
      </c>
      <c r="AB130" s="13">
        <f t="shared" si="4"/>
        <v>0</v>
      </c>
      <c r="AE130" s="12">
        <v>0</v>
      </c>
      <c r="AF130" s="12">
        <v>0</v>
      </c>
      <c r="AG130" s="12">
        <v>0</v>
      </c>
      <c r="AH130" s="12">
        <v>10.28</v>
      </c>
      <c r="AI130" s="12">
        <v>0</v>
      </c>
      <c r="AJ130" s="13">
        <f t="shared" si="5"/>
        <v>0</v>
      </c>
      <c r="AN130" s="12">
        <f t="shared" si="6"/>
        <v>12265</v>
      </c>
      <c r="AQ130" s="8" t="s">
        <v>416</v>
      </c>
      <c r="AR130" t="str">
        <f t="shared" si="7"/>
        <v>Leste - A04</v>
      </c>
    </row>
    <row r="131" spans="1:44" x14ac:dyDescent="0.2">
      <c r="A131" s="107" t="s">
        <v>6507</v>
      </c>
      <c r="B131" s="106" t="s">
        <v>6506</v>
      </c>
      <c r="C131" s="106" t="s">
        <v>6505</v>
      </c>
      <c r="D131" s="106" t="s">
        <v>3519</v>
      </c>
      <c r="E131" s="106" t="s">
        <v>6504</v>
      </c>
      <c r="F131" s="106" t="s">
        <v>490</v>
      </c>
      <c r="G131" s="106" t="s">
        <v>6503</v>
      </c>
      <c r="H131" s="105" t="s">
        <v>6502</v>
      </c>
      <c r="I131" s="105" t="s">
        <v>6501</v>
      </c>
      <c r="J131" s="104">
        <v>3.7</v>
      </c>
      <c r="K131" s="103" t="s">
        <v>424</v>
      </c>
      <c r="L131" s="102" t="s">
        <v>801</v>
      </c>
      <c r="M131" s="95"/>
      <c r="N131" s="14"/>
      <c r="O131" s="94">
        <v>4</v>
      </c>
      <c r="P131" s="14" t="s">
        <v>485</v>
      </c>
      <c r="Q131" s="14" t="s">
        <v>497</v>
      </c>
      <c r="R131" s="14" t="s">
        <v>496</v>
      </c>
      <c r="S131" s="15">
        <v>7.87</v>
      </c>
      <c r="T131" s="15">
        <v>0</v>
      </c>
      <c r="U131" s="15">
        <v>0</v>
      </c>
      <c r="V131" s="14">
        <v>1193</v>
      </c>
      <c r="W131" s="12">
        <v>0</v>
      </c>
      <c r="X131" s="12">
        <v>0</v>
      </c>
      <c r="Y131" s="12">
        <v>0</v>
      </c>
      <c r="Z131" s="12">
        <v>3.7</v>
      </c>
      <c r="AA131" s="12">
        <v>0</v>
      </c>
      <c r="AB131" s="13">
        <f t="shared" si="4"/>
        <v>0</v>
      </c>
      <c r="AE131" s="12">
        <v>0</v>
      </c>
      <c r="AF131" s="12">
        <v>0</v>
      </c>
      <c r="AG131" s="12">
        <v>0</v>
      </c>
      <c r="AH131" s="12">
        <v>3.7</v>
      </c>
      <c r="AI131" s="12">
        <v>0</v>
      </c>
      <c r="AJ131" s="13">
        <f t="shared" si="5"/>
        <v>0</v>
      </c>
      <c r="AN131" s="12">
        <f t="shared" si="6"/>
        <v>4415</v>
      </c>
      <c r="AQ131" s="8" t="s">
        <v>416</v>
      </c>
      <c r="AR131" t="str">
        <f t="shared" si="7"/>
        <v>Leste - A04</v>
      </c>
    </row>
    <row r="132" spans="1:44" x14ac:dyDescent="0.2">
      <c r="A132" s="107" t="s">
        <v>6500</v>
      </c>
      <c r="B132" s="106" t="s">
        <v>6499</v>
      </c>
      <c r="C132" s="106" t="s">
        <v>6413</v>
      </c>
      <c r="D132" s="106" t="s">
        <v>1002</v>
      </c>
      <c r="E132" s="106" t="s">
        <v>6423</v>
      </c>
      <c r="F132" s="106" t="s">
        <v>590</v>
      </c>
      <c r="G132" s="106" t="s">
        <v>6498</v>
      </c>
      <c r="H132" s="105" t="s">
        <v>6497</v>
      </c>
      <c r="I132" s="105" t="s">
        <v>6493</v>
      </c>
      <c r="J132" s="104">
        <v>0.47</v>
      </c>
      <c r="K132" s="103" t="s">
        <v>424</v>
      </c>
      <c r="L132" s="102" t="s">
        <v>533</v>
      </c>
      <c r="M132" s="95"/>
      <c r="N132" s="14"/>
      <c r="O132" s="94">
        <v>26</v>
      </c>
      <c r="P132" s="14" t="s">
        <v>586</v>
      </c>
      <c r="Q132" s="14" t="s">
        <v>505</v>
      </c>
      <c r="R132" s="14" t="s">
        <v>1258</v>
      </c>
      <c r="S132" s="15">
        <v>11</v>
      </c>
      <c r="T132" s="15">
        <v>0</v>
      </c>
      <c r="U132" s="15">
        <v>0</v>
      </c>
      <c r="V132" s="14">
        <v>780</v>
      </c>
      <c r="W132" s="12">
        <v>0</v>
      </c>
      <c r="X132" s="12">
        <v>0</v>
      </c>
      <c r="Y132" s="12">
        <v>0</v>
      </c>
      <c r="Z132" s="12">
        <v>0.47</v>
      </c>
      <c r="AA132" s="12">
        <v>0</v>
      </c>
      <c r="AB132" s="13">
        <f t="shared" si="4"/>
        <v>0</v>
      </c>
      <c r="AE132" s="12">
        <v>0</v>
      </c>
      <c r="AF132" s="12">
        <v>0</v>
      </c>
      <c r="AG132" s="12">
        <v>0</v>
      </c>
      <c r="AH132" s="12">
        <v>0.47</v>
      </c>
      <c r="AI132" s="12">
        <v>0</v>
      </c>
      <c r="AJ132" s="13">
        <f t="shared" si="5"/>
        <v>0</v>
      </c>
      <c r="AN132" s="12">
        <f t="shared" si="6"/>
        <v>367</v>
      </c>
      <c r="AQ132" s="8" t="s">
        <v>418</v>
      </c>
      <c r="AR132" t="str">
        <f t="shared" si="7"/>
        <v>Noroeste - A04</v>
      </c>
    </row>
    <row r="133" spans="1:44" x14ac:dyDescent="0.2">
      <c r="A133" s="107" t="s">
        <v>6496</v>
      </c>
      <c r="B133" s="106" t="s">
        <v>6495</v>
      </c>
      <c r="C133" s="106" t="s">
        <v>6413</v>
      </c>
      <c r="D133" s="106" t="s">
        <v>981</v>
      </c>
      <c r="E133" s="106" t="s">
        <v>6412</v>
      </c>
      <c r="F133" s="106" t="s">
        <v>490</v>
      </c>
      <c r="G133" s="106" t="s">
        <v>6494</v>
      </c>
      <c r="H133" s="105" t="s">
        <v>6493</v>
      </c>
      <c r="I133" s="105" t="s">
        <v>6489</v>
      </c>
      <c r="J133" s="104">
        <v>26.72</v>
      </c>
      <c r="K133" s="103" t="s">
        <v>424</v>
      </c>
      <c r="L133" s="102" t="s">
        <v>533</v>
      </c>
      <c r="M133" s="95"/>
      <c r="N133" s="14"/>
      <c r="O133" s="94">
        <v>26</v>
      </c>
      <c r="P133" s="14" t="s">
        <v>485</v>
      </c>
      <c r="Q133" s="14" t="s">
        <v>505</v>
      </c>
      <c r="R133" s="14" t="s">
        <v>1258</v>
      </c>
      <c r="S133" s="15">
        <v>6</v>
      </c>
      <c r="T133" s="15">
        <v>0.5</v>
      </c>
      <c r="U133" s="15">
        <v>0</v>
      </c>
      <c r="V133" s="14">
        <v>1370</v>
      </c>
      <c r="W133" s="12">
        <v>0</v>
      </c>
      <c r="X133" s="12">
        <v>2.7199999999999989</v>
      </c>
      <c r="Y133" s="12">
        <v>7</v>
      </c>
      <c r="Z133" s="12">
        <v>17</v>
      </c>
      <c r="AA133" s="12">
        <v>0</v>
      </c>
      <c r="AB133" s="13">
        <f t="shared" si="4"/>
        <v>0</v>
      </c>
      <c r="AE133" s="12">
        <v>0</v>
      </c>
      <c r="AF133" s="12">
        <v>2.7199999999999989</v>
      </c>
      <c r="AG133" s="12">
        <v>7</v>
      </c>
      <c r="AH133" s="12">
        <v>17</v>
      </c>
      <c r="AI133" s="12">
        <v>0</v>
      </c>
      <c r="AJ133" s="13">
        <f t="shared" si="5"/>
        <v>0</v>
      </c>
      <c r="AN133" s="12">
        <f t="shared" si="6"/>
        <v>36607</v>
      </c>
      <c r="AQ133" s="8" t="s">
        <v>418</v>
      </c>
      <c r="AR133" t="str">
        <f t="shared" si="7"/>
        <v>Noroeste - A04</v>
      </c>
    </row>
    <row r="134" spans="1:44" x14ac:dyDescent="0.2">
      <c r="A134" s="107" t="s">
        <v>6492</v>
      </c>
      <c r="B134" s="106" t="s">
        <v>6491</v>
      </c>
      <c r="C134" s="106" t="s">
        <v>6413</v>
      </c>
      <c r="D134" s="106" t="s">
        <v>1304</v>
      </c>
      <c r="E134" s="106" t="s">
        <v>6412</v>
      </c>
      <c r="F134" s="106" t="s">
        <v>490</v>
      </c>
      <c r="G134" s="106" t="s">
        <v>6490</v>
      </c>
      <c r="H134" s="105" t="s">
        <v>6489</v>
      </c>
      <c r="I134" s="105" t="s">
        <v>6488</v>
      </c>
      <c r="J134" s="104">
        <v>2.2400000000000002</v>
      </c>
      <c r="K134" s="103" t="s">
        <v>424</v>
      </c>
      <c r="L134" s="102" t="s">
        <v>533</v>
      </c>
      <c r="M134" s="95"/>
      <c r="N134" s="14"/>
      <c r="O134" s="94">
        <v>26</v>
      </c>
      <c r="P134" s="14" t="s">
        <v>485</v>
      </c>
      <c r="Q134" s="14" t="s">
        <v>505</v>
      </c>
      <c r="R134" s="14" t="s">
        <v>496</v>
      </c>
      <c r="S134" s="15">
        <v>6.6</v>
      </c>
      <c r="T134" s="15">
        <v>0</v>
      </c>
      <c r="U134" s="15">
        <v>0</v>
      </c>
      <c r="V134" s="14">
        <v>1026</v>
      </c>
      <c r="W134" s="12">
        <v>0</v>
      </c>
      <c r="X134" s="12">
        <v>0</v>
      </c>
      <c r="Y134" s="12">
        <v>1</v>
      </c>
      <c r="Z134" s="12">
        <v>1.2400000000000002</v>
      </c>
      <c r="AA134" s="12">
        <v>0</v>
      </c>
      <c r="AB134" s="13">
        <f t="shared" ref="AB134:AB197" si="8">SUM(W134:AA134)-J134</f>
        <v>0</v>
      </c>
      <c r="AE134" s="12">
        <v>0</v>
      </c>
      <c r="AF134" s="12">
        <v>0</v>
      </c>
      <c r="AG134" s="12">
        <v>1</v>
      </c>
      <c r="AH134" s="12">
        <v>1.2400000000000002</v>
      </c>
      <c r="AI134" s="12">
        <v>0</v>
      </c>
      <c r="AJ134" s="13">
        <f t="shared" ref="AJ134:AJ197" si="9">SUM(AE134:AI134)-J134</f>
        <v>0</v>
      </c>
      <c r="AN134" s="12">
        <f t="shared" ref="AN134:AN197" si="10">ROUNDUP(V134*J134,0)</f>
        <v>2299</v>
      </c>
      <c r="AQ134" s="8" t="s">
        <v>418</v>
      </c>
      <c r="AR134" t="str">
        <f t="shared" ref="AR134:AR197" si="11">AQ134&amp;" - "&amp;K134</f>
        <v>Noroeste - A04</v>
      </c>
    </row>
    <row r="135" spans="1:44" x14ac:dyDescent="0.2">
      <c r="A135" s="107" t="s">
        <v>6487</v>
      </c>
      <c r="B135" s="106" t="s">
        <v>6486</v>
      </c>
      <c r="C135" s="106" t="s">
        <v>6413</v>
      </c>
      <c r="D135" s="106" t="s">
        <v>1269</v>
      </c>
      <c r="E135" s="106" t="s">
        <v>6412</v>
      </c>
      <c r="F135" s="106" t="s">
        <v>490</v>
      </c>
      <c r="G135" s="106" t="s">
        <v>6485</v>
      </c>
      <c r="H135" s="105" t="s">
        <v>6484</v>
      </c>
      <c r="I135" s="105" t="s">
        <v>941</v>
      </c>
      <c r="J135" s="104">
        <v>13.63</v>
      </c>
      <c r="K135" s="103" t="s">
        <v>427</v>
      </c>
      <c r="L135" s="102" t="s">
        <v>533</v>
      </c>
      <c r="M135" s="95"/>
      <c r="N135" s="14"/>
      <c r="O135" s="94">
        <v>29</v>
      </c>
      <c r="P135" s="14" t="s">
        <v>485</v>
      </c>
      <c r="Q135" s="14" t="s">
        <v>887</v>
      </c>
      <c r="R135" s="14" t="s">
        <v>496</v>
      </c>
      <c r="S135" s="15">
        <v>7</v>
      </c>
      <c r="T135" s="15">
        <v>2.5</v>
      </c>
      <c r="U135" s="15">
        <v>0</v>
      </c>
      <c r="V135" s="14">
        <v>1696</v>
      </c>
      <c r="W135" s="12">
        <v>0</v>
      </c>
      <c r="X135" s="12">
        <v>0</v>
      </c>
      <c r="Y135" s="12">
        <v>5</v>
      </c>
      <c r="Z135" s="12">
        <v>8.6300000000000008</v>
      </c>
      <c r="AA135" s="12">
        <v>0</v>
      </c>
      <c r="AB135" s="13">
        <f t="shared" si="8"/>
        <v>0</v>
      </c>
      <c r="AE135" s="12">
        <v>0</v>
      </c>
      <c r="AF135" s="12">
        <v>0</v>
      </c>
      <c r="AG135" s="12">
        <v>5</v>
      </c>
      <c r="AH135" s="12">
        <v>8.6300000000000008</v>
      </c>
      <c r="AI135" s="12">
        <v>0</v>
      </c>
      <c r="AJ135" s="13">
        <f t="shared" si="9"/>
        <v>0</v>
      </c>
      <c r="AN135" s="12">
        <f t="shared" si="10"/>
        <v>23117</v>
      </c>
      <c r="AQ135" s="8" t="s">
        <v>418</v>
      </c>
      <c r="AR135" t="str">
        <f t="shared" si="11"/>
        <v>Noroeste - A07</v>
      </c>
    </row>
    <row r="136" spans="1:44" x14ac:dyDescent="0.2">
      <c r="A136" s="107" t="s">
        <v>6483</v>
      </c>
      <c r="B136" s="106" t="s">
        <v>6482</v>
      </c>
      <c r="C136" s="106" t="s">
        <v>6413</v>
      </c>
      <c r="D136" s="106" t="s">
        <v>633</v>
      </c>
      <c r="E136" s="106" t="s">
        <v>6412</v>
      </c>
      <c r="F136" s="106" t="s">
        <v>490</v>
      </c>
      <c r="G136" s="106" t="s">
        <v>6481</v>
      </c>
      <c r="H136" s="105" t="s">
        <v>6480</v>
      </c>
      <c r="I136" s="105" t="s">
        <v>6476</v>
      </c>
      <c r="J136" s="104">
        <v>3.06</v>
      </c>
      <c r="K136" s="103" t="s">
        <v>425</v>
      </c>
      <c r="L136" s="102" t="s">
        <v>533</v>
      </c>
      <c r="M136" s="95"/>
      <c r="N136" s="14"/>
      <c r="O136" s="94">
        <v>27</v>
      </c>
      <c r="P136" s="14" t="s">
        <v>485</v>
      </c>
      <c r="Q136" s="14" t="s">
        <v>497</v>
      </c>
      <c r="R136" s="14" t="s">
        <v>496</v>
      </c>
      <c r="S136" s="15">
        <v>7.2</v>
      </c>
      <c r="T136" s="15">
        <v>2.5</v>
      </c>
      <c r="U136" s="15">
        <v>0</v>
      </c>
      <c r="V136" s="14">
        <v>3538</v>
      </c>
      <c r="W136" s="12">
        <v>0</v>
      </c>
      <c r="X136" s="12">
        <v>0</v>
      </c>
      <c r="Y136" s="12">
        <v>0</v>
      </c>
      <c r="Z136" s="12">
        <v>3.06</v>
      </c>
      <c r="AA136" s="12">
        <v>0</v>
      </c>
      <c r="AB136" s="13">
        <f t="shared" si="8"/>
        <v>0</v>
      </c>
      <c r="AE136" s="12">
        <v>0</v>
      </c>
      <c r="AF136" s="12">
        <v>0</v>
      </c>
      <c r="AG136" s="12">
        <v>0</v>
      </c>
      <c r="AH136" s="12">
        <v>3.06</v>
      </c>
      <c r="AI136" s="12">
        <v>0</v>
      </c>
      <c r="AJ136" s="13">
        <f t="shared" si="9"/>
        <v>0</v>
      </c>
      <c r="AN136" s="12">
        <f t="shared" si="10"/>
        <v>10827</v>
      </c>
      <c r="AQ136" s="8" t="s">
        <v>418</v>
      </c>
      <c r="AR136" t="str">
        <f t="shared" si="11"/>
        <v>Noroeste - A05</v>
      </c>
    </row>
    <row r="137" spans="1:44" x14ac:dyDescent="0.2">
      <c r="A137" s="107" t="s">
        <v>6479</v>
      </c>
      <c r="B137" s="106" t="s">
        <v>6478</v>
      </c>
      <c r="C137" s="106" t="s">
        <v>6413</v>
      </c>
      <c r="D137" s="106" t="s">
        <v>2145</v>
      </c>
      <c r="E137" s="106" t="s">
        <v>6412</v>
      </c>
      <c r="F137" s="106" t="s">
        <v>490</v>
      </c>
      <c r="G137" s="106" t="s">
        <v>6477</v>
      </c>
      <c r="H137" s="105" t="s">
        <v>6476</v>
      </c>
      <c r="I137" s="105" t="s">
        <v>979</v>
      </c>
      <c r="J137" s="104">
        <v>2.48</v>
      </c>
      <c r="K137" s="103" t="s">
        <v>425</v>
      </c>
      <c r="L137" s="102" t="s">
        <v>533</v>
      </c>
      <c r="M137" s="95"/>
      <c r="N137" s="14"/>
      <c r="O137" s="94">
        <v>27</v>
      </c>
      <c r="P137" s="14" t="s">
        <v>485</v>
      </c>
      <c r="Q137" s="14" t="s">
        <v>497</v>
      </c>
      <c r="R137" s="14" t="s">
        <v>496</v>
      </c>
      <c r="S137" s="15">
        <v>7.2</v>
      </c>
      <c r="T137" s="15">
        <v>2.5</v>
      </c>
      <c r="U137" s="15">
        <v>0</v>
      </c>
      <c r="V137" s="14">
        <v>3538</v>
      </c>
      <c r="W137" s="12">
        <v>0</v>
      </c>
      <c r="X137" s="12">
        <v>0</v>
      </c>
      <c r="Y137" s="12">
        <v>0</v>
      </c>
      <c r="Z137" s="12">
        <v>2.48</v>
      </c>
      <c r="AA137" s="12">
        <v>0</v>
      </c>
      <c r="AB137" s="13">
        <f t="shared" si="8"/>
        <v>0</v>
      </c>
      <c r="AE137" s="12">
        <v>0</v>
      </c>
      <c r="AF137" s="12">
        <v>0</v>
      </c>
      <c r="AG137" s="12">
        <v>0</v>
      </c>
      <c r="AH137" s="12">
        <v>2.48</v>
      </c>
      <c r="AI137" s="12">
        <v>0</v>
      </c>
      <c r="AJ137" s="13">
        <f t="shared" si="9"/>
        <v>0</v>
      </c>
      <c r="AN137" s="12">
        <f t="shared" si="10"/>
        <v>8775</v>
      </c>
      <c r="AQ137" s="8" t="s">
        <v>418</v>
      </c>
      <c r="AR137" t="str">
        <f t="shared" si="11"/>
        <v>Noroeste - A05</v>
      </c>
    </row>
    <row r="138" spans="1:44" x14ac:dyDescent="0.2">
      <c r="A138" s="107" t="s">
        <v>6475</v>
      </c>
      <c r="B138" s="106" t="s">
        <v>6474</v>
      </c>
      <c r="C138" s="106" t="s">
        <v>6413</v>
      </c>
      <c r="D138" s="106" t="s">
        <v>2641</v>
      </c>
      <c r="E138" s="106" t="s">
        <v>6412</v>
      </c>
      <c r="F138" s="106" t="s">
        <v>490</v>
      </c>
      <c r="G138" s="106" t="s">
        <v>6473</v>
      </c>
      <c r="H138" s="105" t="s">
        <v>6472</v>
      </c>
      <c r="I138" s="105" t="s">
        <v>6468</v>
      </c>
      <c r="J138" s="104">
        <v>2.12</v>
      </c>
      <c r="K138" s="103" t="s">
        <v>427</v>
      </c>
      <c r="L138" s="102" t="s">
        <v>577</v>
      </c>
      <c r="M138" s="95"/>
      <c r="N138" s="14"/>
      <c r="O138" s="94">
        <v>12</v>
      </c>
      <c r="P138" s="14" t="s">
        <v>485</v>
      </c>
      <c r="Q138" s="14" t="s">
        <v>497</v>
      </c>
      <c r="R138" s="14" t="s">
        <v>496</v>
      </c>
      <c r="S138" s="15">
        <v>7</v>
      </c>
      <c r="T138" s="15">
        <v>1.5</v>
      </c>
      <c r="U138" s="15">
        <v>0</v>
      </c>
      <c r="V138" s="14">
        <v>4192</v>
      </c>
      <c r="W138" s="12">
        <v>0</v>
      </c>
      <c r="X138" s="12">
        <v>0</v>
      </c>
      <c r="Y138" s="12">
        <v>0</v>
      </c>
      <c r="Z138" s="12">
        <v>2.12</v>
      </c>
      <c r="AA138" s="12">
        <v>0</v>
      </c>
      <c r="AB138" s="13">
        <f t="shared" si="8"/>
        <v>0</v>
      </c>
      <c r="AE138" s="12">
        <v>0</v>
      </c>
      <c r="AF138" s="12">
        <v>0</v>
      </c>
      <c r="AG138" s="12">
        <v>0</v>
      </c>
      <c r="AH138" s="12">
        <v>2.12</v>
      </c>
      <c r="AI138" s="12">
        <v>0</v>
      </c>
      <c r="AJ138" s="13">
        <f t="shared" si="9"/>
        <v>0</v>
      </c>
      <c r="AN138" s="12">
        <f t="shared" si="10"/>
        <v>8888</v>
      </c>
      <c r="AQ138" s="8" t="s">
        <v>420</v>
      </c>
      <c r="AR138" t="str">
        <f t="shared" si="11"/>
        <v>Campos Gerais - A07</v>
      </c>
    </row>
    <row r="139" spans="1:44" x14ac:dyDescent="0.2">
      <c r="A139" s="107" t="s">
        <v>6471</v>
      </c>
      <c r="B139" s="106" t="s">
        <v>6470</v>
      </c>
      <c r="C139" s="106" t="s">
        <v>6413</v>
      </c>
      <c r="D139" s="106" t="s">
        <v>2631</v>
      </c>
      <c r="E139" s="106" t="s">
        <v>6412</v>
      </c>
      <c r="F139" s="106" t="s">
        <v>490</v>
      </c>
      <c r="G139" s="106" t="s">
        <v>6469</v>
      </c>
      <c r="H139" s="105" t="s">
        <v>6468</v>
      </c>
      <c r="I139" s="105" t="s">
        <v>6464</v>
      </c>
      <c r="J139" s="104">
        <v>15.69</v>
      </c>
      <c r="K139" s="103" t="s">
        <v>427</v>
      </c>
      <c r="L139" s="102" t="s">
        <v>577</v>
      </c>
      <c r="M139" s="95"/>
      <c r="N139" s="14"/>
      <c r="O139" s="94">
        <v>12</v>
      </c>
      <c r="P139" s="14" t="s">
        <v>485</v>
      </c>
      <c r="Q139" s="14" t="s">
        <v>497</v>
      </c>
      <c r="R139" s="14" t="s">
        <v>496</v>
      </c>
      <c r="S139" s="15">
        <v>7</v>
      </c>
      <c r="T139" s="15">
        <v>1.5</v>
      </c>
      <c r="U139" s="15">
        <v>0</v>
      </c>
      <c r="V139" s="14">
        <v>4141</v>
      </c>
      <c r="W139" s="12">
        <v>0</v>
      </c>
      <c r="X139" s="12">
        <v>0</v>
      </c>
      <c r="Y139" s="12">
        <v>0</v>
      </c>
      <c r="Z139" s="12">
        <v>15.69</v>
      </c>
      <c r="AA139" s="12">
        <v>0</v>
      </c>
      <c r="AB139" s="13">
        <f t="shared" si="8"/>
        <v>0</v>
      </c>
      <c r="AE139" s="12">
        <v>0</v>
      </c>
      <c r="AF139" s="12">
        <v>0</v>
      </c>
      <c r="AG139" s="12">
        <v>0</v>
      </c>
      <c r="AH139" s="12">
        <v>15.69</v>
      </c>
      <c r="AI139" s="12">
        <v>0</v>
      </c>
      <c r="AJ139" s="13">
        <f t="shared" si="9"/>
        <v>0</v>
      </c>
      <c r="AN139" s="12">
        <f t="shared" si="10"/>
        <v>64973</v>
      </c>
      <c r="AQ139" s="8" t="s">
        <v>420</v>
      </c>
      <c r="AR139" t="str">
        <f t="shared" si="11"/>
        <v>Campos Gerais - A07</v>
      </c>
    </row>
    <row r="140" spans="1:44" x14ac:dyDescent="0.2">
      <c r="A140" s="107" t="s">
        <v>6467</v>
      </c>
      <c r="B140" s="106" t="s">
        <v>6466</v>
      </c>
      <c r="C140" s="106" t="s">
        <v>6413</v>
      </c>
      <c r="D140" s="106" t="s">
        <v>2626</v>
      </c>
      <c r="E140" s="106" t="s">
        <v>6412</v>
      </c>
      <c r="F140" s="106" t="s">
        <v>490</v>
      </c>
      <c r="G140" s="106" t="s">
        <v>6465</v>
      </c>
      <c r="H140" s="105" t="s">
        <v>6464</v>
      </c>
      <c r="I140" s="105" t="s">
        <v>6460</v>
      </c>
      <c r="J140" s="104">
        <v>22.57</v>
      </c>
      <c r="K140" s="103" t="s">
        <v>427</v>
      </c>
      <c r="L140" s="102" t="s">
        <v>577</v>
      </c>
      <c r="M140" s="95"/>
      <c r="N140" s="14"/>
      <c r="O140" s="94">
        <v>12</v>
      </c>
      <c r="P140" s="14" t="s">
        <v>485</v>
      </c>
      <c r="Q140" s="14" t="s">
        <v>497</v>
      </c>
      <c r="R140" s="14" t="s">
        <v>496</v>
      </c>
      <c r="S140" s="15">
        <v>7</v>
      </c>
      <c r="T140" s="15">
        <v>1.5</v>
      </c>
      <c r="U140" s="15">
        <v>0</v>
      </c>
      <c r="V140" s="14">
        <v>4237</v>
      </c>
      <c r="W140" s="12">
        <v>0</v>
      </c>
      <c r="X140" s="12">
        <v>0</v>
      </c>
      <c r="Y140" s="12">
        <v>2</v>
      </c>
      <c r="Z140" s="12">
        <v>20.57</v>
      </c>
      <c r="AA140" s="12">
        <v>0</v>
      </c>
      <c r="AB140" s="13">
        <f t="shared" si="8"/>
        <v>0</v>
      </c>
      <c r="AE140" s="12">
        <v>0</v>
      </c>
      <c r="AF140" s="12">
        <v>0</v>
      </c>
      <c r="AG140" s="12">
        <v>2</v>
      </c>
      <c r="AH140" s="12">
        <v>20.57</v>
      </c>
      <c r="AI140" s="12">
        <v>0</v>
      </c>
      <c r="AJ140" s="13">
        <f t="shared" si="9"/>
        <v>0</v>
      </c>
      <c r="AN140" s="12">
        <f t="shared" si="10"/>
        <v>95630</v>
      </c>
      <c r="AQ140" s="8" t="s">
        <v>420</v>
      </c>
      <c r="AR140" t="str">
        <f t="shared" si="11"/>
        <v>Campos Gerais - A07</v>
      </c>
    </row>
    <row r="141" spans="1:44" x14ac:dyDescent="0.2">
      <c r="A141" s="107" t="s">
        <v>6463</v>
      </c>
      <c r="B141" s="106" t="s">
        <v>6462</v>
      </c>
      <c r="C141" s="106" t="s">
        <v>6413</v>
      </c>
      <c r="D141" s="106" t="s">
        <v>2620</v>
      </c>
      <c r="E141" s="106" t="s">
        <v>6412</v>
      </c>
      <c r="F141" s="106" t="s">
        <v>490</v>
      </c>
      <c r="G141" s="106" t="s">
        <v>6461</v>
      </c>
      <c r="H141" s="105" t="s">
        <v>6460</v>
      </c>
      <c r="I141" s="105" t="s">
        <v>6454</v>
      </c>
      <c r="J141" s="104">
        <v>9.8699999999999992</v>
      </c>
      <c r="K141" s="103" t="s">
        <v>427</v>
      </c>
      <c r="L141" s="102" t="s">
        <v>507</v>
      </c>
      <c r="M141" s="95"/>
      <c r="N141" s="14"/>
      <c r="O141" s="94">
        <v>39</v>
      </c>
      <c r="P141" s="14" t="s">
        <v>485</v>
      </c>
      <c r="Q141" s="14" t="s">
        <v>497</v>
      </c>
      <c r="R141" s="16" t="s">
        <v>496</v>
      </c>
      <c r="S141" s="15">
        <v>7</v>
      </c>
      <c r="T141" s="15">
        <v>0</v>
      </c>
      <c r="U141" s="15">
        <v>0</v>
      </c>
      <c r="V141" s="14">
        <v>2279</v>
      </c>
      <c r="W141" s="12">
        <v>0</v>
      </c>
      <c r="X141" s="12">
        <v>0</v>
      </c>
      <c r="Y141" s="12">
        <v>0</v>
      </c>
      <c r="Z141" s="12">
        <v>9.8699999999999992</v>
      </c>
      <c r="AA141" s="12">
        <v>0</v>
      </c>
      <c r="AB141" s="13">
        <f t="shared" si="8"/>
        <v>0</v>
      </c>
      <c r="AE141" s="12">
        <v>0</v>
      </c>
      <c r="AF141" s="12">
        <v>0</v>
      </c>
      <c r="AG141" s="12">
        <v>0</v>
      </c>
      <c r="AH141" s="12">
        <v>9.8699999999999992</v>
      </c>
      <c r="AI141" s="12">
        <v>0</v>
      </c>
      <c r="AJ141" s="13">
        <f t="shared" si="9"/>
        <v>0</v>
      </c>
      <c r="AN141" s="12">
        <f t="shared" si="10"/>
        <v>22494</v>
      </c>
      <c r="AQ141" s="8" t="s">
        <v>417</v>
      </c>
      <c r="AR141" t="str">
        <f t="shared" si="11"/>
        <v>Oeste - A07</v>
      </c>
    </row>
    <row r="142" spans="1:44" x14ac:dyDescent="0.2">
      <c r="A142" s="107" t="s">
        <v>6459</v>
      </c>
      <c r="B142" s="106" t="s">
        <v>6456</v>
      </c>
      <c r="C142" s="106" t="s">
        <v>6413</v>
      </c>
      <c r="D142" s="106" t="s">
        <v>5497</v>
      </c>
      <c r="E142" s="106" t="s">
        <v>6423</v>
      </c>
      <c r="F142" s="106" t="s">
        <v>590</v>
      </c>
      <c r="G142" s="106" t="s">
        <v>6458</v>
      </c>
      <c r="H142" s="105" t="s">
        <v>6454</v>
      </c>
      <c r="I142" s="105" t="s">
        <v>6450</v>
      </c>
      <c r="J142" s="104">
        <v>1.99</v>
      </c>
      <c r="K142" s="103" t="s">
        <v>427</v>
      </c>
      <c r="L142" s="102" t="s">
        <v>507</v>
      </c>
      <c r="M142" s="95"/>
      <c r="N142" s="14"/>
      <c r="O142" s="94">
        <v>39</v>
      </c>
      <c r="P142" s="14" t="s">
        <v>586</v>
      </c>
      <c r="Q142" s="14" t="s">
        <v>497</v>
      </c>
      <c r="R142" s="14" t="s">
        <v>496</v>
      </c>
      <c r="S142" s="15">
        <v>7</v>
      </c>
      <c r="T142" s="15">
        <v>0</v>
      </c>
      <c r="U142" s="15">
        <v>0</v>
      </c>
      <c r="V142" s="14">
        <v>759.66666666666663</v>
      </c>
      <c r="W142" s="12">
        <v>0</v>
      </c>
      <c r="X142" s="12">
        <v>0</v>
      </c>
      <c r="Y142" s="12">
        <v>0.99</v>
      </c>
      <c r="Z142" s="12">
        <v>1</v>
      </c>
      <c r="AA142" s="12">
        <v>0</v>
      </c>
      <c r="AB142" s="13">
        <f t="shared" si="8"/>
        <v>0</v>
      </c>
      <c r="AE142" s="12">
        <v>0</v>
      </c>
      <c r="AF142" s="12">
        <v>0</v>
      </c>
      <c r="AG142" s="12">
        <v>0.99</v>
      </c>
      <c r="AH142" s="12">
        <v>1</v>
      </c>
      <c r="AI142" s="12">
        <v>0</v>
      </c>
      <c r="AJ142" s="13">
        <f t="shared" si="9"/>
        <v>0</v>
      </c>
      <c r="AN142" s="12">
        <f t="shared" si="10"/>
        <v>1512</v>
      </c>
      <c r="AQ142" s="8" t="s">
        <v>417</v>
      </c>
      <c r="AR142" t="str">
        <f t="shared" si="11"/>
        <v>Oeste - A07</v>
      </c>
    </row>
    <row r="143" spans="1:44" x14ac:dyDescent="0.2">
      <c r="A143" s="107" t="s">
        <v>6457</v>
      </c>
      <c r="B143" s="106" t="s">
        <v>6456</v>
      </c>
      <c r="C143" s="106" t="s">
        <v>6413</v>
      </c>
      <c r="D143" s="106" t="s">
        <v>5497</v>
      </c>
      <c r="E143" s="106" t="s">
        <v>6423</v>
      </c>
      <c r="F143" s="106" t="s">
        <v>590</v>
      </c>
      <c r="G143" s="106" t="s">
        <v>6455</v>
      </c>
      <c r="H143" s="105" t="s">
        <v>6454</v>
      </c>
      <c r="I143" s="105" t="s">
        <v>6450</v>
      </c>
      <c r="J143" s="104">
        <v>1.99</v>
      </c>
      <c r="K143" s="103" t="s">
        <v>427</v>
      </c>
      <c r="L143" s="102" t="s">
        <v>507</v>
      </c>
      <c r="M143" s="95"/>
      <c r="N143" s="14"/>
      <c r="O143" s="94">
        <v>39</v>
      </c>
      <c r="P143" s="14" t="s">
        <v>586</v>
      </c>
      <c r="Q143" s="14" t="s">
        <v>497</v>
      </c>
      <c r="R143" s="14" t="s">
        <v>496</v>
      </c>
      <c r="S143" s="15">
        <v>7</v>
      </c>
      <c r="T143" s="15">
        <v>0</v>
      </c>
      <c r="U143" s="15">
        <v>0</v>
      </c>
      <c r="V143" s="14">
        <v>759.66666666666663</v>
      </c>
      <c r="W143" s="12">
        <v>0</v>
      </c>
      <c r="X143" s="12">
        <v>0</v>
      </c>
      <c r="Y143" s="12">
        <v>0.99</v>
      </c>
      <c r="Z143" s="12">
        <v>1</v>
      </c>
      <c r="AA143" s="12">
        <v>0</v>
      </c>
      <c r="AB143" s="13">
        <f t="shared" si="8"/>
        <v>0</v>
      </c>
      <c r="AE143" s="12">
        <v>0</v>
      </c>
      <c r="AF143" s="12">
        <v>0</v>
      </c>
      <c r="AG143" s="12">
        <v>0.99</v>
      </c>
      <c r="AH143" s="12">
        <v>1</v>
      </c>
      <c r="AI143" s="12">
        <v>0</v>
      </c>
      <c r="AJ143" s="13">
        <f t="shared" si="9"/>
        <v>0</v>
      </c>
      <c r="AN143" s="12">
        <f t="shared" si="10"/>
        <v>1512</v>
      </c>
      <c r="AQ143" s="8" t="s">
        <v>417</v>
      </c>
      <c r="AR143" t="str">
        <f t="shared" si="11"/>
        <v>Oeste - A07</v>
      </c>
    </row>
    <row r="144" spans="1:44" x14ac:dyDescent="0.2">
      <c r="A144" s="107" t="s">
        <v>6453</v>
      </c>
      <c r="B144" s="106" t="s">
        <v>6452</v>
      </c>
      <c r="C144" s="106" t="s">
        <v>6413</v>
      </c>
      <c r="D144" s="106" t="s">
        <v>2611</v>
      </c>
      <c r="E144" s="106" t="s">
        <v>6412</v>
      </c>
      <c r="F144" s="106" t="s">
        <v>490</v>
      </c>
      <c r="G144" s="106" t="s">
        <v>6451</v>
      </c>
      <c r="H144" s="105" t="s">
        <v>6450</v>
      </c>
      <c r="I144" s="105" t="s">
        <v>6446</v>
      </c>
      <c r="J144" s="104">
        <v>6.11</v>
      </c>
      <c r="K144" s="103" t="s">
        <v>427</v>
      </c>
      <c r="L144" s="102" t="s">
        <v>507</v>
      </c>
      <c r="M144" s="95"/>
      <c r="N144" s="14"/>
      <c r="O144" s="94">
        <v>39</v>
      </c>
      <c r="P144" s="14" t="s">
        <v>485</v>
      </c>
      <c r="Q144" s="14" t="s">
        <v>497</v>
      </c>
      <c r="R144" s="16" t="s">
        <v>496</v>
      </c>
      <c r="S144" s="15">
        <v>7.2</v>
      </c>
      <c r="T144" s="15">
        <v>0</v>
      </c>
      <c r="U144" s="15">
        <v>0</v>
      </c>
      <c r="V144" s="14">
        <v>2279</v>
      </c>
      <c r="W144" s="12">
        <v>0</v>
      </c>
      <c r="X144" s="12">
        <v>0</v>
      </c>
      <c r="Y144" s="12">
        <v>0</v>
      </c>
      <c r="Z144" s="12">
        <v>6.11</v>
      </c>
      <c r="AA144" s="12">
        <v>0</v>
      </c>
      <c r="AB144" s="13">
        <f t="shared" si="8"/>
        <v>0</v>
      </c>
      <c r="AE144" s="12">
        <v>0</v>
      </c>
      <c r="AF144" s="12">
        <v>0</v>
      </c>
      <c r="AG144" s="12">
        <v>0</v>
      </c>
      <c r="AH144" s="12">
        <v>6.11</v>
      </c>
      <c r="AI144" s="12">
        <v>0</v>
      </c>
      <c r="AJ144" s="13">
        <f t="shared" si="9"/>
        <v>0</v>
      </c>
      <c r="AN144" s="12">
        <f t="shared" si="10"/>
        <v>13925</v>
      </c>
      <c r="AQ144" s="8" t="s">
        <v>417</v>
      </c>
      <c r="AR144" t="str">
        <f t="shared" si="11"/>
        <v>Oeste - A07</v>
      </c>
    </row>
    <row r="145" spans="1:44" x14ac:dyDescent="0.2">
      <c r="A145" s="107" t="s">
        <v>6449</v>
      </c>
      <c r="B145" s="106" t="s">
        <v>6448</v>
      </c>
      <c r="C145" s="106" t="s">
        <v>6413</v>
      </c>
      <c r="D145" s="106" t="s">
        <v>2602</v>
      </c>
      <c r="E145" s="106" t="s">
        <v>6412</v>
      </c>
      <c r="F145" s="106" t="s">
        <v>490</v>
      </c>
      <c r="G145" s="106" t="s">
        <v>6447</v>
      </c>
      <c r="H145" s="105" t="s">
        <v>6446</v>
      </c>
      <c r="I145" s="105" t="s">
        <v>6442</v>
      </c>
      <c r="J145" s="104">
        <v>7.69</v>
      </c>
      <c r="K145" s="103" t="s">
        <v>427</v>
      </c>
      <c r="L145" s="102" t="s">
        <v>507</v>
      </c>
      <c r="M145" s="95"/>
      <c r="N145" s="14"/>
      <c r="O145" s="94">
        <v>39</v>
      </c>
      <c r="P145" s="14" t="s">
        <v>485</v>
      </c>
      <c r="Q145" s="14" t="s">
        <v>497</v>
      </c>
      <c r="R145" s="16" t="s">
        <v>496</v>
      </c>
      <c r="S145" s="15">
        <v>7</v>
      </c>
      <c r="T145" s="15">
        <v>0</v>
      </c>
      <c r="U145" s="15">
        <v>0</v>
      </c>
      <c r="V145" s="14">
        <v>2279</v>
      </c>
      <c r="W145" s="12">
        <v>0</v>
      </c>
      <c r="X145" s="12">
        <v>0</v>
      </c>
      <c r="Y145" s="12">
        <v>1</v>
      </c>
      <c r="Z145" s="12">
        <v>6.69</v>
      </c>
      <c r="AA145" s="12">
        <v>0</v>
      </c>
      <c r="AB145" s="13">
        <f t="shared" si="8"/>
        <v>0</v>
      </c>
      <c r="AE145" s="12">
        <v>0</v>
      </c>
      <c r="AF145" s="12">
        <v>0</v>
      </c>
      <c r="AG145" s="12">
        <v>1</v>
      </c>
      <c r="AH145" s="12">
        <v>6.69</v>
      </c>
      <c r="AI145" s="12">
        <v>0</v>
      </c>
      <c r="AJ145" s="13">
        <f t="shared" si="9"/>
        <v>0</v>
      </c>
      <c r="AN145" s="12">
        <f t="shared" si="10"/>
        <v>17526</v>
      </c>
      <c r="AQ145" s="8" t="s">
        <v>417</v>
      </c>
      <c r="AR145" t="str">
        <f t="shared" si="11"/>
        <v>Oeste - A07</v>
      </c>
    </row>
    <row r="146" spans="1:44" x14ac:dyDescent="0.2">
      <c r="A146" s="107" t="s">
        <v>6445</v>
      </c>
      <c r="B146" s="106" t="s">
        <v>6444</v>
      </c>
      <c r="C146" s="106" t="s">
        <v>6413</v>
      </c>
      <c r="D146" s="106" t="s">
        <v>4754</v>
      </c>
      <c r="E146" s="106" t="s">
        <v>6412</v>
      </c>
      <c r="F146" s="106" t="s">
        <v>490</v>
      </c>
      <c r="G146" s="106" t="s">
        <v>6443</v>
      </c>
      <c r="H146" s="105" t="s">
        <v>6442</v>
      </c>
      <c r="I146" s="105" t="s">
        <v>6437</v>
      </c>
      <c r="J146" s="104">
        <v>7.93</v>
      </c>
      <c r="K146" s="103" t="s">
        <v>427</v>
      </c>
      <c r="L146" s="102" t="s">
        <v>507</v>
      </c>
      <c r="M146" s="95"/>
      <c r="N146" s="14"/>
      <c r="O146" s="94">
        <v>39</v>
      </c>
      <c r="P146" s="14" t="s">
        <v>485</v>
      </c>
      <c r="Q146" s="14" t="s">
        <v>497</v>
      </c>
      <c r="R146" s="14" t="s">
        <v>496</v>
      </c>
      <c r="S146" s="15">
        <v>6.583333333333333</v>
      </c>
      <c r="T146" s="15">
        <v>0</v>
      </c>
      <c r="U146" s="15">
        <v>0</v>
      </c>
      <c r="V146" s="14">
        <v>272</v>
      </c>
      <c r="W146" s="12">
        <v>0</v>
      </c>
      <c r="X146" s="12">
        <v>0</v>
      </c>
      <c r="Y146" s="12">
        <v>0</v>
      </c>
      <c r="Z146" s="12">
        <v>7.93</v>
      </c>
      <c r="AA146" s="12">
        <v>0</v>
      </c>
      <c r="AB146" s="13">
        <f t="shared" si="8"/>
        <v>0</v>
      </c>
      <c r="AE146" s="12">
        <v>0</v>
      </c>
      <c r="AF146" s="12">
        <v>0</v>
      </c>
      <c r="AG146" s="12">
        <v>0</v>
      </c>
      <c r="AH146" s="12">
        <v>7.93</v>
      </c>
      <c r="AI146" s="12">
        <v>0</v>
      </c>
      <c r="AJ146" s="13">
        <f t="shared" si="9"/>
        <v>0</v>
      </c>
      <c r="AN146" s="12">
        <f t="shared" si="10"/>
        <v>2157</v>
      </c>
      <c r="AQ146" s="8" t="s">
        <v>417</v>
      </c>
      <c r="AR146" t="str">
        <f t="shared" si="11"/>
        <v>Oeste - A07</v>
      </c>
    </row>
    <row r="147" spans="1:44" x14ac:dyDescent="0.2">
      <c r="A147" s="107" t="s">
        <v>6441</v>
      </c>
      <c r="B147" s="106" t="s">
        <v>6440</v>
      </c>
      <c r="C147" s="106" t="s">
        <v>6413</v>
      </c>
      <c r="D147" s="106" t="s">
        <v>6439</v>
      </c>
      <c r="E147" s="106" t="s">
        <v>6423</v>
      </c>
      <c r="F147" s="106" t="s">
        <v>590</v>
      </c>
      <c r="G147" s="106" t="s">
        <v>6438</v>
      </c>
      <c r="H147" s="105" t="s">
        <v>6437</v>
      </c>
      <c r="I147" s="105" t="s">
        <v>6436</v>
      </c>
      <c r="J147" s="104">
        <v>4.53</v>
      </c>
      <c r="K147" s="103" t="s">
        <v>427</v>
      </c>
      <c r="L147" s="102" t="s">
        <v>507</v>
      </c>
      <c r="M147" s="95"/>
      <c r="N147" s="14"/>
      <c r="O147" s="94">
        <v>39</v>
      </c>
      <c r="P147" s="14" t="s">
        <v>586</v>
      </c>
      <c r="Q147" s="14" t="s">
        <v>497</v>
      </c>
      <c r="R147" s="14" t="s">
        <v>496</v>
      </c>
      <c r="S147" s="15">
        <v>13.93</v>
      </c>
      <c r="T147" s="15">
        <v>0</v>
      </c>
      <c r="U147" s="15">
        <v>0</v>
      </c>
      <c r="V147" s="14">
        <v>211</v>
      </c>
      <c r="W147" s="12">
        <v>0</v>
      </c>
      <c r="X147" s="12">
        <v>0</v>
      </c>
      <c r="Y147" s="12">
        <v>4.53</v>
      </c>
      <c r="Z147" s="12">
        <v>0</v>
      </c>
      <c r="AA147" s="12">
        <v>0</v>
      </c>
      <c r="AB147" s="13">
        <f t="shared" si="8"/>
        <v>0</v>
      </c>
      <c r="AE147" s="12">
        <v>0</v>
      </c>
      <c r="AF147" s="12">
        <v>0</v>
      </c>
      <c r="AG147" s="12">
        <v>4.53</v>
      </c>
      <c r="AH147" s="12">
        <v>0</v>
      </c>
      <c r="AI147" s="12">
        <v>0</v>
      </c>
      <c r="AJ147" s="13">
        <f t="shared" si="9"/>
        <v>0</v>
      </c>
      <c r="AN147" s="12">
        <f t="shared" si="10"/>
        <v>956</v>
      </c>
      <c r="AQ147" s="8" t="s">
        <v>417</v>
      </c>
      <c r="AR147" t="str">
        <f t="shared" si="11"/>
        <v>Oeste - A07</v>
      </c>
    </row>
    <row r="148" spans="1:44" x14ac:dyDescent="0.2">
      <c r="A148" s="107" t="s">
        <v>6435</v>
      </c>
      <c r="B148" s="106" t="s">
        <v>6434</v>
      </c>
      <c r="C148" s="106" t="s">
        <v>6413</v>
      </c>
      <c r="D148" s="106" t="s">
        <v>3529</v>
      </c>
      <c r="E148" s="106" t="s">
        <v>6412</v>
      </c>
      <c r="F148" s="106" t="s">
        <v>490</v>
      </c>
      <c r="G148" s="106" t="s">
        <v>6433</v>
      </c>
      <c r="H148" s="105" t="s">
        <v>6432</v>
      </c>
      <c r="I148" s="105" t="s">
        <v>6427</v>
      </c>
      <c r="J148" s="104">
        <v>16.43</v>
      </c>
      <c r="K148" s="103" t="s">
        <v>427</v>
      </c>
      <c r="L148" s="102" t="s">
        <v>507</v>
      </c>
      <c r="M148" s="95"/>
      <c r="N148" s="14"/>
      <c r="O148" s="94">
        <v>39</v>
      </c>
      <c r="P148" s="14" t="s">
        <v>485</v>
      </c>
      <c r="Q148" s="14" t="s">
        <v>497</v>
      </c>
      <c r="R148" s="14" t="s">
        <v>496</v>
      </c>
      <c r="S148" s="15">
        <v>7</v>
      </c>
      <c r="T148" s="15">
        <v>1</v>
      </c>
      <c r="U148" s="15">
        <v>1.7</v>
      </c>
      <c r="V148" s="14">
        <v>543</v>
      </c>
      <c r="W148" s="12">
        <v>0</v>
      </c>
      <c r="X148" s="12">
        <v>0</v>
      </c>
      <c r="Y148" s="12">
        <v>0</v>
      </c>
      <c r="Z148" s="12">
        <v>16.43</v>
      </c>
      <c r="AA148" s="12">
        <v>0</v>
      </c>
      <c r="AB148" s="13">
        <f t="shared" si="8"/>
        <v>0</v>
      </c>
      <c r="AE148" s="12">
        <v>0</v>
      </c>
      <c r="AF148" s="12">
        <v>0</v>
      </c>
      <c r="AG148" s="12">
        <v>0</v>
      </c>
      <c r="AH148" s="12">
        <v>16.43</v>
      </c>
      <c r="AI148" s="12">
        <v>0</v>
      </c>
      <c r="AJ148" s="13">
        <f t="shared" si="9"/>
        <v>0</v>
      </c>
      <c r="AN148" s="12">
        <f t="shared" si="10"/>
        <v>8922</v>
      </c>
      <c r="AQ148" s="8" t="s">
        <v>417</v>
      </c>
      <c r="AR148" t="str">
        <f t="shared" si="11"/>
        <v>Oeste - A07</v>
      </c>
    </row>
    <row r="149" spans="1:44" x14ac:dyDescent="0.2">
      <c r="A149" s="107" t="s">
        <v>6431</v>
      </c>
      <c r="B149" s="106" t="s">
        <v>6430</v>
      </c>
      <c r="C149" s="106" t="s">
        <v>6413</v>
      </c>
      <c r="D149" s="106" t="s">
        <v>6429</v>
      </c>
      <c r="E149" s="106" t="s">
        <v>6423</v>
      </c>
      <c r="F149" s="106" t="s">
        <v>590</v>
      </c>
      <c r="G149" s="106" t="s">
        <v>6428</v>
      </c>
      <c r="H149" s="105" t="s">
        <v>6427</v>
      </c>
      <c r="I149" s="105" t="s">
        <v>6421</v>
      </c>
      <c r="J149" s="104">
        <v>1.24</v>
      </c>
      <c r="K149" s="103" t="s">
        <v>427</v>
      </c>
      <c r="L149" s="102" t="s">
        <v>507</v>
      </c>
      <c r="M149" s="95"/>
      <c r="N149" s="14"/>
      <c r="O149" s="94">
        <v>39</v>
      </c>
      <c r="P149" s="14" t="s">
        <v>586</v>
      </c>
      <c r="Q149" s="14" t="s">
        <v>497</v>
      </c>
      <c r="R149" s="14" t="s">
        <v>496</v>
      </c>
      <c r="S149" s="15">
        <v>6.6</v>
      </c>
      <c r="T149" s="15">
        <v>3.5</v>
      </c>
      <c r="U149" s="15">
        <v>0</v>
      </c>
      <c r="V149" s="14">
        <v>424</v>
      </c>
      <c r="W149" s="12">
        <v>0</v>
      </c>
      <c r="X149" s="12">
        <v>0</v>
      </c>
      <c r="Y149" s="12">
        <v>1.24</v>
      </c>
      <c r="Z149" s="12">
        <v>0</v>
      </c>
      <c r="AA149" s="12">
        <v>0</v>
      </c>
      <c r="AB149" s="13">
        <f t="shared" si="8"/>
        <v>0</v>
      </c>
      <c r="AE149" s="12">
        <v>0</v>
      </c>
      <c r="AF149" s="12">
        <v>0</v>
      </c>
      <c r="AG149" s="12">
        <v>1.24</v>
      </c>
      <c r="AH149" s="12">
        <v>0</v>
      </c>
      <c r="AI149" s="12">
        <v>0</v>
      </c>
      <c r="AJ149" s="13">
        <f t="shared" si="9"/>
        <v>0</v>
      </c>
      <c r="AN149" s="12">
        <f t="shared" si="10"/>
        <v>526</v>
      </c>
      <c r="AQ149" s="8" t="s">
        <v>417</v>
      </c>
      <c r="AR149" t="str">
        <f t="shared" si="11"/>
        <v>Oeste - A07</v>
      </c>
    </row>
    <row r="150" spans="1:44" x14ac:dyDescent="0.2">
      <c r="A150" s="107" t="s">
        <v>6426</v>
      </c>
      <c r="B150" s="106" t="s">
        <v>6425</v>
      </c>
      <c r="C150" s="106" t="s">
        <v>6413</v>
      </c>
      <c r="D150" s="106" t="s">
        <v>6424</v>
      </c>
      <c r="E150" s="106" t="s">
        <v>6423</v>
      </c>
      <c r="F150" s="106" t="s">
        <v>590</v>
      </c>
      <c r="G150" s="106" t="s">
        <v>6422</v>
      </c>
      <c r="H150" s="105" t="s">
        <v>6421</v>
      </c>
      <c r="I150" s="105" t="s">
        <v>6420</v>
      </c>
      <c r="J150" s="104">
        <v>1.1299999999999999</v>
      </c>
      <c r="K150" s="103" t="s">
        <v>427</v>
      </c>
      <c r="L150" s="102" t="s">
        <v>507</v>
      </c>
      <c r="M150" s="95"/>
      <c r="N150" s="14"/>
      <c r="O150" s="94">
        <v>39</v>
      </c>
      <c r="P150" s="14" t="s">
        <v>586</v>
      </c>
      <c r="Q150" s="14" t="s">
        <v>497</v>
      </c>
      <c r="R150" s="14" t="s">
        <v>496</v>
      </c>
      <c r="S150" s="15">
        <v>12</v>
      </c>
      <c r="T150" s="15">
        <v>0</v>
      </c>
      <c r="U150" s="15">
        <v>0</v>
      </c>
      <c r="V150" s="14">
        <v>424</v>
      </c>
      <c r="W150" s="12">
        <v>0</v>
      </c>
      <c r="X150" s="12">
        <v>0</v>
      </c>
      <c r="Y150" s="12">
        <v>1.1299999999999999</v>
      </c>
      <c r="Z150" s="12">
        <v>0</v>
      </c>
      <c r="AA150" s="12">
        <v>0</v>
      </c>
      <c r="AB150" s="13">
        <f t="shared" si="8"/>
        <v>0</v>
      </c>
      <c r="AE150" s="12">
        <v>0</v>
      </c>
      <c r="AF150" s="12">
        <v>0</v>
      </c>
      <c r="AG150" s="12">
        <v>1.1299999999999999</v>
      </c>
      <c r="AH150" s="12">
        <v>0</v>
      </c>
      <c r="AI150" s="12">
        <v>0</v>
      </c>
      <c r="AJ150" s="13">
        <f t="shared" si="9"/>
        <v>0</v>
      </c>
      <c r="AN150" s="12">
        <f t="shared" si="10"/>
        <v>480</v>
      </c>
      <c r="AQ150" s="8" t="s">
        <v>417</v>
      </c>
      <c r="AR150" t="str">
        <f t="shared" si="11"/>
        <v>Oeste - A07</v>
      </c>
    </row>
    <row r="151" spans="1:44" x14ac:dyDescent="0.2">
      <c r="A151" s="107" t="s">
        <v>6419</v>
      </c>
      <c r="B151" s="106" t="s">
        <v>6418</v>
      </c>
      <c r="C151" s="106" t="s">
        <v>6413</v>
      </c>
      <c r="D151" s="106" t="s">
        <v>5405</v>
      </c>
      <c r="E151" s="106" t="s">
        <v>6412</v>
      </c>
      <c r="F151" s="106" t="s">
        <v>490</v>
      </c>
      <c r="G151" s="106" t="s">
        <v>6417</v>
      </c>
      <c r="H151" s="105" t="s">
        <v>6416</v>
      </c>
      <c r="I151" s="105" t="s">
        <v>6410</v>
      </c>
      <c r="J151" s="104">
        <v>1.04</v>
      </c>
      <c r="K151" s="103" t="s">
        <v>428</v>
      </c>
      <c r="L151" s="102" t="s">
        <v>507</v>
      </c>
      <c r="M151" s="95"/>
      <c r="N151" s="17" t="str">
        <f>O151</f>
        <v>40</v>
      </c>
      <c r="O151" s="18" t="s">
        <v>472</v>
      </c>
      <c r="P151" s="14" t="s">
        <v>485</v>
      </c>
      <c r="Q151" s="14" t="s">
        <v>497</v>
      </c>
      <c r="R151" s="16" t="s">
        <v>496</v>
      </c>
      <c r="S151" s="15">
        <v>7.85</v>
      </c>
      <c r="T151" s="15">
        <v>0</v>
      </c>
      <c r="U151" s="15">
        <v>0</v>
      </c>
      <c r="V151" s="14">
        <v>1994</v>
      </c>
      <c r="W151" s="12">
        <v>0</v>
      </c>
      <c r="X151" s="12">
        <v>0</v>
      </c>
      <c r="Y151" s="12">
        <v>1.04</v>
      </c>
      <c r="Z151" s="12">
        <v>0</v>
      </c>
      <c r="AA151" s="12">
        <v>0</v>
      </c>
      <c r="AB151" s="13">
        <f t="shared" si="8"/>
        <v>0</v>
      </c>
      <c r="AE151" s="12">
        <v>0</v>
      </c>
      <c r="AF151" s="12">
        <v>0</v>
      </c>
      <c r="AG151" s="12">
        <v>1.04</v>
      </c>
      <c r="AH151" s="12">
        <v>0</v>
      </c>
      <c r="AI151" s="12">
        <v>0</v>
      </c>
      <c r="AJ151" s="13">
        <f t="shared" si="9"/>
        <v>0</v>
      </c>
      <c r="AN151" s="12">
        <f t="shared" si="10"/>
        <v>2074</v>
      </c>
      <c r="AQ151" s="8" t="s">
        <v>417</v>
      </c>
      <c r="AR151" t="str">
        <f t="shared" si="11"/>
        <v>Oeste - A08</v>
      </c>
    </row>
    <row r="152" spans="1:44" x14ac:dyDescent="0.2">
      <c r="A152" s="107" t="s">
        <v>6415</v>
      </c>
      <c r="B152" s="106" t="s">
        <v>6414</v>
      </c>
      <c r="C152" s="106" t="s">
        <v>6413</v>
      </c>
      <c r="D152" s="106" t="s">
        <v>4685</v>
      </c>
      <c r="E152" s="106" t="s">
        <v>6412</v>
      </c>
      <c r="F152" s="106" t="s">
        <v>490</v>
      </c>
      <c r="G152" s="106" t="s">
        <v>6411</v>
      </c>
      <c r="H152" s="105" t="s">
        <v>6410</v>
      </c>
      <c r="I152" s="105" t="s">
        <v>6409</v>
      </c>
      <c r="J152" s="104">
        <v>12.09</v>
      </c>
      <c r="K152" s="103" t="s">
        <v>428</v>
      </c>
      <c r="L152" s="102" t="s">
        <v>507</v>
      </c>
      <c r="M152" s="95"/>
      <c r="N152" s="17" t="str">
        <f>O152</f>
        <v>40</v>
      </c>
      <c r="O152" s="18" t="s">
        <v>472</v>
      </c>
      <c r="P152" s="14" t="s">
        <v>485</v>
      </c>
      <c r="Q152" s="14" t="s">
        <v>497</v>
      </c>
      <c r="R152" s="16" t="s">
        <v>496</v>
      </c>
      <c r="S152" s="15">
        <v>7.2</v>
      </c>
      <c r="T152" s="15">
        <v>0</v>
      </c>
      <c r="U152" s="15">
        <v>0</v>
      </c>
      <c r="V152" s="14">
        <v>5103</v>
      </c>
      <c r="W152" s="12">
        <v>0</v>
      </c>
      <c r="X152" s="12">
        <v>0</v>
      </c>
      <c r="Y152" s="12">
        <v>4.09</v>
      </c>
      <c r="Z152" s="12">
        <v>8</v>
      </c>
      <c r="AA152" s="12">
        <v>0</v>
      </c>
      <c r="AB152" s="13">
        <f t="shared" si="8"/>
        <v>0</v>
      </c>
      <c r="AE152" s="12">
        <v>0</v>
      </c>
      <c r="AF152" s="12">
        <v>0</v>
      </c>
      <c r="AG152" s="12">
        <v>4.09</v>
      </c>
      <c r="AH152" s="12">
        <v>8</v>
      </c>
      <c r="AI152" s="12">
        <v>0</v>
      </c>
      <c r="AJ152" s="13">
        <f t="shared" si="9"/>
        <v>0</v>
      </c>
      <c r="AN152" s="12">
        <f t="shared" si="10"/>
        <v>61696</v>
      </c>
      <c r="AQ152" s="8" t="s">
        <v>417</v>
      </c>
      <c r="AR152" t="str">
        <f t="shared" si="11"/>
        <v>Oeste - A08</v>
      </c>
    </row>
    <row r="153" spans="1:44" x14ac:dyDescent="0.2">
      <c r="A153" s="107" t="s">
        <v>6408</v>
      </c>
      <c r="B153" s="106" t="s">
        <v>6407</v>
      </c>
      <c r="C153" s="106" t="s">
        <v>6267</v>
      </c>
      <c r="D153" s="106" t="s">
        <v>519</v>
      </c>
      <c r="E153" s="106" t="s">
        <v>6266</v>
      </c>
      <c r="F153" s="106" t="s">
        <v>490</v>
      </c>
      <c r="G153" s="106" t="s">
        <v>6406</v>
      </c>
      <c r="H153" s="105" t="s">
        <v>6405</v>
      </c>
      <c r="I153" s="105" t="s">
        <v>6401</v>
      </c>
      <c r="J153" s="104">
        <v>11.96</v>
      </c>
      <c r="K153" s="103" t="s">
        <v>424</v>
      </c>
      <c r="L153" s="102" t="s">
        <v>486</v>
      </c>
      <c r="M153" s="95"/>
      <c r="N153" s="14"/>
      <c r="O153" s="94">
        <v>16</v>
      </c>
      <c r="P153" s="14" t="s">
        <v>485</v>
      </c>
      <c r="Q153" s="14" t="s">
        <v>887</v>
      </c>
      <c r="R153" s="14" t="s">
        <v>496</v>
      </c>
      <c r="S153" s="15">
        <v>6.2</v>
      </c>
      <c r="T153" s="15">
        <v>0</v>
      </c>
      <c r="U153" s="15">
        <v>0</v>
      </c>
      <c r="V153" s="14">
        <v>529</v>
      </c>
      <c r="W153" s="12">
        <v>0</v>
      </c>
      <c r="X153" s="12">
        <v>8</v>
      </c>
      <c r="Y153" s="12">
        <v>3.9600000000000009</v>
      </c>
      <c r="Z153" s="12">
        <v>0</v>
      </c>
      <c r="AA153" s="12">
        <v>0</v>
      </c>
      <c r="AB153" s="13">
        <f t="shared" si="8"/>
        <v>0</v>
      </c>
      <c r="AE153" s="12">
        <v>0</v>
      </c>
      <c r="AF153" s="12">
        <v>8</v>
      </c>
      <c r="AG153" s="12">
        <v>3.9600000000000009</v>
      </c>
      <c r="AH153" s="12">
        <v>0</v>
      </c>
      <c r="AI153" s="12">
        <v>0</v>
      </c>
      <c r="AJ153" s="13">
        <f t="shared" si="9"/>
        <v>0</v>
      </c>
      <c r="AN153" s="12">
        <f t="shared" si="10"/>
        <v>6327</v>
      </c>
      <c r="AQ153" s="8" t="s">
        <v>419</v>
      </c>
      <c r="AR153" t="str">
        <f t="shared" si="11"/>
        <v>Norte - A04</v>
      </c>
    </row>
    <row r="154" spans="1:44" x14ac:dyDescent="0.2">
      <c r="A154" s="107" t="s">
        <v>6404</v>
      </c>
      <c r="B154" s="106" t="s">
        <v>6403</v>
      </c>
      <c r="C154" s="106" t="s">
        <v>6267</v>
      </c>
      <c r="D154" s="106" t="s">
        <v>513</v>
      </c>
      <c r="E154" s="106" t="s">
        <v>6266</v>
      </c>
      <c r="F154" s="106" t="s">
        <v>490</v>
      </c>
      <c r="G154" s="106" t="s">
        <v>6402</v>
      </c>
      <c r="H154" s="105" t="s">
        <v>6401</v>
      </c>
      <c r="I154" s="105" t="s">
        <v>6397</v>
      </c>
      <c r="J154" s="104">
        <v>4.9400000000000004</v>
      </c>
      <c r="K154" s="103" t="s">
        <v>424</v>
      </c>
      <c r="L154" s="102" t="s">
        <v>486</v>
      </c>
      <c r="M154" s="95"/>
      <c r="N154" s="14"/>
      <c r="O154" s="94">
        <v>16</v>
      </c>
      <c r="P154" s="14" t="s">
        <v>485</v>
      </c>
      <c r="Q154" s="14" t="s">
        <v>497</v>
      </c>
      <c r="R154" s="16" t="s">
        <v>496</v>
      </c>
      <c r="S154" s="15">
        <v>6.6</v>
      </c>
      <c r="T154" s="15">
        <v>1</v>
      </c>
      <c r="U154" s="15">
        <v>0</v>
      </c>
      <c r="V154" s="14">
        <v>3347</v>
      </c>
      <c r="W154" s="12">
        <v>0</v>
      </c>
      <c r="X154" s="12">
        <v>0</v>
      </c>
      <c r="Y154" s="12">
        <v>0</v>
      </c>
      <c r="Z154" s="12">
        <v>4.9400000000000004</v>
      </c>
      <c r="AA154" s="12">
        <v>0</v>
      </c>
      <c r="AB154" s="13">
        <f t="shared" si="8"/>
        <v>0</v>
      </c>
      <c r="AE154" s="12">
        <v>0</v>
      </c>
      <c r="AF154" s="12">
        <v>0</v>
      </c>
      <c r="AG154" s="12">
        <v>0</v>
      </c>
      <c r="AH154" s="12">
        <v>4.9400000000000004</v>
      </c>
      <c r="AI154" s="12">
        <v>0</v>
      </c>
      <c r="AJ154" s="13">
        <f t="shared" si="9"/>
        <v>0</v>
      </c>
      <c r="AN154" s="12">
        <f t="shared" si="10"/>
        <v>16535</v>
      </c>
      <c r="AQ154" s="8" t="s">
        <v>419</v>
      </c>
      <c r="AR154" t="str">
        <f t="shared" si="11"/>
        <v>Norte - A04</v>
      </c>
    </row>
    <row r="155" spans="1:44" x14ac:dyDescent="0.2">
      <c r="A155" s="107" t="s">
        <v>6400</v>
      </c>
      <c r="B155" s="106" t="s">
        <v>6399</v>
      </c>
      <c r="C155" s="106" t="s">
        <v>6267</v>
      </c>
      <c r="D155" s="106" t="s">
        <v>981</v>
      </c>
      <c r="E155" s="106" t="s">
        <v>6266</v>
      </c>
      <c r="F155" s="106" t="s">
        <v>490</v>
      </c>
      <c r="G155" s="106" t="s">
        <v>6398</v>
      </c>
      <c r="H155" s="105" t="s">
        <v>6397</v>
      </c>
      <c r="I155" s="105" t="s">
        <v>6393</v>
      </c>
      <c r="J155" s="104">
        <v>6.79</v>
      </c>
      <c r="K155" s="103" t="s">
        <v>424</v>
      </c>
      <c r="L155" s="102" t="s">
        <v>486</v>
      </c>
      <c r="M155" s="95"/>
      <c r="N155" s="14"/>
      <c r="O155" s="94">
        <v>16</v>
      </c>
      <c r="P155" s="14" t="s">
        <v>485</v>
      </c>
      <c r="Q155" s="14" t="s">
        <v>497</v>
      </c>
      <c r="R155" s="16" t="s">
        <v>496</v>
      </c>
      <c r="S155" s="15">
        <v>6.6</v>
      </c>
      <c r="T155" s="15">
        <v>1</v>
      </c>
      <c r="U155" s="15">
        <v>0</v>
      </c>
      <c r="V155" s="14">
        <v>3347</v>
      </c>
      <c r="W155" s="12">
        <v>0</v>
      </c>
      <c r="X155" s="12">
        <v>0</v>
      </c>
      <c r="Y155" s="12">
        <v>0</v>
      </c>
      <c r="Z155" s="12">
        <v>6.79</v>
      </c>
      <c r="AA155" s="12">
        <v>0</v>
      </c>
      <c r="AB155" s="13">
        <f t="shared" si="8"/>
        <v>0</v>
      </c>
      <c r="AE155" s="12">
        <v>0</v>
      </c>
      <c r="AF155" s="12">
        <v>0</v>
      </c>
      <c r="AG155" s="12">
        <v>0</v>
      </c>
      <c r="AH155" s="12">
        <v>6.79</v>
      </c>
      <c r="AI155" s="12">
        <v>0</v>
      </c>
      <c r="AJ155" s="13">
        <f t="shared" si="9"/>
        <v>0</v>
      </c>
      <c r="AN155" s="12">
        <f t="shared" si="10"/>
        <v>22727</v>
      </c>
      <c r="AQ155" s="8" t="s">
        <v>419</v>
      </c>
      <c r="AR155" t="str">
        <f t="shared" si="11"/>
        <v>Norte - A04</v>
      </c>
    </row>
    <row r="156" spans="1:44" x14ac:dyDescent="0.2">
      <c r="A156" s="107" t="s">
        <v>6396</v>
      </c>
      <c r="B156" s="106" t="s">
        <v>6395</v>
      </c>
      <c r="C156" s="106" t="s">
        <v>6267</v>
      </c>
      <c r="D156" s="106" t="s">
        <v>1269</v>
      </c>
      <c r="E156" s="106" t="s">
        <v>6266</v>
      </c>
      <c r="F156" s="106" t="s">
        <v>490</v>
      </c>
      <c r="G156" s="106" t="s">
        <v>6394</v>
      </c>
      <c r="H156" s="105" t="s">
        <v>6393</v>
      </c>
      <c r="I156" s="105" t="s">
        <v>6389</v>
      </c>
      <c r="J156" s="104">
        <v>7.55</v>
      </c>
      <c r="K156" s="103" t="s">
        <v>424</v>
      </c>
      <c r="L156" s="102" t="s">
        <v>486</v>
      </c>
      <c r="M156" s="95"/>
      <c r="N156" s="14"/>
      <c r="O156" s="94">
        <v>16</v>
      </c>
      <c r="P156" s="14" t="s">
        <v>485</v>
      </c>
      <c r="Q156" s="14" t="s">
        <v>497</v>
      </c>
      <c r="R156" s="16" t="s">
        <v>496</v>
      </c>
      <c r="S156" s="15">
        <v>6.6</v>
      </c>
      <c r="T156" s="15">
        <v>1</v>
      </c>
      <c r="U156" s="15">
        <v>0</v>
      </c>
      <c r="V156" s="14">
        <v>3347</v>
      </c>
      <c r="W156" s="12">
        <v>0</v>
      </c>
      <c r="X156" s="12">
        <v>0</v>
      </c>
      <c r="Y156" s="12">
        <v>0</v>
      </c>
      <c r="Z156" s="12">
        <v>7.55</v>
      </c>
      <c r="AA156" s="12">
        <v>0</v>
      </c>
      <c r="AB156" s="13">
        <f t="shared" si="8"/>
        <v>0</v>
      </c>
      <c r="AE156" s="12">
        <v>0</v>
      </c>
      <c r="AF156" s="12">
        <v>0</v>
      </c>
      <c r="AG156" s="12">
        <v>0</v>
      </c>
      <c r="AH156" s="12">
        <v>7.55</v>
      </c>
      <c r="AI156" s="12">
        <v>0</v>
      </c>
      <c r="AJ156" s="13">
        <f t="shared" si="9"/>
        <v>0</v>
      </c>
      <c r="AN156" s="12">
        <f t="shared" si="10"/>
        <v>25270</v>
      </c>
      <c r="AQ156" s="8" t="s">
        <v>419</v>
      </c>
      <c r="AR156" t="str">
        <f t="shared" si="11"/>
        <v>Norte - A04</v>
      </c>
    </row>
    <row r="157" spans="1:44" x14ac:dyDescent="0.2">
      <c r="A157" s="107" t="s">
        <v>6392</v>
      </c>
      <c r="B157" s="106" t="s">
        <v>6391</v>
      </c>
      <c r="C157" s="106" t="s">
        <v>6267</v>
      </c>
      <c r="D157" s="106" t="s">
        <v>965</v>
      </c>
      <c r="E157" s="106" t="s">
        <v>6266</v>
      </c>
      <c r="F157" s="106" t="s">
        <v>490</v>
      </c>
      <c r="G157" s="106" t="s">
        <v>6390</v>
      </c>
      <c r="H157" s="105" t="s">
        <v>6389</v>
      </c>
      <c r="I157" s="105" t="s">
        <v>6385</v>
      </c>
      <c r="J157" s="104">
        <v>0.69</v>
      </c>
      <c r="K157" s="103" t="s">
        <v>424</v>
      </c>
      <c r="L157" s="102" t="s">
        <v>486</v>
      </c>
      <c r="M157" s="95"/>
      <c r="N157" s="14"/>
      <c r="O157" s="94">
        <v>16</v>
      </c>
      <c r="P157" s="14" t="s">
        <v>485</v>
      </c>
      <c r="Q157" s="14" t="s">
        <v>497</v>
      </c>
      <c r="R157" s="16" t="s">
        <v>496</v>
      </c>
      <c r="S157" s="15">
        <v>6.6</v>
      </c>
      <c r="T157" s="15">
        <v>1</v>
      </c>
      <c r="U157" s="15">
        <v>0</v>
      </c>
      <c r="V157" s="14">
        <v>3347</v>
      </c>
      <c r="W157" s="12">
        <v>0</v>
      </c>
      <c r="X157" s="12">
        <v>0</v>
      </c>
      <c r="Y157" s="12">
        <v>0</v>
      </c>
      <c r="Z157" s="12">
        <v>0.69</v>
      </c>
      <c r="AA157" s="12">
        <v>0</v>
      </c>
      <c r="AB157" s="13">
        <f t="shared" si="8"/>
        <v>0</v>
      </c>
      <c r="AE157" s="12">
        <v>0</v>
      </c>
      <c r="AF157" s="12">
        <v>0</v>
      </c>
      <c r="AG157" s="12">
        <v>0</v>
      </c>
      <c r="AH157" s="12">
        <v>0.69</v>
      </c>
      <c r="AI157" s="12">
        <v>0</v>
      </c>
      <c r="AJ157" s="13">
        <f t="shared" si="9"/>
        <v>0</v>
      </c>
      <c r="AN157" s="12">
        <f t="shared" si="10"/>
        <v>2310</v>
      </c>
      <c r="AQ157" s="8" t="s">
        <v>419</v>
      </c>
      <c r="AR157" t="str">
        <f t="shared" si="11"/>
        <v>Norte - A04</v>
      </c>
    </row>
    <row r="158" spans="1:44" x14ac:dyDescent="0.2">
      <c r="A158" s="107" t="s">
        <v>6388</v>
      </c>
      <c r="B158" s="106" t="s">
        <v>6387</v>
      </c>
      <c r="C158" s="106" t="s">
        <v>6267</v>
      </c>
      <c r="D158" s="106" t="s">
        <v>2152</v>
      </c>
      <c r="E158" s="106" t="s">
        <v>6266</v>
      </c>
      <c r="F158" s="106" t="s">
        <v>490</v>
      </c>
      <c r="G158" s="106" t="s">
        <v>6386</v>
      </c>
      <c r="H158" s="105" t="s">
        <v>6385</v>
      </c>
      <c r="I158" s="105" t="s">
        <v>6381</v>
      </c>
      <c r="J158" s="104">
        <v>15.29</v>
      </c>
      <c r="K158" s="103" t="s">
        <v>424</v>
      </c>
      <c r="L158" s="102" t="s">
        <v>486</v>
      </c>
      <c r="M158" s="95"/>
      <c r="N158" s="14"/>
      <c r="O158" s="94">
        <v>16</v>
      </c>
      <c r="P158" s="14" t="s">
        <v>485</v>
      </c>
      <c r="Q158" s="14" t="s">
        <v>497</v>
      </c>
      <c r="R158" s="16" t="s">
        <v>496</v>
      </c>
      <c r="S158" s="15">
        <v>6.6</v>
      </c>
      <c r="T158" s="15">
        <v>1</v>
      </c>
      <c r="U158" s="15">
        <v>0</v>
      </c>
      <c r="V158" s="14">
        <v>2816</v>
      </c>
      <c r="W158" s="12">
        <v>0</v>
      </c>
      <c r="X158" s="12">
        <v>0</v>
      </c>
      <c r="Y158" s="12">
        <v>1</v>
      </c>
      <c r="Z158" s="12">
        <v>14.29</v>
      </c>
      <c r="AA158" s="12">
        <v>0</v>
      </c>
      <c r="AB158" s="13">
        <f t="shared" si="8"/>
        <v>0</v>
      </c>
      <c r="AE158" s="12">
        <v>0</v>
      </c>
      <c r="AF158" s="12">
        <v>0</v>
      </c>
      <c r="AG158" s="12">
        <v>1</v>
      </c>
      <c r="AH158" s="12">
        <v>14.29</v>
      </c>
      <c r="AI158" s="12">
        <v>0</v>
      </c>
      <c r="AJ158" s="13">
        <f t="shared" si="9"/>
        <v>0</v>
      </c>
      <c r="AN158" s="12">
        <f t="shared" si="10"/>
        <v>43057</v>
      </c>
      <c r="AQ158" s="8" t="s">
        <v>419</v>
      </c>
      <c r="AR158" t="str">
        <f t="shared" si="11"/>
        <v>Norte - A04</v>
      </c>
    </row>
    <row r="159" spans="1:44" x14ac:dyDescent="0.2">
      <c r="A159" s="107" t="s">
        <v>6384</v>
      </c>
      <c r="B159" s="106" t="s">
        <v>6383</v>
      </c>
      <c r="C159" s="106" t="s">
        <v>6267</v>
      </c>
      <c r="D159" s="106" t="s">
        <v>633</v>
      </c>
      <c r="E159" s="106" t="s">
        <v>6266</v>
      </c>
      <c r="F159" s="106" t="s">
        <v>490</v>
      </c>
      <c r="G159" s="106" t="s">
        <v>6382</v>
      </c>
      <c r="H159" s="105" t="s">
        <v>6381</v>
      </c>
      <c r="I159" s="105" t="s">
        <v>5445</v>
      </c>
      <c r="J159" s="104">
        <v>3.39</v>
      </c>
      <c r="K159" s="103" t="s">
        <v>424</v>
      </c>
      <c r="L159" s="102" t="s">
        <v>486</v>
      </c>
      <c r="M159" s="95"/>
      <c r="N159" s="14"/>
      <c r="O159" s="94">
        <v>16</v>
      </c>
      <c r="P159" s="14" t="s">
        <v>485</v>
      </c>
      <c r="Q159" s="14" t="s">
        <v>497</v>
      </c>
      <c r="R159" s="16" t="s">
        <v>496</v>
      </c>
      <c r="S159" s="15">
        <v>7</v>
      </c>
      <c r="T159" s="15">
        <v>2.5</v>
      </c>
      <c r="U159" s="15">
        <v>0</v>
      </c>
      <c r="V159" s="14">
        <v>3347</v>
      </c>
      <c r="W159" s="12">
        <v>0</v>
      </c>
      <c r="X159" s="12">
        <v>0</v>
      </c>
      <c r="Y159" s="12">
        <v>0</v>
      </c>
      <c r="Z159" s="12">
        <v>3.39</v>
      </c>
      <c r="AA159" s="12">
        <v>0</v>
      </c>
      <c r="AB159" s="13">
        <f t="shared" si="8"/>
        <v>0</v>
      </c>
      <c r="AE159" s="12">
        <v>0</v>
      </c>
      <c r="AF159" s="12">
        <v>0</v>
      </c>
      <c r="AG159" s="12">
        <v>0</v>
      </c>
      <c r="AH159" s="12">
        <v>3.39</v>
      </c>
      <c r="AI159" s="12">
        <v>0</v>
      </c>
      <c r="AJ159" s="13">
        <f t="shared" si="9"/>
        <v>0</v>
      </c>
      <c r="AN159" s="12">
        <f t="shared" si="10"/>
        <v>11347</v>
      </c>
      <c r="AQ159" s="8" t="s">
        <v>419</v>
      </c>
      <c r="AR159" t="str">
        <f t="shared" si="11"/>
        <v>Norte - A04</v>
      </c>
    </row>
    <row r="160" spans="1:44" x14ac:dyDescent="0.2">
      <c r="A160" s="107" t="s">
        <v>6380</v>
      </c>
      <c r="B160" s="106" t="s">
        <v>6379</v>
      </c>
      <c r="C160" s="106" t="s">
        <v>6267</v>
      </c>
      <c r="D160" s="106" t="s">
        <v>3016</v>
      </c>
      <c r="E160" s="106" t="s">
        <v>6273</v>
      </c>
      <c r="F160" s="106" t="s">
        <v>590</v>
      </c>
      <c r="G160" s="106" t="s">
        <v>6378</v>
      </c>
      <c r="H160" s="105" t="s">
        <v>6377</v>
      </c>
      <c r="I160" s="105" t="s">
        <v>6373</v>
      </c>
      <c r="J160" s="104">
        <v>0.67</v>
      </c>
      <c r="K160" s="103" t="s">
        <v>425</v>
      </c>
      <c r="L160" s="102" t="s">
        <v>486</v>
      </c>
      <c r="M160" s="95"/>
      <c r="N160" s="14"/>
      <c r="O160" s="94">
        <v>17</v>
      </c>
      <c r="P160" s="14" t="s">
        <v>586</v>
      </c>
      <c r="Q160" s="14" t="s">
        <v>497</v>
      </c>
      <c r="R160" s="14" t="s">
        <v>496</v>
      </c>
      <c r="S160" s="15">
        <v>15.1</v>
      </c>
      <c r="T160" s="15">
        <v>0</v>
      </c>
      <c r="U160" s="15">
        <v>0</v>
      </c>
      <c r="V160" s="14">
        <v>1196</v>
      </c>
      <c r="W160" s="12">
        <v>0</v>
      </c>
      <c r="X160" s="12">
        <v>0</v>
      </c>
      <c r="Y160" s="12">
        <v>0</v>
      </c>
      <c r="Z160" s="12">
        <v>0.67</v>
      </c>
      <c r="AA160" s="12">
        <v>0</v>
      </c>
      <c r="AB160" s="13">
        <f t="shared" si="8"/>
        <v>0</v>
      </c>
      <c r="AE160" s="12">
        <v>0</v>
      </c>
      <c r="AF160" s="12">
        <v>0</v>
      </c>
      <c r="AG160" s="12">
        <v>0</v>
      </c>
      <c r="AH160" s="12">
        <v>0.67</v>
      </c>
      <c r="AI160" s="12">
        <v>0</v>
      </c>
      <c r="AJ160" s="13">
        <f t="shared" si="9"/>
        <v>0</v>
      </c>
      <c r="AN160" s="12">
        <f t="shared" si="10"/>
        <v>802</v>
      </c>
      <c r="AQ160" s="8" t="s">
        <v>419</v>
      </c>
      <c r="AR160" t="str">
        <f t="shared" si="11"/>
        <v>Norte - A05</v>
      </c>
    </row>
    <row r="161" spans="1:44" x14ac:dyDescent="0.2">
      <c r="A161" s="107" t="s">
        <v>6376</v>
      </c>
      <c r="B161" s="106" t="s">
        <v>6375</v>
      </c>
      <c r="C161" s="106" t="s">
        <v>6267</v>
      </c>
      <c r="D161" s="106" t="s">
        <v>2825</v>
      </c>
      <c r="E161" s="106" t="s">
        <v>6266</v>
      </c>
      <c r="F161" s="106" t="s">
        <v>490</v>
      </c>
      <c r="G161" s="106" t="s">
        <v>6374</v>
      </c>
      <c r="H161" s="105" t="s">
        <v>6373</v>
      </c>
      <c r="I161" s="105" t="s">
        <v>6369</v>
      </c>
      <c r="J161" s="104">
        <v>28.77</v>
      </c>
      <c r="K161" s="103" t="s">
        <v>425</v>
      </c>
      <c r="L161" s="102" t="s">
        <v>486</v>
      </c>
      <c r="M161" s="95"/>
      <c r="N161" s="14"/>
      <c r="O161" s="94">
        <v>17</v>
      </c>
      <c r="P161" s="14" t="s">
        <v>485</v>
      </c>
      <c r="Q161" s="14" t="s">
        <v>497</v>
      </c>
      <c r="R161" s="14" t="s">
        <v>496</v>
      </c>
      <c r="S161" s="15">
        <v>7.2</v>
      </c>
      <c r="T161" s="15">
        <v>2.1</v>
      </c>
      <c r="U161" s="15">
        <v>0</v>
      </c>
      <c r="V161" s="14">
        <v>3300</v>
      </c>
      <c r="W161" s="12">
        <v>0</v>
      </c>
      <c r="X161" s="12">
        <v>0</v>
      </c>
      <c r="Y161" s="12">
        <v>0</v>
      </c>
      <c r="Z161" s="12">
        <v>28.77</v>
      </c>
      <c r="AA161" s="12">
        <v>0</v>
      </c>
      <c r="AB161" s="13">
        <f t="shared" si="8"/>
        <v>0</v>
      </c>
      <c r="AE161" s="12">
        <v>0</v>
      </c>
      <c r="AF161" s="12">
        <v>0</v>
      </c>
      <c r="AG161" s="12">
        <v>0</v>
      </c>
      <c r="AH161" s="12">
        <v>28.77</v>
      </c>
      <c r="AI161" s="12">
        <v>0</v>
      </c>
      <c r="AJ161" s="13">
        <f t="shared" si="9"/>
        <v>0</v>
      </c>
      <c r="AN161" s="12">
        <f t="shared" si="10"/>
        <v>94941</v>
      </c>
      <c r="AQ161" s="8" t="s">
        <v>419</v>
      </c>
      <c r="AR161" t="str">
        <f t="shared" si="11"/>
        <v>Norte - A05</v>
      </c>
    </row>
    <row r="162" spans="1:44" x14ac:dyDescent="0.2">
      <c r="A162" s="107" t="s">
        <v>6372</v>
      </c>
      <c r="B162" s="106" t="s">
        <v>6371</v>
      </c>
      <c r="C162" s="106" t="s">
        <v>6267</v>
      </c>
      <c r="D162" s="106" t="s">
        <v>2682</v>
      </c>
      <c r="E162" s="106" t="s">
        <v>6266</v>
      </c>
      <c r="F162" s="106" t="s">
        <v>490</v>
      </c>
      <c r="G162" s="106" t="s">
        <v>6370</v>
      </c>
      <c r="H162" s="105" t="s">
        <v>6369</v>
      </c>
      <c r="I162" s="105" t="s">
        <v>6365</v>
      </c>
      <c r="J162" s="104">
        <v>2.11</v>
      </c>
      <c r="K162" s="103" t="s">
        <v>425</v>
      </c>
      <c r="L162" s="102" t="s">
        <v>486</v>
      </c>
      <c r="M162" s="95"/>
      <c r="N162" s="14"/>
      <c r="O162" s="94">
        <v>17</v>
      </c>
      <c r="P162" s="14" t="s">
        <v>485</v>
      </c>
      <c r="Q162" s="14" t="s">
        <v>497</v>
      </c>
      <c r="R162" s="14" t="s">
        <v>496</v>
      </c>
      <c r="S162" s="15">
        <v>7.2</v>
      </c>
      <c r="T162" s="15">
        <v>2.1</v>
      </c>
      <c r="U162" s="15">
        <v>0</v>
      </c>
      <c r="V162" s="14">
        <v>3289</v>
      </c>
      <c r="W162" s="12">
        <v>0</v>
      </c>
      <c r="X162" s="12">
        <v>0</v>
      </c>
      <c r="Y162" s="12">
        <v>0</v>
      </c>
      <c r="Z162" s="12">
        <v>2.11</v>
      </c>
      <c r="AA162" s="12">
        <v>0</v>
      </c>
      <c r="AB162" s="13">
        <f t="shared" si="8"/>
        <v>0</v>
      </c>
      <c r="AE162" s="12">
        <v>0</v>
      </c>
      <c r="AF162" s="12">
        <v>0</v>
      </c>
      <c r="AG162" s="12">
        <v>0</v>
      </c>
      <c r="AH162" s="12">
        <v>2.11</v>
      </c>
      <c r="AI162" s="12">
        <v>0</v>
      </c>
      <c r="AJ162" s="13">
        <f t="shared" si="9"/>
        <v>0</v>
      </c>
      <c r="AN162" s="12">
        <f t="shared" si="10"/>
        <v>6940</v>
      </c>
      <c r="AQ162" s="8" t="s">
        <v>419</v>
      </c>
      <c r="AR162" t="str">
        <f t="shared" si="11"/>
        <v>Norte - A05</v>
      </c>
    </row>
    <row r="163" spans="1:44" x14ac:dyDescent="0.2">
      <c r="A163" s="107" t="s">
        <v>6368</v>
      </c>
      <c r="B163" s="106" t="s">
        <v>6367</v>
      </c>
      <c r="C163" s="106" t="s">
        <v>6267</v>
      </c>
      <c r="D163" s="106" t="s">
        <v>2671</v>
      </c>
      <c r="E163" s="106" t="s">
        <v>6266</v>
      </c>
      <c r="F163" s="106" t="s">
        <v>490</v>
      </c>
      <c r="G163" s="106" t="s">
        <v>6366</v>
      </c>
      <c r="H163" s="105" t="s">
        <v>6365</v>
      </c>
      <c r="I163" s="105" t="s">
        <v>6361</v>
      </c>
      <c r="J163" s="104">
        <v>6.12</v>
      </c>
      <c r="K163" s="103" t="s">
        <v>425</v>
      </c>
      <c r="L163" s="102" t="s">
        <v>486</v>
      </c>
      <c r="M163" s="95"/>
      <c r="N163" s="14"/>
      <c r="O163" s="94">
        <v>17</v>
      </c>
      <c r="P163" s="14" t="s">
        <v>485</v>
      </c>
      <c r="Q163" s="14" t="s">
        <v>497</v>
      </c>
      <c r="R163" s="14" t="s">
        <v>496</v>
      </c>
      <c r="S163" s="15">
        <v>7.2</v>
      </c>
      <c r="T163" s="15">
        <v>2.1</v>
      </c>
      <c r="U163" s="15">
        <v>0</v>
      </c>
      <c r="V163" s="14">
        <v>3289</v>
      </c>
      <c r="W163" s="12">
        <v>0</v>
      </c>
      <c r="X163" s="12">
        <v>0</v>
      </c>
      <c r="Y163" s="12">
        <v>0.12000000000000011</v>
      </c>
      <c r="Z163" s="12">
        <v>6</v>
      </c>
      <c r="AA163" s="12">
        <v>0</v>
      </c>
      <c r="AB163" s="13">
        <f t="shared" si="8"/>
        <v>0</v>
      </c>
      <c r="AE163" s="12">
        <v>0</v>
      </c>
      <c r="AF163" s="12">
        <v>0</v>
      </c>
      <c r="AG163" s="12">
        <v>0.12000000000000011</v>
      </c>
      <c r="AH163" s="12">
        <v>6</v>
      </c>
      <c r="AI163" s="12">
        <v>0</v>
      </c>
      <c r="AJ163" s="13">
        <f t="shared" si="9"/>
        <v>0</v>
      </c>
      <c r="AN163" s="12">
        <f t="shared" si="10"/>
        <v>20129</v>
      </c>
      <c r="AQ163" s="8" t="s">
        <v>419</v>
      </c>
      <c r="AR163" t="str">
        <f t="shared" si="11"/>
        <v>Norte - A05</v>
      </c>
    </row>
    <row r="164" spans="1:44" x14ac:dyDescent="0.2">
      <c r="A164" s="107" t="s">
        <v>6364</v>
      </c>
      <c r="B164" s="106" t="s">
        <v>6363</v>
      </c>
      <c r="C164" s="106" t="s">
        <v>6267</v>
      </c>
      <c r="D164" s="106" t="s">
        <v>2651</v>
      </c>
      <c r="E164" s="106" t="s">
        <v>6266</v>
      </c>
      <c r="F164" s="106" t="s">
        <v>490</v>
      </c>
      <c r="G164" s="106" t="s">
        <v>6362</v>
      </c>
      <c r="H164" s="105" t="s">
        <v>6361</v>
      </c>
      <c r="I164" s="105" t="s">
        <v>6357</v>
      </c>
      <c r="J164" s="104">
        <v>6.82</v>
      </c>
      <c r="K164" s="103" t="s">
        <v>425</v>
      </c>
      <c r="L164" s="102" t="s">
        <v>486</v>
      </c>
      <c r="M164" s="95"/>
      <c r="N164" s="14"/>
      <c r="O164" s="94">
        <v>17</v>
      </c>
      <c r="P164" s="14" t="s">
        <v>485</v>
      </c>
      <c r="Q164" s="14" t="s">
        <v>497</v>
      </c>
      <c r="R164" s="14" t="s">
        <v>496</v>
      </c>
      <c r="S164" s="15">
        <v>7.2</v>
      </c>
      <c r="T164" s="15">
        <v>2.1</v>
      </c>
      <c r="U164" s="15">
        <v>0</v>
      </c>
      <c r="V164" s="14">
        <v>2693</v>
      </c>
      <c r="W164" s="12">
        <v>0</v>
      </c>
      <c r="X164" s="12">
        <v>0</v>
      </c>
      <c r="Y164" s="12">
        <v>2</v>
      </c>
      <c r="Z164" s="12">
        <v>4.82</v>
      </c>
      <c r="AA164" s="12">
        <v>0</v>
      </c>
      <c r="AB164" s="13">
        <f t="shared" si="8"/>
        <v>0</v>
      </c>
      <c r="AE164" s="12">
        <v>0</v>
      </c>
      <c r="AF164" s="12">
        <v>0</v>
      </c>
      <c r="AG164" s="12">
        <v>2</v>
      </c>
      <c r="AH164" s="12">
        <v>4.82</v>
      </c>
      <c r="AI164" s="12">
        <v>0</v>
      </c>
      <c r="AJ164" s="13">
        <f t="shared" si="9"/>
        <v>0</v>
      </c>
      <c r="AN164" s="12">
        <f t="shared" si="10"/>
        <v>18367</v>
      </c>
      <c r="AQ164" s="8" t="s">
        <v>419</v>
      </c>
      <c r="AR164" t="str">
        <f t="shared" si="11"/>
        <v>Norte - A05</v>
      </c>
    </row>
    <row r="165" spans="1:44" x14ac:dyDescent="0.2">
      <c r="A165" s="107" t="s">
        <v>6360</v>
      </c>
      <c r="B165" s="106" t="s">
        <v>6359</v>
      </c>
      <c r="C165" s="106" t="s">
        <v>6267</v>
      </c>
      <c r="D165" s="106" t="s">
        <v>2646</v>
      </c>
      <c r="E165" s="106" t="s">
        <v>6266</v>
      </c>
      <c r="F165" s="106" t="s">
        <v>490</v>
      </c>
      <c r="G165" s="106" t="s">
        <v>6358</v>
      </c>
      <c r="H165" s="105" t="s">
        <v>6357</v>
      </c>
      <c r="I165" s="105" t="s">
        <v>6356</v>
      </c>
      <c r="J165" s="104">
        <v>0.98</v>
      </c>
      <c r="K165" s="103" t="s">
        <v>425</v>
      </c>
      <c r="L165" s="102" t="s">
        <v>486</v>
      </c>
      <c r="M165" s="95"/>
      <c r="N165" s="14"/>
      <c r="O165" s="94">
        <v>17</v>
      </c>
      <c r="P165" s="14" t="s">
        <v>485</v>
      </c>
      <c r="Q165" s="14" t="s">
        <v>497</v>
      </c>
      <c r="R165" s="14" t="s">
        <v>496</v>
      </c>
      <c r="S165" s="15">
        <v>7.2</v>
      </c>
      <c r="T165" s="15">
        <v>2.1</v>
      </c>
      <c r="U165" s="15">
        <v>0</v>
      </c>
      <c r="V165" s="14">
        <v>2354</v>
      </c>
      <c r="W165" s="12">
        <v>0</v>
      </c>
      <c r="X165" s="12">
        <v>0</v>
      </c>
      <c r="Y165" s="12">
        <v>0</v>
      </c>
      <c r="Z165" s="12">
        <v>0.98</v>
      </c>
      <c r="AA165" s="12">
        <v>0</v>
      </c>
      <c r="AB165" s="13">
        <f t="shared" si="8"/>
        <v>0</v>
      </c>
      <c r="AE165" s="12">
        <v>0</v>
      </c>
      <c r="AF165" s="12">
        <v>0</v>
      </c>
      <c r="AG165" s="12">
        <v>0</v>
      </c>
      <c r="AH165" s="12">
        <v>0.98</v>
      </c>
      <c r="AI165" s="12">
        <v>0</v>
      </c>
      <c r="AJ165" s="13">
        <f t="shared" si="9"/>
        <v>0</v>
      </c>
      <c r="AN165" s="12">
        <f t="shared" si="10"/>
        <v>2307</v>
      </c>
      <c r="AQ165" s="8" t="s">
        <v>419</v>
      </c>
      <c r="AR165" t="str">
        <f t="shared" si="11"/>
        <v>Norte - A05</v>
      </c>
    </row>
    <row r="166" spans="1:44" x14ac:dyDescent="0.2">
      <c r="A166" s="107" t="s">
        <v>6355</v>
      </c>
      <c r="B166" s="106" t="s">
        <v>6354</v>
      </c>
      <c r="C166" s="106" t="s">
        <v>6267</v>
      </c>
      <c r="D166" s="106" t="s">
        <v>2620</v>
      </c>
      <c r="E166" s="106" t="s">
        <v>6266</v>
      </c>
      <c r="F166" s="106" t="s">
        <v>490</v>
      </c>
      <c r="G166" s="106" t="s">
        <v>6353</v>
      </c>
      <c r="H166" s="105" t="s">
        <v>6352</v>
      </c>
      <c r="I166" s="105" t="s">
        <v>6351</v>
      </c>
      <c r="J166" s="104">
        <v>21.53</v>
      </c>
      <c r="K166" s="103" t="s">
        <v>428</v>
      </c>
      <c r="L166" s="102" t="s">
        <v>486</v>
      </c>
      <c r="M166" s="95"/>
      <c r="N166" s="17"/>
      <c r="O166" s="18" t="s">
        <v>452</v>
      </c>
      <c r="P166" s="14" t="s">
        <v>485</v>
      </c>
      <c r="Q166" s="14" t="s">
        <v>497</v>
      </c>
      <c r="R166" s="14" t="s">
        <v>496</v>
      </c>
      <c r="S166" s="15">
        <v>7.8</v>
      </c>
      <c r="T166" s="15">
        <v>0.6</v>
      </c>
      <c r="U166" s="15">
        <v>0</v>
      </c>
      <c r="V166" s="14">
        <v>1862</v>
      </c>
      <c r="W166" s="12">
        <v>0</v>
      </c>
      <c r="X166" s="12">
        <v>3</v>
      </c>
      <c r="Y166" s="12">
        <v>18.53</v>
      </c>
      <c r="Z166" s="12">
        <v>0</v>
      </c>
      <c r="AA166" s="12">
        <v>0</v>
      </c>
      <c r="AB166" s="13">
        <f t="shared" si="8"/>
        <v>0</v>
      </c>
      <c r="AE166" s="12">
        <v>0</v>
      </c>
      <c r="AF166" s="12">
        <v>3</v>
      </c>
      <c r="AG166" s="12">
        <v>18.53</v>
      </c>
      <c r="AH166" s="12">
        <v>0</v>
      </c>
      <c r="AI166" s="12">
        <v>0</v>
      </c>
      <c r="AJ166" s="13">
        <f t="shared" si="9"/>
        <v>0</v>
      </c>
      <c r="AN166" s="12">
        <f t="shared" si="10"/>
        <v>40089</v>
      </c>
      <c r="AQ166" s="8" t="s">
        <v>419</v>
      </c>
      <c r="AR166" t="str">
        <f t="shared" si="11"/>
        <v>Norte - A08</v>
      </c>
    </row>
    <row r="167" spans="1:44" x14ac:dyDescent="0.2">
      <c r="A167" s="107" t="s">
        <v>6350</v>
      </c>
      <c r="B167" s="106" t="s">
        <v>6349</v>
      </c>
      <c r="C167" s="106" t="s">
        <v>6267</v>
      </c>
      <c r="D167" s="106" t="s">
        <v>2602</v>
      </c>
      <c r="E167" s="106" t="s">
        <v>6266</v>
      </c>
      <c r="F167" s="106" t="s">
        <v>490</v>
      </c>
      <c r="G167" s="106" t="s">
        <v>6348</v>
      </c>
      <c r="H167" s="105" t="s">
        <v>6347</v>
      </c>
      <c r="I167" s="105" t="s">
        <v>6343</v>
      </c>
      <c r="J167" s="104">
        <v>1.03</v>
      </c>
      <c r="K167" s="103" t="s">
        <v>428</v>
      </c>
      <c r="L167" s="102" t="s">
        <v>486</v>
      </c>
      <c r="M167" s="95"/>
      <c r="N167" s="14"/>
      <c r="O167" s="94">
        <v>20</v>
      </c>
      <c r="P167" s="14" t="s">
        <v>485</v>
      </c>
      <c r="Q167" s="14" t="s">
        <v>497</v>
      </c>
      <c r="R167" s="14" t="s">
        <v>496</v>
      </c>
      <c r="S167" s="15">
        <v>7.8</v>
      </c>
      <c r="T167" s="15">
        <v>0.6</v>
      </c>
      <c r="U167" s="15">
        <v>0</v>
      </c>
      <c r="V167" s="14">
        <v>1007</v>
      </c>
      <c r="W167" s="12">
        <v>0</v>
      </c>
      <c r="X167" s="12">
        <v>0</v>
      </c>
      <c r="Y167" s="12">
        <v>1.03</v>
      </c>
      <c r="Z167" s="12">
        <v>0</v>
      </c>
      <c r="AA167" s="12">
        <v>0</v>
      </c>
      <c r="AB167" s="13">
        <f t="shared" si="8"/>
        <v>0</v>
      </c>
      <c r="AE167" s="12">
        <v>0</v>
      </c>
      <c r="AF167" s="12">
        <v>0</v>
      </c>
      <c r="AG167" s="12">
        <v>1.03</v>
      </c>
      <c r="AH167" s="12">
        <v>0</v>
      </c>
      <c r="AI167" s="12">
        <v>0</v>
      </c>
      <c r="AJ167" s="13">
        <f t="shared" si="9"/>
        <v>0</v>
      </c>
      <c r="AN167" s="12">
        <f t="shared" si="10"/>
        <v>1038</v>
      </c>
      <c r="AQ167" s="8" t="s">
        <v>419</v>
      </c>
      <c r="AR167" t="str">
        <f t="shared" si="11"/>
        <v>Norte - A08</v>
      </c>
    </row>
    <row r="168" spans="1:44" x14ac:dyDescent="0.2">
      <c r="A168" s="107" t="s">
        <v>6346</v>
      </c>
      <c r="B168" s="106" t="s">
        <v>6345</v>
      </c>
      <c r="C168" s="106" t="s">
        <v>6267</v>
      </c>
      <c r="D168" s="106" t="s">
        <v>5154</v>
      </c>
      <c r="E168" s="106" t="s">
        <v>6266</v>
      </c>
      <c r="F168" s="106" t="s">
        <v>490</v>
      </c>
      <c r="G168" s="106" t="s">
        <v>6344</v>
      </c>
      <c r="H168" s="105" t="s">
        <v>6343</v>
      </c>
      <c r="I168" s="105" t="s">
        <v>6339</v>
      </c>
      <c r="J168" s="104">
        <v>10.28</v>
      </c>
      <c r="K168" s="103" t="s">
        <v>428</v>
      </c>
      <c r="L168" s="102" t="s">
        <v>486</v>
      </c>
      <c r="M168" s="95"/>
      <c r="N168" s="14"/>
      <c r="O168" s="94">
        <v>20</v>
      </c>
      <c r="P168" s="14" t="s">
        <v>485</v>
      </c>
      <c r="Q168" s="14" t="s">
        <v>497</v>
      </c>
      <c r="R168" s="14" t="s">
        <v>496</v>
      </c>
      <c r="S168" s="15">
        <v>7</v>
      </c>
      <c r="T168" s="15">
        <v>0.7</v>
      </c>
      <c r="U168" s="15">
        <v>0</v>
      </c>
      <c r="V168" s="14">
        <v>318</v>
      </c>
      <c r="W168" s="12">
        <v>0</v>
      </c>
      <c r="X168" s="12">
        <v>0</v>
      </c>
      <c r="Y168" s="12">
        <v>2</v>
      </c>
      <c r="Z168" s="12">
        <v>8.2799999999999994</v>
      </c>
      <c r="AA168" s="12">
        <v>0</v>
      </c>
      <c r="AB168" s="13">
        <f t="shared" si="8"/>
        <v>0</v>
      </c>
      <c r="AE168" s="12">
        <v>0</v>
      </c>
      <c r="AF168" s="12">
        <v>0</v>
      </c>
      <c r="AG168" s="12">
        <v>2</v>
      </c>
      <c r="AH168" s="12">
        <v>8.2799999999999994</v>
      </c>
      <c r="AI168" s="12">
        <v>0</v>
      </c>
      <c r="AJ168" s="13">
        <f t="shared" si="9"/>
        <v>0</v>
      </c>
      <c r="AN168" s="12">
        <f t="shared" si="10"/>
        <v>3270</v>
      </c>
      <c r="AQ168" s="8" t="s">
        <v>419</v>
      </c>
      <c r="AR168" t="str">
        <f t="shared" si="11"/>
        <v>Norte - A08</v>
      </c>
    </row>
    <row r="169" spans="1:44" x14ac:dyDescent="0.2">
      <c r="A169" s="107" t="s">
        <v>6342</v>
      </c>
      <c r="B169" s="106" t="s">
        <v>6341</v>
      </c>
      <c r="C169" s="106" t="s">
        <v>6267</v>
      </c>
      <c r="D169" s="106" t="s">
        <v>5271</v>
      </c>
      <c r="E169" s="106" t="s">
        <v>6266</v>
      </c>
      <c r="F169" s="106" t="s">
        <v>490</v>
      </c>
      <c r="G169" s="106" t="s">
        <v>6340</v>
      </c>
      <c r="H169" s="105" t="s">
        <v>6339</v>
      </c>
      <c r="I169" s="105" t="s">
        <v>6335</v>
      </c>
      <c r="J169" s="104">
        <v>19.39</v>
      </c>
      <c r="K169" s="103" t="s">
        <v>423</v>
      </c>
      <c r="L169" s="102" t="s">
        <v>577</v>
      </c>
      <c r="M169" s="95"/>
      <c r="N169" s="17"/>
      <c r="O169" s="94">
        <v>8</v>
      </c>
      <c r="P169" s="14" t="s">
        <v>485</v>
      </c>
      <c r="Q169" s="14" t="s">
        <v>865</v>
      </c>
      <c r="R169" s="14" t="s">
        <v>576</v>
      </c>
      <c r="S169" s="15">
        <v>7</v>
      </c>
      <c r="T169" s="15">
        <v>1</v>
      </c>
      <c r="U169" s="15">
        <v>0</v>
      </c>
      <c r="V169" s="14">
        <v>1772</v>
      </c>
      <c r="W169" s="12">
        <v>0</v>
      </c>
      <c r="X169" s="12">
        <v>5</v>
      </c>
      <c r="Y169" s="12">
        <v>14.39</v>
      </c>
      <c r="Z169" s="12">
        <v>0</v>
      </c>
      <c r="AA169" s="12">
        <v>0</v>
      </c>
      <c r="AB169" s="13">
        <f t="shared" si="8"/>
        <v>0</v>
      </c>
      <c r="AE169" s="12">
        <v>0</v>
      </c>
      <c r="AF169" s="12">
        <v>5</v>
      </c>
      <c r="AG169" s="12">
        <v>14.39</v>
      </c>
      <c r="AH169" s="12">
        <v>0</v>
      </c>
      <c r="AI169" s="12">
        <v>0</v>
      </c>
      <c r="AJ169" s="13">
        <f t="shared" si="9"/>
        <v>0</v>
      </c>
      <c r="AN169" s="12">
        <f t="shared" si="10"/>
        <v>34360</v>
      </c>
      <c r="AQ169" s="8" t="s">
        <v>420</v>
      </c>
      <c r="AR169" t="str">
        <f t="shared" si="11"/>
        <v>Campos Gerais - A03</v>
      </c>
    </row>
    <row r="170" spans="1:44" x14ac:dyDescent="0.2">
      <c r="A170" s="107" t="s">
        <v>6338</v>
      </c>
      <c r="B170" s="106" t="s">
        <v>6337</v>
      </c>
      <c r="C170" s="106" t="s">
        <v>6267</v>
      </c>
      <c r="D170" s="106" t="s">
        <v>2586</v>
      </c>
      <c r="E170" s="106" t="s">
        <v>6266</v>
      </c>
      <c r="F170" s="106" t="s">
        <v>490</v>
      </c>
      <c r="G170" s="106" t="s">
        <v>6336</v>
      </c>
      <c r="H170" s="105" t="s">
        <v>6335</v>
      </c>
      <c r="I170" s="105" t="s">
        <v>6331</v>
      </c>
      <c r="J170" s="104">
        <v>8.99</v>
      </c>
      <c r="K170" s="103" t="s">
        <v>423</v>
      </c>
      <c r="L170" s="102" t="s">
        <v>577</v>
      </c>
      <c r="M170" s="95"/>
      <c r="N170" s="17"/>
      <c r="O170" s="94">
        <v>8</v>
      </c>
      <c r="P170" s="14" t="s">
        <v>485</v>
      </c>
      <c r="Q170" s="14" t="s">
        <v>865</v>
      </c>
      <c r="R170" s="14" t="s">
        <v>576</v>
      </c>
      <c r="S170" s="15">
        <v>7</v>
      </c>
      <c r="T170" s="15">
        <v>1</v>
      </c>
      <c r="U170" s="15">
        <v>0</v>
      </c>
      <c r="V170" s="14">
        <v>2563</v>
      </c>
      <c r="W170" s="12">
        <v>0</v>
      </c>
      <c r="X170" s="12">
        <v>2</v>
      </c>
      <c r="Y170" s="12">
        <v>6.99</v>
      </c>
      <c r="Z170" s="12">
        <v>0</v>
      </c>
      <c r="AA170" s="12">
        <v>0</v>
      </c>
      <c r="AB170" s="13">
        <f t="shared" si="8"/>
        <v>0</v>
      </c>
      <c r="AE170" s="12">
        <v>0</v>
      </c>
      <c r="AF170" s="12">
        <v>2</v>
      </c>
      <c r="AG170" s="12">
        <v>6.99</v>
      </c>
      <c r="AH170" s="12">
        <v>0</v>
      </c>
      <c r="AI170" s="12">
        <v>0</v>
      </c>
      <c r="AJ170" s="13">
        <f t="shared" si="9"/>
        <v>0</v>
      </c>
      <c r="AN170" s="12">
        <f t="shared" si="10"/>
        <v>23042</v>
      </c>
      <c r="AQ170" s="8" t="s">
        <v>420</v>
      </c>
      <c r="AR170" t="str">
        <f t="shared" si="11"/>
        <v>Campos Gerais - A03</v>
      </c>
    </row>
    <row r="171" spans="1:44" x14ac:dyDescent="0.2">
      <c r="A171" s="107" t="s">
        <v>6334</v>
      </c>
      <c r="B171" s="106" t="s">
        <v>6333</v>
      </c>
      <c r="C171" s="106" t="s">
        <v>6267</v>
      </c>
      <c r="D171" s="106" t="s">
        <v>2567</v>
      </c>
      <c r="E171" s="106" t="s">
        <v>6266</v>
      </c>
      <c r="F171" s="106" t="s">
        <v>490</v>
      </c>
      <c r="G171" s="106" t="s">
        <v>6332</v>
      </c>
      <c r="H171" s="105" t="s">
        <v>6331</v>
      </c>
      <c r="I171" s="105" t="s">
        <v>6327</v>
      </c>
      <c r="J171" s="104">
        <v>4.5199999999999996</v>
      </c>
      <c r="K171" s="103" t="s">
        <v>423</v>
      </c>
      <c r="L171" s="102" t="s">
        <v>577</v>
      </c>
      <c r="M171" s="95"/>
      <c r="N171" s="17"/>
      <c r="O171" s="94">
        <v>8</v>
      </c>
      <c r="P171" s="14" t="s">
        <v>485</v>
      </c>
      <c r="Q171" s="14" t="s">
        <v>865</v>
      </c>
      <c r="R171" s="14" t="s">
        <v>576</v>
      </c>
      <c r="S171" s="15">
        <v>7</v>
      </c>
      <c r="T171" s="15">
        <v>0</v>
      </c>
      <c r="U171" s="15">
        <v>0</v>
      </c>
      <c r="V171" s="14">
        <v>2563</v>
      </c>
      <c r="W171" s="12">
        <v>0</v>
      </c>
      <c r="X171" s="12">
        <v>0</v>
      </c>
      <c r="Y171" s="12">
        <v>4</v>
      </c>
      <c r="Z171" s="12">
        <v>0.51999999999999957</v>
      </c>
      <c r="AA171" s="12">
        <v>0</v>
      </c>
      <c r="AB171" s="13">
        <f t="shared" si="8"/>
        <v>0</v>
      </c>
      <c r="AE171" s="12">
        <v>0</v>
      </c>
      <c r="AF171" s="12">
        <v>0</v>
      </c>
      <c r="AG171" s="12">
        <v>4</v>
      </c>
      <c r="AH171" s="12">
        <v>0.51999999999999957</v>
      </c>
      <c r="AI171" s="12">
        <v>0</v>
      </c>
      <c r="AJ171" s="13">
        <f t="shared" si="9"/>
        <v>0</v>
      </c>
      <c r="AN171" s="12">
        <f t="shared" si="10"/>
        <v>11585</v>
      </c>
      <c r="AQ171" s="8" t="s">
        <v>420</v>
      </c>
      <c r="AR171" t="str">
        <f t="shared" si="11"/>
        <v>Campos Gerais - A03</v>
      </c>
    </row>
    <row r="172" spans="1:44" x14ac:dyDescent="0.2">
      <c r="A172" s="107" t="s">
        <v>6330</v>
      </c>
      <c r="B172" s="106" t="s">
        <v>6329</v>
      </c>
      <c r="C172" s="106" t="s">
        <v>6267</v>
      </c>
      <c r="D172" s="106" t="s">
        <v>2560</v>
      </c>
      <c r="E172" s="106" t="s">
        <v>6266</v>
      </c>
      <c r="F172" s="106" t="s">
        <v>490</v>
      </c>
      <c r="G172" s="106" t="s">
        <v>6328</v>
      </c>
      <c r="H172" s="105" t="s">
        <v>6327</v>
      </c>
      <c r="I172" s="105" t="s">
        <v>6323</v>
      </c>
      <c r="J172" s="104">
        <v>0.56000000000000005</v>
      </c>
      <c r="K172" s="103" t="s">
        <v>423</v>
      </c>
      <c r="L172" s="102" t="s">
        <v>577</v>
      </c>
      <c r="M172" s="95"/>
      <c r="N172" s="17"/>
      <c r="O172" s="94">
        <v>8</v>
      </c>
      <c r="P172" s="14" t="s">
        <v>485</v>
      </c>
      <c r="Q172" s="14" t="s">
        <v>865</v>
      </c>
      <c r="R172" s="14" t="s">
        <v>576</v>
      </c>
      <c r="S172" s="15">
        <v>7</v>
      </c>
      <c r="T172" s="15">
        <v>1</v>
      </c>
      <c r="U172" s="15">
        <v>0</v>
      </c>
      <c r="V172" s="14">
        <v>2563</v>
      </c>
      <c r="W172" s="12">
        <v>0</v>
      </c>
      <c r="X172" s="12">
        <v>0</v>
      </c>
      <c r="Y172" s="12">
        <v>0.56000000000000005</v>
      </c>
      <c r="Z172" s="12">
        <v>0</v>
      </c>
      <c r="AA172" s="12">
        <v>0</v>
      </c>
      <c r="AB172" s="13">
        <f t="shared" si="8"/>
        <v>0</v>
      </c>
      <c r="AE172" s="12">
        <v>0</v>
      </c>
      <c r="AF172" s="12">
        <v>0</v>
      </c>
      <c r="AG172" s="12">
        <v>0.56000000000000005</v>
      </c>
      <c r="AH172" s="12">
        <v>0</v>
      </c>
      <c r="AI172" s="12">
        <v>0</v>
      </c>
      <c r="AJ172" s="13">
        <f t="shared" si="9"/>
        <v>0</v>
      </c>
      <c r="AN172" s="12">
        <f t="shared" si="10"/>
        <v>1436</v>
      </c>
      <c r="AQ172" s="8" t="s">
        <v>420</v>
      </c>
      <c r="AR172" t="str">
        <f t="shared" si="11"/>
        <v>Campos Gerais - A03</v>
      </c>
    </row>
    <row r="173" spans="1:44" x14ac:dyDescent="0.2">
      <c r="A173" s="107" t="s">
        <v>6326</v>
      </c>
      <c r="B173" s="106" t="s">
        <v>6325</v>
      </c>
      <c r="C173" s="106" t="s">
        <v>6267</v>
      </c>
      <c r="D173" s="106" t="s">
        <v>6046</v>
      </c>
      <c r="E173" s="106" t="s">
        <v>6266</v>
      </c>
      <c r="F173" s="106" t="s">
        <v>490</v>
      </c>
      <c r="G173" s="106" t="s">
        <v>6324</v>
      </c>
      <c r="H173" s="105" t="s">
        <v>6323</v>
      </c>
      <c r="I173" s="105" t="s">
        <v>6319</v>
      </c>
      <c r="J173" s="104">
        <v>2.34</v>
      </c>
      <c r="K173" s="103" t="s">
        <v>423</v>
      </c>
      <c r="L173" s="102" t="s">
        <v>577</v>
      </c>
      <c r="M173" s="95"/>
      <c r="N173" s="17"/>
      <c r="O173" s="94">
        <v>8</v>
      </c>
      <c r="P173" s="14" t="s">
        <v>485</v>
      </c>
      <c r="Q173" s="14" t="s">
        <v>865</v>
      </c>
      <c r="R173" s="14" t="s">
        <v>576</v>
      </c>
      <c r="S173" s="15">
        <v>8.5</v>
      </c>
      <c r="T173" s="15">
        <v>1</v>
      </c>
      <c r="U173" s="15">
        <v>1.1000000000000001</v>
      </c>
      <c r="V173" s="14">
        <v>2563</v>
      </c>
      <c r="W173" s="12">
        <v>0</v>
      </c>
      <c r="X173" s="12">
        <v>0</v>
      </c>
      <c r="Y173" s="12">
        <v>0</v>
      </c>
      <c r="Z173" s="12">
        <v>2.34</v>
      </c>
      <c r="AA173" s="12">
        <v>0</v>
      </c>
      <c r="AB173" s="13">
        <f t="shared" si="8"/>
        <v>0</v>
      </c>
      <c r="AE173" s="12">
        <v>0</v>
      </c>
      <c r="AF173" s="12">
        <v>0</v>
      </c>
      <c r="AG173" s="12">
        <v>0</v>
      </c>
      <c r="AH173" s="12">
        <v>2.34</v>
      </c>
      <c r="AI173" s="12">
        <v>0</v>
      </c>
      <c r="AJ173" s="13">
        <f t="shared" si="9"/>
        <v>0</v>
      </c>
      <c r="AN173" s="12">
        <f t="shared" si="10"/>
        <v>5998</v>
      </c>
      <c r="AQ173" s="8" t="s">
        <v>420</v>
      </c>
      <c r="AR173" t="str">
        <f t="shared" si="11"/>
        <v>Campos Gerais - A03</v>
      </c>
    </row>
    <row r="174" spans="1:44" x14ac:dyDescent="0.2">
      <c r="A174" s="107" t="s">
        <v>6322</v>
      </c>
      <c r="B174" s="106" t="s">
        <v>6321</v>
      </c>
      <c r="C174" s="106" t="s">
        <v>6267</v>
      </c>
      <c r="D174" s="106" t="s">
        <v>6030</v>
      </c>
      <c r="E174" s="106" t="s">
        <v>6266</v>
      </c>
      <c r="F174" s="106" t="s">
        <v>490</v>
      </c>
      <c r="G174" s="106" t="s">
        <v>6320</v>
      </c>
      <c r="H174" s="105" t="s">
        <v>6319</v>
      </c>
      <c r="I174" s="105" t="s">
        <v>6315</v>
      </c>
      <c r="J174" s="104">
        <v>0.41</v>
      </c>
      <c r="K174" s="103" t="s">
        <v>423</v>
      </c>
      <c r="L174" s="102" t="s">
        <v>577</v>
      </c>
      <c r="M174" s="95"/>
      <c r="N174" s="17"/>
      <c r="O174" s="94">
        <v>8</v>
      </c>
      <c r="P174" s="14" t="s">
        <v>485</v>
      </c>
      <c r="Q174" s="14" t="s">
        <v>865</v>
      </c>
      <c r="R174" s="14" t="s">
        <v>576</v>
      </c>
      <c r="S174" s="15">
        <v>7</v>
      </c>
      <c r="T174" s="15">
        <v>1</v>
      </c>
      <c r="U174" s="15">
        <v>0</v>
      </c>
      <c r="V174" s="14">
        <v>2563</v>
      </c>
      <c r="W174" s="12">
        <v>0</v>
      </c>
      <c r="X174" s="12">
        <v>0.41</v>
      </c>
      <c r="Y174" s="12">
        <v>0</v>
      </c>
      <c r="Z174" s="12">
        <v>0</v>
      </c>
      <c r="AA174" s="12">
        <v>0</v>
      </c>
      <c r="AB174" s="13">
        <f t="shared" si="8"/>
        <v>0</v>
      </c>
      <c r="AE174" s="12">
        <v>0</v>
      </c>
      <c r="AF174" s="12">
        <v>0.41</v>
      </c>
      <c r="AG174" s="12">
        <v>0</v>
      </c>
      <c r="AH174" s="12">
        <v>0</v>
      </c>
      <c r="AI174" s="12">
        <v>0</v>
      </c>
      <c r="AJ174" s="13">
        <f t="shared" si="9"/>
        <v>0</v>
      </c>
      <c r="AN174" s="12">
        <f t="shared" si="10"/>
        <v>1051</v>
      </c>
      <c r="AQ174" s="8" t="s">
        <v>420</v>
      </c>
      <c r="AR174" t="str">
        <f t="shared" si="11"/>
        <v>Campos Gerais - A03</v>
      </c>
    </row>
    <row r="175" spans="1:44" x14ac:dyDescent="0.2">
      <c r="A175" s="107" t="s">
        <v>6318</v>
      </c>
      <c r="B175" s="106" t="s">
        <v>6317</v>
      </c>
      <c r="C175" s="106" t="s">
        <v>6267</v>
      </c>
      <c r="D175" s="106" t="s">
        <v>4967</v>
      </c>
      <c r="E175" s="106" t="s">
        <v>6266</v>
      </c>
      <c r="F175" s="106" t="s">
        <v>490</v>
      </c>
      <c r="G175" s="106" t="s">
        <v>6316</v>
      </c>
      <c r="H175" s="105" t="s">
        <v>6315</v>
      </c>
      <c r="I175" s="105" t="s">
        <v>6311</v>
      </c>
      <c r="J175" s="104">
        <v>2.2599999999999998</v>
      </c>
      <c r="K175" s="103" t="s">
        <v>423</v>
      </c>
      <c r="L175" s="102" t="s">
        <v>577</v>
      </c>
      <c r="M175" s="95"/>
      <c r="N175" s="17"/>
      <c r="O175" s="94">
        <v>8</v>
      </c>
      <c r="P175" s="14" t="s">
        <v>485</v>
      </c>
      <c r="Q175" s="14" t="s">
        <v>865</v>
      </c>
      <c r="R175" s="14" t="s">
        <v>576</v>
      </c>
      <c r="S175" s="15">
        <v>10.9</v>
      </c>
      <c r="T175" s="15">
        <v>1</v>
      </c>
      <c r="U175" s="15">
        <v>0</v>
      </c>
      <c r="V175" s="14">
        <v>2243</v>
      </c>
      <c r="W175" s="12">
        <v>0</v>
      </c>
      <c r="X175" s="12">
        <v>0.25999999999999979</v>
      </c>
      <c r="Y175" s="12">
        <v>0</v>
      </c>
      <c r="Z175" s="12">
        <v>2</v>
      </c>
      <c r="AA175" s="12">
        <v>0</v>
      </c>
      <c r="AB175" s="13">
        <f t="shared" si="8"/>
        <v>0</v>
      </c>
      <c r="AE175" s="12">
        <v>0</v>
      </c>
      <c r="AF175" s="12">
        <v>0.25999999999999979</v>
      </c>
      <c r="AG175" s="12">
        <v>0</v>
      </c>
      <c r="AH175" s="12">
        <v>2</v>
      </c>
      <c r="AI175" s="12">
        <v>0</v>
      </c>
      <c r="AJ175" s="13">
        <f t="shared" si="9"/>
        <v>0</v>
      </c>
      <c r="AN175" s="12">
        <f t="shared" si="10"/>
        <v>5070</v>
      </c>
      <c r="AQ175" s="8" t="s">
        <v>420</v>
      </c>
      <c r="AR175" t="str">
        <f t="shared" si="11"/>
        <v>Campos Gerais - A03</v>
      </c>
    </row>
    <row r="176" spans="1:44" x14ac:dyDescent="0.2">
      <c r="A176" s="107" t="s">
        <v>6314</v>
      </c>
      <c r="B176" s="106" t="s">
        <v>6313</v>
      </c>
      <c r="C176" s="106" t="s">
        <v>6267</v>
      </c>
      <c r="D176" s="106" t="s">
        <v>4754</v>
      </c>
      <c r="E176" s="106" t="s">
        <v>6266</v>
      </c>
      <c r="F176" s="106" t="s">
        <v>490</v>
      </c>
      <c r="G176" s="106" t="s">
        <v>6312</v>
      </c>
      <c r="H176" s="105" t="s">
        <v>6311</v>
      </c>
      <c r="I176" s="105" t="s">
        <v>6307</v>
      </c>
      <c r="J176" s="104">
        <v>4.45</v>
      </c>
      <c r="K176" s="103" t="s">
        <v>423</v>
      </c>
      <c r="L176" s="102" t="s">
        <v>577</v>
      </c>
      <c r="M176" s="95"/>
      <c r="N176" s="17"/>
      <c r="O176" s="94">
        <v>8</v>
      </c>
      <c r="P176" s="14" t="s">
        <v>485</v>
      </c>
      <c r="Q176" s="14" t="s">
        <v>865</v>
      </c>
      <c r="R176" s="14" t="s">
        <v>576</v>
      </c>
      <c r="S176" s="15">
        <v>7</v>
      </c>
      <c r="T176" s="15">
        <v>2.5</v>
      </c>
      <c r="U176" s="15">
        <v>0</v>
      </c>
      <c r="V176" s="14">
        <v>8505</v>
      </c>
      <c r="W176" s="12">
        <v>0</v>
      </c>
      <c r="X176" s="12">
        <v>0</v>
      </c>
      <c r="Y176" s="12">
        <v>2</v>
      </c>
      <c r="Z176" s="12">
        <v>2.4500000000000002</v>
      </c>
      <c r="AA176" s="12">
        <v>0</v>
      </c>
      <c r="AB176" s="13">
        <f t="shared" si="8"/>
        <v>0</v>
      </c>
      <c r="AE176" s="12">
        <v>0</v>
      </c>
      <c r="AF176" s="12">
        <v>0</v>
      </c>
      <c r="AG176" s="12">
        <v>2</v>
      </c>
      <c r="AH176" s="12">
        <v>2.4500000000000002</v>
      </c>
      <c r="AI176" s="12">
        <v>0</v>
      </c>
      <c r="AJ176" s="13">
        <f t="shared" si="9"/>
        <v>0</v>
      </c>
      <c r="AN176" s="12">
        <f t="shared" si="10"/>
        <v>37848</v>
      </c>
      <c r="AQ176" s="8" t="s">
        <v>420</v>
      </c>
      <c r="AR176" t="str">
        <f t="shared" si="11"/>
        <v>Campos Gerais - A03</v>
      </c>
    </row>
    <row r="177" spans="1:44" x14ac:dyDescent="0.2">
      <c r="A177" s="107" t="s">
        <v>6310</v>
      </c>
      <c r="B177" s="106" t="s">
        <v>6309</v>
      </c>
      <c r="C177" s="106" t="s">
        <v>6267</v>
      </c>
      <c r="D177" s="106" t="s">
        <v>4749</v>
      </c>
      <c r="E177" s="106" t="s">
        <v>6266</v>
      </c>
      <c r="F177" s="106" t="s">
        <v>490</v>
      </c>
      <c r="G177" s="106" t="s">
        <v>6308</v>
      </c>
      <c r="H177" s="105" t="s">
        <v>6307</v>
      </c>
      <c r="I177" s="105" t="s">
        <v>6303</v>
      </c>
      <c r="J177" s="104">
        <v>4.28</v>
      </c>
      <c r="K177" s="103" t="s">
        <v>423</v>
      </c>
      <c r="L177" s="102" t="s">
        <v>577</v>
      </c>
      <c r="M177" s="95"/>
      <c r="N177" s="17"/>
      <c r="O177" s="94">
        <v>8</v>
      </c>
      <c r="P177" s="14" t="s">
        <v>485</v>
      </c>
      <c r="Q177" s="14" t="s">
        <v>865</v>
      </c>
      <c r="R177" s="14" t="s">
        <v>576</v>
      </c>
      <c r="S177" s="15">
        <v>7</v>
      </c>
      <c r="T177" s="15">
        <v>2.5</v>
      </c>
      <c r="U177" s="15">
        <v>0</v>
      </c>
      <c r="V177" s="14">
        <v>9258</v>
      </c>
      <c r="W177" s="12">
        <v>0</v>
      </c>
      <c r="X177" s="12">
        <v>0</v>
      </c>
      <c r="Y177" s="12">
        <v>2.2800000000000002</v>
      </c>
      <c r="Z177" s="12">
        <v>2</v>
      </c>
      <c r="AA177" s="12">
        <v>0</v>
      </c>
      <c r="AB177" s="13">
        <f t="shared" si="8"/>
        <v>0</v>
      </c>
      <c r="AE177" s="12">
        <v>0</v>
      </c>
      <c r="AF177" s="12">
        <v>0</v>
      </c>
      <c r="AG177" s="12">
        <v>2.2800000000000002</v>
      </c>
      <c r="AH177" s="12">
        <v>2</v>
      </c>
      <c r="AI177" s="12">
        <v>0</v>
      </c>
      <c r="AJ177" s="13">
        <f t="shared" si="9"/>
        <v>0</v>
      </c>
      <c r="AN177" s="12">
        <f t="shared" si="10"/>
        <v>39625</v>
      </c>
      <c r="AQ177" s="8" t="s">
        <v>420</v>
      </c>
      <c r="AR177" t="str">
        <f t="shared" si="11"/>
        <v>Campos Gerais - A03</v>
      </c>
    </row>
    <row r="178" spans="1:44" x14ac:dyDescent="0.2">
      <c r="A178" s="107" t="s">
        <v>6306</v>
      </c>
      <c r="B178" s="106" t="s">
        <v>6305</v>
      </c>
      <c r="C178" s="106" t="s">
        <v>6267</v>
      </c>
      <c r="D178" s="106" t="s">
        <v>3529</v>
      </c>
      <c r="E178" s="106" t="s">
        <v>6266</v>
      </c>
      <c r="F178" s="106" t="s">
        <v>490</v>
      </c>
      <c r="G178" s="106" t="s">
        <v>6304</v>
      </c>
      <c r="H178" s="105" t="s">
        <v>6303</v>
      </c>
      <c r="I178" s="105" t="s">
        <v>6299</v>
      </c>
      <c r="J178" s="104">
        <v>2.08</v>
      </c>
      <c r="K178" s="103" t="s">
        <v>423</v>
      </c>
      <c r="L178" s="102" t="s">
        <v>577</v>
      </c>
      <c r="M178" s="95"/>
      <c r="N178" s="17"/>
      <c r="O178" s="94">
        <v>8</v>
      </c>
      <c r="P178" s="14" t="s">
        <v>485</v>
      </c>
      <c r="Q178" s="14" t="s">
        <v>865</v>
      </c>
      <c r="R178" s="14" t="s">
        <v>576</v>
      </c>
      <c r="S178" s="15">
        <v>7</v>
      </c>
      <c r="T178" s="15">
        <v>2.5</v>
      </c>
      <c r="U178" s="15">
        <v>0</v>
      </c>
      <c r="V178" s="14">
        <v>2243</v>
      </c>
      <c r="W178" s="12">
        <v>0</v>
      </c>
      <c r="X178" s="12">
        <v>0</v>
      </c>
      <c r="Y178" s="12">
        <v>1.08</v>
      </c>
      <c r="Z178" s="12">
        <v>1</v>
      </c>
      <c r="AA178" s="12">
        <v>0</v>
      </c>
      <c r="AB178" s="13">
        <f t="shared" si="8"/>
        <v>0</v>
      </c>
      <c r="AE178" s="12">
        <v>0</v>
      </c>
      <c r="AF178" s="12">
        <v>0</v>
      </c>
      <c r="AG178" s="12">
        <v>1.08</v>
      </c>
      <c r="AH178" s="12">
        <v>1</v>
      </c>
      <c r="AI178" s="12">
        <v>0</v>
      </c>
      <c r="AJ178" s="13">
        <f t="shared" si="9"/>
        <v>0</v>
      </c>
      <c r="AN178" s="12">
        <f t="shared" si="10"/>
        <v>4666</v>
      </c>
      <c r="AQ178" s="8" t="s">
        <v>420</v>
      </c>
      <c r="AR178" t="str">
        <f t="shared" si="11"/>
        <v>Campos Gerais - A03</v>
      </c>
    </row>
    <row r="179" spans="1:44" x14ac:dyDescent="0.2">
      <c r="A179" s="107" t="s">
        <v>6302</v>
      </c>
      <c r="B179" s="106" t="s">
        <v>6301</v>
      </c>
      <c r="C179" s="106" t="s">
        <v>6267</v>
      </c>
      <c r="D179" s="106" t="s">
        <v>4735</v>
      </c>
      <c r="E179" s="106" t="s">
        <v>6266</v>
      </c>
      <c r="F179" s="106" t="s">
        <v>490</v>
      </c>
      <c r="G179" s="106" t="s">
        <v>6300</v>
      </c>
      <c r="H179" s="105" t="s">
        <v>6299</v>
      </c>
      <c r="I179" s="105" t="s">
        <v>6295</v>
      </c>
      <c r="J179" s="104">
        <v>12.36</v>
      </c>
      <c r="K179" s="103" t="s">
        <v>423</v>
      </c>
      <c r="L179" s="102" t="s">
        <v>577</v>
      </c>
      <c r="M179" s="95"/>
      <c r="N179" s="17"/>
      <c r="O179" s="94">
        <v>8</v>
      </c>
      <c r="P179" s="14" t="s">
        <v>485</v>
      </c>
      <c r="Q179" s="14" t="s">
        <v>865</v>
      </c>
      <c r="R179" s="14" t="s">
        <v>576</v>
      </c>
      <c r="S179" s="15">
        <v>7</v>
      </c>
      <c r="T179" s="15">
        <v>2.5</v>
      </c>
      <c r="U179" s="15">
        <v>0</v>
      </c>
      <c r="V179" s="14">
        <v>5144</v>
      </c>
      <c r="W179" s="12">
        <v>1</v>
      </c>
      <c r="X179" s="12">
        <v>3.3599999999999994</v>
      </c>
      <c r="Y179" s="12">
        <v>5</v>
      </c>
      <c r="Z179" s="12">
        <v>3</v>
      </c>
      <c r="AA179" s="12">
        <v>0</v>
      </c>
      <c r="AB179" s="13">
        <f t="shared" si="8"/>
        <v>0</v>
      </c>
      <c r="AE179" s="12">
        <v>1</v>
      </c>
      <c r="AF179" s="12">
        <v>3.3599999999999994</v>
      </c>
      <c r="AG179" s="12">
        <v>5</v>
      </c>
      <c r="AH179" s="12">
        <v>3</v>
      </c>
      <c r="AI179" s="12">
        <v>0</v>
      </c>
      <c r="AJ179" s="13">
        <f t="shared" si="9"/>
        <v>0</v>
      </c>
      <c r="AN179" s="12">
        <f t="shared" si="10"/>
        <v>63580</v>
      </c>
      <c r="AQ179" s="8" t="s">
        <v>420</v>
      </c>
      <c r="AR179" t="str">
        <f t="shared" si="11"/>
        <v>Campos Gerais - A03</v>
      </c>
    </row>
    <row r="180" spans="1:44" x14ac:dyDescent="0.2">
      <c r="A180" s="107" t="s">
        <v>6298</v>
      </c>
      <c r="B180" s="106" t="s">
        <v>6297</v>
      </c>
      <c r="C180" s="106" t="s">
        <v>6267</v>
      </c>
      <c r="D180" s="106" t="s">
        <v>4726</v>
      </c>
      <c r="E180" s="106" t="s">
        <v>6273</v>
      </c>
      <c r="F180" s="106" t="s">
        <v>590</v>
      </c>
      <c r="G180" s="106" t="s">
        <v>6296</v>
      </c>
      <c r="H180" s="105" t="s">
        <v>6295</v>
      </c>
      <c r="I180" s="105" t="s">
        <v>6290</v>
      </c>
      <c r="J180" s="104">
        <v>0.69</v>
      </c>
      <c r="K180" s="103" t="s">
        <v>423</v>
      </c>
      <c r="L180" s="102" t="s">
        <v>577</v>
      </c>
      <c r="M180" s="95"/>
      <c r="N180" s="14"/>
      <c r="O180" s="94">
        <v>8</v>
      </c>
      <c r="P180" s="14" t="s">
        <v>586</v>
      </c>
      <c r="Q180" s="14" t="s">
        <v>497</v>
      </c>
      <c r="R180" s="14" t="s">
        <v>496</v>
      </c>
      <c r="S180" s="15">
        <v>8.65</v>
      </c>
      <c r="T180" s="15">
        <v>0</v>
      </c>
      <c r="U180" s="15">
        <v>0</v>
      </c>
      <c r="V180" s="14">
        <v>258</v>
      </c>
      <c r="W180" s="12">
        <v>0</v>
      </c>
      <c r="X180" s="12">
        <v>0</v>
      </c>
      <c r="Y180" s="12">
        <v>0.69</v>
      </c>
      <c r="Z180" s="12">
        <v>0</v>
      </c>
      <c r="AA180" s="12">
        <v>0</v>
      </c>
      <c r="AB180" s="13">
        <f t="shared" si="8"/>
        <v>0</v>
      </c>
      <c r="AE180" s="12">
        <v>0</v>
      </c>
      <c r="AF180" s="12">
        <v>0</v>
      </c>
      <c r="AG180" s="12">
        <v>0.69</v>
      </c>
      <c r="AH180" s="12">
        <v>0</v>
      </c>
      <c r="AI180" s="12">
        <v>0</v>
      </c>
      <c r="AJ180" s="13">
        <f t="shared" si="9"/>
        <v>0</v>
      </c>
      <c r="AN180" s="12">
        <f t="shared" si="10"/>
        <v>179</v>
      </c>
      <c r="AQ180" s="8" t="s">
        <v>420</v>
      </c>
      <c r="AR180" t="str">
        <f t="shared" si="11"/>
        <v>Campos Gerais - A03</v>
      </c>
    </row>
    <row r="181" spans="1:44" x14ac:dyDescent="0.2">
      <c r="A181" s="107" t="s">
        <v>6294</v>
      </c>
      <c r="B181" s="106" t="s">
        <v>6293</v>
      </c>
      <c r="C181" s="106" t="s">
        <v>6267</v>
      </c>
      <c r="D181" s="106" t="s">
        <v>4715</v>
      </c>
      <c r="E181" s="106" t="s">
        <v>6292</v>
      </c>
      <c r="F181" s="106" t="s">
        <v>511</v>
      </c>
      <c r="G181" s="106" t="s">
        <v>6291</v>
      </c>
      <c r="H181" s="105" t="s">
        <v>6290</v>
      </c>
      <c r="I181" s="105" t="s">
        <v>6286</v>
      </c>
      <c r="J181" s="104">
        <v>29.18</v>
      </c>
      <c r="K181" s="103" t="s">
        <v>423</v>
      </c>
      <c r="L181" s="102" t="s">
        <v>577</v>
      </c>
      <c r="M181" s="95"/>
      <c r="N181" s="14"/>
      <c r="O181" s="94">
        <v>8</v>
      </c>
      <c r="P181" s="14" t="s">
        <v>506</v>
      </c>
      <c r="Q181" s="14" t="s">
        <v>497</v>
      </c>
      <c r="R181" s="14" t="s">
        <v>496</v>
      </c>
      <c r="S181" s="15">
        <v>7</v>
      </c>
      <c r="T181" s="15">
        <v>2.5</v>
      </c>
      <c r="U181" s="15">
        <v>12.3</v>
      </c>
      <c r="V181" s="14">
        <v>2449</v>
      </c>
      <c r="W181" s="12">
        <v>0</v>
      </c>
      <c r="X181" s="12">
        <v>0</v>
      </c>
      <c r="Y181" s="12">
        <v>0</v>
      </c>
      <c r="Z181" s="12">
        <v>0</v>
      </c>
      <c r="AA181" s="12">
        <v>29.18</v>
      </c>
      <c r="AB181" s="13">
        <f t="shared" si="8"/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29.18</v>
      </c>
      <c r="AJ181" s="13">
        <f t="shared" si="9"/>
        <v>0</v>
      </c>
      <c r="AN181" s="12">
        <f t="shared" si="10"/>
        <v>71462</v>
      </c>
      <c r="AQ181" s="8" t="s">
        <v>420</v>
      </c>
      <c r="AR181" t="str">
        <f t="shared" si="11"/>
        <v>Campos Gerais - A03</v>
      </c>
    </row>
    <row r="182" spans="1:44" x14ac:dyDescent="0.2">
      <c r="A182" s="107" t="s">
        <v>6289</v>
      </c>
      <c r="B182" s="106" t="s">
        <v>6288</v>
      </c>
      <c r="C182" s="106" t="s">
        <v>6267</v>
      </c>
      <c r="D182" s="106" t="s">
        <v>4710</v>
      </c>
      <c r="E182" s="106" t="s">
        <v>6273</v>
      </c>
      <c r="F182" s="106" t="s">
        <v>590</v>
      </c>
      <c r="G182" s="106" t="s">
        <v>6287</v>
      </c>
      <c r="H182" s="105" t="s">
        <v>6286</v>
      </c>
      <c r="I182" s="105" t="s">
        <v>6285</v>
      </c>
      <c r="J182" s="104">
        <v>2.1800000000000002</v>
      </c>
      <c r="K182" s="103" t="s">
        <v>423</v>
      </c>
      <c r="L182" s="102" t="s">
        <v>577</v>
      </c>
      <c r="M182" s="95"/>
      <c r="N182" s="14"/>
      <c r="O182" s="94">
        <v>8</v>
      </c>
      <c r="P182" s="14" t="s">
        <v>586</v>
      </c>
      <c r="Q182" s="14" t="s">
        <v>497</v>
      </c>
      <c r="R182" s="14" t="s">
        <v>496</v>
      </c>
      <c r="S182" s="15">
        <v>8</v>
      </c>
      <c r="T182" s="15">
        <v>0</v>
      </c>
      <c r="U182" s="15">
        <v>0</v>
      </c>
      <c r="V182" s="14">
        <v>258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3">
        <f t="shared" si="8"/>
        <v>-2.1800000000000002</v>
      </c>
      <c r="AE182" s="12">
        <f>IF(W182=0,0,W182-$AB182)</f>
        <v>0</v>
      </c>
      <c r="AF182" s="12">
        <f>IF(X182=0,0,X182-$AB182)</f>
        <v>0</v>
      </c>
      <c r="AG182" s="12">
        <v>2.1800000000000002</v>
      </c>
      <c r="AH182" s="12">
        <f>IF(Z182=0,0,Z182-$AB182)</f>
        <v>0</v>
      </c>
      <c r="AI182" s="12">
        <f>IF(AA182=0,0,AA182-$AB182)</f>
        <v>0</v>
      </c>
      <c r="AJ182" s="13">
        <f t="shared" si="9"/>
        <v>0</v>
      </c>
      <c r="AN182" s="12">
        <f t="shared" si="10"/>
        <v>563</v>
      </c>
      <c r="AQ182" s="8" t="s">
        <v>420</v>
      </c>
      <c r="AR182" t="str">
        <f t="shared" si="11"/>
        <v>Campos Gerais - A03</v>
      </c>
    </row>
    <row r="183" spans="1:44" x14ac:dyDescent="0.2">
      <c r="A183" s="107" t="s">
        <v>6284</v>
      </c>
      <c r="B183" s="106" t="s">
        <v>6283</v>
      </c>
      <c r="C183" s="106" t="s">
        <v>6267</v>
      </c>
      <c r="D183" s="106" t="s">
        <v>6282</v>
      </c>
      <c r="E183" s="106" t="s">
        <v>6273</v>
      </c>
      <c r="F183" s="106" t="s">
        <v>590</v>
      </c>
      <c r="G183" s="106" t="s">
        <v>6281</v>
      </c>
      <c r="H183" s="105" t="s">
        <v>6280</v>
      </c>
      <c r="I183" s="105" t="s">
        <v>6277</v>
      </c>
      <c r="J183" s="104">
        <v>2.25</v>
      </c>
      <c r="K183" s="103" t="s">
        <v>424</v>
      </c>
      <c r="L183" s="102" t="s">
        <v>577</v>
      </c>
      <c r="M183" s="95"/>
      <c r="N183" s="14"/>
      <c r="O183" s="94">
        <v>9</v>
      </c>
      <c r="P183" s="14" t="s">
        <v>586</v>
      </c>
      <c r="Q183" s="14" t="s">
        <v>497</v>
      </c>
      <c r="R183" s="14" t="s">
        <v>496</v>
      </c>
      <c r="S183" s="15">
        <v>13.7</v>
      </c>
      <c r="T183" s="15">
        <v>0</v>
      </c>
      <c r="U183" s="15">
        <v>0</v>
      </c>
      <c r="V183" s="14">
        <v>228</v>
      </c>
      <c r="W183" s="12">
        <v>0</v>
      </c>
      <c r="X183" s="12">
        <v>0</v>
      </c>
      <c r="Y183" s="12">
        <v>0</v>
      </c>
      <c r="Z183" s="12">
        <v>2.25</v>
      </c>
      <c r="AA183" s="12">
        <v>0</v>
      </c>
      <c r="AB183" s="13">
        <f t="shared" si="8"/>
        <v>0</v>
      </c>
      <c r="AE183" s="12">
        <v>0</v>
      </c>
      <c r="AF183" s="12">
        <v>0</v>
      </c>
      <c r="AG183" s="12">
        <v>0</v>
      </c>
      <c r="AH183" s="12">
        <v>2.25</v>
      </c>
      <c r="AI183" s="12">
        <v>0</v>
      </c>
      <c r="AJ183" s="13">
        <f t="shared" si="9"/>
        <v>0</v>
      </c>
      <c r="AN183" s="12">
        <f t="shared" si="10"/>
        <v>513</v>
      </c>
      <c r="AQ183" s="8" t="s">
        <v>420</v>
      </c>
      <c r="AR183" t="str">
        <f t="shared" si="11"/>
        <v>Campos Gerais - A04</v>
      </c>
    </row>
    <row r="184" spans="1:44" x14ac:dyDescent="0.2">
      <c r="A184" s="107" t="s">
        <v>6279</v>
      </c>
      <c r="B184" s="106" t="s">
        <v>6274</v>
      </c>
      <c r="C184" s="106" t="s">
        <v>6267</v>
      </c>
      <c r="D184" s="106" t="s">
        <v>4700</v>
      </c>
      <c r="E184" s="106" t="s">
        <v>6273</v>
      </c>
      <c r="F184" s="106" t="s">
        <v>590</v>
      </c>
      <c r="G184" s="106" t="s">
        <v>6278</v>
      </c>
      <c r="H184" s="105" t="s">
        <v>6277</v>
      </c>
      <c r="I184" s="105" t="s">
        <v>6276</v>
      </c>
      <c r="J184" s="104">
        <v>1.25</v>
      </c>
      <c r="K184" s="103" t="s">
        <v>424</v>
      </c>
      <c r="L184" s="102" t="s">
        <v>577</v>
      </c>
      <c r="M184" s="95"/>
      <c r="N184" s="14"/>
      <c r="O184" s="94">
        <v>9</v>
      </c>
      <c r="P184" s="14" t="s">
        <v>586</v>
      </c>
      <c r="Q184" s="14" t="s">
        <v>497</v>
      </c>
      <c r="R184" s="14" t="s">
        <v>496</v>
      </c>
      <c r="S184" s="15">
        <v>10</v>
      </c>
      <c r="T184" s="15">
        <v>0</v>
      </c>
      <c r="U184" s="15">
        <v>0</v>
      </c>
      <c r="V184" s="14">
        <v>228</v>
      </c>
      <c r="W184" s="12">
        <v>0</v>
      </c>
      <c r="X184" s="12">
        <v>0</v>
      </c>
      <c r="Y184" s="12">
        <v>1.25</v>
      </c>
      <c r="Z184" s="12">
        <v>0</v>
      </c>
      <c r="AA184" s="12">
        <v>0</v>
      </c>
      <c r="AB184" s="13">
        <f t="shared" si="8"/>
        <v>0</v>
      </c>
      <c r="AE184" s="12">
        <v>0</v>
      </c>
      <c r="AF184" s="12">
        <v>0</v>
      </c>
      <c r="AG184" s="12">
        <v>1.25</v>
      </c>
      <c r="AH184" s="12">
        <v>0</v>
      </c>
      <c r="AI184" s="12">
        <v>0</v>
      </c>
      <c r="AJ184" s="13">
        <f t="shared" si="9"/>
        <v>0</v>
      </c>
      <c r="AN184" s="12">
        <f t="shared" si="10"/>
        <v>285</v>
      </c>
      <c r="AQ184" s="8" t="s">
        <v>420</v>
      </c>
      <c r="AR184" t="str">
        <f t="shared" si="11"/>
        <v>Campos Gerais - A04</v>
      </c>
    </row>
    <row r="185" spans="1:44" x14ac:dyDescent="0.2">
      <c r="A185" s="107" t="s">
        <v>6275</v>
      </c>
      <c r="B185" s="106" t="s">
        <v>6274</v>
      </c>
      <c r="C185" s="106" t="s">
        <v>6267</v>
      </c>
      <c r="D185" s="106" t="s">
        <v>4700</v>
      </c>
      <c r="E185" s="106" t="s">
        <v>6273</v>
      </c>
      <c r="F185" s="106" t="s">
        <v>590</v>
      </c>
      <c r="G185" s="106" t="s">
        <v>6272</v>
      </c>
      <c r="H185" s="105" t="s">
        <v>6271</v>
      </c>
      <c r="I185" s="105" t="s">
        <v>6270</v>
      </c>
      <c r="J185" s="104">
        <v>0.56999999999999995</v>
      </c>
      <c r="K185" s="103" t="s">
        <v>424</v>
      </c>
      <c r="L185" s="102" t="s">
        <v>577</v>
      </c>
      <c r="M185" s="95"/>
      <c r="N185" s="14"/>
      <c r="O185" s="94">
        <v>9</v>
      </c>
      <c r="P185" s="14" t="s">
        <v>586</v>
      </c>
      <c r="Q185" s="14" t="s">
        <v>497</v>
      </c>
      <c r="R185" s="14" t="s">
        <v>496</v>
      </c>
      <c r="S185" s="15">
        <v>10</v>
      </c>
      <c r="T185" s="15">
        <v>0</v>
      </c>
      <c r="U185" s="15">
        <v>0</v>
      </c>
      <c r="V185" s="14">
        <v>228</v>
      </c>
      <c r="W185" s="12">
        <v>0</v>
      </c>
      <c r="X185" s="12">
        <v>0</v>
      </c>
      <c r="Y185" s="12">
        <v>0.56999999999999995</v>
      </c>
      <c r="Z185" s="12">
        <v>0</v>
      </c>
      <c r="AA185" s="12">
        <v>0</v>
      </c>
      <c r="AB185" s="13">
        <f t="shared" si="8"/>
        <v>0</v>
      </c>
      <c r="AE185" s="12">
        <v>0</v>
      </c>
      <c r="AF185" s="12">
        <v>0</v>
      </c>
      <c r="AG185" s="12">
        <v>0.56999999999999995</v>
      </c>
      <c r="AH185" s="12">
        <v>0</v>
      </c>
      <c r="AI185" s="12">
        <v>0</v>
      </c>
      <c r="AJ185" s="13">
        <f t="shared" si="9"/>
        <v>0</v>
      </c>
      <c r="AN185" s="12">
        <f t="shared" si="10"/>
        <v>130</v>
      </c>
      <c r="AQ185" s="8" t="s">
        <v>420</v>
      </c>
      <c r="AR185" t="str">
        <f t="shared" si="11"/>
        <v>Campos Gerais - A04</v>
      </c>
    </row>
    <row r="186" spans="1:44" x14ac:dyDescent="0.2">
      <c r="A186" s="107" t="s">
        <v>6269</v>
      </c>
      <c r="B186" s="106" t="s">
        <v>6268</v>
      </c>
      <c r="C186" s="106" t="s">
        <v>6267</v>
      </c>
      <c r="D186" s="106" t="s">
        <v>3519</v>
      </c>
      <c r="E186" s="106" t="s">
        <v>6266</v>
      </c>
      <c r="F186" s="106" t="s">
        <v>490</v>
      </c>
      <c r="G186" s="106" t="s">
        <v>6265</v>
      </c>
      <c r="H186" s="105" t="s">
        <v>6264</v>
      </c>
      <c r="I186" s="105" t="s">
        <v>579</v>
      </c>
      <c r="J186" s="104">
        <v>11.46</v>
      </c>
      <c r="K186" s="103" t="s">
        <v>424</v>
      </c>
      <c r="L186" s="102" t="s">
        <v>577</v>
      </c>
      <c r="M186" s="95"/>
      <c r="N186" s="14"/>
      <c r="O186" s="94">
        <v>9</v>
      </c>
      <c r="P186" s="14" t="s">
        <v>485</v>
      </c>
      <c r="Q186" s="14" t="s">
        <v>561</v>
      </c>
      <c r="R186" s="14" t="s">
        <v>496</v>
      </c>
      <c r="S186" s="15">
        <v>7</v>
      </c>
      <c r="T186" s="15">
        <v>0</v>
      </c>
      <c r="U186" s="15">
        <v>0</v>
      </c>
      <c r="V186" s="14">
        <v>4470</v>
      </c>
      <c r="W186" s="12">
        <v>0</v>
      </c>
      <c r="X186" s="12">
        <v>0</v>
      </c>
      <c r="Y186" s="12">
        <v>0</v>
      </c>
      <c r="Z186" s="12">
        <v>11.46</v>
      </c>
      <c r="AA186" s="12">
        <v>0</v>
      </c>
      <c r="AB186" s="13">
        <f t="shared" si="8"/>
        <v>0</v>
      </c>
      <c r="AE186" s="12">
        <v>0</v>
      </c>
      <c r="AF186" s="12">
        <v>0</v>
      </c>
      <c r="AG186" s="12">
        <v>0</v>
      </c>
      <c r="AH186" s="12">
        <v>11.46</v>
      </c>
      <c r="AI186" s="12">
        <v>0</v>
      </c>
      <c r="AJ186" s="13">
        <f t="shared" si="9"/>
        <v>0</v>
      </c>
      <c r="AN186" s="12">
        <f t="shared" si="10"/>
        <v>51227</v>
      </c>
      <c r="AQ186" s="8" t="s">
        <v>420</v>
      </c>
      <c r="AR186" t="str">
        <f t="shared" si="11"/>
        <v>Campos Gerais - A04</v>
      </c>
    </row>
    <row r="187" spans="1:44" x14ac:dyDescent="0.2">
      <c r="A187" s="107" t="s">
        <v>6263</v>
      </c>
      <c r="B187" s="106" t="s">
        <v>6262</v>
      </c>
      <c r="C187" s="106" t="s">
        <v>6137</v>
      </c>
      <c r="D187" s="106" t="s">
        <v>492</v>
      </c>
      <c r="E187" s="106" t="s">
        <v>6136</v>
      </c>
      <c r="F187" s="106" t="s">
        <v>490</v>
      </c>
      <c r="G187" s="106" t="s">
        <v>6261</v>
      </c>
      <c r="H187" s="105" t="s">
        <v>6260</v>
      </c>
      <c r="I187" s="105" t="s">
        <v>4260</v>
      </c>
      <c r="J187" s="104">
        <v>2.99</v>
      </c>
      <c r="K187" s="103" t="s">
        <v>422</v>
      </c>
      <c r="L187" s="102" t="s">
        <v>486</v>
      </c>
      <c r="M187" s="95"/>
      <c r="N187" s="17"/>
      <c r="O187" s="94">
        <v>14</v>
      </c>
      <c r="P187" s="14" t="s">
        <v>485</v>
      </c>
      <c r="Q187" s="14" t="s">
        <v>561</v>
      </c>
      <c r="R187" s="14" t="s">
        <v>496</v>
      </c>
      <c r="S187" s="15">
        <v>6</v>
      </c>
      <c r="T187" s="15">
        <v>2.9</v>
      </c>
      <c r="U187" s="15">
        <v>0</v>
      </c>
      <c r="V187" s="14">
        <v>3564</v>
      </c>
      <c r="W187" s="12">
        <v>0</v>
      </c>
      <c r="X187" s="12">
        <v>0</v>
      </c>
      <c r="Y187" s="12">
        <v>2.99</v>
      </c>
      <c r="Z187" s="12">
        <v>0</v>
      </c>
      <c r="AA187" s="12">
        <v>0</v>
      </c>
      <c r="AB187" s="13">
        <f t="shared" si="8"/>
        <v>0</v>
      </c>
      <c r="AE187" s="12">
        <v>0</v>
      </c>
      <c r="AF187" s="12">
        <v>0</v>
      </c>
      <c r="AG187" s="12">
        <v>2.99</v>
      </c>
      <c r="AH187" s="12">
        <v>0</v>
      </c>
      <c r="AI187" s="12">
        <v>0</v>
      </c>
      <c r="AJ187" s="13">
        <f t="shared" si="9"/>
        <v>0</v>
      </c>
      <c r="AN187" s="12">
        <f t="shared" si="10"/>
        <v>10657</v>
      </c>
      <c r="AQ187" s="8" t="s">
        <v>419</v>
      </c>
      <c r="AR187" t="str">
        <f t="shared" si="11"/>
        <v>Norte - A02</v>
      </c>
    </row>
    <row r="188" spans="1:44" x14ac:dyDescent="0.2">
      <c r="A188" s="107" t="s">
        <v>6259</v>
      </c>
      <c r="B188" s="106" t="s">
        <v>6258</v>
      </c>
      <c r="C188" s="106" t="s">
        <v>6137</v>
      </c>
      <c r="D188" s="106" t="s">
        <v>513</v>
      </c>
      <c r="E188" s="106" t="s">
        <v>6136</v>
      </c>
      <c r="F188" s="106" t="s">
        <v>490</v>
      </c>
      <c r="G188" s="106" t="s">
        <v>6257</v>
      </c>
      <c r="H188" s="105" t="s">
        <v>4260</v>
      </c>
      <c r="I188" s="105" t="s">
        <v>6253</v>
      </c>
      <c r="J188" s="104">
        <v>7.39</v>
      </c>
      <c r="K188" s="103" t="s">
        <v>422</v>
      </c>
      <c r="L188" s="102" t="s">
        <v>486</v>
      </c>
      <c r="M188" s="95"/>
      <c r="N188" s="17"/>
      <c r="O188" s="94">
        <v>14</v>
      </c>
      <c r="P188" s="14" t="s">
        <v>485</v>
      </c>
      <c r="Q188" s="14" t="s">
        <v>561</v>
      </c>
      <c r="R188" s="14" t="s">
        <v>496</v>
      </c>
      <c r="S188" s="15">
        <v>7.2</v>
      </c>
      <c r="T188" s="15">
        <v>2.5</v>
      </c>
      <c r="U188" s="15">
        <v>0.4</v>
      </c>
      <c r="V188" s="14">
        <v>3276</v>
      </c>
      <c r="W188" s="12">
        <v>0</v>
      </c>
      <c r="X188" s="12">
        <v>1</v>
      </c>
      <c r="Y188" s="12">
        <v>5</v>
      </c>
      <c r="Z188" s="12">
        <v>1.3899999999999997</v>
      </c>
      <c r="AA188" s="12">
        <v>0</v>
      </c>
      <c r="AB188" s="13">
        <f t="shared" si="8"/>
        <v>0</v>
      </c>
      <c r="AE188" s="12">
        <v>0</v>
      </c>
      <c r="AF188" s="12">
        <v>1</v>
      </c>
      <c r="AG188" s="12">
        <v>5</v>
      </c>
      <c r="AH188" s="12">
        <v>1.3899999999999997</v>
      </c>
      <c r="AI188" s="12">
        <v>0</v>
      </c>
      <c r="AJ188" s="13">
        <f t="shared" si="9"/>
        <v>0</v>
      </c>
      <c r="AN188" s="12">
        <f t="shared" si="10"/>
        <v>24210</v>
      </c>
      <c r="AQ188" s="8" t="s">
        <v>419</v>
      </c>
      <c r="AR188" t="str">
        <f t="shared" si="11"/>
        <v>Norte - A02</v>
      </c>
    </row>
    <row r="189" spans="1:44" x14ac:dyDescent="0.2">
      <c r="A189" s="107" t="s">
        <v>6256</v>
      </c>
      <c r="B189" s="106" t="s">
        <v>6255</v>
      </c>
      <c r="C189" s="106" t="s">
        <v>6137</v>
      </c>
      <c r="D189" s="106" t="s">
        <v>989</v>
      </c>
      <c r="E189" s="106" t="s">
        <v>6136</v>
      </c>
      <c r="F189" s="106" t="s">
        <v>490</v>
      </c>
      <c r="G189" s="106" t="s">
        <v>6254</v>
      </c>
      <c r="H189" s="105" t="s">
        <v>6253</v>
      </c>
      <c r="I189" s="105" t="s">
        <v>6249</v>
      </c>
      <c r="J189" s="104">
        <v>1.94</v>
      </c>
      <c r="K189" s="103" t="s">
        <v>422</v>
      </c>
      <c r="L189" s="102" t="s">
        <v>486</v>
      </c>
      <c r="M189" s="95"/>
      <c r="N189" s="17"/>
      <c r="O189" s="94">
        <v>14</v>
      </c>
      <c r="P189" s="14" t="s">
        <v>485</v>
      </c>
      <c r="Q189" s="14" t="s">
        <v>561</v>
      </c>
      <c r="R189" s="14" t="s">
        <v>496</v>
      </c>
      <c r="S189" s="15">
        <v>7.28</v>
      </c>
      <c r="T189" s="15">
        <v>2.1</v>
      </c>
      <c r="U189" s="15">
        <v>0</v>
      </c>
      <c r="V189" s="14">
        <v>3276</v>
      </c>
      <c r="W189" s="12">
        <v>0</v>
      </c>
      <c r="X189" s="12">
        <v>0</v>
      </c>
      <c r="Y189" s="12">
        <v>1</v>
      </c>
      <c r="Z189" s="12">
        <v>0.94</v>
      </c>
      <c r="AA189" s="12">
        <v>0</v>
      </c>
      <c r="AB189" s="13">
        <f t="shared" si="8"/>
        <v>0</v>
      </c>
      <c r="AE189" s="12">
        <v>0</v>
      </c>
      <c r="AF189" s="12">
        <v>0</v>
      </c>
      <c r="AG189" s="12">
        <v>1</v>
      </c>
      <c r="AH189" s="12">
        <v>0.94</v>
      </c>
      <c r="AI189" s="12">
        <v>0</v>
      </c>
      <c r="AJ189" s="13">
        <f t="shared" si="9"/>
        <v>0</v>
      </c>
      <c r="AN189" s="12">
        <f t="shared" si="10"/>
        <v>6356</v>
      </c>
      <c r="AQ189" s="8" t="s">
        <v>419</v>
      </c>
      <c r="AR189" t="str">
        <f t="shared" si="11"/>
        <v>Norte - A02</v>
      </c>
    </row>
    <row r="190" spans="1:44" x14ac:dyDescent="0.2">
      <c r="A190" s="107" t="s">
        <v>6252</v>
      </c>
      <c r="B190" s="106" t="s">
        <v>6251</v>
      </c>
      <c r="C190" s="106" t="s">
        <v>6137</v>
      </c>
      <c r="D190" s="106" t="s">
        <v>981</v>
      </c>
      <c r="E190" s="106" t="s">
        <v>6136</v>
      </c>
      <c r="F190" s="106" t="s">
        <v>490</v>
      </c>
      <c r="G190" s="106" t="s">
        <v>6250</v>
      </c>
      <c r="H190" s="105" t="s">
        <v>6249</v>
      </c>
      <c r="I190" s="105" t="s">
        <v>6245</v>
      </c>
      <c r="J190" s="104">
        <v>2.2000000000000002</v>
      </c>
      <c r="K190" s="103" t="s">
        <v>422</v>
      </c>
      <c r="L190" s="102" t="s">
        <v>486</v>
      </c>
      <c r="M190" s="95"/>
      <c r="N190" s="17"/>
      <c r="O190" s="94">
        <v>14</v>
      </c>
      <c r="P190" s="14" t="s">
        <v>485</v>
      </c>
      <c r="Q190" s="14" t="s">
        <v>561</v>
      </c>
      <c r="R190" s="14" t="s">
        <v>496</v>
      </c>
      <c r="S190" s="15">
        <v>7.35</v>
      </c>
      <c r="T190" s="15">
        <v>2.4</v>
      </c>
      <c r="U190" s="15">
        <v>0</v>
      </c>
      <c r="V190" s="14">
        <v>5038</v>
      </c>
      <c r="W190" s="12">
        <v>0</v>
      </c>
      <c r="X190" s="12">
        <v>0</v>
      </c>
      <c r="Y190" s="12">
        <v>1.2000000000000002</v>
      </c>
      <c r="Z190" s="12">
        <v>1</v>
      </c>
      <c r="AA190" s="12">
        <v>0</v>
      </c>
      <c r="AB190" s="13">
        <f t="shared" si="8"/>
        <v>0</v>
      </c>
      <c r="AE190" s="12">
        <v>0</v>
      </c>
      <c r="AF190" s="12">
        <v>0</v>
      </c>
      <c r="AG190" s="12">
        <v>1.2000000000000002</v>
      </c>
      <c r="AH190" s="12">
        <v>1</v>
      </c>
      <c r="AI190" s="12">
        <v>0</v>
      </c>
      <c r="AJ190" s="13">
        <f t="shared" si="9"/>
        <v>0</v>
      </c>
      <c r="AN190" s="12">
        <f t="shared" si="10"/>
        <v>11084</v>
      </c>
      <c r="AQ190" s="8" t="s">
        <v>419</v>
      </c>
      <c r="AR190" t="str">
        <f t="shared" si="11"/>
        <v>Norte - A02</v>
      </c>
    </row>
    <row r="191" spans="1:44" x14ac:dyDescent="0.2">
      <c r="A191" s="107" t="s">
        <v>6248</v>
      </c>
      <c r="B191" s="106" t="s">
        <v>6247</v>
      </c>
      <c r="C191" s="106" t="s">
        <v>6137</v>
      </c>
      <c r="D191" s="106" t="s">
        <v>1269</v>
      </c>
      <c r="E191" s="106" t="s">
        <v>6136</v>
      </c>
      <c r="F191" s="106" t="s">
        <v>490</v>
      </c>
      <c r="G191" s="106" t="s">
        <v>6246</v>
      </c>
      <c r="H191" s="105" t="s">
        <v>6245</v>
      </c>
      <c r="I191" s="105" t="s">
        <v>6241</v>
      </c>
      <c r="J191" s="104">
        <v>10.6</v>
      </c>
      <c r="K191" s="103" t="s">
        <v>422</v>
      </c>
      <c r="L191" s="102" t="s">
        <v>486</v>
      </c>
      <c r="M191" s="95"/>
      <c r="N191" s="17"/>
      <c r="O191" s="94">
        <v>14</v>
      </c>
      <c r="P191" s="14" t="s">
        <v>485</v>
      </c>
      <c r="Q191" s="14" t="s">
        <v>561</v>
      </c>
      <c r="R191" s="14" t="s">
        <v>496</v>
      </c>
      <c r="S191" s="15">
        <v>7.38</v>
      </c>
      <c r="T191" s="15">
        <v>2.4</v>
      </c>
      <c r="U191" s="15">
        <v>0</v>
      </c>
      <c r="V191" s="14">
        <v>4654</v>
      </c>
      <c r="W191" s="12">
        <v>0</v>
      </c>
      <c r="X191" s="12">
        <v>0</v>
      </c>
      <c r="Y191" s="12">
        <v>6</v>
      </c>
      <c r="Z191" s="12">
        <v>4.5999999999999996</v>
      </c>
      <c r="AA191" s="12">
        <v>0</v>
      </c>
      <c r="AB191" s="13">
        <f t="shared" si="8"/>
        <v>0</v>
      </c>
      <c r="AE191" s="12">
        <v>0</v>
      </c>
      <c r="AF191" s="12">
        <v>0</v>
      </c>
      <c r="AG191" s="12">
        <v>6</v>
      </c>
      <c r="AH191" s="12">
        <v>4.5999999999999996</v>
      </c>
      <c r="AI191" s="12">
        <v>0</v>
      </c>
      <c r="AJ191" s="13">
        <f t="shared" si="9"/>
        <v>0</v>
      </c>
      <c r="AN191" s="12">
        <f t="shared" si="10"/>
        <v>49333</v>
      </c>
      <c r="AQ191" s="8" t="s">
        <v>419</v>
      </c>
      <c r="AR191" t="str">
        <f t="shared" si="11"/>
        <v>Norte - A02</v>
      </c>
    </row>
    <row r="192" spans="1:44" x14ac:dyDescent="0.2">
      <c r="A192" s="107" t="s">
        <v>6244</v>
      </c>
      <c r="B192" s="106" t="s">
        <v>6243</v>
      </c>
      <c r="C192" s="106" t="s">
        <v>6137</v>
      </c>
      <c r="D192" s="106" t="s">
        <v>965</v>
      </c>
      <c r="E192" s="106" t="s">
        <v>6136</v>
      </c>
      <c r="F192" s="106" t="s">
        <v>490</v>
      </c>
      <c r="G192" s="106" t="s">
        <v>6242</v>
      </c>
      <c r="H192" s="105" t="s">
        <v>6241</v>
      </c>
      <c r="I192" s="105" t="s">
        <v>6240</v>
      </c>
      <c r="J192" s="104">
        <v>14.11</v>
      </c>
      <c r="K192" s="103" t="s">
        <v>422</v>
      </c>
      <c r="L192" s="102" t="s">
        <v>486</v>
      </c>
      <c r="M192" s="95"/>
      <c r="N192" s="17"/>
      <c r="O192" s="94">
        <v>14</v>
      </c>
      <c r="P192" s="14" t="s">
        <v>485</v>
      </c>
      <c r="Q192" s="14" t="s">
        <v>561</v>
      </c>
      <c r="R192" s="14" t="s">
        <v>496</v>
      </c>
      <c r="S192" s="15">
        <v>7.08</v>
      </c>
      <c r="T192" s="15">
        <v>2.2999999999999998</v>
      </c>
      <c r="U192" s="15">
        <v>0</v>
      </c>
      <c r="V192" s="14">
        <v>4654</v>
      </c>
      <c r="W192" s="12">
        <v>0</v>
      </c>
      <c r="X192" s="12">
        <v>0</v>
      </c>
      <c r="Y192" s="12">
        <v>9</v>
      </c>
      <c r="Z192" s="12">
        <v>5.1099999999999994</v>
      </c>
      <c r="AA192" s="12">
        <v>0</v>
      </c>
      <c r="AB192" s="13">
        <f t="shared" si="8"/>
        <v>0</v>
      </c>
      <c r="AE192" s="12">
        <v>0</v>
      </c>
      <c r="AF192" s="12">
        <v>0</v>
      </c>
      <c r="AG192" s="12">
        <v>9</v>
      </c>
      <c r="AH192" s="12">
        <v>5.1099999999999994</v>
      </c>
      <c r="AI192" s="12">
        <v>0</v>
      </c>
      <c r="AJ192" s="13">
        <f t="shared" si="9"/>
        <v>0</v>
      </c>
      <c r="AN192" s="12">
        <f t="shared" si="10"/>
        <v>65668</v>
      </c>
      <c r="AQ192" s="8" t="s">
        <v>419</v>
      </c>
      <c r="AR192" t="str">
        <f t="shared" si="11"/>
        <v>Norte - A02</v>
      </c>
    </row>
    <row r="193" spans="1:44" x14ac:dyDescent="0.2">
      <c r="A193" s="107" t="s">
        <v>6239</v>
      </c>
      <c r="B193" s="106" t="s">
        <v>6238</v>
      </c>
      <c r="C193" s="106" t="s">
        <v>6137</v>
      </c>
      <c r="D193" s="106" t="s">
        <v>633</v>
      </c>
      <c r="E193" s="106" t="s">
        <v>6136</v>
      </c>
      <c r="F193" s="106" t="s">
        <v>490</v>
      </c>
      <c r="G193" s="106" t="s">
        <v>6237</v>
      </c>
      <c r="H193" s="105" t="s">
        <v>6236</v>
      </c>
      <c r="I193" s="105" t="s">
        <v>6232</v>
      </c>
      <c r="J193" s="104">
        <v>7.06</v>
      </c>
      <c r="K193" s="103" t="s">
        <v>421</v>
      </c>
      <c r="L193" s="102" t="s">
        <v>486</v>
      </c>
      <c r="M193" s="95"/>
      <c r="N193" s="17"/>
      <c r="O193" s="94">
        <v>13</v>
      </c>
      <c r="P193" s="14" t="s">
        <v>485</v>
      </c>
      <c r="Q193" s="14" t="s">
        <v>561</v>
      </c>
      <c r="R193" s="14" t="s">
        <v>496</v>
      </c>
      <c r="S193" s="15">
        <v>7.25</v>
      </c>
      <c r="T193" s="15">
        <v>2.2799999999999998</v>
      </c>
      <c r="U193" s="15">
        <v>0</v>
      </c>
      <c r="V193" s="14">
        <v>5296</v>
      </c>
      <c r="W193" s="12">
        <v>0</v>
      </c>
      <c r="X193" s="12">
        <v>1</v>
      </c>
      <c r="Y193" s="12">
        <v>3.0599999999999996</v>
      </c>
      <c r="Z193" s="12">
        <v>3</v>
      </c>
      <c r="AA193" s="12">
        <v>0</v>
      </c>
      <c r="AB193" s="13">
        <f t="shared" si="8"/>
        <v>0</v>
      </c>
      <c r="AE193" s="12">
        <v>0</v>
      </c>
      <c r="AF193" s="12">
        <v>1</v>
      </c>
      <c r="AG193" s="12">
        <v>3.0599999999999996</v>
      </c>
      <c r="AH193" s="12">
        <v>3</v>
      </c>
      <c r="AI193" s="12">
        <v>0</v>
      </c>
      <c r="AJ193" s="13">
        <f t="shared" si="9"/>
        <v>0</v>
      </c>
      <c r="AN193" s="12">
        <f t="shared" si="10"/>
        <v>37390</v>
      </c>
      <c r="AQ193" s="8" t="s">
        <v>419</v>
      </c>
      <c r="AR193" t="str">
        <f t="shared" si="11"/>
        <v>Norte - A01</v>
      </c>
    </row>
    <row r="194" spans="1:44" x14ac:dyDescent="0.2">
      <c r="A194" s="107" t="s">
        <v>6235</v>
      </c>
      <c r="B194" s="106" t="s">
        <v>6234</v>
      </c>
      <c r="C194" s="106" t="s">
        <v>6137</v>
      </c>
      <c r="D194" s="106" t="s">
        <v>2256</v>
      </c>
      <c r="E194" s="106" t="s">
        <v>6136</v>
      </c>
      <c r="F194" s="106" t="s">
        <v>490</v>
      </c>
      <c r="G194" s="106" t="s">
        <v>6233</v>
      </c>
      <c r="H194" s="105" t="s">
        <v>6232</v>
      </c>
      <c r="I194" s="105" t="s">
        <v>6228</v>
      </c>
      <c r="J194" s="104">
        <v>8.06</v>
      </c>
      <c r="K194" s="103" t="s">
        <v>421</v>
      </c>
      <c r="L194" s="102" t="s">
        <v>486</v>
      </c>
      <c r="M194" s="95"/>
      <c r="N194" s="17"/>
      <c r="O194" s="94">
        <v>13</v>
      </c>
      <c r="P194" s="14" t="s">
        <v>485</v>
      </c>
      <c r="Q194" s="14" t="s">
        <v>561</v>
      </c>
      <c r="R194" s="14" t="s">
        <v>496</v>
      </c>
      <c r="S194" s="15">
        <v>7.4</v>
      </c>
      <c r="T194" s="15">
        <v>2.2999999999999998</v>
      </c>
      <c r="U194" s="15">
        <v>0</v>
      </c>
      <c r="V194" s="14">
        <v>5296</v>
      </c>
      <c r="W194" s="12">
        <v>0</v>
      </c>
      <c r="X194" s="12">
        <v>0</v>
      </c>
      <c r="Y194" s="12">
        <v>4</v>
      </c>
      <c r="Z194" s="12">
        <v>4.0600000000000005</v>
      </c>
      <c r="AA194" s="12">
        <v>0</v>
      </c>
      <c r="AB194" s="13">
        <f t="shared" si="8"/>
        <v>0</v>
      </c>
      <c r="AE194" s="12">
        <v>0</v>
      </c>
      <c r="AF194" s="12">
        <v>0</v>
      </c>
      <c r="AG194" s="12">
        <v>4</v>
      </c>
      <c r="AH194" s="12">
        <v>4.0600000000000005</v>
      </c>
      <c r="AI194" s="12">
        <v>0</v>
      </c>
      <c r="AJ194" s="13">
        <f t="shared" si="9"/>
        <v>0</v>
      </c>
      <c r="AN194" s="12">
        <f t="shared" si="10"/>
        <v>42686</v>
      </c>
      <c r="AQ194" s="8" t="s">
        <v>419</v>
      </c>
      <c r="AR194" t="str">
        <f t="shared" si="11"/>
        <v>Norte - A01</v>
      </c>
    </row>
    <row r="195" spans="1:44" x14ac:dyDescent="0.2">
      <c r="A195" s="107" t="s">
        <v>6231</v>
      </c>
      <c r="B195" s="106" t="s">
        <v>6230</v>
      </c>
      <c r="C195" s="106" t="s">
        <v>6137</v>
      </c>
      <c r="D195" s="106" t="s">
        <v>2145</v>
      </c>
      <c r="E195" s="106" t="s">
        <v>6136</v>
      </c>
      <c r="F195" s="106" t="s">
        <v>490</v>
      </c>
      <c r="G195" s="106" t="s">
        <v>6229</v>
      </c>
      <c r="H195" s="105" t="s">
        <v>6228</v>
      </c>
      <c r="I195" s="105" t="s">
        <v>6224</v>
      </c>
      <c r="J195" s="104">
        <v>10.61</v>
      </c>
      <c r="K195" s="103" t="s">
        <v>421</v>
      </c>
      <c r="L195" s="102" t="s">
        <v>486</v>
      </c>
      <c r="M195" s="95"/>
      <c r="N195" s="17"/>
      <c r="O195" s="94">
        <v>13</v>
      </c>
      <c r="P195" s="14" t="s">
        <v>485</v>
      </c>
      <c r="Q195" s="14" t="s">
        <v>561</v>
      </c>
      <c r="R195" s="14" t="s">
        <v>496</v>
      </c>
      <c r="S195" s="15">
        <v>7.24</v>
      </c>
      <c r="T195" s="15">
        <v>2.1</v>
      </c>
      <c r="U195" s="15">
        <v>0</v>
      </c>
      <c r="V195" s="14">
        <v>5296</v>
      </c>
      <c r="W195" s="12">
        <v>0</v>
      </c>
      <c r="X195" s="12">
        <v>0.60999999999999943</v>
      </c>
      <c r="Y195" s="12">
        <v>7</v>
      </c>
      <c r="Z195" s="12">
        <v>3</v>
      </c>
      <c r="AA195" s="12">
        <v>0</v>
      </c>
      <c r="AB195" s="13">
        <f t="shared" si="8"/>
        <v>0</v>
      </c>
      <c r="AE195" s="12">
        <v>0</v>
      </c>
      <c r="AF195" s="12">
        <v>0.60999999999999943</v>
      </c>
      <c r="AG195" s="12">
        <v>7</v>
      </c>
      <c r="AH195" s="12">
        <v>3</v>
      </c>
      <c r="AI195" s="12">
        <v>0</v>
      </c>
      <c r="AJ195" s="13">
        <f t="shared" si="9"/>
        <v>0</v>
      </c>
      <c r="AN195" s="12">
        <f t="shared" si="10"/>
        <v>56191</v>
      </c>
      <c r="AQ195" s="8" t="s">
        <v>419</v>
      </c>
      <c r="AR195" t="str">
        <f t="shared" si="11"/>
        <v>Norte - A01</v>
      </c>
    </row>
    <row r="196" spans="1:44" x14ac:dyDescent="0.2">
      <c r="A196" s="107" t="s">
        <v>6227</v>
      </c>
      <c r="B196" s="106" t="s">
        <v>6226</v>
      </c>
      <c r="C196" s="106" t="s">
        <v>6137</v>
      </c>
      <c r="D196" s="106" t="s">
        <v>3209</v>
      </c>
      <c r="E196" s="106" t="s">
        <v>6189</v>
      </c>
      <c r="F196" s="106" t="s">
        <v>590</v>
      </c>
      <c r="G196" s="106" t="s">
        <v>6225</v>
      </c>
      <c r="H196" s="105" t="s">
        <v>6224</v>
      </c>
      <c r="I196" s="105" t="s">
        <v>6220</v>
      </c>
      <c r="J196" s="104">
        <v>0.47</v>
      </c>
      <c r="K196" s="103" t="s">
        <v>421</v>
      </c>
      <c r="L196" s="102" t="s">
        <v>486</v>
      </c>
      <c r="M196" s="95"/>
      <c r="N196" s="17"/>
      <c r="O196" s="94">
        <v>13</v>
      </c>
      <c r="P196" s="14" t="s">
        <v>586</v>
      </c>
      <c r="Q196" s="14" t="s">
        <v>561</v>
      </c>
      <c r="R196" s="14" t="s">
        <v>496</v>
      </c>
      <c r="S196" s="15">
        <v>7</v>
      </c>
      <c r="T196" s="15">
        <v>2.1</v>
      </c>
      <c r="U196" s="15">
        <v>0</v>
      </c>
      <c r="V196" s="14">
        <v>5296</v>
      </c>
      <c r="W196" s="12">
        <v>0</v>
      </c>
      <c r="X196" s="12">
        <v>0</v>
      </c>
      <c r="Y196" s="12">
        <v>0.47</v>
      </c>
      <c r="Z196" s="12">
        <v>0</v>
      </c>
      <c r="AA196" s="12">
        <v>0</v>
      </c>
      <c r="AB196" s="13">
        <f t="shared" si="8"/>
        <v>0</v>
      </c>
      <c r="AE196" s="12">
        <v>0</v>
      </c>
      <c r="AF196" s="12">
        <v>0</v>
      </c>
      <c r="AG196" s="12">
        <v>0.47</v>
      </c>
      <c r="AH196" s="12">
        <v>0</v>
      </c>
      <c r="AI196" s="12">
        <v>0</v>
      </c>
      <c r="AJ196" s="13">
        <f t="shared" si="9"/>
        <v>0</v>
      </c>
      <c r="AN196" s="12">
        <f t="shared" si="10"/>
        <v>2490</v>
      </c>
      <c r="AQ196" s="8" t="s">
        <v>419</v>
      </c>
      <c r="AR196" t="str">
        <f t="shared" si="11"/>
        <v>Norte - A01</v>
      </c>
    </row>
    <row r="197" spans="1:44" x14ac:dyDescent="0.2">
      <c r="A197" s="107" t="s">
        <v>6223</v>
      </c>
      <c r="B197" s="106" t="s">
        <v>6222</v>
      </c>
      <c r="C197" s="106" t="s">
        <v>6137</v>
      </c>
      <c r="D197" s="106" t="s">
        <v>4036</v>
      </c>
      <c r="E197" s="106" t="s">
        <v>6189</v>
      </c>
      <c r="F197" s="106" t="s">
        <v>590</v>
      </c>
      <c r="G197" s="106" t="s">
        <v>6221</v>
      </c>
      <c r="H197" s="105" t="s">
        <v>6220</v>
      </c>
      <c r="I197" s="105" t="s">
        <v>1755</v>
      </c>
      <c r="J197" s="104">
        <v>0.75</v>
      </c>
      <c r="K197" s="103" t="s">
        <v>421</v>
      </c>
      <c r="L197" s="102" t="s">
        <v>486</v>
      </c>
      <c r="M197" s="95"/>
      <c r="N197" s="17"/>
      <c r="O197" s="94">
        <v>13</v>
      </c>
      <c r="P197" s="14" t="s">
        <v>586</v>
      </c>
      <c r="Q197" s="14" t="s">
        <v>561</v>
      </c>
      <c r="R197" s="14" t="s">
        <v>496</v>
      </c>
      <c r="S197" s="15">
        <v>7</v>
      </c>
      <c r="T197" s="15">
        <v>2.5</v>
      </c>
      <c r="U197" s="15">
        <v>0</v>
      </c>
      <c r="V197" s="14">
        <v>5960</v>
      </c>
      <c r="W197" s="12">
        <v>0</v>
      </c>
      <c r="X197" s="12">
        <v>0</v>
      </c>
      <c r="Y197" s="12">
        <v>0</v>
      </c>
      <c r="Z197" s="12">
        <v>0.75</v>
      </c>
      <c r="AA197" s="12">
        <v>0</v>
      </c>
      <c r="AB197" s="13">
        <f t="shared" si="8"/>
        <v>0</v>
      </c>
      <c r="AE197" s="12">
        <v>0</v>
      </c>
      <c r="AF197" s="12">
        <v>0</v>
      </c>
      <c r="AG197" s="12">
        <v>0</v>
      </c>
      <c r="AH197" s="12">
        <v>0.75</v>
      </c>
      <c r="AI197" s="12">
        <v>0</v>
      </c>
      <c r="AJ197" s="13">
        <f t="shared" si="9"/>
        <v>0</v>
      </c>
      <c r="AN197" s="12">
        <f t="shared" si="10"/>
        <v>4470</v>
      </c>
      <c r="AQ197" s="8" t="s">
        <v>419</v>
      </c>
      <c r="AR197" t="str">
        <f t="shared" si="11"/>
        <v>Norte - A01</v>
      </c>
    </row>
    <row r="198" spans="1:44" x14ac:dyDescent="0.2">
      <c r="A198" s="107" t="s">
        <v>6219</v>
      </c>
      <c r="B198" s="106" t="s">
        <v>6218</v>
      </c>
      <c r="C198" s="106" t="s">
        <v>6137</v>
      </c>
      <c r="D198" s="106" t="s">
        <v>3025</v>
      </c>
      <c r="E198" s="106" t="s">
        <v>6136</v>
      </c>
      <c r="F198" s="106" t="s">
        <v>490</v>
      </c>
      <c r="G198" s="106" t="s">
        <v>6217</v>
      </c>
      <c r="H198" s="105" t="s">
        <v>1755</v>
      </c>
      <c r="I198" s="105" t="s">
        <v>6216</v>
      </c>
      <c r="J198" s="104">
        <v>13.37</v>
      </c>
      <c r="K198" s="103" t="s">
        <v>421</v>
      </c>
      <c r="L198" s="102" t="s">
        <v>486</v>
      </c>
      <c r="M198" s="95"/>
      <c r="N198" s="17"/>
      <c r="O198" s="94">
        <v>13</v>
      </c>
      <c r="P198" s="14" t="s">
        <v>485</v>
      </c>
      <c r="Q198" s="14" t="s">
        <v>561</v>
      </c>
      <c r="R198" s="14" t="s">
        <v>496</v>
      </c>
      <c r="S198" s="15">
        <v>7.2</v>
      </c>
      <c r="T198" s="15">
        <v>2.5</v>
      </c>
      <c r="U198" s="15">
        <v>0</v>
      </c>
      <c r="V198" s="14">
        <v>5960</v>
      </c>
      <c r="W198" s="12">
        <v>0</v>
      </c>
      <c r="X198" s="12">
        <v>3</v>
      </c>
      <c r="Y198" s="12">
        <v>10.37</v>
      </c>
      <c r="Z198" s="12">
        <v>0</v>
      </c>
      <c r="AA198" s="12">
        <v>0</v>
      </c>
      <c r="AB198" s="13">
        <f t="shared" ref="AB198:AB261" si="12">SUM(W198:AA198)-J198</f>
        <v>0</v>
      </c>
      <c r="AE198" s="12">
        <v>0</v>
      </c>
      <c r="AF198" s="12">
        <v>3</v>
      </c>
      <c r="AG198" s="12">
        <v>10.37</v>
      </c>
      <c r="AH198" s="12">
        <v>0</v>
      </c>
      <c r="AI198" s="12">
        <v>0</v>
      </c>
      <c r="AJ198" s="13">
        <f t="shared" ref="AJ198:AJ261" si="13">SUM(AE198:AI198)-J198</f>
        <v>0</v>
      </c>
      <c r="AN198" s="12">
        <f t="shared" ref="AN198:AN261" si="14">ROUNDUP(V198*J198,0)</f>
        <v>79686</v>
      </c>
      <c r="AQ198" s="8" t="s">
        <v>419</v>
      </c>
      <c r="AR198" t="str">
        <f t="shared" ref="AR198:AR261" si="15">AQ198&amp;" - "&amp;K198</f>
        <v>Norte - A01</v>
      </c>
    </row>
    <row r="199" spans="1:44" x14ac:dyDescent="0.2">
      <c r="A199" s="107" t="s">
        <v>6215</v>
      </c>
      <c r="B199" s="106" t="s">
        <v>6214</v>
      </c>
      <c r="C199" s="106" t="s">
        <v>6137</v>
      </c>
      <c r="D199" s="106" t="s">
        <v>2661</v>
      </c>
      <c r="E199" s="106" t="s">
        <v>6136</v>
      </c>
      <c r="F199" s="106" t="s">
        <v>490</v>
      </c>
      <c r="G199" s="106" t="s">
        <v>6213</v>
      </c>
      <c r="H199" s="105" t="s">
        <v>6212</v>
      </c>
      <c r="I199" s="105" t="s">
        <v>6208</v>
      </c>
      <c r="J199" s="104">
        <v>10.11</v>
      </c>
      <c r="K199" s="103" t="s">
        <v>427</v>
      </c>
      <c r="L199" s="102" t="s">
        <v>486</v>
      </c>
      <c r="M199" s="95"/>
      <c r="N199" s="14"/>
      <c r="O199" s="94">
        <v>19</v>
      </c>
      <c r="P199" s="14" t="s">
        <v>485</v>
      </c>
      <c r="Q199" s="14" t="s">
        <v>497</v>
      </c>
      <c r="R199" s="14" t="s">
        <v>496</v>
      </c>
      <c r="S199" s="15">
        <v>7.3</v>
      </c>
      <c r="T199" s="15">
        <v>1.8</v>
      </c>
      <c r="U199" s="15">
        <v>0.5</v>
      </c>
      <c r="V199" s="14">
        <v>1670</v>
      </c>
      <c r="W199" s="12">
        <v>0</v>
      </c>
      <c r="X199" s="12">
        <v>1</v>
      </c>
      <c r="Y199" s="12">
        <v>1</v>
      </c>
      <c r="Z199" s="12">
        <v>8.11</v>
      </c>
      <c r="AA199" s="12">
        <v>0</v>
      </c>
      <c r="AB199" s="13">
        <f t="shared" si="12"/>
        <v>0</v>
      </c>
      <c r="AE199" s="12">
        <v>0</v>
      </c>
      <c r="AF199" s="12">
        <v>1</v>
      </c>
      <c r="AG199" s="12">
        <v>1</v>
      </c>
      <c r="AH199" s="12">
        <v>8.11</v>
      </c>
      <c r="AI199" s="12">
        <v>0</v>
      </c>
      <c r="AJ199" s="13">
        <f t="shared" si="13"/>
        <v>0</v>
      </c>
      <c r="AN199" s="12">
        <f t="shared" si="14"/>
        <v>16884</v>
      </c>
      <c r="AQ199" s="8" t="s">
        <v>419</v>
      </c>
      <c r="AR199" t="str">
        <f t="shared" si="15"/>
        <v>Norte - A07</v>
      </c>
    </row>
    <row r="200" spans="1:44" x14ac:dyDescent="0.2">
      <c r="A200" s="107" t="s">
        <v>6211</v>
      </c>
      <c r="B200" s="106" t="s">
        <v>6210</v>
      </c>
      <c r="C200" s="106" t="s">
        <v>6137</v>
      </c>
      <c r="D200" s="106" t="s">
        <v>2656</v>
      </c>
      <c r="E200" s="106" t="s">
        <v>6136</v>
      </c>
      <c r="F200" s="106" t="s">
        <v>490</v>
      </c>
      <c r="G200" s="106" t="s">
        <v>6209</v>
      </c>
      <c r="H200" s="105" t="s">
        <v>6208</v>
      </c>
      <c r="I200" s="105" t="s">
        <v>6204</v>
      </c>
      <c r="J200" s="104">
        <v>5.32</v>
      </c>
      <c r="K200" s="103" t="s">
        <v>427</v>
      </c>
      <c r="L200" s="102" t="s">
        <v>486</v>
      </c>
      <c r="M200" s="95"/>
      <c r="N200" s="14"/>
      <c r="O200" s="94">
        <v>19</v>
      </c>
      <c r="P200" s="14" t="s">
        <v>485</v>
      </c>
      <c r="Q200" s="14" t="s">
        <v>497</v>
      </c>
      <c r="R200" s="14" t="s">
        <v>496</v>
      </c>
      <c r="S200" s="15">
        <v>7.3</v>
      </c>
      <c r="T200" s="15">
        <v>1.8</v>
      </c>
      <c r="U200" s="15">
        <v>0</v>
      </c>
      <c r="V200" s="14">
        <v>1670</v>
      </c>
      <c r="W200" s="12">
        <v>0</v>
      </c>
      <c r="X200" s="12">
        <v>0</v>
      </c>
      <c r="Y200" s="12">
        <v>2</v>
      </c>
      <c r="Z200" s="12">
        <v>3.3200000000000003</v>
      </c>
      <c r="AA200" s="12">
        <v>0</v>
      </c>
      <c r="AB200" s="13">
        <f t="shared" si="12"/>
        <v>0</v>
      </c>
      <c r="AE200" s="12">
        <v>0</v>
      </c>
      <c r="AF200" s="12">
        <v>0</v>
      </c>
      <c r="AG200" s="12">
        <v>2</v>
      </c>
      <c r="AH200" s="12">
        <v>3.3200000000000003</v>
      </c>
      <c r="AI200" s="12">
        <v>0</v>
      </c>
      <c r="AJ200" s="13">
        <f t="shared" si="13"/>
        <v>0</v>
      </c>
      <c r="AN200" s="12">
        <f t="shared" si="14"/>
        <v>8885</v>
      </c>
      <c r="AQ200" s="8" t="s">
        <v>419</v>
      </c>
      <c r="AR200" t="str">
        <f t="shared" si="15"/>
        <v>Norte - A07</v>
      </c>
    </row>
    <row r="201" spans="1:44" x14ac:dyDescent="0.2">
      <c r="A201" s="107" t="s">
        <v>6207</v>
      </c>
      <c r="B201" s="106" t="s">
        <v>6206</v>
      </c>
      <c r="C201" s="106" t="s">
        <v>6137</v>
      </c>
      <c r="D201" s="106" t="s">
        <v>2651</v>
      </c>
      <c r="E201" s="106" t="s">
        <v>6136</v>
      </c>
      <c r="F201" s="106" t="s">
        <v>490</v>
      </c>
      <c r="G201" s="106" t="s">
        <v>6205</v>
      </c>
      <c r="H201" s="105" t="s">
        <v>6204</v>
      </c>
      <c r="I201" s="105" t="s">
        <v>6200</v>
      </c>
      <c r="J201" s="104">
        <v>9.2899999999999991</v>
      </c>
      <c r="K201" s="103" t="s">
        <v>427</v>
      </c>
      <c r="L201" s="102" t="s">
        <v>486</v>
      </c>
      <c r="M201" s="95"/>
      <c r="N201" s="14"/>
      <c r="O201" s="94">
        <v>19</v>
      </c>
      <c r="P201" s="14" t="s">
        <v>485</v>
      </c>
      <c r="Q201" s="14" t="s">
        <v>497</v>
      </c>
      <c r="R201" s="14" t="s">
        <v>496</v>
      </c>
      <c r="S201" s="15">
        <v>7.2</v>
      </c>
      <c r="T201" s="15">
        <v>1.8</v>
      </c>
      <c r="U201" s="15">
        <v>0</v>
      </c>
      <c r="V201" s="14">
        <v>1918</v>
      </c>
      <c r="W201" s="12">
        <v>0</v>
      </c>
      <c r="X201" s="12">
        <v>1</v>
      </c>
      <c r="Y201" s="12">
        <v>0</v>
      </c>
      <c r="Z201" s="12">
        <v>8.2899999999999991</v>
      </c>
      <c r="AA201" s="12">
        <v>0</v>
      </c>
      <c r="AB201" s="13">
        <f t="shared" si="12"/>
        <v>0</v>
      </c>
      <c r="AE201" s="12">
        <v>0</v>
      </c>
      <c r="AF201" s="12">
        <v>1</v>
      </c>
      <c r="AG201" s="12">
        <v>0</v>
      </c>
      <c r="AH201" s="12">
        <v>8.2899999999999991</v>
      </c>
      <c r="AI201" s="12">
        <v>0</v>
      </c>
      <c r="AJ201" s="13">
        <f t="shared" si="13"/>
        <v>0</v>
      </c>
      <c r="AN201" s="12">
        <f t="shared" si="14"/>
        <v>17819</v>
      </c>
      <c r="AQ201" s="8" t="s">
        <v>419</v>
      </c>
      <c r="AR201" t="str">
        <f t="shared" si="15"/>
        <v>Norte - A07</v>
      </c>
    </row>
    <row r="202" spans="1:44" x14ac:dyDescent="0.2">
      <c r="A202" s="107" t="s">
        <v>6203</v>
      </c>
      <c r="B202" s="106" t="s">
        <v>6202</v>
      </c>
      <c r="C202" s="106" t="s">
        <v>6137</v>
      </c>
      <c r="D202" s="106" t="s">
        <v>2641</v>
      </c>
      <c r="E202" s="106" t="s">
        <v>6136</v>
      </c>
      <c r="F202" s="106" t="s">
        <v>490</v>
      </c>
      <c r="G202" s="106" t="s">
        <v>6201</v>
      </c>
      <c r="H202" s="105" t="s">
        <v>6200</v>
      </c>
      <c r="I202" s="105" t="s">
        <v>3507</v>
      </c>
      <c r="J202" s="104">
        <v>14.21</v>
      </c>
      <c r="K202" s="103" t="s">
        <v>427</v>
      </c>
      <c r="L202" s="102" t="s">
        <v>486</v>
      </c>
      <c r="M202" s="95"/>
      <c r="N202" s="14"/>
      <c r="O202" s="94">
        <v>19</v>
      </c>
      <c r="P202" s="14" t="s">
        <v>485</v>
      </c>
      <c r="Q202" s="14" t="s">
        <v>497</v>
      </c>
      <c r="R202" s="14" t="s">
        <v>496</v>
      </c>
      <c r="S202" s="15">
        <v>7.3</v>
      </c>
      <c r="T202" s="15">
        <v>1.5</v>
      </c>
      <c r="U202" s="15">
        <v>0</v>
      </c>
      <c r="V202" s="14">
        <v>1670</v>
      </c>
      <c r="W202" s="12">
        <v>0</v>
      </c>
      <c r="X202" s="12">
        <v>0</v>
      </c>
      <c r="Y202" s="12">
        <v>0</v>
      </c>
      <c r="Z202" s="12">
        <v>14.21</v>
      </c>
      <c r="AA202" s="12">
        <v>0</v>
      </c>
      <c r="AB202" s="13">
        <f t="shared" si="12"/>
        <v>0</v>
      </c>
      <c r="AE202" s="12">
        <v>0</v>
      </c>
      <c r="AF202" s="12">
        <v>0</v>
      </c>
      <c r="AG202" s="12">
        <v>0</v>
      </c>
      <c r="AH202" s="12">
        <v>14.21</v>
      </c>
      <c r="AI202" s="12">
        <v>0</v>
      </c>
      <c r="AJ202" s="13">
        <f t="shared" si="13"/>
        <v>0</v>
      </c>
      <c r="AN202" s="12">
        <f t="shared" si="14"/>
        <v>23731</v>
      </c>
      <c r="AQ202" s="8" t="s">
        <v>419</v>
      </c>
      <c r="AR202" t="str">
        <f t="shared" si="15"/>
        <v>Norte - A07</v>
      </c>
    </row>
    <row r="203" spans="1:44" x14ac:dyDescent="0.2">
      <c r="A203" s="107" t="s">
        <v>6199</v>
      </c>
      <c r="B203" s="106" t="s">
        <v>6198</v>
      </c>
      <c r="C203" s="106" t="s">
        <v>6137</v>
      </c>
      <c r="D203" s="106" t="s">
        <v>2631</v>
      </c>
      <c r="E203" s="106" t="s">
        <v>6136</v>
      </c>
      <c r="F203" s="106" t="s">
        <v>490</v>
      </c>
      <c r="G203" s="106" t="s">
        <v>6197</v>
      </c>
      <c r="H203" s="105" t="s">
        <v>3507</v>
      </c>
      <c r="I203" s="105" t="s">
        <v>6193</v>
      </c>
      <c r="J203" s="104">
        <v>12.41</v>
      </c>
      <c r="K203" s="103" t="s">
        <v>427</v>
      </c>
      <c r="L203" s="102" t="s">
        <v>486</v>
      </c>
      <c r="M203" s="95"/>
      <c r="N203" s="14"/>
      <c r="O203" s="94">
        <v>19</v>
      </c>
      <c r="P203" s="14" t="s">
        <v>485</v>
      </c>
      <c r="Q203" s="14" t="s">
        <v>497</v>
      </c>
      <c r="R203" s="14" t="s">
        <v>496</v>
      </c>
      <c r="S203" s="15">
        <v>7.3</v>
      </c>
      <c r="T203" s="15">
        <v>1.5</v>
      </c>
      <c r="U203" s="15">
        <v>0</v>
      </c>
      <c r="V203" s="14">
        <v>1078</v>
      </c>
      <c r="W203" s="12">
        <v>0</v>
      </c>
      <c r="X203" s="12">
        <v>0</v>
      </c>
      <c r="Y203" s="12">
        <v>1</v>
      </c>
      <c r="Z203" s="12">
        <v>11.41</v>
      </c>
      <c r="AA203" s="12">
        <v>0</v>
      </c>
      <c r="AB203" s="13">
        <f t="shared" si="12"/>
        <v>0</v>
      </c>
      <c r="AE203" s="12">
        <v>0</v>
      </c>
      <c r="AF203" s="12">
        <v>0</v>
      </c>
      <c r="AG203" s="12">
        <v>1</v>
      </c>
      <c r="AH203" s="12">
        <v>11.41</v>
      </c>
      <c r="AI203" s="12">
        <v>0</v>
      </c>
      <c r="AJ203" s="13">
        <f t="shared" si="13"/>
        <v>0</v>
      </c>
      <c r="AN203" s="12">
        <f t="shared" si="14"/>
        <v>13378</v>
      </c>
      <c r="AQ203" s="8" t="s">
        <v>419</v>
      </c>
      <c r="AR203" t="str">
        <f t="shared" si="15"/>
        <v>Norte - A07</v>
      </c>
    </row>
    <row r="204" spans="1:44" x14ac:dyDescent="0.2">
      <c r="A204" s="107" t="s">
        <v>6196</v>
      </c>
      <c r="B204" s="106" t="s">
        <v>6195</v>
      </c>
      <c r="C204" s="106" t="s">
        <v>6137</v>
      </c>
      <c r="D204" s="106" t="s">
        <v>2626</v>
      </c>
      <c r="E204" s="106" t="s">
        <v>6136</v>
      </c>
      <c r="F204" s="106" t="s">
        <v>490</v>
      </c>
      <c r="G204" s="106" t="s">
        <v>6194</v>
      </c>
      <c r="H204" s="105" t="s">
        <v>6193</v>
      </c>
      <c r="I204" s="105" t="s">
        <v>3502</v>
      </c>
      <c r="J204" s="104">
        <v>4.53</v>
      </c>
      <c r="K204" s="103" t="s">
        <v>427</v>
      </c>
      <c r="L204" s="102" t="s">
        <v>486</v>
      </c>
      <c r="M204" s="95"/>
      <c r="N204" s="14"/>
      <c r="O204" s="94">
        <v>19</v>
      </c>
      <c r="P204" s="14" t="s">
        <v>485</v>
      </c>
      <c r="Q204" s="14" t="s">
        <v>497</v>
      </c>
      <c r="R204" s="14" t="s">
        <v>496</v>
      </c>
      <c r="S204" s="15">
        <v>7</v>
      </c>
      <c r="T204" s="15">
        <v>2.5</v>
      </c>
      <c r="U204" s="15">
        <v>0</v>
      </c>
      <c r="V204" s="14">
        <v>1590</v>
      </c>
      <c r="W204" s="12">
        <v>0</v>
      </c>
      <c r="X204" s="12">
        <v>0</v>
      </c>
      <c r="Y204" s="12">
        <v>0</v>
      </c>
      <c r="Z204" s="12">
        <v>4.53</v>
      </c>
      <c r="AA204" s="12">
        <v>0</v>
      </c>
      <c r="AB204" s="13">
        <f t="shared" si="12"/>
        <v>0</v>
      </c>
      <c r="AE204" s="12">
        <v>0</v>
      </c>
      <c r="AF204" s="12">
        <v>0</v>
      </c>
      <c r="AG204" s="12">
        <v>0</v>
      </c>
      <c r="AH204" s="12">
        <v>4.53</v>
      </c>
      <c r="AI204" s="12">
        <v>0</v>
      </c>
      <c r="AJ204" s="13">
        <f t="shared" si="13"/>
        <v>0</v>
      </c>
      <c r="AN204" s="12">
        <f t="shared" si="14"/>
        <v>7203</v>
      </c>
      <c r="AQ204" s="8" t="s">
        <v>419</v>
      </c>
      <c r="AR204" t="str">
        <f t="shared" si="15"/>
        <v>Norte - A07</v>
      </c>
    </row>
    <row r="205" spans="1:44" x14ac:dyDescent="0.2">
      <c r="A205" s="107" t="s">
        <v>6192</v>
      </c>
      <c r="B205" s="106" t="s">
        <v>6191</v>
      </c>
      <c r="C205" s="106" t="s">
        <v>6137</v>
      </c>
      <c r="D205" s="106" t="s">
        <v>6190</v>
      </c>
      <c r="E205" s="106" t="s">
        <v>6189</v>
      </c>
      <c r="F205" s="106" t="s">
        <v>590</v>
      </c>
      <c r="G205" s="106" t="s">
        <v>6188</v>
      </c>
      <c r="H205" s="105" t="s">
        <v>3502</v>
      </c>
      <c r="I205" s="105" t="s">
        <v>6187</v>
      </c>
      <c r="J205" s="104">
        <v>0.3</v>
      </c>
      <c r="K205" s="103" t="s">
        <v>427</v>
      </c>
      <c r="L205" s="102" t="s">
        <v>486</v>
      </c>
      <c r="M205" s="95"/>
      <c r="N205" s="14"/>
      <c r="O205" s="94">
        <v>19</v>
      </c>
      <c r="P205" s="14" t="s">
        <v>586</v>
      </c>
      <c r="Q205" s="14" t="s">
        <v>497</v>
      </c>
      <c r="R205" s="14" t="s">
        <v>496</v>
      </c>
      <c r="S205" s="15">
        <v>8.1999999999999993</v>
      </c>
      <c r="T205" s="15">
        <v>0</v>
      </c>
      <c r="U205" s="15">
        <v>0</v>
      </c>
      <c r="V205" s="14">
        <v>1590</v>
      </c>
      <c r="W205" s="12">
        <v>0</v>
      </c>
      <c r="X205" s="12">
        <v>0</v>
      </c>
      <c r="Y205" s="12">
        <v>0</v>
      </c>
      <c r="Z205" s="12">
        <v>0.3</v>
      </c>
      <c r="AA205" s="12">
        <v>0</v>
      </c>
      <c r="AB205" s="13">
        <f t="shared" si="12"/>
        <v>0</v>
      </c>
      <c r="AE205" s="12">
        <v>0</v>
      </c>
      <c r="AF205" s="12">
        <v>0</v>
      </c>
      <c r="AG205" s="12">
        <v>0</v>
      </c>
      <c r="AH205" s="12">
        <v>0.3</v>
      </c>
      <c r="AI205" s="12">
        <v>0</v>
      </c>
      <c r="AJ205" s="13">
        <f t="shared" si="13"/>
        <v>0</v>
      </c>
      <c r="AN205" s="12">
        <f t="shared" si="14"/>
        <v>477</v>
      </c>
      <c r="AQ205" s="8" t="s">
        <v>419</v>
      </c>
      <c r="AR205" t="str">
        <f t="shared" si="15"/>
        <v>Norte - A07</v>
      </c>
    </row>
    <row r="206" spans="1:44" x14ac:dyDescent="0.2">
      <c r="A206" s="107" t="s">
        <v>6186</v>
      </c>
      <c r="B206" s="106" t="s">
        <v>6185</v>
      </c>
      <c r="C206" s="106" t="s">
        <v>6137</v>
      </c>
      <c r="D206" s="106" t="s">
        <v>5792</v>
      </c>
      <c r="E206" s="106" t="s">
        <v>6136</v>
      </c>
      <c r="F206" s="106" t="s">
        <v>490</v>
      </c>
      <c r="G206" s="106" t="s">
        <v>6184</v>
      </c>
      <c r="H206" s="105" t="s">
        <v>6183</v>
      </c>
      <c r="I206" s="105" t="s">
        <v>6179</v>
      </c>
      <c r="J206" s="104">
        <v>0.3</v>
      </c>
      <c r="K206" s="103" t="s">
        <v>425</v>
      </c>
      <c r="L206" s="102" t="s">
        <v>577</v>
      </c>
      <c r="M206" s="95"/>
      <c r="N206" s="17"/>
      <c r="O206" s="18" t="s">
        <v>442</v>
      </c>
      <c r="P206" s="14" t="s">
        <v>485</v>
      </c>
      <c r="Q206" s="14" t="s">
        <v>497</v>
      </c>
      <c r="R206" s="14" t="s">
        <v>496</v>
      </c>
      <c r="S206" s="15">
        <v>7</v>
      </c>
      <c r="T206" s="15">
        <v>2.5</v>
      </c>
      <c r="U206" s="15">
        <v>0</v>
      </c>
      <c r="V206" s="14">
        <v>3291</v>
      </c>
      <c r="W206" s="12">
        <v>0</v>
      </c>
      <c r="X206" s="12">
        <v>0</v>
      </c>
      <c r="Y206" s="12">
        <v>0.3</v>
      </c>
      <c r="Z206" s="12">
        <v>0</v>
      </c>
      <c r="AA206" s="12">
        <v>0</v>
      </c>
      <c r="AB206" s="13">
        <f t="shared" si="12"/>
        <v>0</v>
      </c>
      <c r="AE206" s="12">
        <v>0</v>
      </c>
      <c r="AF206" s="12">
        <v>0</v>
      </c>
      <c r="AG206" s="12">
        <v>0.3</v>
      </c>
      <c r="AH206" s="12">
        <v>0</v>
      </c>
      <c r="AI206" s="12">
        <v>0</v>
      </c>
      <c r="AJ206" s="13">
        <f t="shared" si="13"/>
        <v>0</v>
      </c>
      <c r="AN206" s="12">
        <f t="shared" si="14"/>
        <v>988</v>
      </c>
      <c r="AQ206" s="8" t="s">
        <v>420</v>
      </c>
      <c r="AR206" t="str">
        <f t="shared" si="15"/>
        <v>Campos Gerais - A05</v>
      </c>
    </row>
    <row r="207" spans="1:44" x14ac:dyDescent="0.2">
      <c r="A207" s="107" t="s">
        <v>6182</v>
      </c>
      <c r="B207" s="106" t="s">
        <v>6181</v>
      </c>
      <c r="C207" s="106" t="s">
        <v>6137</v>
      </c>
      <c r="D207" s="106" t="s">
        <v>5780</v>
      </c>
      <c r="E207" s="106" t="s">
        <v>6136</v>
      </c>
      <c r="F207" s="106" t="s">
        <v>490</v>
      </c>
      <c r="G207" s="106" t="s">
        <v>6180</v>
      </c>
      <c r="H207" s="105" t="s">
        <v>6179</v>
      </c>
      <c r="I207" s="105" t="s">
        <v>6174</v>
      </c>
      <c r="J207" s="104">
        <v>3.73</v>
      </c>
      <c r="K207" s="103" t="s">
        <v>425</v>
      </c>
      <c r="L207" s="102" t="s">
        <v>577</v>
      </c>
      <c r="M207" s="95"/>
      <c r="N207" s="17"/>
      <c r="O207" s="18" t="s">
        <v>442</v>
      </c>
      <c r="P207" s="14" t="s">
        <v>485</v>
      </c>
      <c r="Q207" s="14" t="s">
        <v>497</v>
      </c>
      <c r="R207" s="14" t="s">
        <v>496</v>
      </c>
      <c r="S207" s="15">
        <v>7</v>
      </c>
      <c r="T207" s="15">
        <v>2.5</v>
      </c>
      <c r="U207" s="15">
        <v>0</v>
      </c>
      <c r="V207" s="14">
        <v>5104</v>
      </c>
      <c r="W207" s="12">
        <v>0</v>
      </c>
      <c r="X207" s="12">
        <v>1</v>
      </c>
      <c r="Y207" s="12">
        <v>2.73</v>
      </c>
      <c r="Z207" s="12">
        <v>0</v>
      </c>
      <c r="AA207" s="12">
        <v>0</v>
      </c>
      <c r="AB207" s="13">
        <f t="shared" si="12"/>
        <v>0</v>
      </c>
      <c r="AE207" s="12">
        <v>0</v>
      </c>
      <c r="AF207" s="12">
        <v>1</v>
      </c>
      <c r="AG207" s="12">
        <v>2.73</v>
      </c>
      <c r="AH207" s="12">
        <v>0</v>
      </c>
      <c r="AI207" s="12">
        <v>0</v>
      </c>
      <c r="AJ207" s="13">
        <f t="shared" si="13"/>
        <v>0</v>
      </c>
      <c r="AN207" s="12">
        <f t="shared" si="14"/>
        <v>19038</v>
      </c>
      <c r="AQ207" s="8" t="s">
        <v>420</v>
      </c>
      <c r="AR207" t="str">
        <f t="shared" si="15"/>
        <v>Campos Gerais - A05</v>
      </c>
    </row>
    <row r="208" spans="1:44" x14ac:dyDescent="0.2">
      <c r="A208" s="107" t="s">
        <v>6178</v>
      </c>
      <c r="B208" s="106" t="s">
        <v>6177</v>
      </c>
      <c r="C208" s="106" t="s">
        <v>6137</v>
      </c>
      <c r="D208" s="106" t="s">
        <v>6176</v>
      </c>
      <c r="E208" s="106" t="s">
        <v>6136</v>
      </c>
      <c r="F208" s="106" t="s">
        <v>490</v>
      </c>
      <c r="G208" s="106" t="s">
        <v>6175</v>
      </c>
      <c r="H208" s="105" t="s">
        <v>6174</v>
      </c>
      <c r="I208" s="105" t="s">
        <v>6173</v>
      </c>
      <c r="J208" s="104">
        <v>1.92</v>
      </c>
      <c r="K208" s="103" t="s">
        <v>425</v>
      </c>
      <c r="L208" s="102" t="s">
        <v>577</v>
      </c>
      <c r="M208" s="95"/>
      <c r="N208" s="17"/>
      <c r="O208" s="18" t="s">
        <v>442</v>
      </c>
      <c r="P208" s="14" t="s">
        <v>485</v>
      </c>
      <c r="Q208" s="14" t="s">
        <v>497</v>
      </c>
      <c r="R208" s="14" t="s">
        <v>496</v>
      </c>
      <c r="S208" s="15">
        <v>7</v>
      </c>
      <c r="T208" s="15">
        <v>2.5</v>
      </c>
      <c r="U208" s="15">
        <v>0</v>
      </c>
      <c r="V208" s="14">
        <v>5104</v>
      </c>
      <c r="W208" s="12">
        <v>0</v>
      </c>
      <c r="X208" s="12">
        <v>0</v>
      </c>
      <c r="Y208" s="12">
        <v>1.92</v>
      </c>
      <c r="Z208" s="12">
        <v>0</v>
      </c>
      <c r="AA208" s="12">
        <v>0</v>
      </c>
      <c r="AB208" s="13">
        <f t="shared" si="12"/>
        <v>0</v>
      </c>
      <c r="AE208" s="12">
        <v>0</v>
      </c>
      <c r="AF208" s="12">
        <v>0</v>
      </c>
      <c r="AG208" s="12">
        <v>1.92</v>
      </c>
      <c r="AH208" s="12">
        <v>0</v>
      </c>
      <c r="AI208" s="12">
        <v>0</v>
      </c>
      <c r="AJ208" s="13">
        <f t="shared" si="13"/>
        <v>0</v>
      </c>
      <c r="AN208" s="12">
        <f t="shared" si="14"/>
        <v>9800</v>
      </c>
      <c r="AQ208" s="8" t="s">
        <v>420</v>
      </c>
      <c r="AR208" t="str">
        <f t="shared" si="15"/>
        <v>Campos Gerais - A05</v>
      </c>
    </row>
    <row r="209" spans="1:44" x14ac:dyDescent="0.2">
      <c r="A209" s="107" t="s">
        <v>6172</v>
      </c>
      <c r="B209" s="106" t="s">
        <v>6171</v>
      </c>
      <c r="C209" s="106" t="s">
        <v>6137</v>
      </c>
      <c r="D209" s="106" t="s">
        <v>4521</v>
      </c>
      <c r="E209" s="106" t="s">
        <v>6136</v>
      </c>
      <c r="F209" s="106" t="s">
        <v>490</v>
      </c>
      <c r="G209" s="106" t="s">
        <v>6170</v>
      </c>
      <c r="H209" s="105" t="s">
        <v>6169</v>
      </c>
      <c r="I209" s="105" t="s">
        <v>6165</v>
      </c>
      <c r="J209" s="104">
        <v>13.36</v>
      </c>
      <c r="K209" s="103" t="s">
        <v>425</v>
      </c>
      <c r="L209" s="102" t="s">
        <v>577</v>
      </c>
      <c r="M209" s="95"/>
      <c r="N209" s="17"/>
      <c r="O209" s="18" t="s">
        <v>442</v>
      </c>
      <c r="P209" s="14" t="s">
        <v>485</v>
      </c>
      <c r="Q209" s="14" t="s">
        <v>497</v>
      </c>
      <c r="R209" s="14" t="s">
        <v>496</v>
      </c>
      <c r="S209" s="15">
        <v>7</v>
      </c>
      <c r="T209" s="15">
        <v>2.5</v>
      </c>
      <c r="U209" s="15">
        <v>7.3000000000000007</v>
      </c>
      <c r="V209" s="14">
        <v>5104</v>
      </c>
      <c r="W209" s="12">
        <v>0</v>
      </c>
      <c r="X209" s="12">
        <v>0</v>
      </c>
      <c r="Y209" s="12">
        <v>4</v>
      </c>
      <c r="Z209" s="12">
        <v>9.36</v>
      </c>
      <c r="AA209" s="12">
        <v>0</v>
      </c>
      <c r="AB209" s="13">
        <f t="shared" si="12"/>
        <v>0</v>
      </c>
      <c r="AE209" s="12">
        <v>0</v>
      </c>
      <c r="AF209" s="12">
        <v>0</v>
      </c>
      <c r="AG209" s="12">
        <v>4</v>
      </c>
      <c r="AH209" s="12">
        <v>9.36</v>
      </c>
      <c r="AI209" s="12">
        <v>0</v>
      </c>
      <c r="AJ209" s="13">
        <f t="shared" si="13"/>
        <v>0</v>
      </c>
      <c r="AN209" s="12">
        <f t="shared" si="14"/>
        <v>68190</v>
      </c>
      <c r="AQ209" s="8" t="s">
        <v>420</v>
      </c>
      <c r="AR209" t="str">
        <f t="shared" si="15"/>
        <v>Campos Gerais - A05</v>
      </c>
    </row>
    <row r="210" spans="1:44" x14ac:dyDescent="0.2">
      <c r="A210" s="107" t="s">
        <v>6168</v>
      </c>
      <c r="B210" s="106" t="s">
        <v>6167</v>
      </c>
      <c r="C210" s="106" t="s">
        <v>6137</v>
      </c>
      <c r="D210" s="106" t="s">
        <v>5057</v>
      </c>
      <c r="E210" s="106" t="s">
        <v>6136</v>
      </c>
      <c r="F210" s="106" t="s">
        <v>490</v>
      </c>
      <c r="G210" s="106" t="s">
        <v>6166</v>
      </c>
      <c r="H210" s="105" t="s">
        <v>6165</v>
      </c>
      <c r="I210" s="105" t="s">
        <v>6161</v>
      </c>
      <c r="J210" s="104">
        <v>0.7</v>
      </c>
      <c r="K210" s="103" t="s">
        <v>425</v>
      </c>
      <c r="L210" s="102" t="s">
        <v>577</v>
      </c>
      <c r="M210" s="95"/>
      <c r="N210" s="17"/>
      <c r="O210" s="18" t="s">
        <v>442</v>
      </c>
      <c r="P210" s="14" t="s">
        <v>485</v>
      </c>
      <c r="Q210" s="14" t="s">
        <v>497</v>
      </c>
      <c r="R210" s="14" t="s">
        <v>496</v>
      </c>
      <c r="S210" s="15">
        <v>7</v>
      </c>
      <c r="T210" s="15">
        <v>2.5</v>
      </c>
      <c r="U210" s="15">
        <v>0</v>
      </c>
      <c r="V210" s="14">
        <v>5104</v>
      </c>
      <c r="W210" s="12">
        <v>0</v>
      </c>
      <c r="X210" s="12">
        <v>0</v>
      </c>
      <c r="Y210" s="12">
        <v>0</v>
      </c>
      <c r="Z210" s="12">
        <v>0.7</v>
      </c>
      <c r="AA210" s="12">
        <v>0</v>
      </c>
      <c r="AB210" s="13">
        <f t="shared" si="12"/>
        <v>0</v>
      </c>
      <c r="AE210" s="12">
        <v>0</v>
      </c>
      <c r="AF210" s="12">
        <v>0</v>
      </c>
      <c r="AG210" s="12">
        <v>0</v>
      </c>
      <c r="AH210" s="12">
        <v>0.7</v>
      </c>
      <c r="AI210" s="12">
        <v>0</v>
      </c>
      <c r="AJ210" s="13">
        <f t="shared" si="13"/>
        <v>0</v>
      </c>
      <c r="AN210" s="12">
        <f t="shared" si="14"/>
        <v>3573</v>
      </c>
      <c r="AQ210" s="8" t="s">
        <v>420</v>
      </c>
      <c r="AR210" t="str">
        <f t="shared" si="15"/>
        <v>Campos Gerais - A05</v>
      </c>
    </row>
    <row r="211" spans="1:44" x14ac:dyDescent="0.2">
      <c r="A211" s="107" t="s">
        <v>6164</v>
      </c>
      <c r="B211" s="106" t="s">
        <v>6163</v>
      </c>
      <c r="C211" s="106" t="s">
        <v>6137</v>
      </c>
      <c r="D211" s="106" t="s">
        <v>4513</v>
      </c>
      <c r="E211" s="106" t="s">
        <v>6136</v>
      </c>
      <c r="F211" s="106" t="s">
        <v>490</v>
      </c>
      <c r="G211" s="106" t="s">
        <v>6162</v>
      </c>
      <c r="H211" s="105" t="s">
        <v>6161</v>
      </c>
      <c r="I211" s="105" t="s">
        <v>6156</v>
      </c>
      <c r="J211" s="104">
        <v>29.57</v>
      </c>
      <c r="K211" s="103" t="s">
        <v>425</v>
      </c>
      <c r="L211" s="102" t="s">
        <v>577</v>
      </c>
      <c r="M211" s="95"/>
      <c r="N211" s="17"/>
      <c r="O211" s="18" t="s">
        <v>442</v>
      </c>
      <c r="P211" s="14" t="s">
        <v>485</v>
      </c>
      <c r="Q211" s="14" t="s">
        <v>497</v>
      </c>
      <c r="R211" s="14" t="s">
        <v>496</v>
      </c>
      <c r="S211" s="15">
        <v>7</v>
      </c>
      <c r="T211" s="15">
        <v>2.5</v>
      </c>
      <c r="U211" s="15">
        <v>4.3000000000000007</v>
      </c>
      <c r="V211" s="14">
        <v>6147</v>
      </c>
      <c r="W211" s="12">
        <v>0</v>
      </c>
      <c r="X211" s="12">
        <v>0</v>
      </c>
      <c r="Y211" s="12">
        <v>4</v>
      </c>
      <c r="Z211" s="12">
        <v>25.57</v>
      </c>
      <c r="AA211" s="12">
        <v>0</v>
      </c>
      <c r="AB211" s="13">
        <f t="shared" si="12"/>
        <v>0</v>
      </c>
      <c r="AE211" s="12">
        <v>0</v>
      </c>
      <c r="AF211" s="12">
        <v>0</v>
      </c>
      <c r="AG211" s="12">
        <v>4</v>
      </c>
      <c r="AH211" s="12">
        <v>25.57</v>
      </c>
      <c r="AI211" s="12">
        <v>0</v>
      </c>
      <c r="AJ211" s="13">
        <f t="shared" si="13"/>
        <v>0</v>
      </c>
      <c r="AN211" s="12">
        <f t="shared" si="14"/>
        <v>181767</v>
      </c>
      <c r="AQ211" s="8" t="s">
        <v>420</v>
      </c>
      <c r="AR211" t="str">
        <f t="shared" si="15"/>
        <v>Campos Gerais - A05</v>
      </c>
    </row>
    <row r="212" spans="1:44" x14ac:dyDescent="0.2">
      <c r="A212" s="107" t="s">
        <v>6160</v>
      </c>
      <c r="B212" s="106" t="s">
        <v>6159</v>
      </c>
      <c r="C212" s="106" t="s">
        <v>6137</v>
      </c>
      <c r="D212" s="106" t="s">
        <v>6158</v>
      </c>
      <c r="E212" s="106" t="s">
        <v>6136</v>
      </c>
      <c r="F212" s="106" t="s">
        <v>490</v>
      </c>
      <c r="G212" s="106" t="s">
        <v>6157</v>
      </c>
      <c r="H212" s="105" t="s">
        <v>6156</v>
      </c>
      <c r="I212" s="105" t="s">
        <v>6151</v>
      </c>
      <c r="J212" s="104">
        <v>1.79</v>
      </c>
      <c r="K212" s="103" t="s">
        <v>425</v>
      </c>
      <c r="L212" s="102" t="s">
        <v>577</v>
      </c>
      <c r="M212" s="95"/>
      <c r="N212" s="17"/>
      <c r="O212" s="18" t="s">
        <v>442</v>
      </c>
      <c r="P212" s="14" t="s">
        <v>485</v>
      </c>
      <c r="Q212" s="14" t="s">
        <v>497</v>
      </c>
      <c r="R212" s="14" t="s">
        <v>496</v>
      </c>
      <c r="S212" s="15">
        <v>7</v>
      </c>
      <c r="T212" s="15">
        <v>2.5</v>
      </c>
      <c r="U212" s="15">
        <v>0</v>
      </c>
      <c r="V212" s="14">
        <v>5704</v>
      </c>
      <c r="W212" s="12">
        <v>0</v>
      </c>
      <c r="X212" s="12">
        <v>0</v>
      </c>
      <c r="Y212" s="12">
        <v>0</v>
      </c>
      <c r="Z212" s="12">
        <v>1.79</v>
      </c>
      <c r="AA212" s="12">
        <v>0</v>
      </c>
      <c r="AB212" s="13">
        <f t="shared" si="12"/>
        <v>0</v>
      </c>
      <c r="AE212" s="12">
        <v>0</v>
      </c>
      <c r="AF212" s="12">
        <v>0</v>
      </c>
      <c r="AG212" s="12">
        <v>0</v>
      </c>
      <c r="AH212" s="12">
        <v>1.79</v>
      </c>
      <c r="AI212" s="12">
        <v>0</v>
      </c>
      <c r="AJ212" s="13">
        <f t="shared" si="13"/>
        <v>0</v>
      </c>
      <c r="AN212" s="12">
        <f t="shared" si="14"/>
        <v>10211</v>
      </c>
      <c r="AQ212" s="8" t="s">
        <v>420</v>
      </c>
      <c r="AR212" t="str">
        <f t="shared" si="15"/>
        <v>Campos Gerais - A05</v>
      </c>
    </row>
    <row r="213" spans="1:44" x14ac:dyDescent="0.2">
      <c r="A213" s="107" t="s">
        <v>6155</v>
      </c>
      <c r="B213" s="106" t="s">
        <v>6154</v>
      </c>
      <c r="C213" s="106" t="s">
        <v>6137</v>
      </c>
      <c r="D213" s="106" t="s">
        <v>6153</v>
      </c>
      <c r="E213" s="106" t="s">
        <v>6136</v>
      </c>
      <c r="F213" s="106" t="s">
        <v>490</v>
      </c>
      <c r="G213" s="106" t="s">
        <v>6152</v>
      </c>
      <c r="H213" s="105" t="s">
        <v>6151</v>
      </c>
      <c r="I213" s="105" t="s">
        <v>6150</v>
      </c>
      <c r="J213" s="104">
        <v>41.24</v>
      </c>
      <c r="K213" s="103" t="s">
        <v>425</v>
      </c>
      <c r="L213" s="102" t="s">
        <v>577</v>
      </c>
      <c r="M213" s="95"/>
      <c r="N213" s="17"/>
      <c r="O213" s="18" t="s">
        <v>442</v>
      </c>
      <c r="P213" s="14" t="s">
        <v>485</v>
      </c>
      <c r="Q213" s="14" t="s">
        <v>497</v>
      </c>
      <c r="R213" s="14" t="s">
        <v>496</v>
      </c>
      <c r="S213" s="15">
        <v>7</v>
      </c>
      <c r="T213" s="15">
        <v>2.4</v>
      </c>
      <c r="U213" s="15">
        <v>0</v>
      </c>
      <c r="V213" s="14">
        <v>5104</v>
      </c>
      <c r="W213" s="12">
        <v>0</v>
      </c>
      <c r="X213" s="12">
        <v>0</v>
      </c>
      <c r="Y213" s="12">
        <v>15</v>
      </c>
      <c r="Z213" s="12">
        <v>26.240000000000002</v>
      </c>
      <c r="AA213" s="12">
        <v>0</v>
      </c>
      <c r="AB213" s="13">
        <f t="shared" si="12"/>
        <v>0</v>
      </c>
      <c r="AE213" s="12">
        <v>0</v>
      </c>
      <c r="AF213" s="12">
        <v>0</v>
      </c>
      <c r="AG213" s="12">
        <v>15</v>
      </c>
      <c r="AH213" s="12">
        <v>26.240000000000002</v>
      </c>
      <c r="AI213" s="12">
        <v>0</v>
      </c>
      <c r="AJ213" s="13">
        <f t="shared" si="13"/>
        <v>0</v>
      </c>
      <c r="AN213" s="12">
        <f t="shared" si="14"/>
        <v>210489</v>
      </c>
      <c r="AQ213" s="8" t="s">
        <v>420</v>
      </c>
      <c r="AR213" t="str">
        <f t="shared" si="15"/>
        <v>Campos Gerais - A05</v>
      </c>
    </row>
    <row r="214" spans="1:44" x14ac:dyDescent="0.2">
      <c r="A214" s="107" t="s">
        <v>6149</v>
      </c>
      <c r="B214" s="106" t="s">
        <v>6148</v>
      </c>
      <c r="C214" s="106" t="s">
        <v>6137</v>
      </c>
      <c r="D214" s="106" t="s">
        <v>6147</v>
      </c>
      <c r="E214" s="106" t="s">
        <v>6136</v>
      </c>
      <c r="F214" s="106" t="s">
        <v>490</v>
      </c>
      <c r="G214" s="106" t="s">
        <v>6146</v>
      </c>
      <c r="H214" s="105" t="s">
        <v>6145</v>
      </c>
      <c r="I214" s="105" t="s">
        <v>6140</v>
      </c>
      <c r="J214" s="104">
        <v>20.63</v>
      </c>
      <c r="K214" s="103" t="s">
        <v>425</v>
      </c>
      <c r="L214" s="102" t="s">
        <v>801</v>
      </c>
      <c r="M214" s="95"/>
      <c r="N214" s="14"/>
      <c r="O214" s="94">
        <v>5</v>
      </c>
      <c r="P214" s="14" t="s">
        <v>485</v>
      </c>
      <c r="Q214" s="14" t="s">
        <v>497</v>
      </c>
      <c r="R214" s="14" t="s">
        <v>496</v>
      </c>
      <c r="S214" s="15">
        <v>7.65</v>
      </c>
      <c r="T214" s="15">
        <v>0.6749999999999996</v>
      </c>
      <c r="U214" s="15">
        <v>0</v>
      </c>
      <c r="V214" s="14">
        <v>2296</v>
      </c>
      <c r="W214" s="12">
        <v>5</v>
      </c>
      <c r="X214" s="12">
        <v>0</v>
      </c>
      <c r="Y214" s="12">
        <v>0</v>
      </c>
      <c r="Z214" s="12">
        <v>15.629999999999999</v>
      </c>
      <c r="AA214" s="12">
        <v>0</v>
      </c>
      <c r="AB214" s="13">
        <f t="shared" si="12"/>
        <v>0</v>
      </c>
      <c r="AE214" s="12">
        <v>5</v>
      </c>
      <c r="AF214" s="12">
        <v>0</v>
      </c>
      <c r="AG214" s="12">
        <v>0</v>
      </c>
      <c r="AH214" s="12">
        <v>15.629999999999999</v>
      </c>
      <c r="AI214" s="12">
        <v>0</v>
      </c>
      <c r="AJ214" s="13">
        <f t="shared" si="13"/>
        <v>0</v>
      </c>
      <c r="AN214" s="12">
        <f t="shared" si="14"/>
        <v>47367</v>
      </c>
      <c r="AQ214" s="8" t="s">
        <v>416</v>
      </c>
      <c r="AR214" t="str">
        <f t="shared" si="15"/>
        <v>Leste - A05</v>
      </c>
    </row>
    <row r="215" spans="1:44" x14ac:dyDescent="0.2">
      <c r="A215" s="107" t="s">
        <v>6144</v>
      </c>
      <c r="B215" s="106" t="s">
        <v>6143</v>
      </c>
      <c r="C215" s="106" t="s">
        <v>6137</v>
      </c>
      <c r="D215" s="106" t="s">
        <v>6142</v>
      </c>
      <c r="E215" s="106" t="s">
        <v>6136</v>
      </c>
      <c r="F215" s="106" t="s">
        <v>490</v>
      </c>
      <c r="G215" s="106" t="s">
        <v>6141</v>
      </c>
      <c r="H215" s="105" t="s">
        <v>6140</v>
      </c>
      <c r="I215" s="105" t="s">
        <v>6134</v>
      </c>
      <c r="J215" s="104">
        <v>16.829999999999998</v>
      </c>
      <c r="K215" s="103" t="s">
        <v>425</v>
      </c>
      <c r="L215" s="102" t="s">
        <v>801</v>
      </c>
      <c r="M215" s="95"/>
      <c r="N215" s="14"/>
      <c r="O215" s="94">
        <v>5</v>
      </c>
      <c r="P215" s="14" t="s">
        <v>485</v>
      </c>
      <c r="Q215" s="14" t="s">
        <v>497</v>
      </c>
      <c r="R215" s="14" t="s">
        <v>496</v>
      </c>
      <c r="S215" s="15">
        <v>7.65</v>
      </c>
      <c r="T215" s="15">
        <v>0.6749999999999996</v>
      </c>
      <c r="U215" s="15">
        <v>0</v>
      </c>
      <c r="V215" s="14">
        <v>2333</v>
      </c>
      <c r="W215" s="12">
        <v>0</v>
      </c>
      <c r="X215" s="12">
        <v>0</v>
      </c>
      <c r="Y215" s="12">
        <v>2</v>
      </c>
      <c r="Z215" s="12">
        <v>14.829999999999998</v>
      </c>
      <c r="AA215" s="12">
        <v>0</v>
      </c>
      <c r="AB215" s="13">
        <f t="shared" si="12"/>
        <v>0</v>
      </c>
      <c r="AE215" s="12">
        <v>0</v>
      </c>
      <c r="AF215" s="12">
        <v>0</v>
      </c>
      <c r="AG215" s="12">
        <v>2</v>
      </c>
      <c r="AH215" s="12">
        <v>14.829999999999998</v>
      </c>
      <c r="AI215" s="12">
        <v>0</v>
      </c>
      <c r="AJ215" s="13">
        <f t="shared" si="13"/>
        <v>0</v>
      </c>
      <c r="AN215" s="12">
        <f t="shared" si="14"/>
        <v>39265</v>
      </c>
      <c r="AQ215" s="8" t="s">
        <v>416</v>
      </c>
      <c r="AR215" t="str">
        <f t="shared" si="15"/>
        <v>Leste - A05</v>
      </c>
    </row>
    <row r="216" spans="1:44" x14ac:dyDescent="0.2">
      <c r="A216" s="107" t="s">
        <v>6139</v>
      </c>
      <c r="B216" s="106" t="s">
        <v>6138</v>
      </c>
      <c r="C216" s="106" t="s">
        <v>6137</v>
      </c>
      <c r="D216" s="106" t="s">
        <v>3492</v>
      </c>
      <c r="E216" s="106" t="s">
        <v>6136</v>
      </c>
      <c r="F216" s="106" t="s">
        <v>490</v>
      </c>
      <c r="G216" s="106" t="s">
        <v>6135</v>
      </c>
      <c r="H216" s="105" t="s">
        <v>6134</v>
      </c>
      <c r="I216" s="105" t="s">
        <v>6133</v>
      </c>
      <c r="J216" s="104">
        <v>46.27</v>
      </c>
      <c r="K216" s="103" t="s">
        <v>425</v>
      </c>
      <c r="L216" s="102" t="s">
        <v>801</v>
      </c>
      <c r="M216" s="95"/>
      <c r="N216" s="14"/>
      <c r="O216" s="94">
        <v>5</v>
      </c>
      <c r="P216" s="14" t="s">
        <v>485</v>
      </c>
      <c r="Q216" s="14" t="s">
        <v>497</v>
      </c>
      <c r="R216" s="14" t="s">
        <v>496</v>
      </c>
      <c r="S216" s="15">
        <v>7.57</v>
      </c>
      <c r="T216" s="15">
        <v>0.71499999999999964</v>
      </c>
      <c r="U216" s="15">
        <v>0</v>
      </c>
      <c r="V216" s="14">
        <v>6712</v>
      </c>
      <c r="W216" s="12">
        <v>0</v>
      </c>
      <c r="X216" s="12">
        <v>0</v>
      </c>
      <c r="Y216" s="12">
        <v>5</v>
      </c>
      <c r="Z216" s="12">
        <v>41.27</v>
      </c>
      <c r="AA216" s="12">
        <v>0</v>
      </c>
      <c r="AB216" s="13">
        <f t="shared" si="12"/>
        <v>0</v>
      </c>
      <c r="AE216" s="12">
        <v>0</v>
      </c>
      <c r="AF216" s="12">
        <v>0</v>
      </c>
      <c r="AG216" s="12">
        <v>5</v>
      </c>
      <c r="AH216" s="12">
        <v>41.27</v>
      </c>
      <c r="AI216" s="12">
        <v>0</v>
      </c>
      <c r="AJ216" s="13">
        <f t="shared" si="13"/>
        <v>0</v>
      </c>
      <c r="AN216" s="12">
        <f t="shared" si="14"/>
        <v>310565</v>
      </c>
      <c r="AQ216" s="8" t="s">
        <v>416</v>
      </c>
      <c r="AR216" t="str">
        <f t="shared" si="15"/>
        <v>Leste - A05</v>
      </c>
    </row>
    <row r="217" spans="1:44" x14ac:dyDescent="0.2">
      <c r="A217" s="107" t="s">
        <v>6132</v>
      </c>
      <c r="B217" s="106" t="s">
        <v>6131</v>
      </c>
      <c r="C217" s="106" t="s">
        <v>5955</v>
      </c>
      <c r="D217" s="106" t="s">
        <v>1106</v>
      </c>
      <c r="E217" s="106" t="s">
        <v>5954</v>
      </c>
      <c r="F217" s="106" t="s">
        <v>490</v>
      </c>
      <c r="G217" s="106" t="s">
        <v>6130</v>
      </c>
      <c r="H217" s="105" t="s">
        <v>6129</v>
      </c>
      <c r="I217" s="105" t="s">
        <v>1598</v>
      </c>
      <c r="J217" s="104">
        <v>1.44</v>
      </c>
      <c r="K217" s="103" t="s">
        <v>429</v>
      </c>
      <c r="L217" s="102" t="s">
        <v>533</v>
      </c>
      <c r="M217" s="95"/>
      <c r="N217" s="14"/>
      <c r="O217" s="94">
        <v>31</v>
      </c>
      <c r="P217" s="14" t="s">
        <v>485</v>
      </c>
      <c r="Q217" s="14" t="s">
        <v>505</v>
      </c>
      <c r="R217" s="14" t="s">
        <v>496</v>
      </c>
      <c r="S217" s="15">
        <v>6.6</v>
      </c>
      <c r="T217" s="15">
        <v>0</v>
      </c>
      <c r="U217" s="15">
        <v>0</v>
      </c>
      <c r="V217" s="14">
        <v>1022</v>
      </c>
      <c r="W217" s="12">
        <v>0</v>
      </c>
      <c r="X217" s="12">
        <v>0</v>
      </c>
      <c r="Y217" s="12">
        <v>0</v>
      </c>
      <c r="Z217" s="12">
        <v>1.44</v>
      </c>
      <c r="AA217" s="12">
        <v>0</v>
      </c>
      <c r="AB217" s="13">
        <f t="shared" si="12"/>
        <v>0</v>
      </c>
      <c r="AE217" s="12">
        <v>0</v>
      </c>
      <c r="AF217" s="12">
        <v>0</v>
      </c>
      <c r="AG217" s="12">
        <v>0</v>
      </c>
      <c r="AH217" s="12">
        <v>1.44</v>
      </c>
      <c r="AI217" s="12">
        <v>0</v>
      </c>
      <c r="AJ217" s="13">
        <f t="shared" si="13"/>
        <v>0</v>
      </c>
      <c r="AN217" s="12">
        <f t="shared" si="14"/>
        <v>1472</v>
      </c>
      <c r="AQ217" s="8" t="s">
        <v>418</v>
      </c>
      <c r="AR217" t="str">
        <f t="shared" si="15"/>
        <v>Noroeste - A09</v>
      </c>
    </row>
    <row r="218" spans="1:44" x14ac:dyDescent="0.2">
      <c r="A218" s="107" t="s">
        <v>6128</v>
      </c>
      <c r="B218" s="106" t="s">
        <v>6127</v>
      </c>
      <c r="C218" s="106" t="s">
        <v>5955</v>
      </c>
      <c r="D218" s="106" t="s">
        <v>592</v>
      </c>
      <c r="E218" s="106" t="s">
        <v>5971</v>
      </c>
      <c r="F218" s="106" t="s">
        <v>590</v>
      </c>
      <c r="G218" s="106" t="s">
        <v>6126</v>
      </c>
      <c r="H218" s="105" t="s">
        <v>1598</v>
      </c>
      <c r="I218" s="105" t="s">
        <v>6122</v>
      </c>
      <c r="J218" s="104">
        <v>1.32</v>
      </c>
      <c r="K218" s="103" t="s">
        <v>429</v>
      </c>
      <c r="L218" s="102" t="s">
        <v>533</v>
      </c>
      <c r="M218" s="95"/>
      <c r="N218" s="14"/>
      <c r="O218" s="94">
        <v>31</v>
      </c>
      <c r="P218" s="14" t="s">
        <v>586</v>
      </c>
      <c r="Q218" s="14" t="s">
        <v>505</v>
      </c>
      <c r="R218" s="14" t="s">
        <v>496</v>
      </c>
      <c r="S218" s="15">
        <v>18</v>
      </c>
      <c r="T218" s="15">
        <v>0</v>
      </c>
      <c r="U218" s="15">
        <v>0</v>
      </c>
      <c r="V218" s="14">
        <v>778</v>
      </c>
      <c r="W218" s="12">
        <v>0</v>
      </c>
      <c r="X218" s="12">
        <v>0</v>
      </c>
      <c r="Y218" s="12">
        <v>0</v>
      </c>
      <c r="Z218" s="12">
        <v>1.32</v>
      </c>
      <c r="AA218" s="12">
        <v>0</v>
      </c>
      <c r="AB218" s="13">
        <f t="shared" si="12"/>
        <v>0</v>
      </c>
      <c r="AE218" s="12">
        <v>0</v>
      </c>
      <c r="AF218" s="12">
        <v>0</v>
      </c>
      <c r="AG218" s="12">
        <v>0</v>
      </c>
      <c r="AH218" s="12">
        <v>1.32</v>
      </c>
      <c r="AI218" s="12">
        <v>0</v>
      </c>
      <c r="AJ218" s="13">
        <f t="shared" si="13"/>
        <v>0</v>
      </c>
      <c r="AN218" s="12">
        <f t="shared" si="14"/>
        <v>1027</v>
      </c>
      <c r="AQ218" s="8" t="s">
        <v>418</v>
      </c>
      <c r="AR218" t="str">
        <f t="shared" si="15"/>
        <v>Noroeste - A09</v>
      </c>
    </row>
    <row r="219" spans="1:44" x14ac:dyDescent="0.2">
      <c r="A219" s="107" t="s">
        <v>6125</v>
      </c>
      <c r="B219" s="106" t="s">
        <v>6124</v>
      </c>
      <c r="C219" s="106" t="s">
        <v>5955</v>
      </c>
      <c r="D219" s="106" t="s">
        <v>1100</v>
      </c>
      <c r="E219" s="106" t="s">
        <v>5971</v>
      </c>
      <c r="F219" s="106" t="s">
        <v>590</v>
      </c>
      <c r="G219" s="106" t="s">
        <v>6123</v>
      </c>
      <c r="H219" s="105" t="s">
        <v>6122</v>
      </c>
      <c r="I219" s="105" t="s">
        <v>6118</v>
      </c>
      <c r="J219" s="104">
        <v>1.31</v>
      </c>
      <c r="K219" s="103" t="s">
        <v>429</v>
      </c>
      <c r="L219" s="102" t="s">
        <v>533</v>
      </c>
      <c r="M219" s="95"/>
      <c r="N219" s="14"/>
      <c r="O219" s="94">
        <v>31</v>
      </c>
      <c r="P219" s="14" t="s">
        <v>586</v>
      </c>
      <c r="Q219" s="14" t="s">
        <v>505</v>
      </c>
      <c r="R219" s="14" t="s">
        <v>496</v>
      </c>
      <c r="S219" s="15">
        <v>18</v>
      </c>
      <c r="T219" s="15">
        <v>0</v>
      </c>
      <c r="U219" s="15">
        <v>0</v>
      </c>
      <c r="V219" s="14">
        <v>778</v>
      </c>
      <c r="W219" s="12">
        <v>0</v>
      </c>
      <c r="X219" s="12">
        <v>0</v>
      </c>
      <c r="Y219" s="12">
        <v>0</v>
      </c>
      <c r="Z219" s="12">
        <v>1.31</v>
      </c>
      <c r="AA219" s="12">
        <v>0</v>
      </c>
      <c r="AB219" s="13">
        <f t="shared" si="12"/>
        <v>0</v>
      </c>
      <c r="AE219" s="12">
        <v>0</v>
      </c>
      <c r="AF219" s="12">
        <v>0</v>
      </c>
      <c r="AG219" s="12">
        <v>0</v>
      </c>
      <c r="AH219" s="12">
        <v>1.31</v>
      </c>
      <c r="AI219" s="12">
        <v>0</v>
      </c>
      <c r="AJ219" s="13">
        <f t="shared" si="13"/>
        <v>0</v>
      </c>
      <c r="AN219" s="12">
        <f t="shared" si="14"/>
        <v>1020</v>
      </c>
      <c r="AQ219" s="8" t="s">
        <v>418</v>
      </c>
      <c r="AR219" t="str">
        <f t="shared" si="15"/>
        <v>Noroeste - A09</v>
      </c>
    </row>
    <row r="220" spans="1:44" x14ac:dyDescent="0.2">
      <c r="A220" s="107" t="s">
        <v>6121</v>
      </c>
      <c r="B220" s="106" t="s">
        <v>6120</v>
      </c>
      <c r="C220" s="106" t="s">
        <v>5955</v>
      </c>
      <c r="D220" s="106" t="s">
        <v>513</v>
      </c>
      <c r="E220" s="106" t="s">
        <v>5954</v>
      </c>
      <c r="F220" s="106" t="s">
        <v>490</v>
      </c>
      <c r="G220" s="106" t="s">
        <v>6119</v>
      </c>
      <c r="H220" s="105" t="s">
        <v>6118</v>
      </c>
      <c r="I220" s="105" t="s">
        <v>6114</v>
      </c>
      <c r="J220" s="104">
        <v>24.04</v>
      </c>
      <c r="K220" s="103" t="s">
        <v>429</v>
      </c>
      <c r="L220" s="102" t="s">
        <v>533</v>
      </c>
      <c r="M220" s="95"/>
      <c r="N220" s="14"/>
      <c r="O220" s="94">
        <v>31</v>
      </c>
      <c r="P220" s="14" t="s">
        <v>485</v>
      </c>
      <c r="Q220" s="14" t="s">
        <v>887</v>
      </c>
      <c r="R220" s="14" t="s">
        <v>496</v>
      </c>
      <c r="S220" s="15">
        <v>6.6</v>
      </c>
      <c r="T220" s="15">
        <v>0.9</v>
      </c>
      <c r="U220" s="15">
        <v>0</v>
      </c>
      <c r="V220" s="14">
        <v>930</v>
      </c>
      <c r="W220" s="12">
        <v>0</v>
      </c>
      <c r="X220" s="12">
        <v>0</v>
      </c>
      <c r="Y220" s="12">
        <v>4</v>
      </c>
      <c r="Z220" s="12">
        <v>20.04</v>
      </c>
      <c r="AA220" s="12">
        <v>0</v>
      </c>
      <c r="AB220" s="13">
        <f t="shared" si="12"/>
        <v>0</v>
      </c>
      <c r="AE220" s="12">
        <v>0</v>
      </c>
      <c r="AF220" s="12">
        <v>0</v>
      </c>
      <c r="AG220" s="12">
        <v>4</v>
      </c>
      <c r="AH220" s="12">
        <v>20.04</v>
      </c>
      <c r="AI220" s="12">
        <v>0</v>
      </c>
      <c r="AJ220" s="13">
        <f t="shared" si="13"/>
        <v>0</v>
      </c>
      <c r="AN220" s="12">
        <f t="shared" si="14"/>
        <v>22358</v>
      </c>
      <c r="AQ220" s="8" t="s">
        <v>418</v>
      </c>
      <c r="AR220" t="str">
        <f t="shared" si="15"/>
        <v>Noroeste - A09</v>
      </c>
    </row>
    <row r="221" spans="1:44" x14ac:dyDescent="0.2">
      <c r="A221" s="107" t="s">
        <v>6117</v>
      </c>
      <c r="B221" s="106" t="s">
        <v>6116</v>
      </c>
      <c r="C221" s="106" t="s">
        <v>5955</v>
      </c>
      <c r="D221" s="106" t="s">
        <v>1324</v>
      </c>
      <c r="E221" s="106" t="s">
        <v>5971</v>
      </c>
      <c r="F221" s="106" t="s">
        <v>590</v>
      </c>
      <c r="G221" s="106" t="s">
        <v>6115</v>
      </c>
      <c r="H221" s="105" t="s">
        <v>6114</v>
      </c>
      <c r="I221" s="105" t="s">
        <v>6110</v>
      </c>
      <c r="J221" s="104">
        <v>1.89</v>
      </c>
      <c r="K221" s="103" t="s">
        <v>429</v>
      </c>
      <c r="L221" s="102" t="s">
        <v>533</v>
      </c>
      <c r="M221" s="95"/>
      <c r="N221" s="14"/>
      <c r="O221" s="94">
        <v>31</v>
      </c>
      <c r="P221" s="14" t="s">
        <v>586</v>
      </c>
      <c r="Q221" s="14" t="s">
        <v>887</v>
      </c>
      <c r="R221" s="14" t="s">
        <v>496</v>
      </c>
      <c r="S221" s="15">
        <v>15.5</v>
      </c>
      <c r="T221" s="15">
        <v>0</v>
      </c>
      <c r="U221" s="15">
        <v>0</v>
      </c>
      <c r="V221" s="14">
        <v>706</v>
      </c>
      <c r="W221" s="12">
        <v>0</v>
      </c>
      <c r="X221" s="12">
        <v>0</v>
      </c>
      <c r="Y221" s="12">
        <v>1</v>
      </c>
      <c r="Z221" s="12">
        <v>0.8899999999999999</v>
      </c>
      <c r="AA221" s="12">
        <v>0</v>
      </c>
      <c r="AB221" s="13">
        <f t="shared" si="12"/>
        <v>0</v>
      </c>
      <c r="AE221" s="12">
        <v>0</v>
      </c>
      <c r="AF221" s="12">
        <v>0</v>
      </c>
      <c r="AG221" s="12">
        <v>1</v>
      </c>
      <c r="AH221" s="12">
        <v>0.8899999999999999</v>
      </c>
      <c r="AI221" s="12">
        <v>0</v>
      </c>
      <c r="AJ221" s="13">
        <f t="shared" si="13"/>
        <v>0</v>
      </c>
      <c r="AN221" s="12">
        <f t="shared" si="14"/>
        <v>1335</v>
      </c>
      <c r="AQ221" s="8" t="s">
        <v>418</v>
      </c>
      <c r="AR221" t="str">
        <f t="shared" si="15"/>
        <v>Noroeste - A09</v>
      </c>
    </row>
    <row r="222" spans="1:44" x14ac:dyDescent="0.2">
      <c r="A222" s="107" t="s">
        <v>6113</v>
      </c>
      <c r="B222" s="106" t="s">
        <v>6112</v>
      </c>
      <c r="C222" s="106" t="s">
        <v>5955</v>
      </c>
      <c r="D222" s="106" t="s">
        <v>981</v>
      </c>
      <c r="E222" s="106" t="s">
        <v>5954</v>
      </c>
      <c r="F222" s="106" t="s">
        <v>490</v>
      </c>
      <c r="G222" s="106" t="s">
        <v>6111</v>
      </c>
      <c r="H222" s="105" t="s">
        <v>6110</v>
      </c>
      <c r="I222" s="105" t="s">
        <v>488</v>
      </c>
      <c r="J222" s="104">
        <v>1.58</v>
      </c>
      <c r="K222" s="103" t="s">
        <v>429</v>
      </c>
      <c r="L222" s="102" t="s">
        <v>533</v>
      </c>
      <c r="M222" s="95"/>
      <c r="N222" s="14"/>
      <c r="O222" s="94">
        <v>31</v>
      </c>
      <c r="P222" s="14" t="s">
        <v>485</v>
      </c>
      <c r="Q222" s="14" t="s">
        <v>505</v>
      </c>
      <c r="R222" s="14" t="s">
        <v>496</v>
      </c>
      <c r="S222" s="15">
        <v>6.6</v>
      </c>
      <c r="T222" s="15">
        <v>0.9</v>
      </c>
      <c r="U222" s="15">
        <v>0</v>
      </c>
      <c r="V222" s="14">
        <v>1022</v>
      </c>
      <c r="W222" s="12">
        <v>0</v>
      </c>
      <c r="X222" s="12">
        <v>0</v>
      </c>
      <c r="Y222" s="12">
        <v>0</v>
      </c>
      <c r="Z222" s="12">
        <v>1.58</v>
      </c>
      <c r="AA222" s="12">
        <v>0</v>
      </c>
      <c r="AB222" s="13">
        <f t="shared" si="12"/>
        <v>0</v>
      </c>
      <c r="AE222" s="12">
        <v>0</v>
      </c>
      <c r="AF222" s="12">
        <v>0</v>
      </c>
      <c r="AG222" s="12">
        <v>0</v>
      </c>
      <c r="AH222" s="12">
        <v>1.58</v>
      </c>
      <c r="AI222" s="12">
        <v>0</v>
      </c>
      <c r="AJ222" s="13">
        <f t="shared" si="13"/>
        <v>0</v>
      </c>
      <c r="AN222" s="12">
        <f t="shared" si="14"/>
        <v>1615</v>
      </c>
      <c r="AQ222" s="8" t="s">
        <v>418</v>
      </c>
      <c r="AR222" t="str">
        <f t="shared" si="15"/>
        <v>Noroeste - A09</v>
      </c>
    </row>
    <row r="223" spans="1:44" x14ac:dyDescent="0.2">
      <c r="A223" s="107" t="s">
        <v>6109</v>
      </c>
      <c r="B223" s="106" t="s">
        <v>6108</v>
      </c>
      <c r="C223" s="106" t="s">
        <v>5955</v>
      </c>
      <c r="D223" s="106" t="s">
        <v>3016</v>
      </c>
      <c r="E223" s="106" t="s">
        <v>5954</v>
      </c>
      <c r="F223" s="106" t="s">
        <v>490</v>
      </c>
      <c r="G223" s="106" t="s">
        <v>6107</v>
      </c>
      <c r="H223" s="105" t="s">
        <v>6106</v>
      </c>
      <c r="I223" s="105" t="s">
        <v>6102</v>
      </c>
      <c r="J223" s="104">
        <v>10.54</v>
      </c>
      <c r="K223" s="103" t="s">
        <v>427</v>
      </c>
      <c r="L223" s="102" t="s">
        <v>533</v>
      </c>
      <c r="M223" s="95"/>
      <c r="N223" s="14"/>
      <c r="O223" s="94">
        <v>29</v>
      </c>
      <c r="P223" s="14" t="s">
        <v>485</v>
      </c>
      <c r="Q223" s="14" t="s">
        <v>887</v>
      </c>
      <c r="R223" s="14" t="s">
        <v>585</v>
      </c>
      <c r="S223" s="15">
        <v>6.8</v>
      </c>
      <c r="T223" s="15">
        <v>1.5</v>
      </c>
      <c r="U223" s="15">
        <v>0</v>
      </c>
      <c r="V223" s="14">
        <v>1766</v>
      </c>
      <c r="W223" s="12">
        <v>0</v>
      </c>
      <c r="X223" s="12">
        <v>0</v>
      </c>
      <c r="Y223" s="12">
        <v>0</v>
      </c>
      <c r="Z223" s="12">
        <v>10.54</v>
      </c>
      <c r="AA223" s="12">
        <v>0</v>
      </c>
      <c r="AB223" s="13">
        <f t="shared" si="12"/>
        <v>0</v>
      </c>
      <c r="AE223" s="12">
        <v>0</v>
      </c>
      <c r="AF223" s="12">
        <v>0</v>
      </c>
      <c r="AG223" s="12">
        <v>0</v>
      </c>
      <c r="AH223" s="12">
        <v>10.54</v>
      </c>
      <c r="AI223" s="12">
        <v>0</v>
      </c>
      <c r="AJ223" s="13">
        <f t="shared" si="13"/>
        <v>0</v>
      </c>
      <c r="AN223" s="12">
        <f t="shared" si="14"/>
        <v>18614</v>
      </c>
      <c r="AQ223" s="8" t="s">
        <v>418</v>
      </c>
      <c r="AR223" t="str">
        <f t="shared" si="15"/>
        <v>Noroeste - A07</v>
      </c>
    </row>
    <row r="224" spans="1:44" x14ac:dyDescent="0.2">
      <c r="A224" s="107" t="s">
        <v>6105</v>
      </c>
      <c r="B224" s="106" t="s">
        <v>6104</v>
      </c>
      <c r="C224" s="106" t="s">
        <v>5955</v>
      </c>
      <c r="D224" s="106" t="s">
        <v>2825</v>
      </c>
      <c r="E224" s="106" t="s">
        <v>5954</v>
      </c>
      <c r="F224" s="106" t="s">
        <v>490</v>
      </c>
      <c r="G224" s="106" t="s">
        <v>6103</v>
      </c>
      <c r="H224" s="105" t="s">
        <v>6102</v>
      </c>
      <c r="I224" s="105" t="s">
        <v>6101</v>
      </c>
      <c r="J224" s="104">
        <v>1</v>
      </c>
      <c r="K224" s="103" t="s">
        <v>427</v>
      </c>
      <c r="L224" s="102" t="s">
        <v>533</v>
      </c>
      <c r="M224" s="95"/>
      <c r="N224" s="14"/>
      <c r="O224" s="94">
        <v>29</v>
      </c>
      <c r="P224" s="14" t="s">
        <v>485</v>
      </c>
      <c r="Q224" s="14" t="s">
        <v>887</v>
      </c>
      <c r="R224" s="14" t="s">
        <v>496</v>
      </c>
      <c r="S224" s="15">
        <v>7</v>
      </c>
      <c r="T224" s="15">
        <v>2.5</v>
      </c>
      <c r="U224" s="15">
        <v>0</v>
      </c>
      <c r="V224" s="14">
        <v>2982</v>
      </c>
      <c r="W224" s="12">
        <v>0</v>
      </c>
      <c r="X224" s="12">
        <v>0</v>
      </c>
      <c r="Y224" s="12">
        <v>0</v>
      </c>
      <c r="Z224" s="12">
        <v>1</v>
      </c>
      <c r="AA224" s="12">
        <v>0</v>
      </c>
      <c r="AB224" s="13">
        <f t="shared" si="12"/>
        <v>0</v>
      </c>
      <c r="AE224" s="12">
        <v>0</v>
      </c>
      <c r="AF224" s="12">
        <v>0</v>
      </c>
      <c r="AG224" s="12">
        <v>0</v>
      </c>
      <c r="AH224" s="12">
        <v>1</v>
      </c>
      <c r="AI224" s="12">
        <v>0</v>
      </c>
      <c r="AJ224" s="13">
        <f t="shared" si="13"/>
        <v>0</v>
      </c>
      <c r="AN224" s="12">
        <f t="shared" si="14"/>
        <v>2982</v>
      </c>
      <c r="AQ224" s="8" t="s">
        <v>418</v>
      </c>
      <c r="AR224" t="str">
        <f t="shared" si="15"/>
        <v>Noroeste - A07</v>
      </c>
    </row>
    <row r="225" spans="1:44" x14ac:dyDescent="0.2">
      <c r="A225" s="107" t="s">
        <v>6100</v>
      </c>
      <c r="B225" s="106" t="s">
        <v>6099</v>
      </c>
      <c r="C225" s="106" t="s">
        <v>5955</v>
      </c>
      <c r="D225" s="106" t="s">
        <v>2631</v>
      </c>
      <c r="E225" s="106" t="s">
        <v>5954</v>
      </c>
      <c r="F225" s="106" t="s">
        <v>490</v>
      </c>
      <c r="G225" s="106" t="s">
        <v>6098</v>
      </c>
      <c r="H225" s="105" t="s">
        <v>6097</v>
      </c>
      <c r="I225" s="105" t="s">
        <v>6093</v>
      </c>
      <c r="J225" s="104">
        <v>25.05</v>
      </c>
      <c r="K225" s="103" t="s">
        <v>425</v>
      </c>
      <c r="L225" s="102" t="s">
        <v>533</v>
      </c>
      <c r="M225" s="95"/>
      <c r="N225" s="17">
        <f>O225</f>
        <v>27</v>
      </c>
      <c r="O225" s="94">
        <v>27</v>
      </c>
      <c r="P225" s="14" t="s">
        <v>485</v>
      </c>
      <c r="Q225" s="14" t="s">
        <v>505</v>
      </c>
      <c r="R225" s="14" t="s">
        <v>496</v>
      </c>
      <c r="S225" s="15">
        <v>7</v>
      </c>
      <c r="T225" s="15">
        <v>1.2</v>
      </c>
      <c r="U225" s="15">
        <v>0</v>
      </c>
      <c r="V225" s="14">
        <v>1070</v>
      </c>
      <c r="W225" s="12">
        <v>0</v>
      </c>
      <c r="X225" s="12">
        <v>1</v>
      </c>
      <c r="Y225" s="12">
        <v>5</v>
      </c>
      <c r="Z225" s="12">
        <v>19.05</v>
      </c>
      <c r="AA225" s="12">
        <v>0</v>
      </c>
      <c r="AB225" s="13">
        <f t="shared" si="12"/>
        <v>0</v>
      </c>
      <c r="AE225" s="12">
        <v>0</v>
      </c>
      <c r="AF225" s="12">
        <v>1</v>
      </c>
      <c r="AG225" s="12">
        <v>5</v>
      </c>
      <c r="AH225" s="12">
        <v>19.05</v>
      </c>
      <c r="AI225" s="12">
        <v>0</v>
      </c>
      <c r="AJ225" s="13">
        <f t="shared" si="13"/>
        <v>0</v>
      </c>
      <c r="AN225" s="12">
        <f t="shared" si="14"/>
        <v>26804</v>
      </c>
      <c r="AQ225" s="8" t="s">
        <v>418</v>
      </c>
      <c r="AR225" t="str">
        <f t="shared" si="15"/>
        <v>Noroeste - A05</v>
      </c>
    </row>
    <row r="226" spans="1:44" x14ac:dyDescent="0.2">
      <c r="A226" s="107" t="s">
        <v>6096</v>
      </c>
      <c r="B226" s="106" t="s">
        <v>6095</v>
      </c>
      <c r="C226" s="106" t="s">
        <v>5955</v>
      </c>
      <c r="D226" s="106" t="s">
        <v>2620</v>
      </c>
      <c r="E226" s="106" t="s">
        <v>5954</v>
      </c>
      <c r="F226" s="106" t="s">
        <v>490</v>
      </c>
      <c r="G226" s="106" t="s">
        <v>6094</v>
      </c>
      <c r="H226" s="105" t="s">
        <v>6093</v>
      </c>
      <c r="I226" s="105" t="s">
        <v>6089</v>
      </c>
      <c r="J226" s="104">
        <v>6.12</v>
      </c>
      <c r="K226" s="103" t="s">
        <v>425</v>
      </c>
      <c r="L226" s="102" t="s">
        <v>533</v>
      </c>
      <c r="M226" s="95"/>
      <c r="N226" s="17">
        <f>O226</f>
        <v>27</v>
      </c>
      <c r="O226" s="94">
        <v>27</v>
      </c>
      <c r="P226" s="14" t="s">
        <v>485</v>
      </c>
      <c r="Q226" s="14" t="s">
        <v>561</v>
      </c>
      <c r="R226" s="14" t="s">
        <v>496</v>
      </c>
      <c r="S226" s="15">
        <v>7</v>
      </c>
      <c r="T226" s="15">
        <v>1.2</v>
      </c>
      <c r="U226" s="15">
        <v>0</v>
      </c>
      <c r="V226" s="14">
        <v>2732</v>
      </c>
      <c r="W226" s="12">
        <v>0</v>
      </c>
      <c r="X226" s="12">
        <v>1</v>
      </c>
      <c r="Y226" s="12">
        <v>3</v>
      </c>
      <c r="Z226" s="12">
        <v>2.12</v>
      </c>
      <c r="AA226" s="12">
        <v>0</v>
      </c>
      <c r="AB226" s="13">
        <f t="shared" si="12"/>
        <v>0</v>
      </c>
      <c r="AE226" s="12">
        <v>0</v>
      </c>
      <c r="AF226" s="12">
        <v>1</v>
      </c>
      <c r="AG226" s="12">
        <v>3</v>
      </c>
      <c r="AH226" s="12">
        <v>2.12</v>
      </c>
      <c r="AI226" s="12">
        <v>0</v>
      </c>
      <c r="AJ226" s="13">
        <f t="shared" si="13"/>
        <v>0</v>
      </c>
      <c r="AN226" s="12">
        <f t="shared" si="14"/>
        <v>16720</v>
      </c>
      <c r="AQ226" s="8" t="s">
        <v>418</v>
      </c>
      <c r="AR226" t="str">
        <f t="shared" si="15"/>
        <v>Noroeste - A05</v>
      </c>
    </row>
    <row r="227" spans="1:44" x14ac:dyDescent="0.2">
      <c r="A227" s="107" t="s">
        <v>6092</v>
      </c>
      <c r="B227" s="106" t="s">
        <v>6091</v>
      </c>
      <c r="C227" s="106" t="s">
        <v>5955</v>
      </c>
      <c r="D227" s="106" t="s">
        <v>2602</v>
      </c>
      <c r="E227" s="106" t="s">
        <v>5954</v>
      </c>
      <c r="F227" s="106" t="s">
        <v>490</v>
      </c>
      <c r="G227" s="106" t="s">
        <v>6090</v>
      </c>
      <c r="H227" s="105" t="s">
        <v>6089</v>
      </c>
      <c r="I227" s="105" t="s">
        <v>6085</v>
      </c>
      <c r="J227" s="104">
        <v>11.51</v>
      </c>
      <c r="K227" s="103" t="s">
        <v>425</v>
      </c>
      <c r="L227" s="102" t="s">
        <v>533</v>
      </c>
      <c r="M227" s="95"/>
      <c r="N227" s="17">
        <f>O227</f>
        <v>27</v>
      </c>
      <c r="O227" s="94">
        <v>27</v>
      </c>
      <c r="P227" s="14" t="s">
        <v>485</v>
      </c>
      <c r="Q227" s="14" t="s">
        <v>505</v>
      </c>
      <c r="R227" s="14" t="s">
        <v>496</v>
      </c>
      <c r="S227" s="15">
        <v>7</v>
      </c>
      <c r="T227" s="15">
        <v>1.2</v>
      </c>
      <c r="U227" s="15">
        <v>0</v>
      </c>
      <c r="V227" s="14">
        <v>1094</v>
      </c>
      <c r="W227" s="12">
        <v>0</v>
      </c>
      <c r="X227" s="12">
        <v>3</v>
      </c>
      <c r="Y227" s="12">
        <v>2.5099999999999998</v>
      </c>
      <c r="Z227" s="12">
        <v>6</v>
      </c>
      <c r="AA227" s="12">
        <v>0</v>
      </c>
      <c r="AB227" s="13">
        <f t="shared" si="12"/>
        <v>0</v>
      </c>
      <c r="AE227" s="12">
        <v>0</v>
      </c>
      <c r="AF227" s="12">
        <v>3</v>
      </c>
      <c r="AG227" s="12">
        <v>2.5099999999999998</v>
      </c>
      <c r="AH227" s="12">
        <v>6</v>
      </c>
      <c r="AI227" s="12">
        <v>0</v>
      </c>
      <c r="AJ227" s="13">
        <f t="shared" si="13"/>
        <v>0</v>
      </c>
      <c r="AN227" s="12">
        <f t="shared" si="14"/>
        <v>12592</v>
      </c>
      <c r="AQ227" s="8" t="s">
        <v>418</v>
      </c>
      <c r="AR227" t="str">
        <f t="shared" si="15"/>
        <v>Noroeste - A05</v>
      </c>
    </row>
    <row r="228" spans="1:44" x14ac:dyDescent="0.2">
      <c r="A228" s="107" t="s">
        <v>6088</v>
      </c>
      <c r="B228" s="106" t="s">
        <v>6087</v>
      </c>
      <c r="C228" s="106" t="s">
        <v>5955</v>
      </c>
      <c r="D228" s="106" t="s">
        <v>2597</v>
      </c>
      <c r="E228" s="106" t="s">
        <v>5954</v>
      </c>
      <c r="F228" s="106" t="s">
        <v>490</v>
      </c>
      <c r="G228" s="106" t="s">
        <v>6086</v>
      </c>
      <c r="H228" s="105" t="s">
        <v>6085</v>
      </c>
      <c r="I228" s="105" t="s">
        <v>6081</v>
      </c>
      <c r="J228" s="104">
        <v>4.03</v>
      </c>
      <c r="K228" s="103" t="s">
        <v>425</v>
      </c>
      <c r="L228" s="102" t="s">
        <v>533</v>
      </c>
      <c r="M228" s="95"/>
      <c r="N228" s="17">
        <f>O228</f>
        <v>27</v>
      </c>
      <c r="O228" s="94">
        <v>27</v>
      </c>
      <c r="P228" s="14" t="s">
        <v>485</v>
      </c>
      <c r="Q228" s="14" t="s">
        <v>561</v>
      </c>
      <c r="R228" s="14" t="s">
        <v>496</v>
      </c>
      <c r="S228" s="15">
        <v>7</v>
      </c>
      <c r="T228" s="15">
        <v>1.2</v>
      </c>
      <c r="U228" s="15">
        <v>0</v>
      </c>
      <c r="V228" s="14">
        <v>2847</v>
      </c>
      <c r="W228" s="12">
        <v>0</v>
      </c>
      <c r="X228" s="12">
        <v>0</v>
      </c>
      <c r="Y228" s="12">
        <v>2</v>
      </c>
      <c r="Z228" s="12">
        <v>2.0300000000000002</v>
      </c>
      <c r="AA228" s="12">
        <v>0</v>
      </c>
      <c r="AB228" s="13">
        <f t="shared" si="12"/>
        <v>0</v>
      </c>
      <c r="AE228" s="12">
        <v>0</v>
      </c>
      <c r="AF228" s="12">
        <v>0</v>
      </c>
      <c r="AG228" s="12">
        <v>2</v>
      </c>
      <c r="AH228" s="12">
        <v>2.0300000000000002</v>
      </c>
      <c r="AI228" s="12">
        <v>0</v>
      </c>
      <c r="AJ228" s="13">
        <f t="shared" si="13"/>
        <v>0</v>
      </c>
      <c r="AN228" s="12">
        <f t="shared" si="14"/>
        <v>11474</v>
      </c>
      <c r="AQ228" s="8" t="s">
        <v>418</v>
      </c>
      <c r="AR228" t="str">
        <f t="shared" si="15"/>
        <v>Noroeste - A05</v>
      </c>
    </row>
    <row r="229" spans="1:44" x14ac:dyDescent="0.2">
      <c r="A229" s="107" t="s">
        <v>6084</v>
      </c>
      <c r="B229" s="106" t="s">
        <v>6083</v>
      </c>
      <c r="C229" s="106" t="s">
        <v>5955</v>
      </c>
      <c r="D229" s="106" t="s">
        <v>5154</v>
      </c>
      <c r="E229" s="106" t="s">
        <v>5954</v>
      </c>
      <c r="F229" s="106" t="s">
        <v>490</v>
      </c>
      <c r="G229" s="106" t="s">
        <v>6082</v>
      </c>
      <c r="H229" s="105" t="s">
        <v>6081</v>
      </c>
      <c r="I229" s="105" t="s">
        <v>6077</v>
      </c>
      <c r="J229" s="19">
        <v>1.24</v>
      </c>
      <c r="K229" s="103" t="s">
        <v>425</v>
      </c>
      <c r="L229" s="102" t="s">
        <v>533</v>
      </c>
      <c r="M229" s="95"/>
      <c r="N229" s="17">
        <f>O229</f>
        <v>27</v>
      </c>
      <c r="O229" s="94">
        <v>27</v>
      </c>
      <c r="P229" s="14" t="s">
        <v>485</v>
      </c>
      <c r="Q229" s="14" t="s">
        <v>561</v>
      </c>
      <c r="R229" s="14" t="s">
        <v>496</v>
      </c>
      <c r="S229" s="15">
        <v>7</v>
      </c>
      <c r="T229" s="15">
        <v>1.2</v>
      </c>
      <c r="U229" s="15">
        <v>0</v>
      </c>
      <c r="V229" s="14">
        <v>2610</v>
      </c>
      <c r="W229" s="12">
        <v>0</v>
      </c>
      <c r="X229" s="12">
        <v>0</v>
      </c>
      <c r="Y229" s="12">
        <v>0</v>
      </c>
      <c r="Z229" s="12">
        <v>1.69</v>
      </c>
      <c r="AA229" s="12">
        <v>0</v>
      </c>
      <c r="AB229" s="13">
        <f t="shared" si="12"/>
        <v>0.44999999999999996</v>
      </c>
      <c r="AE229" s="12">
        <v>0</v>
      </c>
      <c r="AF229" s="12">
        <v>0</v>
      </c>
      <c r="AG229" s="12">
        <v>0</v>
      </c>
      <c r="AH229" s="12">
        <v>1.69</v>
      </c>
      <c r="AI229" s="12">
        <v>0</v>
      </c>
      <c r="AJ229" s="13">
        <f t="shared" si="13"/>
        <v>0.44999999999999996</v>
      </c>
      <c r="AN229" s="12">
        <f t="shared" si="14"/>
        <v>3237</v>
      </c>
      <c r="AQ229" s="8" t="s">
        <v>418</v>
      </c>
      <c r="AR229" t="str">
        <f t="shared" si="15"/>
        <v>Noroeste - A05</v>
      </c>
    </row>
    <row r="230" spans="1:44" x14ac:dyDescent="0.2">
      <c r="A230" s="107" t="s">
        <v>6080</v>
      </c>
      <c r="B230" s="106" t="s">
        <v>6079</v>
      </c>
      <c r="C230" s="106" t="s">
        <v>5955</v>
      </c>
      <c r="D230" s="106" t="s">
        <v>2591</v>
      </c>
      <c r="E230" s="106" t="s">
        <v>5954</v>
      </c>
      <c r="F230" s="106" t="s">
        <v>490</v>
      </c>
      <c r="G230" s="106" t="s">
        <v>6078</v>
      </c>
      <c r="H230" s="105" t="s">
        <v>6077</v>
      </c>
      <c r="I230" s="105" t="s">
        <v>6072</v>
      </c>
      <c r="J230" s="104">
        <v>11.13</v>
      </c>
      <c r="K230" s="103" t="s">
        <v>425</v>
      </c>
      <c r="L230" s="102" t="s">
        <v>533</v>
      </c>
      <c r="M230" s="95"/>
      <c r="N230" s="14"/>
      <c r="O230" s="94"/>
      <c r="P230" s="14" t="s">
        <v>485</v>
      </c>
      <c r="Q230" s="14" t="s">
        <v>561</v>
      </c>
      <c r="R230" s="14" t="s">
        <v>496</v>
      </c>
      <c r="S230" s="15">
        <v>7</v>
      </c>
      <c r="T230" s="15">
        <v>1.2</v>
      </c>
      <c r="U230" s="15">
        <v>0</v>
      </c>
      <c r="V230" s="14">
        <v>2610</v>
      </c>
      <c r="W230" s="12">
        <v>0</v>
      </c>
      <c r="X230" s="12">
        <v>3</v>
      </c>
      <c r="Y230" s="12">
        <v>7</v>
      </c>
      <c r="Z230" s="12">
        <v>1.1300000000000008</v>
      </c>
      <c r="AA230" s="12">
        <v>0</v>
      </c>
      <c r="AB230" s="13">
        <f t="shared" si="12"/>
        <v>0</v>
      </c>
      <c r="AE230" s="12">
        <v>0</v>
      </c>
      <c r="AF230" s="12">
        <v>3</v>
      </c>
      <c r="AG230" s="12">
        <v>7</v>
      </c>
      <c r="AH230" s="12">
        <v>1.1300000000000008</v>
      </c>
      <c r="AI230" s="12">
        <v>0</v>
      </c>
      <c r="AJ230" s="13">
        <f t="shared" si="13"/>
        <v>0</v>
      </c>
      <c r="AN230" s="12">
        <f t="shared" si="14"/>
        <v>29050</v>
      </c>
      <c r="AQ230" s="8" t="s">
        <v>418</v>
      </c>
      <c r="AR230" t="str">
        <f t="shared" si="15"/>
        <v>Noroeste - A05</v>
      </c>
    </row>
    <row r="231" spans="1:44" x14ac:dyDescent="0.2">
      <c r="A231" s="107" t="s">
        <v>6076</v>
      </c>
      <c r="B231" s="106" t="s">
        <v>6075</v>
      </c>
      <c r="C231" s="106" t="s">
        <v>5955</v>
      </c>
      <c r="D231" s="106" t="s">
        <v>6074</v>
      </c>
      <c r="E231" s="106" t="s">
        <v>5971</v>
      </c>
      <c r="F231" s="106" t="s">
        <v>590</v>
      </c>
      <c r="G231" s="106" t="s">
        <v>6073</v>
      </c>
      <c r="H231" s="105" t="s">
        <v>6072</v>
      </c>
      <c r="I231" s="105" t="s">
        <v>6068</v>
      </c>
      <c r="J231" s="104">
        <v>1.19</v>
      </c>
      <c r="K231" s="103" t="s">
        <v>425</v>
      </c>
      <c r="L231" s="102" t="s">
        <v>533</v>
      </c>
      <c r="M231" s="95"/>
      <c r="N231" s="14"/>
      <c r="O231" s="94">
        <v>27</v>
      </c>
      <c r="P231" s="14" t="s">
        <v>586</v>
      </c>
      <c r="Q231" s="14" t="s">
        <v>561</v>
      </c>
      <c r="R231" s="14" t="s">
        <v>496</v>
      </c>
      <c r="S231" s="15">
        <v>14</v>
      </c>
      <c r="T231" s="15">
        <v>0</v>
      </c>
      <c r="U231" s="15">
        <v>0</v>
      </c>
      <c r="V231" s="14">
        <v>2026</v>
      </c>
      <c r="W231" s="12">
        <v>0</v>
      </c>
      <c r="X231" s="12">
        <v>0</v>
      </c>
      <c r="Y231" s="12">
        <v>0</v>
      </c>
      <c r="Z231" s="12">
        <v>1.19</v>
      </c>
      <c r="AA231" s="12">
        <v>0</v>
      </c>
      <c r="AB231" s="13">
        <f t="shared" si="12"/>
        <v>0</v>
      </c>
      <c r="AE231" s="12">
        <v>0</v>
      </c>
      <c r="AF231" s="12">
        <v>0</v>
      </c>
      <c r="AG231" s="12">
        <v>0</v>
      </c>
      <c r="AH231" s="12">
        <v>1.19</v>
      </c>
      <c r="AI231" s="12">
        <v>0</v>
      </c>
      <c r="AJ231" s="13">
        <f t="shared" si="13"/>
        <v>0</v>
      </c>
      <c r="AN231" s="12">
        <f t="shared" si="14"/>
        <v>2411</v>
      </c>
      <c r="AQ231" s="8" t="s">
        <v>418</v>
      </c>
      <c r="AR231" t="str">
        <f t="shared" si="15"/>
        <v>Noroeste - A05</v>
      </c>
    </row>
    <row r="232" spans="1:44" x14ac:dyDescent="0.2">
      <c r="A232" s="107" t="s">
        <v>6071</v>
      </c>
      <c r="B232" s="106" t="s">
        <v>6070</v>
      </c>
      <c r="C232" s="106" t="s">
        <v>5955</v>
      </c>
      <c r="D232" s="106" t="s">
        <v>5271</v>
      </c>
      <c r="E232" s="106" t="s">
        <v>5954</v>
      </c>
      <c r="F232" s="106" t="s">
        <v>490</v>
      </c>
      <c r="G232" s="106" t="s">
        <v>6069</v>
      </c>
      <c r="H232" s="105" t="s">
        <v>6068</v>
      </c>
      <c r="I232" s="105" t="s">
        <v>6067</v>
      </c>
      <c r="J232" s="104">
        <v>1.02</v>
      </c>
      <c r="K232" s="103" t="s">
        <v>425</v>
      </c>
      <c r="L232" s="102" t="s">
        <v>533</v>
      </c>
      <c r="M232" s="95"/>
      <c r="N232" s="14"/>
      <c r="O232" s="94">
        <v>27</v>
      </c>
      <c r="P232" s="14" t="s">
        <v>485</v>
      </c>
      <c r="Q232" s="14" t="s">
        <v>561</v>
      </c>
      <c r="R232" s="14" t="s">
        <v>496</v>
      </c>
      <c r="S232" s="15">
        <v>7</v>
      </c>
      <c r="T232" s="15">
        <v>1.2</v>
      </c>
      <c r="U232" s="15">
        <v>0</v>
      </c>
      <c r="V232" s="14">
        <v>2610</v>
      </c>
      <c r="W232" s="12">
        <v>0</v>
      </c>
      <c r="X232" s="12">
        <v>0</v>
      </c>
      <c r="Y232" s="12">
        <v>0</v>
      </c>
      <c r="Z232" s="12">
        <v>1.02</v>
      </c>
      <c r="AA232" s="12">
        <v>0</v>
      </c>
      <c r="AB232" s="13">
        <f t="shared" si="12"/>
        <v>0</v>
      </c>
      <c r="AE232" s="12">
        <v>0</v>
      </c>
      <c r="AF232" s="12">
        <v>0</v>
      </c>
      <c r="AG232" s="12">
        <v>0</v>
      </c>
      <c r="AH232" s="12">
        <v>1.02</v>
      </c>
      <c r="AI232" s="12">
        <v>0</v>
      </c>
      <c r="AJ232" s="13">
        <f t="shared" si="13"/>
        <v>0</v>
      </c>
      <c r="AN232" s="12">
        <f t="shared" si="14"/>
        <v>2663</v>
      </c>
      <c r="AQ232" s="8" t="s">
        <v>418</v>
      </c>
      <c r="AR232" t="str">
        <f t="shared" si="15"/>
        <v>Noroeste - A05</v>
      </c>
    </row>
    <row r="233" spans="1:44" x14ac:dyDescent="0.2">
      <c r="A233" s="107" t="s">
        <v>6066</v>
      </c>
      <c r="B233" s="106" t="s">
        <v>6065</v>
      </c>
      <c r="C233" s="106" t="s">
        <v>5955</v>
      </c>
      <c r="D233" s="106" t="s">
        <v>2586</v>
      </c>
      <c r="E233" s="106" t="s">
        <v>5954</v>
      </c>
      <c r="F233" s="106" t="s">
        <v>490</v>
      </c>
      <c r="G233" s="106" t="s">
        <v>6064</v>
      </c>
      <c r="H233" s="105" t="s">
        <v>6063</v>
      </c>
      <c r="I233" s="105" t="s">
        <v>2705</v>
      </c>
      <c r="J233" s="104">
        <v>13.92</v>
      </c>
      <c r="K233" s="103" t="s">
        <v>425</v>
      </c>
      <c r="L233" s="102" t="s">
        <v>533</v>
      </c>
      <c r="M233" s="95"/>
      <c r="N233" s="14"/>
      <c r="O233" s="94">
        <v>27</v>
      </c>
      <c r="P233" s="14" t="s">
        <v>485</v>
      </c>
      <c r="Q233" s="14" t="s">
        <v>561</v>
      </c>
      <c r="R233" s="14" t="s">
        <v>496</v>
      </c>
      <c r="S233" s="15">
        <v>7</v>
      </c>
      <c r="T233" s="15">
        <v>1.2</v>
      </c>
      <c r="U233" s="15">
        <v>0</v>
      </c>
      <c r="V233" s="14">
        <v>676</v>
      </c>
      <c r="W233" s="12">
        <v>0</v>
      </c>
      <c r="X233" s="12">
        <v>0</v>
      </c>
      <c r="Y233" s="12">
        <v>6.92</v>
      </c>
      <c r="Z233" s="12">
        <v>7</v>
      </c>
      <c r="AA233" s="12">
        <v>0</v>
      </c>
      <c r="AB233" s="13">
        <f t="shared" si="12"/>
        <v>0</v>
      </c>
      <c r="AE233" s="12">
        <v>0</v>
      </c>
      <c r="AF233" s="12">
        <v>0</v>
      </c>
      <c r="AG233" s="12">
        <v>6.92</v>
      </c>
      <c r="AH233" s="12">
        <v>7</v>
      </c>
      <c r="AI233" s="12">
        <v>0</v>
      </c>
      <c r="AJ233" s="13">
        <f t="shared" si="13"/>
        <v>0</v>
      </c>
      <c r="AN233" s="12">
        <f t="shared" si="14"/>
        <v>9410</v>
      </c>
      <c r="AQ233" s="8" t="s">
        <v>418</v>
      </c>
      <c r="AR233" t="str">
        <f t="shared" si="15"/>
        <v>Noroeste - A05</v>
      </c>
    </row>
    <row r="234" spans="1:44" x14ac:dyDescent="0.2">
      <c r="A234" s="107" t="s">
        <v>6062</v>
      </c>
      <c r="B234" s="106" t="s">
        <v>6061</v>
      </c>
      <c r="C234" s="106" t="s">
        <v>5955</v>
      </c>
      <c r="D234" s="106" t="s">
        <v>2567</v>
      </c>
      <c r="E234" s="106" t="s">
        <v>5954</v>
      </c>
      <c r="F234" s="106" t="s">
        <v>490</v>
      </c>
      <c r="G234" s="106" t="s">
        <v>6060</v>
      </c>
      <c r="H234" s="105" t="s">
        <v>2705</v>
      </c>
      <c r="I234" s="105" t="s">
        <v>6056</v>
      </c>
      <c r="J234" s="104">
        <v>10.71</v>
      </c>
      <c r="K234" s="103" t="s">
        <v>423</v>
      </c>
      <c r="L234" s="102" t="s">
        <v>507</v>
      </c>
      <c r="M234" s="95"/>
      <c r="N234" s="14"/>
      <c r="O234" s="94">
        <v>35</v>
      </c>
      <c r="P234" s="14" t="s">
        <v>485</v>
      </c>
      <c r="Q234" s="14" t="s">
        <v>561</v>
      </c>
      <c r="R234" s="14" t="s">
        <v>496</v>
      </c>
      <c r="S234" s="15">
        <v>6.6</v>
      </c>
      <c r="T234" s="15">
        <v>0</v>
      </c>
      <c r="U234" s="15">
        <v>0</v>
      </c>
      <c r="V234" s="14">
        <v>865</v>
      </c>
      <c r="W234" s="12">
        <v>0</v>
      </c>
      <c r="X234" s="12">
        <v>1</v>
      </c>
      <c r="Y234" s="12">
        <v>5</v>
      </c>
      <c r="Z234" s="12">
        <v>4.7100000000000009</v>
      </c>
      <c r="AA234" s="12">
        <v>0</v>
      </c>
      <c r="AB234" s="13">
        <f t="shared" si="12"/>
        <v>0</v>
      </c>
      <c r="AE234" s="12">
        <v>0</v>
      </c>
      <c r="AF234" s="12">
        <v>1</v>
      </c>
      <c r="AG234" s="12">
        <v>5</v>
      </c>
      <c r="AH234" s="12">
        <v>4.7100000000000009</v>
      </c>
      <c r="AI234" s="12">
        <v>0</v>
      </c>
      <c r="AJ234" s="13">
        <f t="shared" si="13"/>
        <v>0</v>
      </c>
      <c r="AN234" s="12">
        <f t="shared" si="14"/>
        <v>9265</v>
      </c>
      <c r="AQ234" s="8" t="s">
        <v>417</v>
      </c>
      <c r="AR234" t="str">
        <f t="shared" si="15"/>
        <v>Oeste - A03</v>
      </c>
    </row>
    <row r="235" spans="1:44" x14ac:dyDescent="0.2">
      <c r="A235" s="107" t="s">
        <v>6059</v>
      </c>
      <c r="B235" s="106" t="s">
        <v>6058</v>
      </c>
      <c r="C235" s="106" t="s">
        <v>5955</v>
      </c>
      <c r="D235" s="106" t="s">
        <v>4763</v>
      </c>
      <c r="E235" s="106" t="s">
        <v>5954</v>
      </c>
      <c r="F235" s="106" t="s">
        <v>490</v>
      </c>
      <c r="G235" s="106" t="s">
        <v>6057</v>
      </c>
      <c r="H235" s="105" t="s">
        <v>6056</v>
      </c>
      <c r="I235" s="105" t="s">
        <v>1353</v>
      </c>
      <c r="J235" s="104">
        <v>12.17</v>
      </c>
      <c r="K235" s="103" t="s">
        <v>423</v>
      </c>
      <c r="L235" s="102" t="s">
        <v>507</v>
      </c>
      <c r="M235" s="95"/>
      <c r="N235" s="14"/>
      <c r="O235" s="94">
        <v>35</v>
      </c>
      <c r="P235" s="14" t="s">
        <v>485</v>
      </c>
      <c r="Q235" s="14" t="s">
        <v>561</v>
      </c>
      <c r="R235" s="14" t="s">
        <v>496</v>
      </c>
      <c r="S235" s="15">
        <v>6.6</v>
      </c>
      <c r="T235" s="15">
        <v>0</v>
      </c>
      <c r="U235" s="15">
        <v>0</v>
      </c>
      <c r="V235" s="14">
        <v>1884</v>
      </c>
      <c r="W235" s="12">
        <v>0</v>
      </c>
      <c r="X235" s="12">
        <v>0</v>
      </c>
      <c r="Y235" s="12">
        <v>10.17</v>
      </c>
      <c r="Z235" s="12">
        <v>2</v>
      </c>
      <c r="AA235" s="12">
        <v>0</v>
      </c>
      <c r="AB235" s="13">
        <f t="shared" si="12"/>
        <v>0</v>
      </c>
      <c r="AE235" s="12">
        <v>0</v>
      </c>
      <c r="AF235" s="12">
        <v>0</v>
      </c>
      <c r="AG235" s="12">
        <v>10.17</v>
      </c>
      <c r="AH235" s="12">
        <v>2</v>
      </c>
      <c r="AI235" s="12">
        <v>0</v>
      </c>
      <c r="AJ235" s="13">
        <f t="shared" si="13"/>
        <v>0</v>
      </c>
      <c r="AN235" s="12">
        <f t="shared" si="14"/>
        <v>22929</v>
      </c>
      <c r="AQ235" s="8" t="s">
        <v>417</v>
      </c>
      <c r="AR235" t="str">
        <f t="shared" si="15"/>
        <v>Oeste - A03</v>
      </c>
    </row>
    <row r="236" spans="1:44" x14ac:dyDescent="0.2">
      <c r="A236" s="107" t="s">
        <v>6055</v>
      </c>
      <c r="B236" s="106" t="s">
        <v>6054</v>
      </c>
      <c r="C236" s="106" t="s">
        <v>5955</v>
      </c>
      <c r="D236" s="106" t="s">
        <v>6053</v>
      </c>
      <c r="E236" s="106" t="s">
        <v>5971</v>
      </c>
      <c r="F236" s="106" t="s">
        <v>590</v>
      </c>
      <c r="G236" s="106" t="s">
        <v>6052</v>
      </c>
      <c r="H236" s="105" t="s">
        <v>1353</v>
      </c>
      <c r="I236" s="105" t="s">
        <v>1348</v>
      </c>
      <c r="J236" s="104">
        <v>0.69</v>
      </c>
      <c r="K236" s="103" t="s">
        <v>423</v>
      </c>
      <c r="L236" s="102" t="s">
        <v>507</v>
      </c>
      <c r="M236" s="95"/>
      <c r="N236" s="14"/>
      <c r="O236" s="94">
        <v>35</v>
      </c>
      <c r="P236" s="14" t="s">
        <v>586</v>
      </c>
      <c r="Q236" s="14" t="s">
        <v>561</v>
      </c>
      <c r="R236" s="14" t="s">
        <v>496</v>
      </c>
      <c r="S236" s="15">
        <v>8</v>
      </c>
      <c r="T236" s="15">
        <v>0</v>
      </c>
      <c r="U236" s="15">
        <v>0</v>
      </c>
      <c r="V236" s="14">
        <v>787</v>
      </c>
      <c r="W236" s="12">
        <v>0</v>
      </c>
      <c r="X236" s="12">
        <v>0</v>
      </c>
      <c r="Y236" s="12">
        <v>0</v>
      </c>
      <c r="Z236" s="12">
        <v>0.69</v>
      </c>
      <c r="AA236" s="12">
        <v>0</v>
      </c>
      <c r="AB236" s="13">
        <f t="shared" si="12"/>
        <v>0</v>
      </c>
      <c r="AE236" s="12">
        <v>0</v>
      </c>
      <c r="AF236" s="12">
        <v>0</v>
      </c>
      <c r="AG236" s="12">
        <v>0</v>
      </c>
      <c r="AH236" s="12">
        <v>0.69</v>
      </c>
      <c r="AI236" s="12">
        <v>0</v>
      </c>
      <c r="AJ236" s="13">
        <f t="shared" si="13"/>
        <v>0</v>
      </c>
      <c r="AN236" s="12">
        <f t="shared" si="14"/>
        <v>544</v>
      </c>
      <c r="AQ236" s="8" t="s">
        <v>417</v>
      </c>
      <c r="AR236" t="str">
        <f t="shared" si="15"/>
        <v>Oeste - A03</v>
      </c>
    </row>
    <row r="237" spans="1:44" x14ac:dyDescent="0.2">
      <c r="A237" s="107" t="s">
        <v>6051</v>
      </c>
      <c r="B237" s="106" t="s">
        <v>6050</v>
      </c>
      <c r="C237" s="106" t="s">
        <v>5955</v>
      </c>
      <c r="D237" s="106" t="s">
        <v>2560</v>
      </c>
      <c r="E237" s="106" t="s">
        <v>5954</v>
      </c>
      <c r="F237" s="106" t="s">
        <v>490</v>
      </c>
      <c r="G237" s="106" t="s">
        <v>6049</v>
      </c>
      <c r="H237" s="105" t="s">
        <v>1348</v>
      </c>
      <c r="I237" s="105" t="s">
        <v>6044</v>
      </c>
      <c r="J237" s="104">
        <v>15.02</v>
      </c>
      <c r="K237" s="103" t="s">
        <v>423</v>
      </c>
      <c r="L237" s="102" t="s">
        <v>507</v>
      </c>
      <c r="M237" s="95"/>
      <c r="N237" s="14"/>
      <c r="O237" s="94">
        <v>35</v>
      </c>
      <c r="P237" s="14" t="s">
        <v>485</v>
      </c>
      <c r="Q237" s="14" t="s">
        <v>497</v>
      </c>
      <c r="R237" s="14" t="s">
        <v>496</v>
      </c>
      <c r="S237" s="15">
        <v>7</v>
      </c>
      <c r="T237" s="15">
        <v>1</v>
      </c>
      <c r="U237" s="15">
        <v>0</v>
      </c>
      <c r="V237" s="14">
        <v>218</v>
      </c>
      <c r="W237" s="12">
        <v>0</v>
      </c>
      <c r="X237" s="12">
        <v>1</v>
      </c>
      <c r="Y237" s="12">
        <v>7.02</v>
      </c>
      <c r="Z237" s="12">
        <v>7</v>
      </c>
      <c r="AA237" s="12">
        <v>0</v>
      </c>
      <c r="AB237" s="13">
        <f t="shared" si="12"/>
        <v>0</v>
      </c>
      <c r="AE237" s="12">
        <v>0</v>
      </c>
      <c r="AF237" s="12">
        <v>1</v>
      </c>
      <c r="AG237" s="12">
        <v>7.02</v>
      </c>
      <c r="AH237" s="12">
        <v>7</v>
      </c>
      <c r="AI237" s="12">
        <v>0</v>
      </c>
      <c r="AJ237" s="13">
        <f t="shared" si="13"/>
        <v>0</v>
      </c>
      <c r="AN237" s="12">
        <f t="shared" si="14"/>
        <v>3275</v>
      </c>
      <c r="AQ237" s="8" t="s">
        <v>417</v>
      </c>
      <c r="AR237" t="str">
        <f t="shared" si="15"/>
        <v>Oeste - A03</v>
      </c>
    </row>
    <row r="238" spans="1:44" x14ac:dyDescent="0.2">
      <c r="A238" s="107" t="s">
        <v>6048</v>
      </c>
      <c r="B238" s="106" t="s">
        <v>6047</v>
      </c>
      <c r="C238" s="106" t="s">
        <v>5955</v>
      </c>
      <c r="D238" s="106" t="s">
        <v>6046</v>
      </c>
      <c r="E238" s="106" t="s">
        <v>5954</v>
      </c>
      <c r="F238" s="106" t="s">
        <v>490</v>
      </c>
      <c r="G238" s="106" t="s">
        <v>6045</v>
      </c>
      <c r="H238" s="105" t="s">
        <v>6044</v>
      </c>
      <c r="I238" s="105" t="s">
        <v>6037</v>
      </c>
      <c r="J238" s="104">
        <v>0.92</v>
      </c>
      <c r="K238" s="103" t="s">
        <v>423</v>
      </c>
      <c r="L238" s="102" t="s">
        <v>507</v>
      </c>
      <c r="M238" s="95"/>
      <c r="N238" s="14"/>
      <c r="O238" s="94">
        <v>35</v>
      </c>
      <c r="P238" s="14" t="s">
        <v>485</v>
      </c>
      <c r="Q238" s="14" t="s">
        <v>497</v>
      </c>
      <c r="R238" s="14" t="s">
        <v>496</v>
      </c>
      <c r="S238" s="15">
        <v>8</v>
      </c>
      <c r="T238" s="15">
        <v>0</v>
      </c>
      <c r="U238" s="15">
        <v>0</v>
      </c>
      <c r="V238" s="14">
        <v>218</v>
      </c>
      <c r="W238" s="12">
        <v>0</v>
      </c>
      <c r="X238" s="12">
        <v>0</v>
      </c>
      <c r="Y238" s="12">
        <v>0</v>
      </c>
      <c r="Z238" s="12">
        <v>0.92</v>
      </c>
      <c r="AA238" s="12">
        <v>0</v>
      </c>
      <c r="AB238" s="13">
        <f t="shared" si="12"/>
        <v>0</v>
      </c>
      <c r="AE238" s="12">
        <v>0</v>
      </c>
      <c r="AF238" s="12">
        <v>0</v>
      </c>
      <c r="AG238" s="12">
        <v>0</v>
      </c>
      <c r="AH238" s="12">
        <v>0.92</v>
      </c>
      <c r="AI238" s="12">
        <v>0</v>
      </c>
      <c r="AJ238" s="13">
        <f t="shared" si="13"/>
        <v>0</v>
      </c>
      <c r="AN238" s="12">
        <f t="shared" si="14"/>
        <v>201</v>
      </c>
      <c r="AQ238" s="8" t="s">
        <v>417</v>
      </c>
      <c r="AR238" t="str">
        <f t="shared" si="15"/>
        <v>Oeste - A03</v>
      </c>
    </row>
    <row r="239" spans="1:44" x14ac:dyDescent="0.2">
      <c r="A239" s="107" t="s">
        <v>6043</v>
      </c>
      <c r="B239" s="106" t="s">
        <v>6042</v>
      </c>
      <c r="C239" s="106" t="s">
        <v>5955</v>
      </c>
      <c r="D239" s="106" t="s">
        <v>4972</v>
      </c>
      <c r="E239" s="106" t="s">
        <v>6034</v>
      </c>
      <c r="F239" s="106" t="s">
        <v>606</v>
      </c>
      <c r="G239" s="106" t="s">
        <v>6041</v>
      </c>
      <c r="H239" s="105" t="s">
        <v>6037</v>
      </c>
      <c r="I239" s="105" t="s">
        <v>6027</v>
      </c>
      <c r="J239" s="104">
        <v>0.24</v>
      </c>
      <c r="K239" s="103" t="s">
        <v>423</v>
      </c>
      <c r="L239" s="102" t="s">
        <v>507</v>
      </c>
      <c r="M239" s="95"/>
      <c r="N239" s="14"/>
      <c r="O239" s="94">
        <v>35</v>
      </c>
      <c r="P239" s="14" t="s">
        <v>596</v>
      </c>
      <c r="Q239" s="14" t="s">
        <v>497</v>
      </c>
      <c r="R239" s="14" t="s">
        <v>496</v>
      </c>
      <c r="S239" s="15">
        <v>14</v>
      </c>
      <c r="T239" s="15">
        <v>0</v>
      </c>
      <c r="U239" s="15">
        <v>0</v>
      </c>
      <c r="V239" s="14">
        <v>170</v>
      </c>
      <c r="W239" s="12">
        <v>0</v>
      </c>
      <c r="X239" s="12">
        <v>0</v>
      </c>
      <c r="Y239" s="12">
        <v>0.24</v>
      </c>
      <c r="Z239" s="12">
        <v>0</v>
      </c>
      <c r="AA239" s="12">
        <v>0</v>
      </c>
      <c r="AB239" s="13">
        <f t="shared" si="12"/>
        <v>0</v>
      </c>
      <c r="AE239" s="12">
        <v>0</v>
      </c>
      <c r="AF239" s="12">
        <v>0</v>
      </c>
      <c r="AG239" s="12">
        <v>0.24</v>
      </c>
      <c r="AH239" s="12">
        <v>0</v>
      </c>
      <c r="AI239" s="12">
        <v>0</v>
      </c>
      <c r="AJ239" s="13">
        <f t="shared" si="13"/>
        <v>0</v>
      </c>
      <c r="AN239" s="12">
        <f t="shared" si="14"/>
        <v>41</v>
      </c>
      <c r="AQ239" s="8" t="s">
        <v>417</v>
      </c>
      <c r="AR239" t="str">
        <f t="shared" si="15"/>
        <v>Oeste - A03</v>
      </c>
    </row>
    <row r="240" spans="1:44" x14ac:dyDescent="0.2">
      <c r="A240" s="107" t="s">
        <v>6040</v>
      </c>
      <c r="B240" s="106" t="s">
        <v>6039</v>
      </c>
      <c r="C240" s="106" t="s">
        <v>5955</v>
      </c>
      <c r="D240" s="106" t="s">
        <v>4972</v>
      </c>
      <c r="E240" s="106" t="s">
        <v>6029</v>
      </c>
      <c r="F240" s="106" t="s">
        <v>600</v>
      </c>
      <c r="G240" s="106" t="s">
        <v>6038</v>
      </c>
      <c r="H240" s="105" t="s">
        <v>6037</v>
      </c>
      <c r="I240" s="105" t="s">
        <v>6027</v>
      </c>
      <c r="J240" s="104">
        <v>0.24</v>
      </c>
      <c r="K240" s="103" t="s">
        <v>423</v>
      </c>
      <c r="L240" s="102" t="s">
        <v>507</v>
      </c>
      <c r="M240" s="95"/>
      <c r="N240" s="14"/>
      <c r="O240" s="94">
        <v>35</v>
      </c>
      <c r="P240" s="14" t="s">
        <v>596</v>
      </c>
      <c r="Q240" s="14" t="s">
        <v>497</v>
      </c>
      <c r="R240" s="14" t="s">
        <v>496</v>
      </c>
      <c r="S240" s="15">
        <v>14</v>
      </c>
      <c r="T240" s="15">
        <v>0</v>
      </c>
      <c r="U240" s="15">
        <v>0</v>
      </c>
      <c r="V240" s="14">
        <v>170</v>
      </c>
      <c r="W240" s="12">
        <v>0</v>
      </c>
      <c r="X240" s="12">
        <v>0</v>
      </c>
      <c r="Y240" s="12">
        <v>0.24</v>
      </c>
      <c r="Z240" s="12">
        <v>0</v>
      </c>
      <c r="AA240" s="12">
        <v>0</v>
      </c>
      <c r="AB240" s="13">
        <f t="shared" si="12"/>
        <v>0</v>
      </c>
      <c r="AE240" s="12">
        <v>0</v>
      </c>
      <c r="AF240" s="12">
        <v>0</v>
      </c>
      <c r="AG240" s="12">
        <v>0.24</v>
      </c>
      <c r="AH240" s="12">
        <v>0</v>
      </c>
      <c r="AI240" s="12">
        <v>0</v>
      </c>
      <c r="AJ240" s="13">
        <f t="shared" si="13"/>
        <v>0</v>
      </c>
      <c r="AN240" s="12">
        <f t="shared" si="14"/>
        <v>41</v>
      </c>
      <c r="AQ240" s="8" t="s">
        <v>417</v>
      </c>
      <c r="AR240" t="str">
        <f t="shared" si="15"/>
        <v>Oeste - A03</v>
      </c>
    </row>
    <row r="241" spans="1:44" x14ac:dyDescent="0.2">
      <c r="A241" s="107" t="s">
        <v>6036</v>
      </c>
      <c r="B241" s="106" t="s">
        <v>6035</v>
      </c>
      <c r="C241" s="106" t="s">
        <v>5955</v>
      </c>
      <c r="D241" s="106" t="s">
        <v>6030</v>
      </c>
      <c r="E241" s="106" t="s">
        <v>6034</v>
      </c>
      <c r="F241" s="106" t="s">
        <v>606</v>
      </c>
      <c r="G241" s="106" t="s">
        <v>6033</v>
      </c>
      <c r="H241" s="105" t="s">
        <v>6027</v>
      </c>
      <c r="I241" s="105" t="s">
        <v>6023</v>
      </c>
      <c r="J241" s="104">
        <v>0.75</v>
      </c>
      <c r="K241" s="103" t="s">
        <v>423</v>
      </c>
      <c r="L241" s="102" t="s">
        <v>507</v>
      </c>
      <c r="M241" s="95"/>
      <c r="N241" s="14"/>
      <c r="O241" s="94">
        <v>35</v>
      </c>
      <c r="P241" s="14" t="s">
        <v>596</v>
      </c>
      <c r="Q241" s="14" t="s">
        <v>497</v>
      </c>
      <c r="R241" s="14" t="s">
        <v>496</v>
      </c>
      <c r="S241" s="15">
        <v>14</v>
      </c>
      <c r="T241" s="15">
        <v>0</v>
      </c>
      <c r="U241" s="15">
        <v>0</v>
      </c>
      <c r="V241" s="14">
        <v>170</v>
      </c>
      <c r="W241" s="12">
        <v>0</v>
      </c>
      <c r="X241" s="12">
        <v>0</v>
      </c>
      <c r="Y241" s="12">
        <v>0</v>
      </c>
      <c r="Z241" s="12">
        <v>0.75</v>
      </c>
      <c r="AA241" s="12">
        <v>0</v>
      </c>
      <c r="AB241" s="13">
        <f t="shared" si="12"/>
        <v>0</v>
      </c>
      <c r="AE241" s="12">
        <v>0</v>
      </c>
      <c r="AF241" s="12">
        <v>0</v>
      </c>
      <c r="AG241" s="12">
        <v>0</v>
      </c>
      <c r="AH241" s="12">
        <v>0.75</v>
      </c>
      <c r="AI241" s="12">
        <v>0</v>
      </c>
      <c r="AJ241" s="13">
        <f t="shared" si="13"/>
        <v>0</v>
      </c>
      <c r="AN241" s="12">
        <f t="shared" si="14"/>
        <v>128</v>
      </c>
      <c r="AQ241" s="8" t="s">
        <v>417</v>
      </c>
      <c r="AR241" t="str">
        <f t="shared" si="15"/>
        <v>Oeste - A03</v>
      </c>
    </row>
    <row r="242" spans="1:44" x14ac:dyDescent="0.2">
      <c r="A242" s="107" t="s">
        <v>6032</v>
      </c>
      <c r="B242" s="106" t="s">
        <v>6031</v>
      </c>
      <c r="C242" s="106" t="s">
        <v>5955</v>
      </c>
      <c r="D242" s="106" t="s">
        <v>6030</v>
      </c>
      <c r="E242" s="106" t="s">
        <v>6029</v>
      </c>
      <c r="F242" s="106" t="s">
        <v>600</v>
      </c>
      <c r="G242" s="106" t="s">
        <v>6028</v>
      </c>
      <c r="H242" s="105" t="s">
        <v>6027</v>
      </c>
      <c r="I242" s="105" t="s">
        <v>6023</v>
      </c>
      <c r="J242" s="104">
        <v>0.75</v>
      </c>
      <c r="K242" s="103" t="s">
        <v>423</v>
      </c>
      <c r="L242" s="102" t="s">
        <v>507</v>
      </c>
      <c r="M242" s="95"/>
      <c r="N242" s="14"/>
      <c r="O242" s="94">
        <v>35</v>
      </c>
      <c r="P242" s="14" t="s">
        <v>596</v>
      </c>
      <c r="Q242" s="14" t="s">
        <v>497</v>
      </c>
      <c r="R242" s="14" t="s">
        <v>496</v>
      </c>
      <c r="S242" s="15">
        <v>14</v>
      </c>
      <c r="T242" s="15">
        <v>0</v>
      </c>
      <c r="U242" s="15">
        <v>0</v>
      </c>
      <c r="V242" s="14">
        <v>170</v>
      </c>
      <c r="W242" s="12">
        <v>0</v>
      </c>
      <c r="X242" s="12">
        <v>0</v>
      </c>
      <c r="Y242" s="12">
        <v>0.75</v>
      </c>
      <c r="Z242" s="12">
        <v>0</v>
      </c>
      <c r="AA242" s="12">
        <v>0</v>
      </c>
      <c r="AB242" s="13">
        <f t="shared" si="12"/>
        <v>0</v>
      </c>
      <c r="AE242" s="12">
        <v>0</v>
      </c>
      <c r="AF242" s="12">
        <v>0</v>
      </c>
      <c r="AG242" s="12">
        <v>0.75</v>
      </c>
      <c r="AH242" s="12">
        <v>0</v>
      </c>
      <c r="AI242" s="12">
        <v>0</v>
      </c>
      <c r="AJ242" s="13">
        <f t="shared" si="13"/>
        <v>0</v>
      </c>
      <c r="AN242" s="12">
        <f t="shared" si="14"/>
        <v>128</v>
      </c>
      <c r="AQ242" s="8" t="s">
        <v>417</v>
      </c>
      <c r="AR242" t="str">
        <f t="shared" si="15"/>
        <v>Oeste - A03</v>
      </c>
    </row>
    <row r="243" spans="1:44" x14ac:dyDescent="0.2">
      <c r="A243" s="107" t="s">
        <v>6026</v>
      </c>
      <c r="B243" s="106" t="s">
        <v>6025</v>
      </c>
      <c r="C243" s="106" t="s">
        <v>5955</v>
      </c>
      <c r="D243" s="106" t="s">
        <v>4967</v>
      </c>
      <c r="E243" s="106" t="s">
        <v>5954</v>
      </c>
      <c r="F243" s="106" t="s">
        <v>490</v>
      </c>
      <c r="G243" s="106" t="s">
        <v>6024</v>
      </c>
      <c r="H243" s="105" t="s">
        <v>6023</v>
      </c>
      <c r="I243" s="105" t="s">
        <v>6022</v>
      </c>
      <c r="J243" s="104">
        <v>11.6</v>
      </c>
      <c r="K243" s="103" t="s">
        <v>423</v>
      </c>
      <c r="L243" s="102" t="s">
        <v>507</v>
      </c>
      <c r="M243" s="95"/>
      <c r="N243" s="14"/>
      <c r="O243" s="94">
        <v>35</v>
      </c>
      <c r="P243" s="14" t="s">
        <v>485</v>
      </c>
      <c r="Q243" s="14" t="s">
        <v>497</v>
      </c>
      <c r="R243" s="14" t="s">
        <v>496</v>
      </c>
      <c r="S243" s="15">
        <v>7</v>
      </c>
      <c r="T243" s="15">
        <v>0</v>
      </c>
      <c r="U243" s="15">
        <v>0</v>
      </c>
      <c r="V243" s="14">
        <v>97</v>
      </c>
      <c r="W243" s="12">
        <v>0</v>
      </c>
      <c r="X243" s="12">
        <v>2</v>
      </c>
      <c r="Y243" s="12">
        <v>7</v>
      </c>
      <c r="Z243" s="12">
        <v>2.5999999999999996</v>
      </c>
      <c r="AA243" s="12">
        <v>0</v>
      </c>
      <c r="AB243" s="13">
        <f t="shared" si="12"/>
        <v>0</v>
      </c>
      <c r="AE243" s="12">
        <v>0</v>
      </c>
      <c r="AF243" s="12">
        <v>2</v>
      </c>
      <c r="AG243" s="12">
        <v>7</v>
      </c>
      <c r="AH243" s="12">
        <v>2.5999999999999996</v>
      </c>
      <c r="AI243" s="12">
        <v>0</v>
      </c>
      <c r="AJ243" s="13">
        <f t="shared" si="13"/>
        <v>0</v>
      </c>
      <c r="AN243" s="12">
        <f t="shared" si="14"/>
        <v>1126</v>
      </c>
      <c r="AQ243" s="8" t="s">
        <v>417</v>
      </c>
      <c r="AR243" t="str">
        <f t="shared" si="15"/>
        <v>Oeste - A03</v>
      </c>
    </row>
    <row r="244" spans="1:44" x14ac:dyDescent="0.2">
      <c r="A244" s="107" t="s">
        <v>6021</v>
      </c>
      <c r="B244" s="106" t="s">
        <v>6020</v>
      </c>
      <c r="C244" s="106" t="s">
        <v>5955</v>
      </c>
      <c r="D244" s="106" t="s">
        <v>6019</v>
      </c>
      <c r="E244" s="106" t="s">
        <v>5954</v>
      </c>
      <c r="F244" s="106" t="s">
        <v>490</v>
      </c>
      <c r="G244" s="106" t="s">
        <v>6018</v>
      </c>
      <c r="H244" s="105" t="s">
        <v>6017</v>
      </c>
      <c r="I244" s="105" t="s">
        <v>6012</v>
      </c>
      <c r="J244" s="104">
        <v>3.71</v>
      </c>
      <c r="K244" s="103" t="s">
        <v>423</v>
      </c>
      <c r="L244" s="102" t="s">
        <v>507</v>
      </c>
      <c r="M244" s="95"/>
      <c r="N244" s="14"/>
      <c r="O244" s="94">
        <v>35</v>
      </c>
      <c r="P244" s="14" t="s">
        <v>485</v>
      </c>
      <c r="Q244" s="14" t="s">
        <v>497</v>
      </c>
      <c r="R244" s="14" t="s">
        <v>496</v>
      </c>
      <c r="S244" s="15">
        <v>7</v>
      </c>
      <c r="T244" s="15">
        <v>0</v>
      </c>
      <c r="U244" s="15">
        <v>0</v>
      </c>
      <c r="V244" s="14">
        <v>386</v>
      </c>
      <c r="W244" s="12">
        <v>0.71</v>
      </c>
      <c r="X244" s="12">
        <v>0</v>
      </c>
      <c r="Y244" s="12">
        <v>1</v>
      </c>
      <c r="Z244" s="12">
        <v>0</v>
      </c>
      <c r="AA244" s="12">
        <v>2</v>
      </c>
      <c r="AB244" s="13">
        <f t="shared" si="12"/>
        <v>0</v>
      </c>
      <c r="AE244" s="12">
        <v>0.71</v>
      </c>
      <c r="AF244" s="12">
        <v>0</v>
      </c>
      <c r="AG244" s="12">
        <v>1</v>
      </c>
      <c r="AH244" s="12">
        <v>0</v>
      </c>
      <c r="AI244" s="12">
        <v>2</v>
      </c>
      <c r="AJ244" s="13">
        <f t="shared" si="13"/>
        <v>0</v>
      </c>
      <c r="AN244" s="12">
        <f t="shared" si="14"/>
        <v>1433</v>
      </c>
      <c r="AQ244" s="8" t="s">
        <v>417</v>
      </c>
      <c r="AR244" t="str">
        <f t="shared" si="15"/>
        <v>Oeste - A03</v>
      </c>
    </row>
    <row r="245" spans="1:44" x14ac:dyDescent="0.2">
      <c r="A245" s="107" t="s">
        <v>6016</v>
      </c>
      <c r="B245" s="106" t="s">
        <v>6015</v>
      </c>
      <c r="C245" s="106" t="s">
        <v>5955</v>
      </c>
      <c r="D245" s="106" t="s">
        <v>6014</v>
      </c>
      <c r="E245" s="106" t="s">
        <v>5971</v>
      </c>
      <c r="F245" s="106" t="s">
        <v>590</v>
      </c>
      <c r="G245" s="106" t="s">
        <v>6013</v>
      </c>
      <c r="H245" s="105" t="s">
        <v>6012</v>
      </c>
      <c r="I245" s="105" t="s">
        <v>6011</v>
      </c>
      <c r="J245" s="104">
        <v>3.23</v>
      </c>
      <c r="K245" s="103" t="s">
        <v>423</v>
      </c>
      <c r="L245" s="102" t="s">
        <v>507</v>
      </c>
      <c r="M245" s="95"/>
      <c r="N245" s="14"/>
      <c r="O245" s="94">
        <v>35</v>
      </c>
      <c r="P245" s="14" t="s">
        <v>586</v>
      </c>
      <c r="Q245" s="14" t="s">
        <v>497</v>
      </c>
      <c r="R245" s="14" t="s">
        <v>496</v>
      </c>
      <c r="S245" s="15">
        <v>8</v>
      </c>
      <c r="T245" s="15">
        <v>0</v>
      </c>
      <c r="U245" s="15">
        <v>0</v>
      </c>
      <c r="V245" s="14">
        <v>386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3">
        <f t="shared" si="12"/>
        <v>-3.23</v>
      </c>
      <c r="AE245" s="12">
        <f>IF(W245=0,0,W245-$AB245)</f>
        <v>0</v>
      </c>
      <c r="AF245" s="12">
        <f>IF(X245=0,0,X245-$AB245)</f>
        <v>0</v>
      </c>
      <c r="AG245" s="12">
        <v>3.23</v>
      </c>
      <c r="AH245" s="12">
        <f>IF(Z245=0,0,Z245-$AB245)</f>
        <v>0</v>
      </c>
      <c r="AI245" s="12">
        <f>IF(AA245=0,0,AA245-$AB245)</f>
        <v>0</v>
      </c>
      <c r="AJ245" s="13">
        <f t="shared" si="13"/>
        <v>0</v>
      </c>
      <c r="AN245" s="12">
        <f t="shared" si="14"/>
        <v>1247</v>
      </c>
      <c r="AQ245" s="8" t="s">
        <v>417</v>
      </c>
      <c r="AR245" t="str">
        <f t="shared" si="15"/>
        <v>Oeste - A03</v>
      </c>
    </row>
    <row r="246" spans="1:44" x14ac:dyDescent="0.2">
      <c r="A246" s="107" t="s">
        <v>6010</v>
      </c>
      <c r="B246" s="106" t="s">
        <v>6009</v>
      </c>
      <c r="C246" s="106" t="s">
        <v>5955</v>
      </c>
      <c r="D246" s="106" t="s">
        <v>4754</v>
      </c>
      <c r="E246" s="106" t="s">
        <v>5954</v>
      </c>
      <c r="F246" s="106" t="s">
        <v>490</v>
      </c>
      <c r="G246" s="106" t="s">
        <v>6008</v>
      </c>
      <c r="H246" s="105" t="s">
        <v>6007</v>
      </c>
      <c r="I246" s="105" t="s">
        <v>6003</v>
      </c>
      <c r="J246" s="104">
        <v>37.29</v>
      </c>
      <c r="K246" s="103" t="s">
        <v>424</v>
      </c>
      <c r="L246" s="102" t="s">
        <v>507</v>
      </c>
      <c r="M246" s="95"/>
      <c r="N246" s="14"/>
      <c r="O246" s="94">
        <v>36</v>
      </c>
      <c r="P246" s="14" t="s">
        <v>485</v>
      </c>
      <c r="Q246" s="14" t="s">
        <v>497</v>
      </c>
      <c r="R246" s="14" t="s">
        <v>496</v>
      </c>
      <c r="S246" s="15">
        <v>6.8</v>
      </c>
      <c r="T246" s="15">
        <v>0.68</v>
      </c>
      <c r="U246" s="15">
        <v>0</v>
      </c>
      <c r="V246" s="14">
        <v>4871</v>
      </c>
      <c r="W246" s="12">
        <v>0</v>
      </c>
      <c r="X246" s="12">
        <v>0</v>
      </c>
      <c r="Y246" s="12">
        <v>0</v>
      </c>
      <c r="Z246" s="12">
        <v>36.29</v>
      </c>
      <c r="AA246" s="12">
        <v>1</v>
      </c>
      <c r="AB246" s="13">
        <f t="shared" si="12"/>
        <v>0</v>
      </c>
      <c r="AE246" s="12">
        <v>0</v>
      </c>
      <c r="AF246" s="12">
        <v>0</v>
      </c>
      <c r="AG246" s="12">
        <v>0</v>
      </c>
      <c r="AH246" s="12">
        <v>36.29</v>
      </c>
      <c r="AI246" s="12">
        <v>1</v>
      </c>
      <c r="AJ246" s="13">
        <f t="shared" si="13"/>
        <v>0</v>
      </c>
      <c r="AN246" s="12">
        <f t="shared" si="14"/>
        <v>181640</v>
      </c>
      <c r="AQ246" s="8" t="s">
        <v>417</v>
      </c>
      <c r="AR246" t="str">
        <f t="shared" si="15"/>
        <v>Oeste - A04</v>
      </c>
    </row>
    <row r="247" spans="1:44" x14ac:dyDescent="0.2">
      <c r="A247" s="107" t="s">
        <v>6006</v>
      </c>
      <c r="B247" s="106" t="s">
        <v>6005</v>
      </c>
      <c r="C247" s="106" t="s">
        <v>5955</v>
      </c>
      <c r="D247" s="106" t="s">
        <v>4749</v>
      </c>
      <c r="E247" s="106" t="s">
        <v>5954</v>
      </c>
      <c r="F247" s="106" t="s">
        <v>490</v>
      </c>
      <c r="G247" s="106" t="s">
        <v>6004</v>
      </c>
      <c r="H247" s="105" t="s">
        <v>6003</v>
      </c>
      <c r="I247" s="105" t="s">
        <v>5998</v>
      </c>
      <c r="J247" s="104">
        <v>21.86</v>
      </c>
      <c r="K247" s="103" t="s">
        <v>424</v>
      </c>
      <c r="L247" s="102" t="s">
        <v>507</v>
      </c>
      <c r="M247" s="95"/>
      <c r="N247" s="14"/>
      <c r="O247" s="94">
        <v>36</v>
      </c>
      <c r="P247" s="14" t="s">
        <v>485</v>
      </c>
      <c r="Q247" s="14" t="s">
        <v>497</v>
      </c>
      <c r="R247" s="14" t="s">
        <v>496</v>
      </c>
      <c r="S247" s="15">
        <v>6</v>
      </c>
      <c r="T247" s="15">
        <v>0</v>
      </c>
      <c r="U247" s="15">
        <v>0</v>
      </c>
      <c r="V247" s="14">
        <v>580</v>
      </c>
      <c r="W247" s="12">
        <v>0</v>
      </c>
      <c r="X247" s="12">
        <v>0</v>
      </c>
      <c r="Y247" s="12">
        <v>0</v>
      </c>
      <c r="Z247" s="12">
        <v>20.86</v>
      </c>
      <c r="AA247" s="12">
        <v>1</v>
      </c>
      <c r="AB247" s="13">
        <f t="shared" si="12"/>
        <v>0</v>
      </c>
      <c r="AE247" s="12">
        <v>0</v>
      </c>
      <c r="AF247" s="12">
        <v>0</v>
      </c>
      <c r="AG247" s="12">
        <v>0</v>
      </c>
      <c r="AH247" s="12">
        <v>20.86</v>
      </c>
      <c r="AI247" s="12">
        <v>1</v>
      </c>
      <c r="AJ247" s="13">
        <f t="shared" si="13"/>
        <v>0</v>
      </c>
      <c r="AN247" s="12">
        <f t="shared" si="14"/>
        <v>12679</v>
      </c>
      <c r="AQ247" s="8" t="s">
        <v>417</v>
      </c>
      <c r="AR247" t="str">
        <f t="shared" si="15"/>
        <v>Oeste - A04</v>
      </c>
    </row>
    <row r="248" spans="1:44" x14ac:dyDescent="0.2">
      <c r="A248" s="107" t="s">
        <v>6002</v>
      </c>
      <c r="B248" s="106" t="s">
        <v>6001</v>
      </c>
      <c r="C248" s="106" t="s">
        <v>5955</v>
      </c>
      <c r="D248" s="106" t="s">
        <v>6000</v>
      </c>
      <c r="E248" s="106" t="s">
        <v>5954</v>
      </c>
      <c r="F248" s="106" t="s">
        <v>490</v>
      </c>
      <c r="G248" s="106" t="s">
        <v>5999</v>
      </c>
      <c r="H248" s="105" t="s">
        <v>5998</v>
      </c>
      <c r="I248" s="105" t="s">
        <v>5993</v>
      </c>
      <c r="J248" s="104">
        <v>1.76</v>
      </c>
      <c r="K248" s="103" t="s">
        <v>424</v>
      </c>
      <c r="L248" s="102" t="s">
        <v>507</v>
      </c>
      <c r="M248" s="95"/>
      <c r="N248" s="14"/>
      <c r="O248" s="94">
        <v>36</v>
      </c>
      <c r="P248" s="14" t="s">
        <v>485</v>
      </c>
      <c r="Q248" s="14" t="s">
        <v>497</v>
      </c>
      <c r="R248" s="14" t="s">
        <v>496</v>
      </c>
      <c r="S248" s="15">
        <v>6</v>
      </c>
      <c r="T248" s="15">
        <v>0</v>
      </c>
      <c r="U248" s="15">
        <v>0</v>
      </c>
      <c r="V248" s="14">
        <v>2209</v>
      </c>
      <c r="W248" s="12">
        <v>0</v>
      </c>
      <c r="X248" s="12">
        <v>0</v>
      </c>
      <c r="Y248" s="12">
        <v>0</v>
      </c>
      <c r="Z248" s="12">
        <v>1.76</v>
      </c>
      <c r="AA248" s="12">
        <v>0</v>
      </c>
      <c r="AB248" s="13">
        <f t="shared" si="12"/>
        <v>0</v>
      </c>
      <c r="AE248" s="12">
        <v>0</v>
      </c>
      <c r="AF248" s="12">
        <v>0</v>
      </c>
      <c r="AG248" s="12">
        <v>0</v>
      </c>
      <c r="AH248" s="12">
        <v>1.76</v>
      </c>
      <c r="AI248" s="12">
        <v>0</v>
      </c>
      <c r="AJ248" s="13">
        <f t="shared" si="13"/>
        <v>0</v>
      </c>
      <c r="AN248" s="12">
        <f t="shared" si="14"/>
        <v>3888</v>
      </c>
      <c r="AQ248" s="8" t="s">
        <v>417</v>
      </c>
      <c r="AR248" t="str">
        <f t="shared" si="15"/>
        <v>Oeste - A04</v>
      </c>
    </row>
    <row r="249" spans="1:44" x14ac:dyDescent="0.2">
      <c r="A249" s="107" t="s">
        <v>5997</v>
      </c>
      <c r="B249" s="106" t="s">
        <v>5996</v>
      </c>
      <c r="C249" s="106" t="s">
        <v>5955</v>
      </c>
      <c r="D249" s="106" t="s">
        <v>5995</v>
      </c>
      <c r="E249" s="106" t="s">
        <v>5954</v>
      </c>
      <c r="F249" s="106" t="s">
        <v>490</v>
      </c>
      <c r="G249" s="106" t="s">
        <v>5994</v>
      </c>
      <c r="H249" s="105" t="s">
        <v>5993</v>
      </c>
      <c r="I249" s="105" t="s">
        <v>5992</v>
      </c>
      <c r="J249" s="104">
        <v>0.59</v>
      </c>
      <c r="K249" s="103" t="s">
        <v>424</v>
      </c>
      <c r="L249" s="102" t="s">
        <v>507</v>
      </c>
      <c r="M249" s="95"/>
      <c r="N249" s="14"/>
      <c r="O249" s="94">
        <v>36</v>
      </c>
      <c r="P249" s="14" t="s">
        <v>485</v>
      </c>
      <c r="Q249" s="14" t="s">
        <v>497</v>
      </c>
      <c r="R249" s="14" t="s">
        <v>496</v>
      </c>
      <c r="S249" s="15">
        <v>6</v>
      </c>
      <c r="T249" s="15">
        <v>0</v>
      </c>
      <c r="U249" s="15">
        <v>0</v>
      </c>
      <c r="V249" s="14">
        <v>1660</v>
      </c>
      <c r="W249" s="12">
        <v>0</v>
      </c>
      <c r="X249" s="12">
        <v>0</v>
      </c>
      <c r="Y249" s="12">
        <v>0</v>
      </c>
      <c r="Z249" s="12">
        <v>0.59</v>
      </c>
      <c r="AA249" s="12">
        <v>0</v>
      </c>
      <c r="AB249" s="13">
        <f t="shared" si="12"/>
        <v>0</v>
      </c>
      <c r="AE249" s="12">
        <v>0</v>
      </c>
      <c r="AF249" s="12">
        <v>0</v>
      </c>
      <c r="AG249" s="12">
        <v>0</v>
      </c>
      <c r="AH249" s="12">
        <v>0.59</v>
      </c>
      <c r="AI249" s="12">
        <v>0</v>
      </c>
      <c r="AJ249" s="13">
        <f t="shared" si="13"/>
        <v>0</v>
      </c>
      <c r="AN249" s="12">
        <f t="shared" si="14"/>
        <v>980</v>
      </c>
      <c r="AQ249" s="8" t="s">
        <v>417</v>
      </c>
      <c r="AR249" t="str">
        <f t="shared" si="15"/>
        <v>Oeste - A04</v>
      </c>
    </row>
    <row r="250" spans="1:44" x14ac:dyDescent="0.2">
      <c r="A250" s="107" t="s">
        <v>5991</v>
      </c>
      <c r="B250" s="106" t="s">
        <v>5990</v>
      </c>
      <c r="C250" s="106" t="s">
        <v>5955</v>
      </c>
      <c r="D250" s="106" t="s">
        <v>3529</v>
      </c>
      <c r="E250" s="106" t="s">
        <v>5954</v>
      </c>
      <c r="F250" s="106" t="s">
        <v>490</v>
      </c>
      <c r="G250" s="106" t="s">
        <v>5989</v>
      </c>
      <c r="H250" s="105" t="s">
        <v>5988</v>
      </c>
      <c r="I250" s="105" t="s">
        <v>5984</v>
      </c>
      <c r="J250" s="104">
        <v>17.96</v>
      </c>
      <c r="K250" s="103" t="s">
        <v>425</v>
      </c>
      <c r="L250" s="102" t="s">
        <v>507</v>
      </c>
      <c r="M250" s="95"/>
      <c r="N250" s="17">
        <f>O250</f>
        <v>37</v>
      </c>
      <c r="O250" s="94">
        <v>37</v>
      </c>
      <c r="P250" s="14" t="s">
        <v>485</v>
      </c>
      <c r="Q250" s="14" t="s">
        <v>497</v>
      </c>
      <c r="R250" s="14" t="s">
        <v>496</v>
      </c>
      <c r="S250" s="15">
        <v>6.8</v>
      </c>
      <c r="T250" s="15">
        <v>0</v>
      </c>
      <c r="U250" s="15">
        <v>0</v>
      </c>
      <c r="V250" s="14">
        <v>3173</v>
      </c>
      <c r="W250" s="12">
        <v>0</v>
      </c>
      <c r="X250" s="12">
        <v>0</v>
      </c>
      <c r="Y250" s="12">
        <v>16</v>
      </c>
      <c r="Z250" s="12">
        <v>1.9600000000000009</v>
      </c>
      <c r="AA250" s="12">
        <v>0</v>
      </c>
      <c r="AB250" s="13">
        <f t="shared" si="12"/>
        <v>0</v>
      </c>
      <c r="AE250" s="12">
        <v>0</v>
      </c>
      <c r="AF250" s="12">
        <v>0</v>
      </c>
      <c r="AG250" s="12">
        <v>16</v>
      </c>
      <c r="AH250" s="12">
        <v>1.9600000000000009</v>
      </c>
      <c r="AI250" s="12">
        <v>0</v>
      </c>
      <c r="AJ250" s="13">
        <f t="shared" si="13"/>
        <v>0</v>
      </c>
      <c r="AN250" s="12">
        <f t="shared" si="14"/>
        <v>56988</v>
      </c>
      <c r="AQ250" s="8" t="s">
        <v>417</v>
      </c>
      <c r="AR250" t="str">
        <f t="shared" si="15"/>
        <v>Oeste - A05</v>
      </c>
    </row>
    <row r="251" spans="1:44" x14ac:dyDescent="0.2">
      <c r="A251" s="107" t="s">
        <v>5987</v>
      </c>
      <c r="B251" s="106" t="s">
        <v>5986</v>
      </c>
      <c r="C251" s="106" t="s">
        <v>5955</v>
      </c>
      <c r="D251" s="106" t="s">
        <v>4735</v>
      </c>
      <c r="E251" s="106" t="s">
        <v>5954</v>
      </c>
      <c r="F251" s="106" t="s">
        <v>490</v>
      </c>
      <c r="G251" s="106" t="s">
        <v>5985</v>
      </c>
      <c r="H251" s="105" t="s">
        <v>5984</v>
      </c>
      <c r="I251" s="105" t="s">
        <v>5979</v>
      </c>
      <c r="J251" s="104">
        <v>10.32</v>
      </c>
      <c r="K251" s="103" t="s">
        <v>425</v>
      </c>
      <c r="L251" s="102" t="s">
        <v>507</v>
      </c>
      <c r="M251" s="95"/>
      <c r="N251" s="17">
        <f>O251</f>
        <v>37</v>
      </c>
      <c r="O251" s="94">
        <v>37</v>
      </c>
      <c r="P251" s="14" t="s">
        <v>485</v>
      </c>
      <c r="Q251" s="14" t="s">
        <v>497</v>
      </c>
      <c r="R251" s="14" t="s">
        <v>496</v>
      </c>
      <c r="S251" s="15">
        <v>6.6</v>
      </c>
      <c r="T251" s="15">
        <v>0</v>
      </c>
      <c r="U251" s="15">
        <v>1.6</v>
      </c>
      <c r="V251" s="14">
        <v>4346</v>
      </c>
      <c r="W251" s="12">
        <v>0</v>
      </c>
      <c r="X251" s="12">
        <v>0</v>
      </c>
      <c r="Y251" s="12">
        <v>8</v>
      </c>
      <c r="Z251" s="12">
        <v>2.3200000000000003</v>
      </c>
      <c r="AA251" s="12">
        <v>0</v>
      </c>
      <c r="AB251" s="13">
        <f t="shared" si="12"/>
        <v>0</v>
      </c>
      <c r="AE251" s="12">
        <v>0</v>
      </c>
      <c r="AF251" s="12">
        <v>0</v>
      </c>
      <c r="AG251" s="12">
        <v>8</v>
      </c>
      <c r="AH251" s="12">
        <v>2.3200000000000003</v>
      </c>
      <c r="AI251" s="12">
        <v>0</v>
      </c>
      <c r="AJ251" s="13">
        <f t="shared" si="13"/>
        <v>0</v>
      </c>
      <c r="AN251" s="12">
        <f t="shared" si="14"/>
        <v>44851</v>
      </c>
      <c r="AQ251" s="8" t="s">
        <v>417</v>
      </c>
      <c r="AR251" t="str">
        <f t="shared" si="15"/>
        <v>Oeste - A05</v>
      </c>
    </row>
    <row r="252" spans="1:44" x14ac:dyDescent="0.2">
      <c r="A252" s="107" t="s">
        <v>5983</v>
      </c>
      <c r="B252" s="106" t="s">
        <v>5982</v>
      </c>
      <c r="C252" s="106" t="s">
        <v>5955</v>
      </c>
      <c r="D252" s="106" t="s">
        <v>5981</v>
      </c>
      <c r="E252" s="106" t="s">
        <v>5954</v>
      </c>
      <c r="F252" s="106" t="s">
        <v>490</v>
      </c>
      <c r="G252" s="106" t="s">
        <v>5980</v>
      </c>
      <c r="H252" s="105" t="s">
        <v>5979</v>
      </c>
      <c r="I252" s="105" t="s">
        <v>5974</v>
      </c>
      <c r="J252" s="104">
        <v>0.6</v>
      </c>
      <c r="K252" s="103" t="s">
        <v>425</v>
      </c>
      <c r="L252" s="102" t="s">
        <v>507</v>
      </c>
      <c r="M252" s="95"/>
      <c r="N252" s="17">
        <f>O252</f>
        <v>37</v>
      </c>
      <c r="O252" s="94">
        <v>37</v>
      </c>
      <c r="P252" s="14" t="s">
        <v>485</v>
      </c>
      <c r="Q252" s="14" t="s">
        <v>497</v>
      </c>
      <c r="R252" s="14" t="s">
        <v>496</v>
      </c>
      <c r="S252" s="15">
        <v>6.8</v>
      </c>
      <c r="T252" s="15">
        <v>2</v>
      </c>
      <c r="U252" s="15">
        <v>0</v>
      </c>
      <c r="V252" s="14">
        <v>6462</v>
      </c>
      <c r="W252" s="12">
        <v>0</v>
      </c>
      <c r="X252" s="12">
        <v>0</v>
      </c>
      <c r="Y252" s="12">
        <v>0</v>
      </c>
      <c r="Z252" s="12">
        <v>0.6</v>
      </c>
      <c r="AA252" s="12">
        <v>0</v>
      </c>
      <c r="AB252" s="13">
        <f t="shared" si="12"/>
        <v>0</v>
      </c>
      <c r="AE252" s="12">
        <v>0</v>
      </c>
      <c r="AF252" s="12">
        <v>0</v>
      </c>
      <c r="AG252" s="12">
        <v>0</v>
      </c>
      <c r="AH252" s="12">
        <v>0.6</v>
      </c>
      <c r="AI252" s="12">
        <v>0</v>
      </c>
      <c r="AJ252" s="13">
        <f t="shared" si="13"/>
        <v>0</v>
      </c>
      <c r="AN252" s="12">
        <f t="shared" si="14"/>
        <v>3878</v>
      </c>
      <c r="AQ252" s="8" t="s">
        <v>417</v>
      </c>
      <c r="AR252" t="str">
        <f t="shared" si="15"/>
        <v>Oeste - A05</v>
      </c>
    </row>
    <row r="253" spans="1:44" x14ac:dyDescent="0.2">
      <c r="A253" s="107" t="s">
        <v>5978</v>
      </c>
      <c r="B253" s="106" t="s">
        <v>5977</v>
      </c>
      <c r="C253" s="106" t="s">
        <v>5955</v>
      </c>
      <c r="D253" s="106" t="s">
        <v>5976</v>
      </c>
      <c r="E253" s="106" t="s">
        <v>5954</v>
      </c>
      <c r="F253" s="106" t="s">
        <v>490</v>
      </c>
      <c r="G253" s="106" t="s">
        <v>5975</v>
      </c>
      <c r="H253" s="105" t="s">
        <v>5974</v>
      </c>
      <c r="I253" s="105" t="s">
        <v>5969</v>
      </c>
      <c r="J253" s="104">
        <v>1.05</v>
      </c>
      <c r="K253" s="103" t="s">
        <v>425</v>
      </c>
      <c r="L253" s="102" t="s">
        <v>507</v>
      </c>
      <c r="M253" s="95"/>
      <c r="N253" s="17">
        <f>O253</f>
        <v>37</v>
      </c>
      <c r="O253" s="94">
        <v>37</v>
      </c>
      <c r="P253" s="14" t="s">
        <v>485</v>
      </c>
      <c r="Q253" s="14" t="s">
        <v>497</v>
      </c>
      <c r="R253" s="14" t="s">
        <v>496</v>
      </c>
      <c r="S253" s="15">
        <v>6.8</v>
      </c>
      <c r="T253" s="15">
        <v>2</v>
      </c>
      <c r="U253" s="15">
        <v>0</v>
      </c>
      <c r="V253" s="14">
        <v>6462</v>
      </c>
      <c r="W253" s="12">
        <v>0</v>
      </c>
      <c r="X253" s="12">
        <v>0</v>
      </c>
      <c r="Y253" s="12">
        <v>0</v>
      </c>
      <c r="Z253" s="12">
        <v>1.05</v>
      </c>
      <c r="AA253" s="12">
        <v>0</v>
      </c>
      <c r="AB253" s="13">
        <f t="shared" si="12"/>
        <v>0</v>
      </c>
      <c r="AE253" s="12">
        <v>0</v>
      </c>
      <c r="AF253" s="12">
        <v>0</v>
      </c>
      <c r="AG253" s="12">
        <v>0</v>
      </c>
      <c r="AH253" s="12">
        <v>1.05</v>
      </c>
      <c r="AI253" s="12">
        <v>0</v>
      </c>
      <c r="AJ253" s="13">
        <f t="shared" si="13"/>
        <v>0</v>
      </c>
      <c r="AN253" s="12">
        <f t="shared" si="14"/>
        <v>6786</v>
      </c>
      <c r="AQ253" s="8" t="s">
        <v>417</v>
      </c>
      <c r="AR253" t="str">
        <f t="shared" si="15"/>
        <v>Oeste - A05</v>
      </c>
    </row>
    <row r="254" spans="1:44" x14ac:dyDescent="0.2">
      <c r="A254" s="107" t="s">
        <v>5973</v>
      </c>
      <c r="B254" s="106" t="s">
        <v>5972</v>
      </c>
      <c r="C254" s="106" t="s">
        <v>5955</v>
      </c>
      <c r="D254" s="106" t="s">
        <v>5107</v>
      </c>
      <c r="E254" s="106" t="s">
        <v>5971</v>
      </c>
      <c r="F254" s="106" t="s">
        <v>590</v>
      </c>
      <c r="G254" s="106" t="s">
        <v>5970</v>
      </c>
      <c r="H254" s="105" t="s">
        <v>5969</v>
      </c>
      <c r="I254" s="105" t="s">
        <v>5968</v>
      </c>
      <c r="J254" s="104">
        <v>4.4000000000000004</v>
      </c>
      <c r="K254" s="103" t="s">
        <v>425</v>
      </c>
      <c r="L254" s="102" t="s">
        <v>507</v>
      </c>
      <c r="M254" s="95"/>
      <c r="N254" s="14"/>
      <c r="O254" s="94">
        <v>37</v>
      </c>
      <c r="P254" s="14" t="s">
        <v>586</v>
      </c>
      <c r="Q254" s="14" t="s">
        <v>497</v>
      </c>
      <c r="R254" s="14" t="s">
        <v>496</v>
      </c>
      <c r="S254" s="15">
        <v>14</v>
      </c>
      <c r="T254" s="15">
        <v>2</v>
      </c>
      <c r="U254" s="15">
        <v>0</v>
      </c>
      <c r="V254" s="14">
        <v>3942</v>
      </c>
      <c r="W254" s="12">
        <v>0</v>
      </c>
      <c r="X254" s="12">
        <v>0</v>
      </c>
      <c r="Y254" s="12">
        <v>1</v>
      </c>
      <c r="Z254" s="12">
        <v>3.4000000000000004</v>
      </c>
      <c r="AA254" s="12">
        <v>0</v>
      </c>
      <c r="AB254" s="13">
        <f t="shared" si="12"/>
        <v>0</v>
      </c>
      <c r="AE254" s="12">
        <v>0</v>
      </c>
      <c r="AF254" s="12">
        <v>0</v>
      </c>
      <c r="AG254" s="12">
        <v>1</v>
      </c>
      <c r="AH254" s="12">
        <v>3.4000000000000004</v>
      </c>
      <c r="AI254" s="12">
        <v>0</v>
      </c>
      <c r="AJ254" s="13">
        <f t="shared" si="13"/>
        <v>0</v>
      </c>
      <c r="AN254" s="12">
        <f t="shared" si="14"/>
        <v>17345</v>
      </c>
      <c r="AQ254" s="8" t="s">
        <v>417</v>
      </c>
      <c r="AR254" t="str">
        <f t="shared" si="15"/>
        <v>Oeste - A05</v>
      </c>
    </row>
    <row r="255" spans="1:44" x14ac:dyDescent="0.2">
      <c r="A255" s="107" t="s">
        <v>5967</v>
      </c>
      <c r="B255" s="106" t="s">
        <v>5966</v>
      </c>
      <c r="C255" s="106" t="s">
        <v>5955</v>
      </c>
      <c r="D255" s="106" t="s">
        <v>5965</v>
      </c>
      <c r="E255" s="106" t="s">
        <v>5954</v>
      </c>
      <c r="F255" s="106" t="s">
        <v>490</v>
      </c>
      <c r="G255" s="106" t="s">
        <v>5964</v>
      </c>
      <c r="H255" s="105" t="s">
        <v>5963</v>
      </c>
      <c r="I255" s="105" t="s">
        <v>5962</v>
      </c>
      <c r="J255" s="104">
        <v>6.39</v>
      </c>
      <c r="K255" s="103" t="s">
        <v>425</v>
      </c>
      <c r="L255" s="102" t="s">
        <v>507</v>
      </c>
      <c r="M255" s="95"/>
      <c r="N255" s="14"/>
      <c r="O255" s="94">
        <v>37</v>
      </c>
      <c r="P255" s="14" t="s">
        <v>485</v>
      </c>
      <c r="Q255" s="14" t="s">
        <v>497</v>
      </c>
      <c r="R255" s="14" t="s">
        <v>496</v>
      </c>
      <c r="S255" s="15">
        <v>7.7</v>
      </c>
      <c r="T255" s="15">
        <v>1.7</v>
      </c>
      <c r="U255" s="15">
        <v>0</v>
      </c>
      <c r="V255" s="14">
        <v>2104</v>
      </c>
      <c r="W255" s="12">
        <v>0</v>
      </c>
      <c r="X255" s="12">
        <v>0</v>
      </c>
      <c r="Y255" s="12">
        <v>0</v>
      </c>
      <c r="Z255" s="12">
        <v>6.39</v>
      </c>
      <c r="AA255" s="12">
        <v>0</v>
      </c>
      <c r="AB255" s="13">
        <f t="shared" si="12"/>
        <v>0</v>
      </c>
      <c r="AE255" s="12">
        <v>0</v>
      </c>
      <c r="AF255" s="12">
        <v>0</v>
      </c>
      <c r="AG255" s="12">
        <v>0</v>
      </c>
      <c r="AH255" s="12">
        <v>6.39</v>
      </c>
      <c r="AI255" s="12">
        <v>0</v>
      </c>
      <c r="AJ255" s="13">
        <f t="shared" si="13"/>
        <v>0</v>
      </c>
      <c r="AN255" s="12">
        <f t="shared" si="14"/>
        <v>13445</v>
      </c>
      <c r="AQ255" s="8" t="s">
        <v>417</v>
      </c>
      <c r="AR255" t="str">
        <f t="shared" si="15"/>
        <v>Oeste - A05</v>
      </c>
    </row>
    <row r="256" spans="1:44" x14ac:dyDescent="0.2">
      <c r="A256" s="107" t="s">
        <v>5961</v>
      </c>
      <c r="B256" s="106" t="s">
        <v>5960</v>
      </c>
      <c r="C256" s="106" t="s">
        <v>5955</v>
      </c>
      <c r="D256" s="106" t="s">
        <v>4685</v>
      </c>
      <c r="E256" s="106" t="s">
        <v>5954</v>
      </c>
      <c r="F256" s="106" t="s">
        <v>490</v>
      </c>
      <c r="G256" s="106" t="s">
        <v>5959</v>
      </c>
      <c r="H256" s="105" t="s">
        <v>5958</v>
      </c>
      <c r="I256" s="105" t="s">
        <v>5952</v>
      </c>
      <c r="J256" s="104">
        <v>4.78</v>
      </c>
      <c r="K256" s="103" t="s">
        <v>425</v>
      </c>
      <c r="L256" s="102" t="s">
        <v>507</v>
      </c>
      <c r="M256" s="95"/>
      <c r="N256" s="17">
        <f>O256</f>
        <v>37</v>
      </c>
      <c r="O256" s="94">
        <v>37</v>
      </c>
      <c r="P256" s="14" t="s">
        <v>485</v>
      </c>
      <c r="Q256" s="14" t="s">
        <v>497</v>
      </c>
      <c r="R256" s="14" t="s">
        <v>496</v>
      </c>
      <c r="S256" s="15">
        <v>7</v>
      </c>
      <c r="T256" s="15">
        <v>0</v>
      </c>
      <c r="U256" s="15">
        <v>0</v>
      </c>
      <c r="V256" s="14">
        <v>2324</v>
      </c>
      <c r="W256" s="12">
        <v>0</v>
      </c>
      <c r="X256" s="12">
        <v>0</v>
      </c>
      <c r="Y256" s="12">
        <v>2</v>
      </c>
      <c r="Z256" s="12">
        <v>2.7800000000000002</v>
      </c>
      <c r="AA256" s="12">
        <v>0</v>
      </c>
      <c r="AB256" s="13">
        <f t="shared" si="12"/>
        <v>0</v>
      </c>
      <c r="AE256" s="12">
        <v>0</v>
      </c>
      <c r="AF256" s="12">
        <v>0</v>
      </c>
      <c r="AG256" s="12">
        <v>2</v>
      </c>
      <c r="AH256" s="12">
        <v>2.7800000000000002</v>
      </c>
      <c r="AI256" s="12">
        <v>0</v>
      </c>
      <c r="AJ256" s="13">
        <f t="shared" si="13"/>
        <v>0</v>
      </c>
      <c r="AN256" s="12">
        <f t="shared" si="14"/>
        <v>11109</v>
      </c>
      <c r="AQ256" s="8" t="s">
        <v>417</v>
      </c>
      <c r="AR256" t="str">
        <f t="shared" si="15"/>
        <v>Oeste - A05</v>
      </c>
    </row>
    <row r="257" spans="1:44" x14ac:dyDescent="0.2">
      <c r="A257" s="107" t="s">
        <v>5957</v>
      </c>
      <c r="B257" s="106" t="s">
        <v>5956</v>
      </c>
      <c r="C257" s="106" t="s">
        <v>5955</v>
      </c>
      <c r="D257" s="106" t="s">
        <v>4882</v>
      </c>
      <c r="E257" s="106" t="s">
        <v>5954</v>
      </c>
      <c r="F257" s="106" t="s">
        <v>490</v>
      </c>
      <c r="G257" s="106" t="s">
        <v>5953</v>
      </c>
      <c r="H257" s="105" t="s">
        <v>5952</v>
      </c>
      <c r="I257" s="105" t="s">
        <v>5951</v>
      </c>
      <c r="J257" s="104">
        <v>27.89</v>
      </c>
      <c r="K257" s="103" t="s">
        <v>425</v>
      </c>
      <c r="L257" s="102" t="s">
        <v>507</v>
      </c>
      <c r="M257" s="95"/>
      <c r="N257" s="17">
        <f>O257</f>
        <v>37</v>
      </c>
      <c r="O257" s="94">
        <v>37</v>
      </c>
      <c r="P257" s="14" t="s">
        <v>485</v>
      </c>
      <c r="Q257" s="14" t="s">
        <v>497</v>
      </c>
      <c r="R257" s="14" t="s">
        <v>496</v>
      </c>
      <c r="S257" s="15">
        <v>7</v>
      </c>
      <c r="T257" s="15">
        <v>0</v>
      </c>
      <c r="U257" s="15">
        <v>0</v>
      </c>
      <c r="V257" s="14">
        <v>1393</v>
      </c>
      <c r="W257" s="12">
        <v>0</v>
      </c>
      <c r="X257" s="12">
        <v>3</v>
      </c>
      <c r="Y257" s="12">
        <v>9.89</v>
      </c>
      <c r="Z257" s="12">
        <v>15</v>
      </c>
      <c r="AA257" s="12">
        <v>0</v>
      </c>
      <c r="AB257" s="13">
        <f t="shared" si="12"/>
        <v>0</v>
      </c>
      <c r="AE257" s="12">
        <v>0</v>
      </c>
      <c r="AF257" s="12">
        <v>3</v>
      </c>
      <c r="AG257" s="12">
        <v>9.89</v>
      </c>
      <c r="AH257" s="12">
        <v>15</v>
      </c>
      <c r="AI257" s="12">
        <v>0</v>
      </c>
      <c r="AJ257" s="13">
        <f t="shared" si="13"/>
        <v>0</v>
      </c>
      <c r="AN257" s="12">
        <f t="shared" si="14"/>
        <v>38851</v>
      </c>
      <c r="AQ257" s="8" t="s">
        <v>417</v>
      </c>
      <c r="AR257" t="str">
        <f t="shared" si="15"/>
        <v>Oeste - A05</v>
      </c>
    </row>
    <row r="258" spans="1:44" x14ac:dyDescent="0.2">
      <c r="A258" s="107" t="s">
        <v>5950</v>
      </c>
      <c r="B258" s="106" t="s">
        <v>5949</v>
      </c>
      <c r="C258" s="106" t="s">
        <v>5781</v>
      </c>
      <c r="D258" s="106" t="s">
        <v>2145</v>
      </c>
      <c r="E258" s="106" t="s">
        <v>5779</v>
      </c>
      <c r="F258" s="106" t="s">
        <v>490</v>
      </c>
      <c r="G258" s="106" t="s">
        <v>5948</v>
      </c>
      <c r="H258" s="105" t="s">
        <v>488</v>
      </c>
      <c r="I258" s="105" t="s">
        <v>5944</v>
      </c>
      <c r="J258" s="104">
        <v>17.61</v>
      </c>
      <c r="K258" s="103" t="s">
        <v>429</v>
      </c>
      <c r="L258" s="102" t="s">
        <v>533</v>
      </c>
      <c r="M258" s="95"/>
      <c r="N258" s="14"/>
      <c r="O258" s="94">
        <v>31</v>
      </c>
      <c r="P258" s="14" t="s">
        <v>485</v>
      </c>
      <c r="Q258" s="14" t="s">
        <v>887</v>
      </c>
      <c r="R258" s="14" t="s">
        <v>496</v>
      </c>
      <c r="S258" s="15">
        <v>6.6</v>
      </c>
      <c r="T258" s="15">
        <v>0.9</v>
      </c>
      <c r="U258" s="15">
        <v>0</v>
      </c>
      <c r="V258" s="14">
        <v>1210</v>
      </c>
      <c r="W258" s="12">
        <v>0</v>
      </c>
      <c r="X258" s="12">
        <v>0</v>
      </c>
      <c r="Y258" s="12">
        <v>10.61</v>
      </c>
      <c r="Z258" s="12">
        <v>7</v>
      </c>
      <c r="AA258" s="12">
        <v>0</v>
      </c>
      <c r="AB258" s="13">
        <f t="shared" si="12"/>
        <v>0</v>
      </c>
      <c r="AE258" s="12">
        <v>0</v>
      </c>
      <c r="AF258" s="12">
        <v>0</v>
      </c>
      <c r="AG258" s="12">
        <v>10.61</v>
      </c>
      <c r="AH258" s="12">
        <v>7</v>
      </c>
      <c r="AI258" s="12">
        <v>0</v>
      </c>
      <c r="AJ258" s="13">
        <f t="shared" si="13"/>
        <v>0</v>
      </c>
      <c r="AN258" s="12">
        <f t="shared" si="14"/>
        <v>21309</v>
      </c>
      <c r="AQ258" s="8" t="s">
        <v>418</v>
      </c>
      <c r="AR258" t="str">
        <f t="shared" si="15"/>
        <v>Noroeste - A09</v>
      </c>
    </row>
    <row r="259" spans="1:44" x14ac:dyDescent="0.2">
      <c r="A259" s="107" t="s">
        <v>5947</v>
      </c>
      <c r="B259" s="106" t="s">
        <v>5946</v>
      </c>
      <c r="C259" s="106" t="s">
        <v>5781</v>
      </c>
      <c r="D259" s="106" t="s">
        <v>4036</v>
      </c>
      <c r="E259" s="106" t="s">
        <v>5786</v>
      </c>
      <c r="F259" s="106" t="s">
        <v>590</v>
      </c>
      <c r="G259" s="106" t="s">
        <v>5945</v>
      </c>
      <c r="H259" s="105" t="s">
        <v>5944</v>
      </c>
      <c r="I259" s="105" t="s">
        <v>5940</v>
      </c>
      <c r="J259" s="104">
        <v>3.26</v>
      </c>
      <c r="K259" s="103" t="s">
        <v>429</v>
      </c>
      <c r="L259" s="102" t="s">
        <v>533</v>
      </c>
      <c r="M259" s="95"/>
      <c r="N259" s="14"/>
      <c r="O259" s="94">
        <v>31</v>
      </c>
      <c r="P259" s="14" t="s">
        <v>586</v>
      </c>
      <c r="Q259" s="14" t="s">
        <v>887</v>
      </c>
      <c r="R259" s="14" t="s">
        <v>496</v>
      </c>
      <c r="S259" s="15">
        <v>8</v>
      </c>
      <c r="T259" s="15">
        <v>0</v>
      </c>
      <c r="U259" s="15">
        <v>0</v>
      </c>
      <c r="V259" s="14">
        <v>924</v>
      </c>
      <c r="W259" s="12">
        <v>0</v>
      </c>
      <c r="X259" s="12">
        <v>0</v>
      </c>
      <c r="Y259" s="12">
        <v>3.26</v>
      </c>
      <c r="Z259" s="12">
        <v>0</v>
      </c>
      <c r="AA259" s="12">
        <v>0</v>
      </c>
      <c r="AB259" s="13">
        <f t="shared" si="12"/>
        <v>0</v>
      </c>
      <c r="AE259" s="12">
        <v>0</v>
      </c>
      <c r="AF259" s="12">
        <v>0</v>
      </c>
      <c r="AG259" s="12">
        <v>3.26</v>
      </c>
      <c r="AH259" s="12">
        <v>0</v>
      </c>
      <c r="AI259" s="12">
        <v>0</v>
      </c>
      <c r="AJ259" s="13">
        <f t="shared" si="13"/>
        <v>0</v>
      </c>
      <c r="AN259" s="12">
        <f t="shared" si="14"/>
        <v>3013</v>
      </c>
      <c r="AQ259" s="8" t="s">
        <v>418</v>
      </c>
      <c r="AR259" t="str">
        <f t="shared" si="15"/>
        <v>Noroeste - A09</v>
      </c>
    </row>
    <row r="260" spans="1:44" x14ac:dyDescent="0.2">
      <c r="A260" s="107" t="s">
        <v>5943</v>
      </c>
      <c r="B260" s="106" t="s">
        <v>5942</v>
      </c>
      <c r="C260" s="106" t="s">
        <v>5781</v>
      </c>
      <c r="D260" s="106" t="s">
        <v>3025</v>
      </c>
      <c r="E260" s="106" t="s">
        <v>5786</v>
      </c>
      <c r="F260" s="106" t="s">
        <v>590</v>
      </c>
      <c r="G260" s="106" t="s">
        <v>5941</v>
      </c>
      <c r="H260" s="105" t="s">
        <v>5940</v>
      </c>
      <c r="I260" s="105" t="s">
        <v>5936</v>
      </c>
      <c r="J260" s="104">
        <v>0.13</v>
      </c>
      <c r="K260" s="103" t="s">
        <v>429</v>
      </c>
      <c r="L260" s="102" t="s">
        <v>533</v>
      </c>
      <c r="M260" s="95"/>
      <c r="N260" s="14"/>
      <c r="O260" s="94">
        <v>31</v>
      </c>
      <c r="P260" s="14" t="s">
        <v>586</v>
      </c>
      <c r="Q260" s="14" t="s">
        <v>887</v>
      </c>
      <c r="R260" s="14" t="s">
        <v>496</v>
      </c>
      <c r="S260" s="15">
        <v>8</v>
      </c>
      <c r="T260" s="15">
        <v>0</v>
      </c>
      <c r="U260" s="15">
        <v>0</v>
      </c>
      <c r="V260" s="14">
        <v>924</v>
      </c>
      <c r="W260" s="12">
        <v>0</v>
      </c>
      <c r="X260" s="12">
        <v>0</v>
      </c>
      <c r="Y260" s="12">
        <v>0</v>
      </c>
      <c r="Z260" s="12">
        <v>0.13</v>
      </c>
      <c r="AA260" s="12">
        <v>0</v>
      </c>
      <c r="AB260" s="13">
        <f t="shared" si="12"/>
        <v>0</v>
      </c>
      <c r="AE260" s="12">
        <v>0</v>
      </c>
      <c r="AF260" s="12">
        <v>0</v>
      </c>
      <c r="AG260" s="12">
        <v>0</v>
      </c>
      <c r="AH260" s="12">
        <v>0.13</v>
      </c>
      <c r="AI260" s="12">
        <v>0</v>
      </c>
      <c r="AJ260" s="13">
        <f t="shared" si="13"/>
        <v>0</v>
      </c>
      <c r="AN260" s="12">
        <f t="shared" si="14"/>
        <v>121</v>
      </c>
      <c r="AQ260" s="8" t="s">
        <v>418</v>
      </c>
      <c r="AR260" t="str">
        <f t="shared" si="15"/>
        <v>Noroeste - A09</v>
      </c>
    </row>
    <row r="261" spans="1:44" x14ac:dyDescent="0.2">
      <c r="A261" s="107" t="s">
        <v>5939</v>
      </c>
      <c r="B261" s="106" t="s">
        <v>5938</v>
      </c>
      <c r="C261" s="106" t="s">
        <v>5781</v>
      </c>
      <c r="D261" s="106" t="s">
        <v>3187</v>
      </c>
      <c r="E261" s="106" t="s">
        <v>5786</v>
      </c>
      <c r="F261" s="106" t="s">
        <v>590</v>
      </c>
      <c r="G261" s="106" t="s">
        <v>5937</v>
      </c>
      <c r="H261" s="105" t="s">
        <v>5936</v>
      </c>
      <c r="I261" s="105" t="s">
        <v>2941</v>
      </c>
      <c r="J261" s="104">
        <v>2.74</v>
      </c>
      <c r="K261" s="103" t="s">
        <v>429</v>
      </c>
      <c r="L261" s="102" t="s">
        <v>533</v>
      </c>
      <c r="M261" s="95"/>
      <c r="N261" s="14"/>
      <c r="O261" s="94">
        <v>31</v>
      </c>
      <c r="P261" s="14" t="s">
        <v>586</v>
      </c>
      <c r="Q261" s="14" t="s">
        <v>887</v>
      </c>
      <c r="R261" s="14" t="s">
        <v>496</v>
      </c>
      <c r="S261" s="15">
        <v>8</v>
      </c>
      <c r="T261" s="15">
        <v>0</v>
      </c>
      <c r="U261" s="15">
        <v>0</v>
      </c>
      <c r="V261" s="14">
        <v>924</v>
      </c>
      <c r="W261" s="12">
        <v>0</v>
      </c>
      <c r="X261" s="12">
        <v>0</v>
      </c>
      <c r="Y261" s="12">
        <v>0</v>
      </c>
      <c r="Z261" s="12">
        <v>2.74</v>
      </c>
      <c r="AA261" s="12">
        <v>0</v>
      </c>
      <c r="AB261" s="13">
        <f t="shared" si="12"/>
        <v>0</v>
      </c>
      <c r="AE261" s="12">
        <v>0</v>
      </c>
      <c r="AF261" s="12">
        <v>0</v>
      </c>
      <c r="AG261" s="12">
        <v>0</v>
      </c>
      <c r="AH261" s="12">
        <v>2.74</v>
      </c>
      <c r="AI261" s="12">
        <v>0</v>
      </c>
      <c r="AJ261" s="13">
        <f t="shared" si="13"/>
        <v>0</v>
      </c>
      <c r="AN261" s="12">
        <f t="shared" si="14"/>
        <v>2532</v>
      </c>
      <c r="AQ261" s="8" t="s">
        <v>418</v>
      </c>
      <c r="AR261" t="str">
        <f t="shared" si="15"/>
        <v>Noroeste - A09</v>
      </c>
    </row>
    <row r="262" spans="1:44" x14ac:dyDescent="0.2">
      <c r="A262" s="107" t="s">
        <v>5935</v>
      </c>
      <c r="B262" s="106" t="s">
        <v>5934</v>
      </c>
      <c r="C262" s="106" t="s">
        <v>5781</v>
      </c>
      <c r="D262" s="106" t="s">
        <v>3016</v>
      </c>
      <c r="E262" s="106" t="s">
        <v>5779</v>
      </c>
      <c r="F262" s="106" t="s">
        <v>490</v>
      </c>
      <c r="G262" s="106" t="s">
        <v>5933</v>
      </c>
      <c r="H262" s="105" t="s">
        <v>2941</v>
      </c>
      <c r="I262" s="105" t="s">
        <v>5932</v>
      </c>
      <c r="J262" s="104">
        <v>6.81</v>
      </c>
      <c r="K262" s="103" t="s">
        <v>429</v>
      </c>
      <c r="L262" s="102" t="s">
        <v>533</v>
      </c>
      <c r="M262" s="95"/>
      <c r="N262" s="14"/>
      <c r="O262" s="94">
        <v>31</v>
      </c>
      <c r="P262" s="14" t="s">
        <v>485</v>
      </c>
      <c r="Q262" s="14" t="s">
        <v>887</v>
      </c>
      <c r="R262" s="14" t="s">
        <v>1258</v>
      </c>
      <c r="S262" s="15">
        <v>6.6</v>
      </c>
      <c r="T262" s="15">
        <v>0.9</v>
      </c>
      <c r="U262" s="15">
        <v>0</v>
      </c>
      <c r="V262" s="14">
        <v>5253</v>
      </c>
      <c r="W262" s="12">
        <v>0</v>
      </c>
      <c r="X262" s="12">
        <v>0</v>
      </c>
      <c r="Y262" s="12">
        <v>2.8099999999999996</v>
      </c>
      <c r="Z262" s="12">
        <v>4</v>
      </c>
      <c r="AA262" s="12">
        <v>0</v>
      </c>
      <c r="AB262" s="13">
        <f t="shared" ref="AB262:AB325" si="16">SUM(W262:AA262)-J262</f>
        <v>0</v>
      </c>
      <c r="AE262" s="12">
        <v>0</v>
      </c>
      <c r="AF262" s="12">
        <v>0</v>
      </c>
      <c r="AG262" s="12">
        <v>2.8099999999999996</v>
      </c>
      <c r="AH262" s="12">
        <v>4</v>
      </c>
      <c r="AI262" s="12">
        <v>0</v>
      </c>
      <c r="AJ262" s="13">
        <f t="shared" ref="AJ262:AJ325" si="17">SUM(AE262:AI262)-J262</f>
        <v>0</v>
      </c>
      <c r="AN262" s="12">
        <f t="shared" ref="AN262:AN325" si="18">ROUNDUP(V262*J262,0)</f>
        <v>35773</v>
      </c>
      <c r="AQ262" s="8" t="s">
        <v>418</v>
      </c>
      <c r="AR262" t="str">
        <f t="shared" ref="AR262:AR325" si="19">AQ262&amp;" - "&amp;K262</f>
        <v>Noroeste - A09</v>
      </c>
    </row>
    <row r="263" spans="1:44" x14ac:dyDescent="0.2">
      <c r="A263" s="107" t="s">
        <v>5931</v>
      </c>
      <c r="B263" s="106" t="s">
        <v>5930</v>
      </c>
      <c r="C263" s="106" t="s">
        <v>5781</v>
      </c>
      <c r="D263" s="106" t="s">
        <v>5929</v>
      </c>
      <c r="E263" s="106" t="s">
        <v>5786</v>
      </c>
      <c r="F263" s="106" t="s">
        <v>590</v>
      </c>
      <c r="G263" s="106" t="s">
        <v>5928</v>
      </c>
      <c r="H263" s="105" t="s">
        <v>5927</v>
      </c>
      <c r="I263" s="105" t="s">
        <v>5926</v>
      </c>
      <c r="J263" s="104">
        <v>0.33</v>
      </c>
      <c r="K263" s="103" t="s">
        <v>430</v>
      </c>
      <c r="L263" s="102" t="s">
        <v>533</v>
      </c>
      <c r="M263" s="95"/>
      <c r="N263" s="14"/>
      <c r="O263" s="94">
        <v>32</v>
      </c>
      <c r="P263" s="14" t="s">
        <v>586</v>
      </c>
      <c r="Q263" s="14" t="s">
        <v>561</v>
      </c>
      <c r="R263" s="14" t="s">
        <v>496</v>
      </c>
      <c r="S263" s="15">
        <v>8</v>
      </c>
      <c r="T263" s="15">
        <v>0.5</v>
      </c>
      <c r="U263" s="15">
        <v>0</v>
      </c>
      <c r="V263" s="14">
        <v>181</v>
      </c>
      <c r="W263" s="12">
        <v>0</v>
      </c>
      <c r="X263" s="12">
        <v>0</v>
      </c>
      <c r="Y263" s="12">
        <v>0</v>
      </c>
      <c r="Z263" s="12">
        <v>0.33</v>
      </c>
      <c r="AA263" s="12">
        <v>0</v>
      </c>
      <c r="AB263" s="13">
        <f t="shared" si="16"/>
        <v>0</v>
      </c>
      <c r="AE263" s="12">
        <v>0</v>
      </c>
      <c r="AF263" s="12">
        <v>0</v>
      </c>
      <c r="AG263" s="12">
        <v>0</v>
      </c>
      <c r="AH263" s="12">
        <v>0.33</v>
      </c>
      <c r="AI263" s="12">
        <v>0</v>
      </c>
      <c r="AJ263" s="13">
        <f t="shared" si="17"/>
        <v>0</v>
      </c>
      <c r="AN263" s="12">
        <f t="shared" si="18"/>
        <v>60</v>
      </c>
      <c r="AQ263" s="8" t="s">
        <v>418</v>
      </c>
      <c r="AR263" t="str">
        <f t="shared" si="19"/>
        <v>Noroeste - A10</v>
      </c>
    </row>
    <row r="264" spans="1:44" x14ac:dyDescent="0.2">
      <c r="A264" s="107" t="s">
        <v>5925</v>
      </c>
      <c r="B264" s="106" t="s">
        <v>5924</v>
      </c>
      <c r="C264" s="106" t="s">
        <v>5781</v>
      </c>
      <c r="D264" s="106" t="s">
        <v>2682</v>
      </c>
      <c r="E264" s="106" t="s">
        <v>5779</v>
      </c>
      <c r="F264" s="106" t="s">
        <v>490</v>
      </c>
      <c r="G264" s="106" t="s">
        <v>5923</v>
      </c>
      <c r="H264" s="105" t="s">
        <v>5922</v>
      </c>
      <c r="I264" s="105" t="s">
        <v>5917</v>
      </c>
      <c r="J264" s="104">
        <v>18.02</v>
      </c>
      <c r="K264" s="103" t="s">
        <v>430</v>
      </c>
      <c r="L264" s="102" t="s">
        <v>533</v>
      </c>
      <c r="M264" s="95"/>
      <c r="N264" s="14"/>
      <c r="O264" s="94">
        <v>32</v>
      </c>
      <c r="P264" s="14" t="s">
        <v>485</v>
      </c>
      <c r="Q264" s="14" t="s">
        <v>947</v>
      </c>
      <c r="R264" s="14" t="s">
        <v>496</v>
      </c>
      <c r="S264" s="15">
        <v>7</v>
      </c>
      <c r="T264" s="15">
        <v>0.5</v>
      </c>
      <c r="U264" s="15">
        <v>0</v>
      </c>
      <c r="V264" s="14">
        <v>2634</v>
      </c>
      <c r="W264" s="12">
        <v>0</v>
      </c>
      <c r="X264" s="12">
        <v>0</v>
      </c>
      <c r="Y264" s="12">
        <v>0</v>
      </c>
      <c r="Z264" s="12">
        <v>18.02</v>
      </c>
      <c r="AA264" s="12">
        <v>0</v>
      </c>
      <c r="AB264" s="13">
        <f t="shared" si="16"/>
        <v>0</v>
      </c>
      <c r="AE264" s="12">
        <v>0</v>
      </c>
      <c r="AF264" s="12">
        <v>0</v>
      </c>
      <c r="AG264" s="12">
        <v>0</v>
      </c>
      <c r="AH264" s="12">
        <v>18.02</v>
      </c>
      <c r="AI264" s="12">
        <v>0</v>
      </c>
      <c r="AJ264" s="13">
        <f t="shared" si="17"/>
        <v>0</v>
      </c>
      <c r="AN264" s="12">
        <f t="shared" si="18"/>
        <v>47465</v>
      </c>
      <c r="AQ264" s="8" t="s">
        <v>418</v>
      </c>
      <c r="AR264" t="str">
        <f t="shared" si="19"/>
        <v>Noroeste - A10</v>
      </c>
    </row>
    <row r="265" spans="1:44" x14ac:dyDescent="0.2">
      <c r="A265" s="107" t="s">
        <v>5921</v>
      </c>
      <c r="B265" s="106" t="s">
        <v>5920</v>
      </c>
      <c r="C265" s="106" t="s">
        <v>5781</v>
      </c>
      <c r="D265" s="106" t="s">
        <v>5919</v>
      </c>
      <c r="E265" s="106" t="s">
        <v>5779</v>
      </c>
      <c r="F265" s="106" t="s">
        <v>490</v>
      </c>
      <c r="G265" s="106" t="s">
        <v>5918</v>
      </c>
      <c r="H265" s="105" t="s">
        <v>5917</v>
      </c>
      <c r="I265" s="105" t="s">
        <v>5913</v>
      </c>
      <c r="J265" s="104">
        <v>4.7699999999999996</v>
      </c>
      <c r="K265" s="103" t="s">
        <v>430</v>
      </c>
      <c r="L265" s="102" t="s">
        <v>533</v>
      </c>
      <c r="M265" s="95"/>
      <c r="N265" s="14"/>
      <c r="O265" s="94">
        <v>32</v>
      </c>
      <c r="P265" s="14" t="s">
        <v>485</v>
      </c>
      <c r="Q265" s="14" t="s">
        <v>947</v>
      </c>
      <c r="R265" s="14" t="s">
        <v>496</v>
      </c>
      <c r="S265" s="15">
        <v>7</v>
      </c>
      <c r="T265" s="15">
        <v>0.5</v>
      </c>
      <c r="U265" s="15">
        <v>0</v>
      </c>
      <c r="V265" s="14">
        <v>2634</v>
      </c>
      <c r="W265" s="12">
        <v>0</v>
      </c>
      <c r="X265" s="12">
        <v>0</v>
      </c>
      <c r="Y265" s="12">
        <v>0</v>
      </c>
      <c r="Z265" s="12">
        <v>4.7699999999999996</v>
      </c>
      <c r="AA265" s="12">
        <v>0</v>
      </c>
      <c r="AB265" s="13">
        <f t="shared" si="16"/>
        <v>0</v>
      </c>
      <c r="AE265" s="12">
        <v>0</v>
      </c>
      <c r="AF265" s="12">
        <v>0</v>
      </c>
      <c r="AG265" s="12">
        <v>0</v>
      </c>
      <c r="AH265" s="12">
        <v>4.7699999999999996</v>
      </c>
      <c r="AI265" s="12">
        <v>0</v>
      </c>
      <c r="AJ265" s="13">
        <f t="shared" si="17"/>
        <v>0</v>
      </c>
      <c r="AN265" s="12">
        <f t="shared" si="18"/>
        <v>12565</v>
      </c>
      <c r="AQ265" s="8" t="s">
        <v>418</v>
      </c>
      <c r="AR265" t="str">
        <f t="shared" si="19"/>
        <v>Noroeste - A10</v>
      </c>
    </row>
    <row r="266" spans="1:44" x14ac:dyDescent="0.2">
      <c r="A266" s="107" t="s">
        <v>5916</v>
      </c>
      <c r="B266" s="106" t="s">
        <v>5915</v>
      </c>
      <c r="C266" s="106" t="s">
        <v>5781</v>
      </c>
      <c r="D266" s="106" t="s">
        <v>2676</v>
      </c>
      <c r="E266" s="106" t="s">
        <v>5779</v>
      </c>
      <c r="F266" s="106" t="s">
        <v>490</v>
      </c>
      <c r="G266" s="106" t="s">
        <v>5914</v>
      </c>
      <c r="H266" s="105" t="s">
        <v>5913</v>
      </c>
      <c r="I266" s="105" t="s">
        <v>5912</v>
      </c>
      <c r="J266" s="104">
        <v>2.75</v>
      </c>
      <c r="K266" s="103" t="s">
        <v>430</v>
      </c>
      <c r="L266" s="102" t="s">
        <v>533</v>
      </c>
      <c r="M266" s="95"/>
      <c r="N266" s="14"/>
      <c r="O266" s="94">
        <v>32</v>
      </c>
      <c r="P266" s="14" t="s">
        <v>485</v>
      </c>
      <c r="Q266" s="14" t="s">
        <v>561</v>
      </c>
      <c r="R266" s="14" t="s">
        <v>496</v>
      </c>
      <c r="S266" s="15">
        <v>7</v>
      </c>
      <c r="T266" s="15">
        <v>0.5</v>
      </c>
      <c r="U266" s="15">
        <v>0</v>
      </c>
      <c r="V266" s="14">
        <v>2634</v>
      </c>
      <c r="W266" s="12">
        <v>0</v>
      </c>
      <c r="X266" s="12">
        <v>0</v>
      </c>
      <c r="Y266" s="12">
        <v>0</v>
      </c>
      <c r="Z266" s="12">
        <v>2.75</v>
      </c>
      <c r="AA266" s="12">
        <v>0</v>
      </c>
      <c r="AB266" s="13">
        <f t="shared" si="16"/>
        <v>0</v>
      </c>
      <c r="AE266" s="12">
        <v>0</v>
      </c>
      <c r="AF266" s="12">
        <v>0</v>
      </c>
      <c r="AG266" s="12">
        <v>0</v>
      </c>
      <c r="AH266" s="12">
        <v>2.75</v>
      </c>
      <c r="AI266" s="12">
        <v>0</v>
      </c>
      <c r="AJ266" s="13">
        <f t="shared" si="17"/>
        <v>0</v>
      </c>
      <c r="AN266" s="12">
        <f t="shared" si="18"/>
        <v>7244</v>
      </c>
      <c r="AQ266" s="8" t="s">
        <v>418</v>
      </c>
      <c r="AR266" t="str">
        <f t="shared" si="19"/>
        <v>Noroeste - A10</v>
      </c>
    </row>
    <row r="267" spans="1:44" x14ac:dyDescent="0.2">
      <c r="A267" s="107" t="s">
        <v>5911</v>
      </c>
      <c r="B267" s="106" t="s">
        <v>5910</v>
      </c>
      <c r="C267" s="106" t="s">
        <v>5781</v>
      </c>
      <c r="D267" s="106" t="s">
        <v>2666</v>
      </c>
      <c r="E267" s="106" t="s">
        <v>5786</v>
      </c>
      <c r="F267" s="106" t="s">
        <v>590</v>
      </c>
      <c r="G267" s="106" t="s">
        <v>5909</v>
      </c>
      <c r="H267" s="105" t="s">
        <v>5908</v>
      </c>
      <c r="I267" s="105" t="s">
        <v>5903</v>
      </c>
      <c r="J267" s="104">
        <v>1.55</v>
      </c>
      <c r="K267" s="103" t="s">
        <v>428</v>
      </c>
      <c r="L267" s="102" t="s">
        <v>533</v>
      </c>
      <c r="M267" s="95"/>
      <c r="N267" s="14"/>
      <c r="O267" s="94">
        <v>30</v>
      </c>
      <c r="P267" s="14" t="s">
        <v>586</v>
      </c>
      <c r="Q267" s="14" t="s">
        <v>561</v>
      </c>
      <c r="R267" s="14" t="s">
        <v>496</v>
      </c>
      <c r="S267" s="15">
        <v>7.1</v>
      </c>
      <c r="T267" s="15">
        <v>0</v>
      </c>
      <c r="U267" s="15">
        <v>0</v>
      </c>
      <c r="V267" s="14">
        <v>813</v>
      </c>
      <c r="W267" s="12">
        <v>0</v>
      </c>
      <c r="X267" s="12">
        <v>0</v>
      </c>
      <c r="Y267" s="12">
        <v>0</v>
      </c>
      <c r="Z267" s="12">
        <v>1.55</v>
      </c>
      <c r="AA267" s="12">
        <v>0</v>
      </c>
      <c r="AB267" s="13">
        <f t="shared" si="16"/>
        <v>0</v>
      </c>
      <c r="AE267" s="12">
        <v>0</v>
      </c>
      <c r="AF267" s="12">
        <v>0</v>
      </c>
      <c r="AG267" s="12">
        <v>0</v>
      </c>
      <c r="AH267" s="12">
        <v>1.55</v>
      </c>
      <c r="AI267" s="12">
        <v>0</v>
      </c>
      <c r="AJ267" s="13">
        <f t="shared" si="17"/>
        <v>0</v>
      </c>
      <c r="AN267" s="12">
        <f t="shared" si="18"/>
        <v>1261</v>
      </c>
      <c r="AQ267" s="8" t="s">
        <v>418</v>
      </c>
      <c r="AR267" t="str">
        <f t="shared" si="19"/>
        <v>Noroeste - A08</v>
      </c>
    </row>
    <row r="268" spans="1:44" x14ac:dyDescent="0.2">
      <c r="A268" s="107" t="s">
        <v>5907</v>
      </c>
      <c r="B268" s="106" t="s">
        <v>5906</v>
      </c>
      <c r="C268" s="106" t="s">
        <v>5781</v>
      </c>
      <c r="D268" s="106" t="s">
        <v>5905</v>
      </c>
      <c r="E268" s="106" t="s">
        <v>5779</v>
      </c>
      <c r="F268" s="106" t="s">
        <v>490</v>
      </c>
      <c r="G268" s="106" t="s">
        <v>5904</v>
      </c>
      <c r="H268" s="105" t="s">
        <v>5903</v>
      </c>
      <c r="I268" s="105" t="s">
        <v>5902</v>
      </c>
      <c r="J268" s="104">
        <v>10.94</v>
      </c>
      <c r="K268" s="103" t="s">
        <v>428</v>
      </c>
      <c r="L268" s="102" t="s">
        <v>533</v>
      </c>
      <c r="M268" s="95"/>
      <c r="N268" s="14"/>
      <c r="O268" s="94">
        <v>30</v>
      </c>
      <c r="P268" s="14" t="s">
        <v>485</v>
      </c>
      <c r="Q268" s="14" t="s">
        <v>561</v>
      </c>
      <c r="R268" s="14" t="s">
        <v>496</v>
      </c>
      <c r="S268" s="15">
        <v>7</v>
      </c>
      <c r="T268" s="15">
        <v>1.3</v>
      </c>
      <c r="U268" s="15">
        <v>0</v>
      </c>
      <c r="V268" s="14">
        <v>1070</v>
      </c>
      <c r="W268" s="12">
        <v>0</v>
      </c>
      <c r="X268" s="12">
        <v>0</v>
      </c>
      <c r="Y268" s="12">
        <v>1</v>
      </c>
      <c r="Z268" s="12">
        <v>9.94</v>
      </c>
      <c r="AA268" s="12">
        <v>0</v>
      </c>
      <c r="AB268" s="13">
        <f t="shared" si="16"/>
        <v>0</v>
      </c>
      <c r="AE268" s="12">
        <v>0</v>
      </c>
      <c r="AF268" s="12">
        <v>0</v>
      </c>
      <c r="AG268" s="12">
        <v>1</v>
      </c>
      <c r="AH268" s="12">
        <v>9.94</v>
      </c>
      <c r="AI268" s="12">
        <v>0</v>
      </c>
      <c r="AJ268" s="13">
        <f t="shared" si="17"/>
        <v>0</v>
      </c>
      <c r="AN268" s="12">
        <f t="shared" si="18"/>
        <v>11706</v>
      </c>
      <c r="AQ268" s="8" t="s">
        <v>418</v>
      </c>
      <c r="AR268" t="str">
        <f t="shared" si="19"/>
        <v>Noroeste - A08</v>
      </c>
    </row>
    <row r="269" spans="1:44" x14ac:dyDescent="0.2">
      <c r="A269" s="107" t="s">
        <v>5901</v>
      </c>
      <c r="B269" s="106" t="s">
        <v>5900</v>
      </c>
      <c r="C269" s="106" t="s">
        <v>5781</v>
      </c>
      <c r="D269" s="106" t="s">
        <v>5899</v>
      </c>
      <c r="E269" s="106" t="s">
        <v>5779</v>
      </c>
      <c r="F269" s="106" t="s">
        <v>490</v>
      </c>
      <c r="G269" s="106" t="s">
        <v>5898</v>
      </c>
      <c r="H269" s="105" t="s">
        <v>5897</v>
      </c>
      <c r="I269" s="105" t="s">
        <v>5893</v>
      </c>
      <c r="J269" s="104">
        <v>4.1500000000000004</v>
      </c>
      <c r="K269" s="103" t="s">
        <v>428</v>
      </c>
      <c r="L269" s="102" t="s">
        <v>533</v>
      </c>
      <c r="M269" s="95"/>
      <c r="N269" s="14"/>
      <c r="O269" s="94">
        <v>30</v>
      </c>
      <c r="P269" s="14" t="s">
        <v>485</v>
      </c>
      <c r="Q269" s="14" t="s">
        <v>561</v>
      </c>
      <c r="R269" s="14" t="s">
        <v>496</v>
      </c>
      <c r="S269" s="15">
        <v>7</v>
      </c>
      <c r="T269" s="15">
        <v>1.4</v>
      </c>
      <c r="U269" s="15">
        <v>0</v>
      </c>
      <c r="V269" s="14">
        <v>2296</v>
      </c>
      <c r="W269" s="12">
        <v>0</v>
      </c>
      <c r="X269" s="12">
        <v>0</v>
      </c>
      <c r="Y269" s="12">
        <v>1</v>
      </c>
      <c r="Z269" s="12">
        <v>3.1500000000000004</v>
      </c>
      <c r="AA269" s="12">
        <v>0</v>
      </c>
      <c r="AB269" s="13">
        <f t="shared" si="16"/>
        <v>0</v>
      </c>
      <c r="AE269" s="12">
        <v>0</v>
      </c>
      <c r="AF269" s="12">
        <v>0</v>
      </c>
      <c r="AG269" s="12">
        <v>1</v>
      </c>
      <c r="AH269" s="12">
        <v>3.1500000000000004</v>
      </c>
      <c r="AI269" s="12">
        <v>0</v>
      </c>
      <c r="AJ269" s="13">
        <f t="shared" si="17"/>
        <v>0</v>
      </c>
      <c r="AN269" s="12">
        <f t="shared" si="18"/>
        <v>9529</v>
      </c>
      <c r="AQ269" s="8" t="s">
        <v>418</v>
      </c>
      <c r="AR269" t="str">
        <f t="shared" si="19"/>
        <v>Noroeste - A08</v>
      </c>
    </row>
    <row r="270" spans="1:44" x14ac:dyDescent="0.2">
      <c r="A270" s="107" t="s">
        <v>5896</v>
      </c>
      <c r="B270" s="106" t="s">
        <v>5895</v>
      </c>
      <c r="C270" s="106" t="s">
        <v>5781</v>
      </c>
      <c r="D270" s="106" t="s">
        <v>2646</v>
      </c>
      <c r="E270" s="106" t="s">
        <v>5779</v>
      </c>
      <c r="F270" s="106" t="s">
        <v>490</v>
      </c>
      <c r="G270" s="106" t="s">
        <v>5894</v>
      </c>
      <c r="H270" s="105" t="s">
        <v>5893</v>
      </c>
      <c r="I270" s="105" t="s">
        <v>5892</v>
      </c>
      <c r="J270" s="104">
        <v>8.3699999999999992</v>
      </c>
      <c r="K270" s="103" t="s">
        <v>428</v>
      </c>
      <c r="L270" s="102" t="s">
        <v>533</v>
      </c>
      <c r="M270" s="95"/>
      <c r="N270" s="14"/>
      <c r="O270" s="94">
        <v>30</v>
      </c>
      <c r="P270" s="14" t="s">
        <v>485</v>
      </c>
      <c r="Q270" s="14" t="s">
        <v>561</v>
      </c>
      <c r="R270" s="14" t="s">
        <v>496</v>
      </c>
      <c r="S270" s="15">
        <v>7</v>
      </c>
      <c r="T270" s="15">
        <v>1.2</v>
      </c>
      <c r="U270" s="15">
        <v>0</v>
      </c>
      <c r="V270" s="14">
        <v>1382</v>
      </c>
      <c r="W270" s="12">
        <v>0</v>
      </c>
      <c r="X270" s="12">
        <v>0</v>
      </c>
      <c r="Y270" s="12">
        <v>3.3699999999999992</v>
      </c>
      <c r="Z270" s="12">
        <v>5</v>
      </c>
      <c r="AA270" s="12">
        <v>0</v>
      </c>
      <c r="AB270" s="13">
        <f t="shared" si="16"/>
        <v>0</v>
      </c>
      <c r="AE270" s="12">
        <v>0</v>
      </c>
      <c r="AF270" s="12">
        <v>0</v>
      </c>
      <c r="AG270" s="12">
        <v>3.3699999999999992</v>
      </c>
      <c r="AH270" s="12">
        <v>5</v>
      </c>
      <c r="AI270" s="12">
        <v>0</v>
      </c>
      <c r="AJ270" s="13">
        <f t="shared" si="17"/>
        <v>0</v>
      </c>
      <c r="AN270" s="12">
        <f t="shared" si="18"/>
        <v>11568</v>
      </c>
      <c r="AQ270" s="8" t="s">
        <v>418</v>
      </c>
      <c r="AR270" t="str">
        <f t="shared" si="19"/>
        <v>Noroeste - A08</v>
      </c>
    </row>
    <row r="271" spans="1:44" x14ac:dyDescent="0.2">
      <c r="A271" s="107" t="s">
        <v>5891</v>
      </c>
      <c r="B271" s="106" t="s">
        <v>5890</v>
      </c>
      <c r="C271" s="106" t="s">
        <v>5781</v>
      </c>
      <c r="D271" s="106" t="s">
        <v>5889</v>
      </c>
      <c r="E271" s="106" t="s">
        <v>5786</v>
      </c>
      <c r="F271" s="106" t="s">
        <v>590</v>
      </c>
      <c r="G271" s="106" t="s">
        <v>5888</v>
      </c>
      <c r="H271" s="105" t="s">
        <v>5887</v>
      </c>
      <c r="I271" s="105" t="s">
        <v>5886</v>
      </c>
      <c r="J271" s="104">
        <v>1.86</v>
      </c>
      <c r="K271" s="103" t="s">
        <v>428</v>
      </c>
      <c r="L271" s="102" t="s">
        <v>533</v>
      </c>
      <c r="M271" s="95"/>
      <c r="N271" s="14"/>
      <c r="O271" s="94">
        <v>30</v>
      </c>
      <c r="P271" s="14" t="s">
        <v>586</v>
      </c>
      <c r="Q271" s="14" t="s">
        <v>561</v>
      </c>
      <c r="R271" s="14" t="s">
        <v>496</v>
      </c>
      <c r="S271" s="15">
        <v>7</v>
      </c>
      <c r="T271" s="15">
        <v>0.5</v>
      </c>
      <c r="U271" s="15">
        <v>0</v>
      </c>
      <c r="V271" s="14">
        <v>211</v>
      </c>
      <c r="W271" s="12">
        <v>0</v>
      </c>
      <c r="X271" s="12">
        <v>0</v>
      </c>
      <c r="Y271" s="12">
        <v>0</v>
      </c>
      <c r="Z271" s="12">
        <v>1.86</v>
      </c>
      <c r="AA271" s="12">
        <v>0</v>
      </c>
      <c r="AB271" s="13">
        <f t="shared" si="16"/>
        <v>0</v>
      </c>
      <c r="AE271" s="12">
        <v>0</v>
      </c>
      <c r="AF271" s="12">
        <v>0</v>
      </c>
      <c r="AG271" s="12">
        <v>0</v>
      </c>
      <c r="AH271" s="12">
        <v>1.86</v>
      </c>
      <c r="AI271" s="12">
        <v>0</v>
      </c>
      <c r="AJ271" s="13">
        <f t="shared" si="17"/>
        <v>0</v>
      </c>
      <c r="AN271" s="12">
        <f t="shared" si="18"/>
        <v>393</v>
      </c>
      <c r="AQ271" s="8" t="s">
        <v>418</v>
      </c>
      <c r="AR271" t="str">
        <f t="shared" si="19"/>
        <v>Noroeste - A08</v>
      </c>
    </row>
    <row r="272" spans="1:44" x14ac:dyDescent="0.2">
      <c r="A272" s="107" t="s">
        <v>5885</v>
      </c>
      <c r="B272" s="106" t="s">
        <v>5884</v>
      </c>
      <c r="C272" s="106" t="s">
        <v>5781</v>
      </c>
      <c r="D272" s="106" t="s">
        <v>3312</v>
      </c>
      <c r="E272" s="106" t="s">
        <v>5786</v>
      </c>
      <c r="F272" s="106" t="s">
        <v>590</v>
      </c>
      <c r="G272" s="106" t="s">
        <v>5883</v>
      </c>
      <c r="H272" s="105" t="s">
        <v>5882</v>
      </c>
      <c r="I272" s="105" t="s">
        <v>5878</v>
      </c>
      <c r="J272" s="104">
        <v>1.41</v>
      </c>
      <c r="K272" s="103" t="s">
        <v>428</v>
      </c>
      <c r="L272" s="102" t="s">
        <v>533</v>
      </c>
      <c r="M272" s="95"/>
      <c r="N272" s="14"/>
      <c r="O272" s="94">
        <v>30</v>
      </c>
      <c r="P272" s="14" t="s">
        <v>586</v>
      </c>
      <c r="Q272" s="14" t="s">
        <v>561</v>
      </c>
      <c r="R272" s="14" t="s">
        <v>496</v>
      </c>
      <c r="S272" s="15">
        <v>14</v>
      </c>
      <c r="T272" s="15">
        <v>0</v>
      </c>
      <c r="U272" s="15">
        <v>0</v>
      </c>
      <c r="V272" s="14">
        <v>1342</v>
      </c>
      <c r="W272" s="12">
        <v>0</v>
      </c>
      <c r="X272" s="12">
        <v>0</v>
      </c>
      <c r="Y272" s="12">
        <v>0</v>
      </c>
      <c r="Z272" s="12">
        <v>1.41</v>
      </c>
      <c r="AA272" s="12">
        <v>0</v>
      </c>
      <c r="AB272" s="13">
        <f t="shared" si="16"/>
        <v>0</v>
      </c>
      <c r="AE272" s="12">
        <v>0</v>
      </c>
      <c r="AF272" s="12">
        <v>0</v>
      </c>
      <c r="AG272" s="12">
        <v>0</v>
      </c>
      <c r="AH272" s="12">
        <v>1.41</v>
      </c>
      <c r="AI272" s="12">
        <v>0</v>
      </c>
      <c r="AJ272" s="13">
        <f t="shared" si="17"/>
        <v>0</v>
      </c>
      <c r="AN272" s="12">
        <f t="shared" si="18"/>
        <v>1893</v>
      </c>
      <c r="AQ272" s="8" t="s">
        <v>418</v>
      </c>
      <c r="AR272" t="str">
        <f t="shared" si="19"/>
        <v>Noroeste - A08</v>
      </c>
    </row>
    <row r="273" spans="1:44" x14ac:dyDescent="0.2">
      <c r="A273" s="107" t="s">
        <v>5881</v>
      </c>
      <c r="B273" s="106" t="s">
        <v>5880</v>
      </c>
      <c r="C273" s="106" t="s">
        <v>5781</v>
      </c>
      <c r="D273" s="106" t="s">
        <v>2620</v>
      </c>
      <c r="E273" s="106" t="s">
        <v>5779</v>
      </c>
      <c r="F273" s="106" t="s">
        <v>490</v>
      </c>
      <c r="G273" s="106" t="s">
        <v>5879</v>
      </c>
      <c r="H273" s="105" t="s">
        <v>5878</v>
      </c>
      <c r="I273" s="105" t="s">
        <v>2705</v>
      </c>
      <c r="J273" s="104">
        <v>13.72</v>
      </c>
      <c r="K273" s="103" t="s">
        <v>428</v>
      </c>
      <c r="L273" s="102" t="s">
        <v>533</v>
      </c>
      <c r="M273" s="95"/>
      <c r="N273" s="17" t="str">
        <f>O273</f>
        <v>30</v>
      </c>
      <c r="O273" s="18" t="s">
        <v>462</v>
      </c>
      <c r="P273" s="14" t="s">
        <v>485</v>
      </c>
      <c r="Q273" s="14" t="s">
        <v>561</v>
      </c>
      <c r="R273" s="14" t="s">
        <v>496</v>
      </c>
      <c r="S273" s="15">
        <v>7.5</v>
      </c>
      <c r="T273" s="15">
        <v>0</v>
      </c>
      <c r="U273" s="15">
        <v>0</v>
      </c>
      <c r="V273" s="14">
        <v>1878</v>
      </c>
      <c r="W273" s="12">
        <v>0</v>
      </c>
      <c r="X273" s="12">
        <v>0</v>
      </c>
      <c r="Y273" s="12">
        <v>0</v>
      </c>
      <c r="Z273" s="12">
        <v>13.72</v>
      </c>
      <c r="AA273" s="12">
        <v>0</v>
      </c>
      <c r="AB273" s="13">
        <f t="shared" si="16"/>
        <v>0</v>
      </c>
      <c r="AE273" s="12">
        <v>0</v>
      </c>
      <c r="AF273" s="12">
        <v>0</v>
      </c>
      <c r="AG273" s="12">
        <v>0</v>
      </c>
      <c r="AH273" s="12">
        <v>13.72</v>
      </c>
      <c r="AI273" s="12">
        <v>0</v>
      </c>
      <c r="AJ273" s="13">
        <f t="shared" si="17"/>
        <v>0</v>
      </c>
      <c r="AN273" s="12">
        <f t="shared" si="18"/>
        <v>25767</v>
      </c>
      <c r="AQ273" s="8" t="s">
        <v>418</v>
      </c>
      <c r="AR273" t="str">
        <f t="shared" si="19"/>
        <v>Noroeste - A08</v>
      </c>
    </row>
    <row r="274" spans="1:44" x14ac:dyDescent="0.2">
      <c r="A274" s="107" t="s">
        <v>5877</v>
      </c>
      <c r="B274" s="106" t="s">
        <v>5876</v>
      </c>
      <c r="C274" s="106" t="s">
        <v>5781</v>
      </c>
      <c r="D274" s="106" t="s">
        <v>2611</v>
      </c>
      <c r="E274" s="106" t="s">
        <v>5779</v>
      </c>
      <c r="F274" s="106" t="s">
        <v>490</v>
      </c>
      <c r="G274" s="106" t="s">
        <v>5875</v>
      </c>
      <c r="H274" s="105" t="s">
        <v>2705</v>
      </c>
      <c r="I274" s="105" t="s">
        <v>5871</v>
      </c>
      <c r="J274" s="104">
        <v>6.32</v>
      </c>
      <c r="K274" s="103" t="s">
        <v>422</v>
      </c>
      <c r="L274" s="102" t="s">
        <v>507</v>
      </c>
      <c r="M274" s="95"/>
      <c r="N274" s="17">
        <f>O274</f>
        <v>34</v>
      </c>
      <c r="O274" s="94">
        <v>34</v>
      </c>
      <c r="P274" s="14" t="s">
        <v>485</v>
      </c>
      <c r="Q274" s="14" t="s">
        <v>561</v>
      </c>
      <c r="R274" s="14" t="s">
        <v>496</v>
      </c>
      <c r="S274" s="15">
        <v>6</v>
      </c>
      <c r="T274" s="15">
        <v>0</v>
      </c>
      <c r="U274" s="15">
        <v>0</v>
      </c>
      <c r="V274" s="14">
        <v>2861</v>
      </c>
      <c r="W274" s="12">
        <v>0</v>
      </c>
      <c r="X274" s="12">
        <v>0</v>
      </c>
      <c r="Y274" s="12">
        <v>0</v>
      </c>
      <c r="Z274" s="12">
        <v>6.32</v>
      </c>
      <c r="AA274" s="12">
        <v>0</v>
      </c>
      <c r="AB274" s="13">
        <f t="shared" si="16"/>
        <v>0</v>
      </c>
      <c r="AE274" s="12">
        <v>0</v>
      </c>
      <c r="AF274" s="12">
        <v>0</v>
      </c>
      <c r="AG274" s="12">
        <v>0</v>
      </c>
      <c r="AH274" s="12">
        <v>6.32</v>
      </c>
      <c r="AI274" s="12">
        <v>0</v>
      </c>
      <c r="AJ274" s="13">
        <f t="shared" si="17"/>
        <v>0</v>
      </c>
      <c r="AN274" s="12">
        <f t="shared" si="18"/>
        <v>18082</v>
      </c>
      <c r="AQ274" s="8" t="s">
        <v>417</v>
      </c>
      <c r="AR274" t="str">
        <f t="shared" si="19"/>
        <v>Oeste - A02</v>
      </c>
    </row>
    <row r="275" spans="1:44" x14ac:dyDescent="0.2">
      <c r="A275" s="107" t="s">
        <v>5874</v>
      </c>
      <c r="B275" s="106" t="s">
        <v>5873</v>
      </c>
      <c r="C275" s="106" t="s">
        <v>5781</v>
      </c>
      <c r="D275" s="106" t="s">
        <v>2607</v>
      </c>
      <c r="E275" s="106" t="s">
        <v>5779</v>
      </c>
      <c r="F275" s="106" t="s">
        <v>490</v>
      </c>
      <c r="G275" s="106" t="s">
        <v>5872</v>
      </c>
      <c r="H275" s="105" t="s">
        <v>5871</v>
      </c>
      <c r="I275" s="105" t="s">
        <v>5866</v>
      </c>
      <c r="J275" s="104">
        <v>1.97</v>
      </c>
      <c r="K275" s="103" t="s">
        <v>422</v>
      </c>
      <c r="L275" s="102" t="s">
        <v>507</v>
      </c>
      <c r="M275" s="95"/>
      <c r="N275" s="17">
        <f>O275</f>
        <v>34</v>
      </c>
      <c r="O275" s="94">
        <v>34</v>
      </c>
      <c r="P275" s="14" t="s">
        <v>485</v>
      </c>
      <c r="Q275" s="14" t="s">
        <v>561</v>
      </c>
      <c r="R275" s="14" t="s">
        <v>496</v>
      </c>
      <c r="S275" s="15">
        <v>6</v>
      </c>
      <c r="T275" s="15">
        <v>0</v>
      </c>
      <c r="U275" s="15">
        <v>0</v>
      </c>
      <c r="V275" s="14">
        <v>2552</v>
      </c>
      <c r="W275" s="12">
        <v>0</v>
      </c>
      <c r="X275" s="12">
        <v>0</v>
      </c>
      <c r="Y275" s="12">
        <v>0</v>
      </c>
      <c r="Z275" s="12">
        <v>1.97</v>
      </c>
      <c r="AA275" s="12">
        <v>0</v>
      </c>
      <c r="AB275" s="13">
        <f t="shared" si="16"/>
        <v>0</v>
      </c>
      <c r="AE275" s="12">
        <v>0</v>
      </c>
      <c r="AF275" s="12">
        <v>0</v>
      </c>
      <c r="AG275" s="12">
        <v>0</v>
      </c>
      <c r="AH275" s="12">
        <v>1.97</v>
      </c>
      <c r="AI275" s="12">
        <v>0</v>
      </c>
      <c r="AJ275" s="13">
        <f t="shared" si="17"/>
        <v>0</v>
      </c>
      <c r="AN275" s="12">
        <f t="shared" si="18"/>
        <v>5028</v>
      </c>
      <c r="AQ275" s="8" t="s">
        <v>417</v>
      </c>
      <c r="AR275" t="str">
        <f t="shared" si="19"/>
        <v>Oeste - A02</v>
      </c>
    </row>
    <row r="276" spans="1:44" x14ac:dyDescent="0.2">
      <c r="A276" s="107" t="s">
        <v>5870</v>
      </c>
      <c r="B276" s="106" t="s">
        <v>5869</v>
      </c>
      <c r="C276" s="106" t="s">
        <v>5781</v>
      </c>
      <c r="D276" s="106" t="s">
        <v>5868</v>
      </c>
      <c r="E276" s="106" t="s">
        <v>5786</v>
      </c>
      <c r="F276" s="106" t="s">
        <v>590</v>
      </c>
      <c r="G276" s="106" t="s">
        <v>5867</v>
      </c>
      <c r="H276" s="105" t="s">
        <v>5866</v>
      </c>
      <c r="I276" s="105" t="s">
        <v>5855</v>
      </c>
      <c r="J276" s="104">
        <v>1.88</v>
      </c>
      <c r="K276" s="103" t="s">
        <v>422</v>
      </c>
      <c r="L276" s="102" t="s">
        <v>507</v>
      </c>
      <c r="M276" s="95"/>
      <c r="N276" s="14"/>
      <c r="O276" s="94">
        <v>34</v>
      </c>
      <c r="P276" s="14" t="s">
        <v>586</v>
      </c>
      <c r="Q276" s="14" t="s">
        <v>505</v>
      </c>
      <c r="R276" s="14" t="s">
        <v>496</v>
      </c>
      <c r="S276" s="15">
        <v>14</v>
      </c>
      <c r="T276" s="15">
        <v>0</v>
      </c>
      <c r="U276" s="15">
        <v>0</v>
      </c>
      <c r="V276" s="14">
        <v>1018</v>
      </c>
      <c r="W276" s="12">
        <v>0</v>
      </c>
      <c r="X276" s="12">
        <v>0</v>
      </c>
      <c r="Y276" s="12">
        <v>1.88</v>
      </c>
      <c r="Z276" s="12">
        <v>0</v>
      </c>
      <c r="AA276" s="12">
        <v>0</v>
      </c>
      <c r="AB276" s="13">
        <f t="shared" si="16"/>
        <v>0</v>
      </c>
      <c r="AE276" s="12">
        <v>0</v>
      </c>
      <c r="AF276" s="12">
        <v>0</v>
      </c>
      <c r="AG276" s="12">
        <v>1.88</v>
      </c>
      <c r="AH276" s="12">
        <v>0</v>
      </c>
      <c r="AI276" s="12">
        <v>0</v>
      </c>
      <c r="AJ276" s="13">
        <f t="shared" si="17"/>
        <v>0</v>
      </c>
      <c r="AN276" s="12">
        <f t="shared" si="18"/>
        <v>1914</v>
      </c>
      <c r="AQ276" s="8" t="s">
        <v>417</v>
      </c>
      <c r="AR276" t="str">
        <f t="shared" si="19"/>
        <v>Oeste - A02</v>
      </c>
    </row>
    <row r="277" spans="1:44" x14ac:dyDescent="0.2">
      <c r="A277" s="107" t="s">
        <v>5865</v>
      </c>
      <c r="B277" s="106" t="s">
        <v>5864</v>
      </c>
      <c r="C277" s="106" t="s">
        <v>5781</v>
      </c>
      <c r="D277" s="106" t="s">
        <v>5003</v>
      </c>
      <c r="E277" s="106" t="s">
        <v>5786</v>
      </c>
      <c r="F277" s="106" t="s">
        <v>590</v>
      </c>
      <c r="G277" s="106" t="s">
        <v>5863</v>
      </c>
      <c r="H277" s="105" t="s">
        <v>5855</v>
      </c>
      <c r="I277" s="105" t="s">
        <v>4550</v>
      </c>
      <c r="J277" s="104">
        <v>1.34</v>
      </c>
      <c r="K277" s="103" t="s">
        <v>422</v>
      </c>
      <c r="L277" s="102" t="s">
        <v>507</v>
      </c>
      <c r="M277" s="95"/>
      <c r="N277" s="14"/>
      <c r="O277" s="94">
        <v>34</v>
      </c>
      <c r="P277" s="14" t="s">
        <v>586</v>
      </c>
      <c r="Q277" s="14" t="s">
        <v>505</v>
      </c>
      <c r="R277" s="14" t="s">
        <v>496</v>
      </c>
      <c r="S277" s="15">
        <v>14</v>
      </c>
      <c r="T277" s="15">
        <v>0</v>
      </c>
      <c r="U277" s="15">
        <v>0</v>
      </c>
      <c r="V277" s="14">
        <v>1018</v>
      </c>
      <c r="W277" s="12">
        <v>0</v>
      </c>
      <c r="X277" s="12">
        <v>0</v>
      </c>
      <c r="Y277" s="12">
        <v>0</v>
      </c>
      <c r="Z277" s="12">
        <v>1.34</v>
      </c>
      <c r="AA277" s="12">
        <v>0</v>
      </c>
      <c r="AB277" s="13">
        <f t="shared" si="16"/>
        <v>0</v>
      </c>
      <c r="AE277" s="12">
        <v>0</v>
      </c>
      <c r="AF277" s="12">
        <v>0</v>
      </c>
      <c r="AG277" s="12">
        <v>0</v>
      </c>
      <c r="AH277" s="12">
        <v>1.34</v>
      </c>
      <c r="AI277" s="12">
        <v>0</v>
      </c>
      <c r="AJ277" s="13">
        <f t="shared" si="17"/>
        <v>0</v>
      </c>
      <c r="AN277" s="12">
        <f t="shared" si="18"/>
        <v>1365</v>
      </c>
      <c r="AQ277" s="8" t="s">
        <v>417</v>
      </c>
      <c r="AR277" t="str">
        <f t="shared" si="19"/>
        <v>Oeste - A02</v>
      </c>
    </row>
    <row r="278" spans="1:44" x14ac:dyDescent="0.2">
      <c r="A278" s="107" t="s">
        <v>5862</v>
      </c>
      <c r="B278" s="106" t="s">
        <v>5861</v>
      </c>
      <c r="C278" s="106" t="s">
        <v>5781</v>
      </c>
      <c r="D278" s="106" t="s">
        <v>4998</v>
      </c>
      <c r="E278" s="106" t="s">
        <v>5786</v>
      </c>
      <c r="F278" s="106" t="s">
        <v>590</v>
      </c>
      <c r="G278" s="106" t="s">
        <v>5860</v>
      </c>
      <c r="H278" s="105" t="s">
        <v>4550</v>
      </c>
      <c r="I278" s="105" t="s">
        <v>5847</v>
      </c>
      <c r="J278" s="104">
        <v>1.45</v>
      </c>
      <c r="K278" s="103" t="s">
        <v>422</v>
      </c>
      <c r="L278" s="102" t="s">
        <v>507</v>
      </c>
      <c r="M278" s="95"/>
      <c r="N278" s="14"/>
      <c r="O278" s="94">
        <v>34</v>
      </c>
      <c r="P278" s="14" t="s">
        <v>586</v>
      </c>
      <c r="Q278" s="14" t="s">
        <v>505</v>
      </c>
      <c r="R278" s="14" t="s">
        <v>496</v>
      </c>
      <c r="S278" s="15">
        <v>14</v>
      </c>
      <c r="T278" s="15">
        <v>0</v>
      </c>
      <c r="U278" s="15">
        <v>0</v>
      </c>
      <c r="V278" s="14">
        <v>1018</v>
      </c>
      <c r="W278" s="12">
        <v>0</v>
      </c>
      <c r="X278" s="12">
        <v>0</v>
      </c>
      <c r="Y278" s="12">
        <v>0</v>
      </c>
      <c r="Z278" s="12">
        <v>1.45</v>
      </c>
      <c r="AA278" s="12">
        <v>0</v>
      </c>
      <c r="AB278" s="13">
        <f t="shared" si="16"/>
        <v>0</v>
      </c>
      <c r="AE278" s="12">
        <v>0</v>
      </c>
      <c r="AF278" s="12">
        <v>0</v>
      </c>
      <c r="AG278" s="12">
        <v>0</v>
      </c>
      <c r="AH278" s="12">
        <v>1.45</v>
      </c>
      <c r="AI278" s="12">
        <v>0</v>
      </c>
      <c r="AJ278" s="13">
        <f t="shared" si="17"/>
        <v>0</v>
      </c>
      <c r="AN278" s="12">
        <f t="shared" si="18"/>
        <v>1477</v>
      </c>
      <c r="AQ278" s="8" t="s">
        <v>417</v>
      </c>
      <c r="AR278" t="str">
        <f t="shared" si="19"/>
        <v>Oeste - A02</v>
      </c>
    </row>
    <row r="279" spans="1:44" x14ac:dyDescent="0.2">
      <c r="A279" s="107" t="s">
        <v>5859</v>
      </c>
      <c r="B279" s="106" t="s">
        <v>5858</v>
      </c>
      <c r="C279" s="106" t="s">
        <v>5781</v>
      </c>
      <c r="D279" s="106" t="s">
        <v>5857</v>
      </c>
      <c r="E279" s="106" t="s">
        <v>5786</v>
      </c>
      <c r="F279" s="106" t="s">
        <v>590</v>
      </c>
      <c r="G279" s="106" t="s">
        <v>5856</v>
      </c>
      <c r="H279" s="105" t="s">
        <v>5855</v>
      </c>
      <c r="I279" s="105" t="s">
        <v>4555</v>
      </c>
      <c r="J279" s="104">
        <v>0.95</v>
      </c>
      <c r="K279" s="103" t="s">
        <v>422</v>
      </c>
      <c r="L279" s="102" t="s">
        <v>507</v>
      </c>
      <c r="M279" s="95"/>
      <c r="N279" s="14"/>
      <c r="O279" s="94">
        <v>34</v>
      </c>
      <c r="P279" s="14" t="s">
        <v>586</v>
      </c>
      <c r="Q279" s="14" t="s">
        <v>505</v>
      </c>
      <c r="R279" s="14" t="s">
        <v>496</v>
      </c>
      <c r="S279" s="15">
        <v>14</v>
      </c>
      <c r="T279" s="15">
        <v>0</v>
      </c>
      <c r="U279" s="15">
        <v>0</v>
      </c>
      <c r="V279" s="14">
        <v>1018</v>
      </c>
      <c r="W279" s="12">
        <v>0</v>
      </c>
      <c r="X279" s="12">
        <v>0</v>
      </c>
      <c r="Y279" s="12">
        <v>0.95</v>
      </c>
      <c r="Z279" s="12">
        <v>0</v>
      </c>
      <c r="AA279" s="12">
        <v>0</v>
      </c>
      <c r="AB279" s="13">
        <f t="shared" si="16"/>
        <v>0</v>
      </c>
      <c r="AE279" s="12">
        <v>0</v>
      </c>
      <c r="AF279" s="12">
        <v>0</v>
      </c>
      <c r="AG279" s="12">
        <v>0.95</v>
      </c>
      <c r="AH279" s="12">
        <v>0</v>
      </c>
      <c r="AI279" s="12">
        <v>0</v>
      </c>
      <c r="AJ279" s="13">
        <f t="shared" si="17"/>
        <v>0</v>
      </c>
      <c r="AN279" s="12">
        <f t="shared" si="18"/>
        <v>968</v>
      </c>
      <c r="AQ279" s="8" t="s">
        <v>417</v>
      </c>
      <c r="AR279" t="str">
        <f t="shared" si="19"/>
        <v>Oeste - A02</v>
      </c>
    </row>
    <row r="280" spans="1:44" x14ac:dyDescent="0.2">
      <c r="A280" s="107" t="s">
        <v>5854</v>
      </c>
      <c r="B280" s="106" t="s">
        <v>5853</v>
      </c>
      <c r="C280" s="106" t="s">
        <v>5781</v>
      </c>
      <c r="D280" s="106" t="s">
        <v>2602</v>
      </c>
      <c r="E280" s="106" t="s">
        <v>5786</v>
      </c>
      <c r="F280" s="106" t="s">
        <v>590</v>
      </c>
      <c r="G280" s="106" t="s">
        <v>5852</v>
      </c>
      <c r="H280" s="105" t="s">
        <v>4555</v>
      </c>
      <c r="I280" s="105" t="s">
        <v>5847</v>
      </c>
      <c r="J280" s="104">
        <v>1.0900000000000001</v>
      </c>
      <c r="K280" s="103" t="s">
        <v>422</v>
      </c>
      <c r="L280" s="102" t="s">
        <v>507</v>
      </c>
      <c r="M280" s="95"/>
      <c r="N280" s="14"/>
      <c r="O280" s="94">
        <v>34</v>
      </c>
      <c r="P280" s="14" t="s">
        <v>586</v>
      </c>
      <c r="Q280" s="14" t="s">
        <v>505</v>
      </c>
      <c r="R280" s="14" t="s">
        <v>496</v>
      </c>
      <c r="S280" s="15">
        <v>14</v>
      </c>
      <c r="T280" s="15">
        <v>0</v>
      </c>
      <c r="U280" s="15">
        <v>0</v>
      </c>
      <c r="V280" s="14">
        <v>1018</v>
      </c>
      <c r="W280" s="12">
        <v>0</v>
      </c>
      <c r="X280" s="12">
        <v>1</v>
      </c>
      <c r="Y280" s="12">
        <v>9.000000000000008E-2</v>
      </c>
      <c r="Z280" s="12">
        <v>0</v>
      </c>
      <c r="AA280" s="12">
        <v>0</v>
      </c>
      <c r="AB280" s="13">
        <f t="shared" si="16"/>
        <v>0</v>
      </c>
      <c r="AE280" s="12">
        <v>0</v>
      </c>
      <c r="AF280" s="12">
        <v>1</v>
      </c>
      <c r="AG280" s="12">
        <v>9.000000000000008E-2</v>
      </c>
      <c r="AH280" s="12">
        <v>0</v>
      </c>
      <c r="AI280" s="12">
        <v>0</v>
      </c>
      <c r="AJ280" s="13">
        <f t="shared" si="17"/>
        <v>0</v>
      </c>
      <c r="AN280" s="12">
        <f t="shared" si="18"/>
        <v>1110</v>
      </c>
      <c r="AQ280" s="8" t="s">
        <v>417</v>
      </c>
      <c r="AR280" t="str">
        <f t="shared" si="19"/>
        <v>Oeste - A02</v>
      </c>
    </row>
    <row r="281" spans="1:44" x14ac:dyDescent="0.2">
      <c r="A281" s="107" t="s">
        <v>5851</v>
      </c>
      <c r="B281" s="106" t="s">
        <v>5850</v>
      </c>
      <c r="C281" s="106" t="s">
        <v>5781</v>
      </c>
      <c r="D281" s="106" t="s">
        <v>5849</v>
      </c>
      <c r="E281" s="106" t="s">
        <v>5786</v>
      </c>
      <c r="F281" s="106" t="s">
        <v>590</v>
      </c>
      <c r="G281" s="106" t="s">
        <v>5848</v>
      </c>
      <c r="H281" s="105" t="s">
        <v>5847</v>
      </c>
      <c r="I281" s="105" t="s">
        <v>5843</v>
      </c>
      <c r="J281" s="104">
        <v>1.69</v>
      </c>
      <c r="K281" s="103" t="s">
        <v>422</v>
      </c>
      <c r="L281" s="102" t="s">
        <v>507</v>
      </c>
      <c r="M281" s="95"/>
      <c r="N281" s="14"/>
      <c r="O281" s="94">
        <v>34</v>
      </c>
      <c r="P281" s="14" t="s">
        <v>586</v>
      </c>
      <c r="Q281" s="14" t="s">
        <v>505</v>
      </c>
      <c r="R281" s="14" t="s">
        <v>496</v>
      </c>
      <c r="S281" s="15">
        <v>14</v>
      </c>
      <c r="T281" s="15">
        <v>0</v>
      </c>
      <c r="U281" s="15">
        <v>0</v>
      </c>
      <c r="V281" s="14">
        <v>1018</v>
      </c>
      <c r="W281" s="12">
        <v>0</v>
      </c>
      <c r="X281" s="12">
        <v>1.69</v>
      </c>
      <c r="Y281" s="12">
        <v>0</v>
      </c>
      <c r="Z281" s="12">
        <v>0</v>
      </c>
      <c r="AA281" s="12">
        <v>0</v>
      </c>
      <c r="AB281" s="13">
        <f t="shared" si="16"/>
        <v>0</v>
      </c>
      <c r="AE281" s="12">
        <v>0</v>
      </c>
      <c r="AF281" s="12">
        <v>1.69</v>
      </c>
      <c r="AG281" s="12">
        <v>0</v>
      </c>
      <c r="AH281" s="12">
        <v>0</v>
      </c>
      <c r="AI281" s="12">
        <v>0</v>
      </c>
      <c r="AJ281" s="13">
        <f t="shared" si="17"/>
        <v>0</v>
      </c>
      <c r="AN281" s="12">
        <f t="shared" si="18"/>
        <v>1721</v>
      </c>
      <c r="AQ281" s="8" t="s">
        <v>417</v>
      </c>
      <c r="AR281" t="str">
        <f t="shared" si="19"/>
        <v>Oeste - A02</v>
      </c>
    </row>
    <row r="282" spans="1:44" x14ac:dyDescent="0.2">
      <c r="A282" s="107" t="s">
        <v>5846</v>
      </c>
      <c r="B282" s="106" t="s">
        <v>5845</v>
      </c>
      <c r="C282" s="106" t="s">
        <v>5781</v>
      </c>
      <c r="D282" s="106" t="s">
        <v>2597</v>
      </c>
      <c r="E282" s="106" t="s">
        <v>5779</v>
      </c>
      <c r="F282" s="106" t="s">
        <v>490</v>
      </c>
      <c r="G282" s="106" t="s">
        <v>5844</v>
      </c>
      <c r="H282" s="105" t="s">
        <v>5843</v>
      </c>
      <c r="I282" s="105" t="s">
        <v>5838</v>
      </c>
      <c r="J282" s="104">
        <v>1.95</v>
      </c>
      <c r="K282" s="103" t="s">
        <v>422</v>
      </c>
      <c r="L282" s="102" t="s">
        <v>507</v>
      </c>
      <c r="M282" s="95"/>
      <c r="N282" s="14"/>
      <c r="O282" s="94">
        <v>34</v>
      </c>
      <c r="P282" s="14" t="s">
        <v>485</v>
      </c>
      <c r="Q282" s="14" t="s">
        <v>505</v>
      </c>
      <c r="R282" s="14" t="s">
        <v>496</v>
      </c>
      <c r="S282" s="15">
        <v>7</v>
      </c>
      <c r="T282" s="15">
        <v>2.2999999999999998</v>
      </c>
      <c r="U282" s="15">
        <v>0</v>
      </c>
      <c r="V282" s="14">
        <v>1018</v>
      </c>
      <c r="W282" s="12">
        <v>0</v>
      </c>
      <c r="X282" s="12">
        <v>0</v>
      </c>
      <c r="Y282" s="12">
        <v>1.95</v>
      </c>
      <c r="Z282" s="12">
        <v>0</v>
      </c>
      <c r="AA282" s="12">
        <v>0</v>
      </c>
      <c r="AB282" s="13">
        <f t="shared" si="16"/>
        <v>0</v>
      </c>
      <c r="AE282" s="12">
        <v>0</v>
      </c>
      <c r="AF282" s="12">
        <v>0</v>
      </c>
      <c r="AG282" s="12">
        <v>1.95</v>
      </c>
      <c r="AH282" s="12">
        <v>0</v>
      </c>
      <c r="AI282" s="12">
        <v>0</v>
      </c>
      <c r="AJ282" s="13">
        <f t="shared" si="17"/>
        <v>0</v>
      </c>
      <c r="AN282" s="12">
        <f t="shared" si="18"/>
        <v>1986</v>
      </c>
      <c r="AQ282" s="8" t="s">
        <v>417</v>
      </c>
      <c r="AR282" t="str">
        <f t="shared" si="19"/>
        <v>Oeste - A02</v>
      </c>
    </row>
    <row r="283" spans="1:44" x14ac:dyDescent="0.2">
      <c r="A283" s="107" t="s">
        <v>5842</v>
      </c>
      <c r="B283" s="106" t="s">
        <v>5841</v>
      </c>
      <c r="C283" s="106" t="s">
        <v>5781</v>
      </c>
      <c r="D283" s="106" t="s">
        <v>5840</v>
      </c>
      <c r="E283" s="106" t="s">
        <v>5779</v>
      </c>
      <c r="F283" s="106" t="s">
        <v>490</v>
      </c>
      <c r="G283" s="106" t="s">
        <v>5839</v>
      </c>
      <c r="H283" s="105" t="s">
        <v>5838</v>
      </c>
      <c r="I283" s="105" t="s">
        <v>5837</v>
      </c>
      <c r="J283" s="104">
        <v>0.72</v>
      </c>
      <c r="K283" s="103" t="s">
        <v>422</v>
      </c>
      <c r="L283" s="102" t="s">
        <v>507</v>
      </c>
      <c r="M283" s="95"/>
      <c r="N283" s="14"/>
      <c r="O283" s="94">
        <v>34</v>
      </c>
      <c r="P283" s="14" t="s">
        <v>485</v>
      </c>
      <c r="Q283" s="14" t="s">
        <v>505</v>
      </c>
      <c r="R283" s="14" t="s">
        <v>496</v>
      </c>
      <c r="S283" s="15">
        <v>7</v>
      </c>
      <c r="T283" s="15">
        <v>2.2999999999999998</v>
      </c>
      <c r="U283" s="15">
        <v>0</v>
      </c>
      <c r="V283" s="14">
        <v>1018</v>
      </c>
      <c r="W283" s="12">
        <v>0</v>
      </c>
      <c r="X283" s="12">
        <v>0</v>
      </c>
      <c r="Y283" s="12">
        <v>0.72</v>
      </c>
      <c r="Z283" s="12">
        <v>0</v>
      </c>
      <c r="AA283" s="12">
        <v>0</v>
      </c>
      <c r="AB283" s="13">
        <f t="shared" si="16"/>
        <v>0</v>
      </c>
      <c r="AE283" s="12">
        <v>0</v>
      </c>
      <c r="AF283" s="12">
        <v>0</v>
      </c>
      <c r="AG283" s="12">
        <v>0.72</v>
      </c>
      <c r="AH283" s="12">
        <v>0</v>
      </c>
      <c r="AI283" s="12">
        <v>0</v>
      </c>
      <c r="AJ283" s="13">
        <f t="shared" si="17"/>
        <v>0</v>
      </c>
      <c r="AN283" s="12">
        <f t="shared" si="18"/>
        <v>733</v>
      </c>
      <c r="AQ283" s="8" t="s">
        <v>417</v>
      </c>
      <c r="AR283" t="str">
        <f t="shared" si="19"/>
        <v>Oeste - A02</v>
      </c>
    </row>
    <row r="284" spans="1:44" x14ac:dyDescent="0.2">
      <c r="A284" s="107" t="s">
        <v>5836</v>
      </c>
      <c r="B284" s="106" t="s">
        <v>5835</v>
      </c>
      <c r="C284" s="106" t="s">
        <v>5781</v>
      </c>
      <c r="D284" s="106" t="s">
        <v>5834</v>
      </c>
      <c r="E284" s="106" t="s">
        <v>5779</v>
      </c>
      <c r="F284" s="106" t="s">
        <v>490</v>
      </c>
      <c r="G284" s="106" t="s">
        <v>5833</v>
      </c>
      <c r="H284" s="105" t="s">
        <v>725</v>
      </c>
      <c r="I284" s="105" t="s">
        <v>5829</v>
      </c>
      <c r="J284" s="104">
        <v>11.37</v>
      </c>
      <c r="K284" s="103" t="s">
        <v>422</v>
      </c>
      <c r="L284" s="102" t="s">
        <v>507</v>
      </c>
      <c r="M284" s="95"/>
      <c r="N284" s="14"/>
      <c r="O284" s="94">
        <v>34</v>
      </c>
      <c r="P284" s="14" t="s">
        <v>485</v>
      </c>
      <c r="Q284" s="14" t="s">
        <v>505</v>
      </c>
      <c r="R284" s="14" t="s">
        <v>496</v>
      </c>
      <c r="S284" s="15">
        <v>7</v>
      </c>
      <c r="T284" s="15">
        <v>2.2999999999999998</v>
      </c>
      <c r="U284" s="15">
        <v>0</v>
      </c>
      <c r="V284" s="14">
        <v>6187</v>
      </c>
      <c r="W284" s="12">
        <v>0</v>
      </c>
      <c r="X284" s="12">
        <v>0</v>
      </c>
      <c r="Y284" s="12">
        <v>11.37</v>
      </c>
      <c r="Z284" s="12">
        <v>0</v>
      </c>
      <c r="AA284" s="12">
        <v>0</v>
      </c>
      <c r="AB284" s="13">
        <f t="shared" si="16"/>
        <v>0</v>
      </c>
      <c r="AE284" s="12">
        <v>0</v>
      </c>
      <c r="AF284" s="12">
        <v>0</v>
      </c>
      <c r="AG284" s="12">
        <v>11.37</v>
      </c>
      <c r="AH284" s="12">
        <v>0</v>
      </c>
      <c r="AI284" s="12">
        <v>0</v>
      </c>
      <c r="AJ284" s="13">
        <f t="shared" si="17"/>
        <v>0</v>
      </c>
      <c r="AN284" s="12">
        <f t="shared" si="18"/>
        <v>70347</v>
      </c>
      <c r="AQ284" s="8" t="s">
        <v>417</v>
      </c>
      <c r="AR284" t="str">
        <f t="shared" si="19"/>
        <v>Oeste - A02</v>
      </c>
    </row>
    <row r="285" spans="1:44" x14ac:dyDescent="0.2">
      <c r="A285" s="107" t="s">
        <v>5832</v>
      </c>
      <c r="B285" s="106" t="s">
        <v>5831</v>
      </c>
      <c r="C285" s="106" t="s">
        <v>5781</v>
      </c>
      <c r="D285" s="106" t="s">
        <v>5154</v>
      </c>
      <c r="E285" s="106" t="s">
        <v>5779</v>
      </c>
      <c r="F285" s="106" t="s">
        <v>490</v>
      </c>
      <c r="G285" s="106" t="s">
        <v>5830</v>
      </c>
      <c r="H285" s="105" t="s">
        <v>5829</v>
      </c>
      <c r="I285" s="105" t="s">
        <v>5825</v>
      </c>
      <c r="J285" s="104">
        <v>18.55</v>
      </c>
      <c r="K285" s="103" t="s">
        <v>422</v>
      </c>
      <c r="L285" s="102" t="s">
        <v>507</v>
      </c>
      <c r="M285" s="95"/>
      <c r="N285" s="14"/>
      <c r="O285" s="94">
        <v>34</v>
      </c>
      <c r="P285" s="14" t="s">
        <v>485</v>
      </c>
      <c r="Q285" s="14" t="s">
        <v>505</v>
      </c>
      <c r="R285" s="14" t="s">
        <v>496</v>
      </c>
      <c r="S285" s="15">
        <v>7</v>
      </c>
      <c r="T285" s="15">
        <v>2.2999999999999998</v>
      </c>
      <c r="U285" s="15">
        <v>0</v>
      </c>
      <c r="V285" s="14">
        <v>1018</v>
      </c>
      <c r="W285" s="12">
        <v>0</v>
      </c>
      <c r="X285" s="12">
        <v>2</v>
      </c>
      <c r="Y285" s="12">
        <v>10</v>
      </c>
      <c r="Z285" s="12">
        <v>6.5500000000000007</v>
      </c>
      <c r="AA285" s="12">
        <v>0</v>
      </c>
      <c r="AB285" s="13">
        <f t="shared" si="16"/>
        <v>0</v>
      </c>
      <c r="AE285" s="12">
        <v>0</v>
      </c>
      <c r="AF285" s="12">
        <v>2</v>
      </c>
      <c r="AG285" s="12">
        <v>10</v>
      </c>
      <c r="AH285" s="12">
        <v>6.5500000000000007</v>
      </c>
      <c r="AI285" s="12">
        <v>0</v>
      </c>
      <c r="AJ285" s="13">
        <f t="shared" si="17"/>
        <v>0</v>
      </c>
      <c r="AN285" s="12">
        <f t="shared" si="18"/>
        <v>18884</v>
      </c>
      <c r="AQ285" s="8" t="s">
        <v>417</v>
      </c>
      <c r="AR285" t="str">
        <f t="shared" si="19"/>
        <v>Oeste - A02</v>
      </c>
    </row>
    <row r="286" spans="1:44" x14ac:dyDescent="0.2">
      <c r="A286" s="107" t="s">
        <v>5828</v>
      </c>
      <c r="B286" s="106" t="s">
        <v>5827</v>
      </c>
      <c r="C286" s="106" t="s">
        <v>5781</v>
      </c>
      <c r="D286" s="106" t="s">
        <v>2591</v>
      </c>
      <c r="E286" s="106" t="s">
        <v>5779</v>
      </c>
      <c r="F286" s="106" t="s">
        <v>490</v>
      </c>
      <c r="G286" s="106" t="s">
        <v>5826</v>
      </c>
      <c r="H286" s="105" t="s">
        <v>5825</v>
      </c>
      <c r="I286" s="105" t="s">
        <v>5821</v>
      </c>
      <c r="J286" s="104">
        <v>7.39</v>
      </c>
      <c r="K286" s="103" t="s">
        <v>422</v>
      </c>
      <c r="L286" s="102" t="s">
        <v>507</v>
      </c>
      <c r="M286" s="95"/>
      <c r="N286" s="14"/>
      <c r="O286" s="94">
        <v>34</v>
      </c>
      <c r="P286" s="14" t="s">
        <v>485</v>
      </c>
      <c r="Q286" s="14" t="s">
        <v>505</v>
      </c>
      <c r="R286" s="14" t="s">
        <v>496</v>
      </c>
      <c r="S286" s="15">
        <v>7</v>
      </c>
      <c r="T286" s="15">
        <v>2.2999999999999998</v>
      </c>
      <c r="U286" s="15">
        <v>0</v>
      </c>
      <c r="V286" s="14">
        <v>3702</v>
      </c>
      <c r="W286" s="12">
        <v>0</v>
      </c>
      <c r="X286" s="12">
        <v>1</v>
      </c>
      <c r="Y286" s="12">
        <v>5.39</v>
      </c>
      <c r="Z286" s="12">
        <v>1</v>
      </c>
      <c r="AA286" s="12">
        <v>0</v>
      </c>
      <c r="AB286" s="13">
        <f t="shared" si="16"/>
        <v>0</v>
      </c>
      <c r="AE286" s="12">
        <v>0</v>
      </c>
      <c r="AF286" s="12">
        <v>1</v>
      </c>
      <c r="AG286" s="12">
        <v>5.39</v>
      </c>
      <c r="AH286" s="12">
        <v>1</v>
      </c>
      <c r="AI286" s="12">
        <v>0</v>
      </c>
      <c r="AJ286" s="13">
        <f t="shared" si="17"/>
        <v>0</v>
      </c>
      <c r="AN286" s="12">
        <f t="shared" si="18"/>
        <v>27358</v>
      </c>
      <c r="AQ286" s="8" t="s">
        <v>417</v>
      </c>
      <c r="AR286" t="str">
        <f t="shared" si="19"/>
        <v>Oeste - A02</v>
      </c>
    </row>
    <row r="287" spans="1:44" x14ac:dyDescent="0.2">
      <c r="A287" s="107" t="s">
        <v>5824</v>
      </c>
      <c r="B287" s="106" t="s">
        <v>5823</v>
      </c>
      <c r="C287" s="106" t="s">
        <v>5781</v>
      </c>
      <c r="D287" s="106" t="s">
        <v>5271</v>
      </c>
      <c r="E287" s="106" t="s">
        <v>5779</v>
      </c>
      <c r="F287" s="106" t="s">
        <v>490</v>
      </c>
      <c r="G287" s="106" t="s">
        <v>5822</v>
      </c>
      <c r="H287" s="105" t="s">
        <v>5821</v>
      </c>
      <c r="I287" s="105" t="s">
        <v>4942</v>
      </c>
      <c r="J287" s="104">
        <v>1.75</v>
      </c>
      <c r="K287" s="103" t="s">
        <v>422</v>
      </c>
      <c r="L287" s="102" t="s">
        <v>507</v>
      </c>
      <c r="M287" s="95"/>
      <c r="N287" s="14"/>
      <c r="O287" s="94">
        <v>34</v>
      </c>
      <c r="P287" s="14" t="s">
        <v>485</v>
      </c>
      <c r="Q287" s="14" t="s">
        <v>505</v>
      </c>
      <c r="R287" s="14" t="s">
        <v>496</v>
      </c>
      <c r="S287" s="15">
        <v>7</v>
      </c>
      <c r="T287" s="15">
        <v>2.2999999999999998</v>
      </c>
      <c r="U287" s="15">
        <v>0</v>
      </c>
      <c r="V287" s="14">
        <v>1124</v>
      </c>
      <c r="W287" s="12">
        <v>0</v>
      </c>
      <c r="X287" s="12">
        <v>0.75</v>
      </c>
      <c r="Y287" s="12">
        <v>1</v>
      </c>
      <c r="Z287" s="12">
        <v>0</v>
      </c>
      <c r="AA287" s="12">
        <v>0</v>
      </c>
      <c r="AB287" s="13">
        <f t="shared" si="16"/>
        <v>0</v>
      </c>
      <c r="AE287" s="12">
        <v>0</v>
      </c>
      <c r="AF287" s="12">
        <v>0.75</v>
      </c>
      <c r="AG287" s="12">
        <v>1</v>
      </c>
      <c r="AH287" s="12">
        <v>0</v>
      </c>
      <c r="AI287" s="12">
        <v>0</v>
      </c>
      <c r="AJ287" s="13">
        <f t="shared" si="17"/>
        <v>0</v>
      </c>
      <c r="AN287" s="12">
        <f t="shared" si="18"/>
        <v>1967</v>
      </c>
      <c r="AQ287" s="8" t="s">
        <v>417</v>
      </c>
      <c r="AR287" t="str">
        <f t="shared" si="19"/>
        <v>Oeste - A02</v>
      </c>
    </row>
    <row r="288" spans="1:44" x14ac:dyDescent="0.2">
      <c r="A288" s="107" t="s">
        <v>5820</v>
      </c>
      <c r="B288" s="106" t="s">
        <v>5819</v>
      </c>
      <c r="C288" s="106" t="s">
        <v>5781</v>
      </c>
      <c r="D288" s="106" t="s">
        <v>2586</v>
      </c>
      <c r="E288" s="106" t="s">
        <v>5779</v>
      </c>
      <c r="F288" s="106" t="s">
        <v>490</v>
      </c>
      <c r="G288" s="106" t="s">
        <v>5818</v>
      </c>
      <c r="H288" s="105" t="s">
        <v>4942</v>
      </c>
      <c r="I288" s="105" t="s">
        <v>5809</v>
      </c>
      <c r="J288" s="104">
        <v>11.65</v>
      </c>
      <c r="K288" s="103" t="s">
        <v>422</v>
      </c>
      <c r="L288" s="102" t="s">
        <v>507</v>
      </c>
      <c r="M288" s="95"/>
      <c r="N288" s="14"/>
      <c r="O288" s="94">
        <v>34</v>
      </c>
      <c r="P288" s="14" t="s">
        <v>485</v>
      </c>
      <c r="Q288" s="14" t="s">
        <v>505</v>
      </c>
      <c r="R288" s="14" t="s">
        <v>496</v>
      </c>
      <c r="S288" s="15">
        <v>7</v>
      </c>
      <c r="T288" s="15">
        <v>2.2999999999999998</v>
      </c>
      <c r="U288" s="15">
        <v>2.9</v>
      </c>
      <c r="V288" s="14">
        <v>4243</v>
      </c>
      <c r="W288" s="12">
        <v>0</v>
      </c>
      <c r="X288" s="12">
        <v>2</v>
      </c>
      <c r="Y288" s="12">
        <v>8.65</v>
      </c>
      <c r="Z288" s="12">
        <v>1</v>
      </c>
      <c r="AA288" s="12">
        <v>0</v>
      </c>
      <c r="AB288" s="13">
        <f t="shared" si="16"/>
        <v>0</v>
      </c>
      <c r="AE288" s="12">
        <v>0</v>
      </c>
      <c r="AF288" s="12">
        <v>2</v>
      </c>
      <c r="AG288" s="12">
        <v>8.65</v>
      </c>
      <c r="AH288" s="12">
        <v>1</v>
      </c>
      <c r="AI288" s="12">
        <v>0</v>
      </c>
      <c r="AJ288" s="13">
        <f t="shared" si="17"/>
        <v>0</v>
      </c>
      <c r="AN288" s="12">
        <f t="shared" si="18"/>
        <v>49431</v>
      </c>
      <c r="AQ288" s="8" t="s">
        <v>417</v>
      </c>
      <c r="AR288" t="str">
        <f t="shared" si="19"/>
        <v>Oeste - A02</v>
      </c>
    </row>
    <row r="289" spans="1:44" x14ac:dyDescent="0.2">
      <c r="A289" s="107" t="s">
        <v>5817</v>
      </c>
      <c r="B289" s="106" t="s">
        <v>5816</v>
      </c>
      <c r="C289" s="106" t="s">
        <v>5781</v>
      </c>
      <c r="D289" s="106" t="s">
        <v>2560</v>
      </c>
      <c r="E289" s="106" t="s">
        <v>5815</v>
      </c>
      <c r="F289" s="106" t="s">
        <v>606</v>
      </c>
      <c r="G289" s="106" t="s">
        <v>5814</v>
      </c>
      <c r="H289" s="105" t="s">
        <v>5809</v>
      </c>
      <c r="I289" s="105" t="s">
        <v>5808</v>
      </c>
      <c r="J289" s="104">
        <v>0.25</v>
      </c>
      <c r="K289" s="103" t="s">
        <v>422</v>
      </c>
      <c r="L289" s="102" t="s">
        <v>507</v>
      </c>
      <c r="M289" s="95"/>
      <c r="N289" s="14"/>
      <c r="O289" s="94">
        <v>34</v>
      </c>
      <c r="P289" s="14" t="s">
        <v>596</v>
      </c>
      <c r="Q289" s="14" t="s">
        <v>505</v>
      </c>
      <c r="R289" s="14" t="s">
        <v>496</v>
      </c>
      <c r="S289" s="15">
        <v>7</v>
      </c>
      <c r="T289" s="15">
        <v>0</v>
      </c>
      <c r="U289" s="15">
        <v>0</v>
      </c>
      <c r="V289" s="14">
        <v>2027</v>
      </c>
      <c r="W289" s="12">
        <v>0</v>
      </c>
      <c r="X289" s="12">
        <v>0.25</v>
      </c>
      <c r="Y289" s="12">
        <v>0</v>
      </c>
      <c r="Z289" s="12">
        <v>0</v>
      </c>
      <c r="AA289" s="12">
        <v>0</v>
      </c>
      <c r="AB289" s="13">
        <f t="shared" si="16"/>
        <v>0</v>
      </c>
      <c r="AE289" s="12">
        <v>0</v>
      </c>
      <c r="AF289" s="12">
        <v>0.25</v>
      </c>
      <c r="AG289" s="12">
        <v>0</v>
      </c>
      <c r="AH289" s="12">
        <v>0</v>
      </c>
      <c r="AI289" s="12">
        <v>0</v>
      </c>
      <c r="AJ289" s="13">
        <f t="shared" si="17"/>
        <v>0</v>
      </c>
      <c r="AN289" s="12">
        <f t="shared" si="18"/>
        <v>507</v>
      </c>
      <c r="AQ289" s="8" t="s">
        <v>417</v>
      </c>
      <c r="AR289" t="str">
        <f t="shared" si="19"/>
        <v>Oeste - A02</v>
      </c>
    </row>
    <row r="290" spans="1:44" x14ac:dyDescent="0.2">
      <c r="A290" s="107" t="s">
        <v>5813</v>
      </c>
      <c r="B290" s="106" t="s">
        <v>5812</v>
      </c>
      <c r="C290" s="106" t="s">
        <v>5781</v>
      </c>
      <c r="D290" s="106" t="s">
        <v>2560</v>
      </c>
      <c r="E290" s="106" t="s">
        <v>5811</v>
      </c>
      <c r="F290" s="106" t="s">
        <v>600</v>
      </c>
      <c r="G290" s="106" t="s">
        <v>5810</v>
      </c>
      <c r="H290" s="105" t="s">
        <v>5809</v>
      </c>
      <c r="I290" s="105" t="s">
        <v>5808</v>
      </c>
      <c r="J290" s="104">
        <v>0.25</v>
      </c>
      <c r="K290" s="103" t="s">
        <v>422</v>
      </c>
      <c r="L290" s="102" t="s">
        <v>507</v>
      </c>
      <c r="M290" s="95"/>
      <c r="N290" s="14"/>
      <c r="O290" s="94">
        <v>34</v>
      </c>
      <c r="P290" s="14" t="s">
        <v>596</v>
      </c>
      <c r="Q290" s="14" t="s">
        <v>505</v>
      </c>
      <c r="R290" s="14" t="s">
        <v>496</v>
      </c>
      <c r="S290" s="15">
        <v>7</v>
      </c>
      <c r="T290" s="15">
        <v>0</v>
      </c>
      <c r="U290" s="15">
        <v>0</v>
      </c>
      <c r="V290" s="14">
        <v>2027</v>
      </c>
      <c r="W290" s="12">
        <v>0</v>
      </c>
      <c r="X290" s="12">
        <v>0</v>
      </c>
      <c r="Y290" s="12">
        <v>0.25</v>
      </c>
      <c r="Z290" s="12">
        <v>0</v>
      </c>
      <c r="AA290" s="12">
        <v>0</v>
      </c>
      <c r="AB290" s="13">
        <f t="shared" si="16"/>
        <v>0</v>
      </c>
      <c r="AE290" s="12">
        <v>0</v>
      </c>
      <c r="AF290" s="12">
        <v>0</v>
      </c>
      <c r="AG290" s="12">
        <v>0.25</v>
      </c>
      <c r="AH290" s="12">
        <v>0</v>
      </c>
      <c r="AI290" s="12">
        <v>0</v>
      </c>
      <c r="AJ290" s="13">
        <f t="shared" si="17"/>
        <v>0</v>
      </c>
      <c r="AN290" s="12">
        <f t="shared" si="18"/>
        <v>507</v>
      </c>
      <c r="AQ290" s="8" t="s">
        <v>417</v>
      </c>
      <c r="AR290" t="str">
        <f t="shared" si="19"/>
        <v>Oeste - A02</v>
      </c>
    </row>
    <row r="291" spans="1:44" x14ac:dyDescent="0.2">
      <c r="A291" s="107" t="s">
        <v>5807</v>
      </c>
      <c r="B291" s="106" t="s">
        <v>5806</v>
      </c>
      <c r="C291" s="106" t="s">
        <v>5781</v>
      </c>
      <c r="D291" s="106" t="s">
        <v>5680</v>
      </c>
      <c r="E291" s="106" t="s">
        <v>5786</v>
      </c>
      <c r="F291" s="106" t="s">
        <v>590</v>
      </c>
      <c r="G291" s="106" t="s">
        <v>5805</v>
      </c>
      <c r="H291" s="105" t="s">
        <v>5804</v>
      </c>
      <c r="I291" s="105" t="s">
        <v>5803</v>
      </c>
      <c r="J291" s="104">
        <v>0.92</v>
      </c>
      <c r="K291" s="103" t="s">
        <v>422</v>
      </c>
      <c r="L291" s="102" t="s">
        <v>507</v>
      </c>
      <c r="M291" s="95"/>
      <c r="N291" s="14"/>
      <c r="O291" s="94">
        <v>34</v>
      </c>
      <c r="P291" s="14" t="s">
        <v>586</v>
      </c>
      <c r="Q291" s="14" t="s">
        <v>505</v>
      </c>
      <c r="R291" s="14" t="s">
        <v>496</v>
      </c>
      <c r="S291" s="15">
        <v>7</v>
      </c>
      <c r="T291" s="15">
        <v>0</v>
      </c>
      <c r="U291" s="15">
        <v>0</v>
      </c>
      <c r="V291" s="14">
        <v>1316</v>
      </c>
      <c r="W291" s="12">
        <v>0</v>
      </c>
      <c r="X291" s="12">
        <v>0.92</v>
      </c>
      <c r="Y291" s="12">
        <v>0</v>
      </c>
      <c r="Z291" s="12">
        <v>0</v>
      </c>
      <c r="AA291" s="12">
        <v>0</v>
      </c>
      <c r="AB291" s="13">
        <f t="shared" si="16"/>
        <v>0</v>
      </c>
      <c r="AE291" s="12">
        <v>0</v>
      </c>
      <c r="AF291" s="12">
        <v>0.92</v>
      </c>
      <c r="AG291" s="12">
        <v>0</v>
      </c>
      <c r="AH291" s="12">
        <v>0</v>
      </c>
      <c r="AI291" s="12">
        <v>0</v>
      </c>
      <c r="AJ291" s="13">
        <f t="shared" si="17"/>
        <v>0</v>
      </c>
      <c r="AN291" s="12">
        <f t="shared" si="18"/>
        <v>1211</v>
      </c>
      <c r="AQ291" s="8" t="s">
        <v>417</v>
      </c>
      <c r="AR291" t="str">
        <f t="shared" si="19"/>
        <v>Oeste - A02</v>
      </c>
    </row>
    <row r="292" spans="1:44" x14ac:dyDescent="0.2">
      <c r="A292" s="107" t="s">
        <v>5802</v>
      </c>
      <c r="B292" s="106" t="s">
        <v>5801</v>
      </c>
      <c r="C292" s="106" t="s">
        <v>5781</v>
      </c>
      <c r="D292" s="106" t="s">
        <v>3509</v>
      </c>
      <c r="E292" s="106" t="s">
        <v>5779</v>
      </c>
      <c r="F292" s="106" t="s">
        <v>490</v>
      </c>
      <c r="G292" s="106" t="s">
        <v>5800</v>
      </c>
      <c r="H292" s="105" t="s">
        <v>5799</v>
      </c>
      <c r="I292" s="105" t="s">
        <v>5795</v>
      </c>
      <c r="J292" s="104">
        <v>9.56</v>
      </c>
      <c r="K292" s="103" t="s">
        <v>425</v>
      </c>
      <c r="L292" s="102" t="s">
        <v>507</v>
      </c>
      <c r="M292" s="95"/>
      <c r="N292" s="14"/>
      <c r="O292" s="94">
        <v>37</v>
      </c>
      <c r="P292" s="14" t="s">
        <v>485</v>
      </c>
      <c r="Q292" s="14" t="s">
        <v>497</v>
      </c>
      <c r="R292" s="14" t="s">
        <v>496</v>
      </c>
      <c r="S292" s="15">
        <v>7.15</v>
      </c>
      <c r="T292" s="15">
        <v>0</v>
      </c>
      <c r="U292" s="15">
        <v>0</v>
      </c>
      <c r="V292" s="14">
        <v>838</v>
      </c>
      <c r="W292" s="12">
        <v>0</v>
      </c>
      <c r="X292" s="12">
        <v>0</v>
      </c>
      <c r="Y292" s="12">
        <v>0</v>
      </c>
      <c r="Z292" s="12">
        <v>9.56</v>
      </c>
      <c r="AA292" s="12">
        <v>0</v>
      </c>
      <c r="AB292" s="13">
        <f t="shared" si="16"/>
        <v>0</v>
      </c>
      <c r="AE292" s="12">
        <v>0</v>
      </c>
      <c r="AF292" s="12">
        <v>0</v>
      </c>
      <c r="AG292" s="12">
        <v>0</v>
      </c>
      <c r="AH292" s="12">
        <v>9.56</v>
      </c>
      <c r="AI292" s="12">
        <v>0</v>
      </c>
      <c r="AJ292" s="13">
        <f t="shared" si="17"/>
        <v>0</v>
      </c>
      <c r="AN292" s="12">
        <f t="shared" si="18"/>
        <v>8012</v>
      </c>
      <c r="AQ292" s="8" t="s">
        <v>417</v>
      </c>
      <c r="AR292" t="str">
        <f t="shared" si="19"/>
        <v>Oeste - A05</v>
      </c>
    </row>
    <row r="293" spans="1:44" x14ac:dyDescent="0.2">
      <c r="A293" s="107" t="s">
        <v>5798</v>
      </c>
      <c r="B293" s="106" t="s">
        <v>5797</v>
      </c>
      <c r="C293" s="106" t="s">
        <v>5781</v>
      </c>
      <c r="D293" s="106" t="s">
        <v>3504</v>
      </c>
      <c r="E293" s="106" t="s">
        <v>5779</v>
      </c>
      <c r="F293" s="106" t="s">
        <v>490</v>
      </c>
      <c r="G293" s="106" t="s">
        <v>5796</v>
      </c>
      <c r="H293" s="105" t="s">
        <v>5795</v>
      </c>
      <c r="I293" s="105" t="s">
        <v>5790</v>
      </c>
      <c r="J293" s="104">
        <v>0.37</v>
      </c>
      <c r="K293" s="103" t="s">
        <v>425</v>
      </c>
      <c r="L293" s="102" t="s">
        <v>507</v>
      </c>
      <c r="M293" s="95"/>
      <c r="N293" s="14"/>
      <c r="O293" s="94">
        <v>37</v>
      </c>
      <c r="P293" s="14" t="s">
        <v>485</v>
      </c>
      <c r="Q293" s="14" t="s">
        <v>497</v>
      </c>
      <c r="R293" s="14" t="s">
        <v>496</v>
      </c>
      <c r="S293" s="15">
        <v>7.6</v>
      </c>
      <c r="T293" s="15">
        <v>2.4</v>
      </c>
      <c r="U293" s="15">
        <v>0</v>
      </c>
      <c r="V293" s="14">
        <v>838</v>
      </c>
      <c r="W293" s="12">
        <v>0</v>
      </c>
      <c r="X293" s="12">
        <v>0</v>
      </c>
      <c r="Y293" s="12">
        <v>0</v>
      </c>
      <c r="Z293" s="12">
        <v>0.37</v>
      </c>
      <c r="AA293" s="12">
        <v>0</v>
      </c>
      <c r="AB293" s="13">
        <f t="shared" si="16"/>
        <v>0</v>
      </c>
      <c r="AE293" s="12">
        <v>0</v>
      </c>
      <c r="AF293" s="12">
        <v>0</v>
      </c>
      <c r="AG293" s="12">
        <v>0</v>
      </c>
      <c r="AH293" s="12">
        <v>0.37</v>
      </c>
      <c r="AI293" s="12">
        <v>0</v>
      </c>
      <c r="AJ293" s="13">
        <f t="shared" si="17"/>
        <v>0</v>
      </c>
      <c r="AN293" s="12">
        <f t="shared" si="18"/>
        <v>311</v>
      </c>
      <c r="AQ293" s="8" t="s">
        <v>417</v>
      </c>
      <c r="AR293" t="str">
        <f t="shared" si="19"/>
        <v>Oeste - A05</v>
      </c>
    </row>
    <row r="294" spans="1:44" x14ac:dyDescent="0.2">
      <c r="A294" s="107" t="s">
        <v>5794</v>
      </c>
      <c r="B294" s="106" t="s">
        <v>5793</v>
      </c>
      <c r="C294" s="106" t="s">
        <v>5781</v>
      </c>
      <c r="D294" s="106" t="s">
        <v>5792</v>
      </c>
      <c r="E294" s="106" t="s">
        <v>5779</v>
      </c>
      <c r="F294" s="106" t="s">
        <v>490</v>
      </c>
      <c r="G294" s="106" t="s">
        <v>5791</v>
      </c>
      <c r="H294" s="105" t="s">
        <v>5790</v>
      </c>
      <c r="I294" s="105" t="s">
        <v>5784</v>
      </c>
      <c r="J294" s="104">
        <v>8.9600000000000009</v>
      </c>
      <c r="K294" s="103" t="s">
        <v>425</v>
      </c>
      <c r="L294" s="102" t="s">
        <v>507</v>
      </c>
      <c r="M294" s="95"/>
      <c r="N294" s="14"/>
      <c r="O294" s="94">
        <v>37</v>
      </c>
      <c r="P294" s="14" t="s">
        <v>485</v>
      </c>
      <c r="Q294" s="14" t="s">
        <v>497</v>
      </c>
      <c r="R294" s="14" t="s">
        <v>496</v>
      </c>
      <c r="S294" s="15">
        <v>7.3</v>
      </c>
      <c r="T294" s="15">
        <v>0</v>
      </c>
      <c r="U294" s="15">
        <v>0</v>
      </c>
      <c r="V294" s="14">
        <v>800</v>
      </c>
      <c r="W294" s="12">
        <v>0</v>
      </c>
      <c r="X294" s="12">
        <v>0</v>
      </c>
      <c r="Y294" s="12">
        <v>0</v>
      </c>
      <c r="Z294" s="12">
        <v>8.9600000000000009</v>
      </c>
      <c r="AA294" s="12">
        <v>0</v>
      </c>
      <c r="AB294" s="13">
        <f t="shared" si="16"/>
        <v>0</v>
      </c>
      <c r="AE294" s="12">
        <v>0</v>
      </c>
      <c r="AF294" s="12">
        <v>0</v>
      </c>
      <c r="AG294" s="12">
        <v>0</v>
      </c>
      <c r="AH294" s="12">
        <v>8.9600000000000009</v>
      </c>
      <c r="AI294" s="12">
        <v>0</v>
      </c>
      <c r="AJ294" s="13">
        <f t="shared" si="17"/>
        <v>0</v>
      </c>
      <c r="AN294" s="12">
        <f t="shared" si="18"/>
        <v>7168</v>
      </c>
      <c r="AQ294" s="8" t="s">
        <v>417</v>
      </c>
      <c r="AR294" t="str">
        <f t="shared" si="19"/>
        <v>Oeste - A05</v>
      </c>
    </row>
    <row r="295" spans="1:44" x14ac:dyDescent="0.2">
      <c r="A295" s="107" t="s">
        <v>5789</v>
      </c>
      <c r="B295" s="106" t="s">
        <v>5788</v>
      </c>
      <c r="C295" s="106" t="s">
        <v>5781</v>
      </c>
      <c r="D295" s="106" t="s">
        <v>5787</v>
      </c>
      <c r="E295" s="106" t="s">
        <v>5786</v>
      </c>
      <c r="F295" s="106" t="s">
        <v>590</v>
      </c>
      <c r="G295" s="106" t="s">
        <v>5785</v>
      </c>
      <c r="H295" s="105" t="s">
        <v>5784</v>
      </c>
      <c r="I295" s="105" t="s">
        <v>5777</v>
      </c>
      <c r="J295" s="104">
        <v>2.16</v>
      </c>
      <c r="K295" s="103" t="s">
        <v>425</v>
      </c>
      <c r="L295" s="102" t="s">
        <v>507</v>
      </c>
      <c r="M295" s="95"/>
      <c r="N295" s="14"/>
      <c r="O295" s="94">
        <v>37</v>
      </c>
      <c r="P295" s="14" t="s">
        <v>586</v>
      </c>
      <c r="Q295" s="14" t="s">
        <v>691</v>
      </c>
      <c r="R295" s="14" t="s">
        <v>496</v>
      </c>
      <c r="S295" s="15">
        <v>15.3</v>
      </c>
      <c r="T295" s="15">
        <v>0</v>
      </c>
      <c r="U295" s="15">
        <v>0</v>
      </c>
      <c r="V295" s="14">
        <v>978</v>
      </c>
      <c r="W295" s="12">
        <v>0</v>
      </c>
      <c r="X295" s="12">
        <v>0</v>
      </c>
      <c r="Y295" s="12">
        <v>0</v>
      </c>
      <c r="Z295" s="12">
        <v>2.16</v>
      </c>
      <c r="AA295" s="12">
        <v>0</v>
      </c>
      <c r="AB295" s="13">
        <f t="shared" si="16"/>
        <v>0</v>
      </c>
      <c r="AE295" s="12">
        <v>0</v>
      </c>
      <c r="AF295" s="12">
        <v>0</v>
      </c>
      <c r="AG295" s="12">
        <v>0</v>
      </c>
      <c r="AH295" s="12">
        <v>2.16</v>
      </c>
      <c r="AI295" s="12">
        <v>0</v>
      </c>
      <c r="AJ295" s="13">
        <f t="shared" si="17"/>
        <v>0</v>
      </c>
      <c r="AN295" s="12">
        <f t="shared" si="18"/>
        <v>2113</v>
      </c>
      <c r="AQ295" s="8" t="s">
        <v>417</v>
      </c>
      <c r="AR295" t="str">
        <f t="shared" si="19"/>
        <v>Oeste - A05</v>
      </c>
    </row>
    <row r="296" spans="1:44" x14ac:dyDescent="0.2">
      <c r="A296" s="107" t="s">
        <v>5783</v>
      </c>
      <c r="B296" s="106" t="s">
        <v>5782</v>
      </c>
      <c r="C296" s="106" t="s">
        <v>5781</v>
      </c>
      <c r="D296" s="106" t="s">
        <v>5780</v>
      </c>
      <c r="E296" s="106" t="s">
        <v>5779</v>
      </c>
      <c r="F296" s="106" t="s">
        <v>490</v>
      </c>
      <c r="G296" s="106" t="s">
        <v>5778</v>
      </c>
      <c r="H296" s="105" t="s">
        <v>5777</v>
      </c>
      <c r="I296" s="105" t="s">
        <v>5776</v>
      </c>
      <c r="J296" s="104">
        <v>9.81</v>
      </c>
      <c r="K296" s="103" t="s">
        <v>425</v>
      </c>
      <c r="L296" s="102" t="s">
        <v>507</v>
      </c>
      <c r="M296" s="95"/>
      <c r="N296" s="14"/>
      <c r="O296" s="94">
        <v>37</v>
      </c>
      <c r="P296" s="14" t="s">
        <v>485</v>
      </c>
      <c r="Q296" s="14" t="s">
        <v>497</v>
      </c>
      <c r="R296" s="14" t="s">
        <v>496</v>
      </c>
      <c r="S296" s="15">
        <v>7.3</v>
      </c>
      <c r="T296" s="15">
        <v>0</v>
      </c>
      <c r="U296" s="15">
        <v>0</v>
      </c>
      <c r="V296" s="14">
        <v>530</v>
      </c>
      <c r="W296" s="12">
        <v>0</v>
      </c>
      <c r="X296" s="12">
        <v>0</v>
      </c>
      <c r="Y296" s="12">
        <v>0</v>
      </c>
      <c r="Z296" s="12">
        <v>9.81</v>
      </c>
      <c r="AA296" s="12">
        <v>0</v>
      </c>
      <c r="AB296" s="13">
        <f t="shared" si="16"/>
        <v>0</v>
      </c>
      <c r="AE296" s="12">
        <v>0</v>
      </c>
      <c r="AF296" s="12">
        <v>0</v>
      </c>
      <c r="AG296" s="12">
        <v>0</v>
      </c>
      <c r="AH296" s="12">
        <v>9.81</v>
      </c>
      <c r="AI296" s="12">
        <v>0</v>
      </c>
      <c r="AJ296" s="13">
        <f t="shared" si="17"/>
        <v>0</v>
      </c>
      <c r="AN296" s="12">
        <f t="shared" si="18"/>
        <v>5200</v>
      </c>
      <c r="AQ296" s="8" t="s">
        <v>417</v>
      </c>
      <c r="AR296" t="str">
        <f t="shared" si="19"/>
        <v>Oeste - A05</v>
      </c>
    </row>
    <row r="297" spans="1:44" x14ac:dyDescent="0.2">
      <c r="A297" s="107" t="s">
        <v>5775</v>
      </c>
      <c r="B297" s="106" t="s">
        <v>5774</v>
      </c>
      <c r="C297" s="106" t="s">
        <v>5519</v>
      </c>
      <c r="D297" s="106" t="s">
        <v>492</v>
      </c>
      <c r="E297" s="106" t="s">
        <v>5524</v>
      </c>
      <c r="F297" s="106" t="s">
        <v>490</v>
      </c>
      <c r="G297" s="106" t="s">
        <v>5773</v>
      </c>
      <c r="H297" s="105" t="s">
        <v>5350</v>
      </c>
      <c r="I297" s="105" t="s">
        <v>5769</v>
      </c>
      <c r="J297" s="104">
        <v>10.52</v>
      </c>
      <c r="K297" s="103" t="s">
        <v>429</v>
      </c>
      <c r="L297" s="102" t="s">
        <v>486</v>
      </c>
      <c r="M297" s="95"/>
      <c r="N297" s="14"/>
      <c r="O297" s="94">
        <v>21</v>
      </c>
      <c r="P297" s="14" t="s">
        <v>485</v>
      </c>
      <c r="Q297" s="14" t="s">
        <v>497</v>
      </c>
      <c r="R297" s="14" t="s">
        <v>496</v>
      </c>
      <c r="S297" s="15">
        <v>6.6</v>
      </c>
      <c r="T297" s="15">
        <v>2</v>
      </c>
      <c r="U297" s="15">
        <v>0</v>
      </c>
      <c r="V297" s="14">
        <v>2086</v>
      </c>
      <c r="W297" s="12">
        <v>1</v>
      </c>
      <c r="X297" s="12">
        <v>0</v>
      </c>
      <c r="Y297" s="12">
        <v>0</v>
      </c>
      <c r="Z297" s="12">
        <v>9.516</v>
      </c>
      <c r="AA297" s="12">
        <v>0</v>
      </c>
      <c r="AB297" s="13">
        <f t="shared" si="16"/>
        <v>-3.9999999999995595E-3</v>
      </c>
      <c r="AE297" s="12">
        <v>1</v>
      </c>
      <c r="AF297" s="12">
        <v>0</v>
      </c>
      <c r="AG297" s="12">
        <v>0</v>
      </c>
      <c r="AH297" s="12">
        <v>9.516</v>
      </c>
      <c r="AI297" s="12">
        <v>0</v>
      </c>
      <c r="AJ297" s="13">
        <f t="shared" si="17"/>
        <v>-3.9999999999995595E-3</v>
      </c>
      <c r="AN297" s="12">
        <f t="shared" si="18"/>
        <v>21945</v>
      </c>
      <c r="AQ297" s="8" t="s">
        <v>419</v>
      </c>
      <c r="AR297" t="str">
        <f t="shared" si="19"/>
        <v>Norte - A09</v>
      </c>
    </row>
    <row r="298" spans="1:44" x14ac:dyDescent="0.2">
      <c r="A298" s="107" t="s">
        <v>5772</v>
      </c>
      <c r="B298" s="106" t="s">
        <v>5771</v>
      </c>
      <c r="C298" s="106" t="s">
        <v>5519</v>
      </c>
      <c r="D298" s="106" t="s">
        <v>592</v>
      </c>
      <c r="E298" s="106" t="s">
        <v>5517</v>
      </c>
      <c r="F298" s="106" t="s">
        <v>590</v>
      </c>
      <c r="G298" s="106" t="s">
        <v>5770</v>
      </c>
      <c r="H298" s="105" t="s">
        <v>5769</v>
      </c>
      <c r="I298" s="105" t="s">
        <v>5765</v>
      </c>
      <c r="J298" s="104">
        <v>2.17</v>
      </c>
      <c r="K298" s="103" t="s">
        <v>429</v>
      </c>
      <c r="L298" s="102" t="s">
        <v>486</v>
      </c>
      <c r="M298" s="95"/>
      <c r="N298" s="14"/>
      <c r="O298" s="94">
        <v>21</v>
      </c>
      <c r="P298" s="14" t="s">
        <v>586</v>
      </c>
      <c r="Q298" s="14" t="s">
        <v>497</v>
      </c>
      <c r="R298" s="14" t="s">
        <v>496</v>
      </c>
      <c r="S298" s="15">
        <v>7.4</v>
      </c>
      <c r="T298" s="15">
        <v>2.5</v>
      </c>
      <c r="U298" s="15">
        <v>0</v>
      </c>
      <c r="V298" s="14">
        <v>327</v>
      </c>
      <c r="W298" s="12">
        <v>0</v>
      </c>
      <c r="X298" s="12">
        <v>0</v>
      </c>
      <c r="Y298" s="12">
        <v>0</v>
      </c>
      <c r="Z298" s="12">
        <v>2.58</v>
      </c>
      <c r="AA298" s="12">
        <v>0</v>
      </c>
      <c r="AB298" s="13">
        <f t="shared" si="16"/>
        <v>0.41000000000000014</v>
      </c>
      <c r="AE298" s="12">
        <f t="shared" ref="AE298:AI299" si="20">IF(W298=0,0,W298-$AB298)</f>
        <v>0</v>
      </c>
      <c r="AF298" s="12">
        <f t="shared" si="20"/>
        <v>0</v>
      </c>
      <c r="AG298" s="12">
        <f t="shared" si="20"/>
        <v>0</v>
      </c>
      <c r="AH298" s="12">
        <f t="shared" si="20"/>
        <v>2.17</v>
      </c>
      <c r="AI298" s="12">
        <f t="shared" si="20"/>
        <v>0</v>
      </c>
      <c r="AJ298" s="13">
        <f t="shared" si="17"/>
        <v>0</v>
      </c>
      <c r="AN298" s="12">
        <f t="shared" si="18"/>
        <v>710</v>
      </c>
      <c r="AQ298" s="8" t="s">
        <v>419</v>
      </c>
      <c r="AR298" t="str">
        <f t="shared" si="19"/>
        <v>Norte - A09</v>
      </c>
    </row>
    <row r="299" spans="1:44" x14ac:dyDescent="0.2">
      <c r="A299" s="107" t="s">
        <v>5768</v>
      </c>
      <c r="B299" s="106" t="s">
        <v>5767</v>
      </c>
      <c r="C299" s="106" t="s">
        <v>5519</v>
      </c>
      <c r="D299" s="106" t="s">
        <v>1100</v>
      </c>
      <c r="E299" s="106" t="s">
        <v>5517</v>
      </c>
      <c r="F299" s="106" t="s">
        <v>590</v>
      </c>
      <c r="G299" s="106" t="s">
        <v>5766</v>
      </c>
      <c r="H299" s="105" t="s">
        <v>5765</v>
      </c>
      <c r="I299" s="105" t="s">
        <v>5761</v>
      </c>
      <c r="J299" s="104">
        <v>2.13</v>
      </c>
      <c r="K299" s="103" t="s">
        <v>429</v>
      </c>
      <c r="L299" s="102" t="s">
        <v>486</v>
      </c>
      <c r="M299" s="95"/>
      <c r="N299" s="14"/>
      <c r="O299" s="94">
        <v>21</v>
      </c>
      <c r="P299" s="14" t="s">
        <v>586</v>
      </c>
      <c r="Q299" s="14" t="s">
        <v>497</v>
      </c>
      <c r="R299" s="14" t="s">
        <v>496</v>
      </c>
      <c r="S299" s="15">
        <v>6.8</v>
      </c>
      <c r="T299" s="15">
        <v>2.5</v>
      </c>
      <c r="U299" s="15">
        <v>0</v>
      </c>
      <c r="V299" s="14">
        <v>327</v>
      </c>
      <c r="W299" s="12">
        <v>0</v>
      </c>
      <c r="X299" s="12">
        <v>0</v>
      </c>
      <c r="Y299" s="12">
        <v>0</v>
      </c>
      <c r="Z299" s="12">
        <v>1.72</v>
      </c>
      <c r="AA299" s="12">
        <v>0</v>
      </c>
      <c r="AB299" s="13">
        <f t="shared" si="16"/>
        <v>-0.40999999999999992</v>
      </c>
      <c r="AE299" s="12">
        <f t="shared" si="20"/>
        <v>0</v>
      </c>
      <c r="AF299" s="12">
        <f t="shared" si="20"/>
        <v>0</v>
      </c>
      <c r="AG299" s="12">
        <f t="shared" si="20"/>
        <v>0</v>
      </c>
      <c r="AH299" s="12">
        <f t="shared" si="20"/>
        <v>2.13</v>
      </c>
      <c r="AI299" s="12">
        <f t="shared" si="20"/>
        <v>0</v>
      </c>
      <c r="AJ299" s="13">
        <f t="shared" si="17"/>
        <v>0</v>
      </c>
      <c r="AN299" s="12">
        <f t="shared" si="18"/>
        <v>697</v>
      </c>
      <c r="AQ299" s="8" t="s">
        <v>419</v>
      </c>
      <c r="AR299" t="str">
        <f t="shared" si="19"/>
        <v>Norte - A09</v>
      </c>
    </row>
    <row r="300" spans="1:44" x14ac:dyDescent="0.2">
      <c r="A300" s="107" t="s">
        <v>5764</v>
      </c>
      <c r="B300" s="106" t="s">
        <v>5763</v>
      </c>
      <c r="C300" s="106" t="s">
        <v>5519</v>
      </c>
      <c r="D300" s="106" t="s">
        <v>519</v>
      </c>
      <c r="E300" s="106" t="s">
        <v>5524</v>
      </c>
      <c r="F300" s="106" t="s">
        <v>490</v>
      </c>
      <c r="G300" s="106" t="s">
        <v>5762</v>
      </c>
      <c r="H300" s="105" t="s">
        <v>5761</v>
      </c>
      <c r="I300" s="105" t="s">
        <v>5757</v>
      </c>
      <c r="J300" s="104">
        <v>1.66</v>
      </c>
      <c r="K300" s="103" t="s">
        <v>429</v>
      </c>
      <c r="L300" s="102" t="s">
        <v>486</v>
      </c>
      <c r="M300" s="95"/>
      <c r="N300" s="14"/>
      <c r="O300" s="94">
        <v>21</v>
      </c>
      <c r="P300" s="14" t="s">
        <v>485</v>
      </c>
      <c r="Q300" s="14" t="s">
        <v>497</v>
      </c>
      <c r="R300" s="14" t="s">
        <v>496</v>
      </c>
      <c r="S300" s="15">
        <v>6.6</v>
      </c>
      <c r="T300" s="15">
        <v>2</v>
      </c>
      <c r="U300" s="15">
        <v>0</v>
      </c>
      <c r="V300" s="14">
        <v>439</v>
      </c>
      <c r="W300" s="12">
        <v>0</v>
      </c>
      <c r="X300" s="12">
        <v>0</v>
      </c>
      <c r="Y300" s="12">
        <v>0</v>
      </c>
      <c r="Z300" s="12">
        <v>1.66</v>
      </c>
      <c r="AA300" s="12">
        <v>0</v>
      </c>
      <c r="AB300" s="13">
        <f t="shared" si="16"/>
        <v>0</v>
      </c>
      <c r="AE300" s="12">
        <v>0</v>
      </c>
      <c r="AF300" s="12">
        <v>0</v>
      </c>
      <c r="AG300" s="12">
        <v>0</v>
      </c>
      <c r="AH300" s="12">
        <v>1.66</v>
      </c>
      <c r="AI300" s="12">
        <v>0</v>
      </c>
      <c r="AJ300" s="13">
        <f t="shared" si="17"/>
        <v>0</v>
      </c>
      <c r="AN300" s="12">
        <f t="shared" si="18"/>
        <v>729</v>
      </c>
      <c r="AQ300" s="8" t="s">
        <v>419</v>
      </c>
      <c r="AR300" t="str">
        <f t="shared" si="19"/>
        <v>Norte - A09</v>
      </c>
    </row>
    <row r="301" spans="1:44" x14ac:dyDescent="0.2">
      <c r="A301" s="107" t="s">
        <v>5760</v>
      </c>
      <c r="B301" s="106" t="s">
        <v>5759</v>
      </c>
      <c r="C301" s="106" t="s">
        <v>5519</v>
      </c>
      <c r="D301" s="106" t="s">
        <v>513</v>
      </c>
      <c r="E301" s="106" t="s">
        <v>5524</v>
      </c>
      <c r="F301" s="106" t="s">
        <v>490</v>
      </c>
      <c r="G301" s="106" t="s">
        <v>5758</v>
      </c>
      <c r="H301" s="105" t="s">
        <v>5757</v>
      </c>
      <c r="I301" s="105" t="s">
        <v>5753</v>
      </c>
      <c r="J301" s="104">
        <v>19.75</v>
      </c>
      <c r="K301" s="103" t="s">
        <v>429</v>
      </c>
      <c r="L301" s="102" t="s">
        <v>486</v>
      </c>
      <c r="M301" s="95"/>
      <c r="N301" s="14"/>
      <c r="O301" s="94">
        <v>21</v>
      </c>
      <c r="P301" s="14" t="s">
        <v>485</v>
      </c>
      <c r="Q301" s="14" t="s">
        <v>497</v>
      </c>
      <c r="R301" s="14" t="s">
        <v>496</v>
      </c>
      <c r="S301" s="15">
        <v>6.6</v>
      </c>
      <c r="T301" s="15">
        <v>2</v>
      </c>
      <c r="U301" s="15">
        <v>0</v>
      </c>
      <c r="V301" s="14">
        <v>3375</v>
      </c>
      <c r="W301" s="12">
        <v>0</v>
      </c>
      <c r="X301" s="12">
        <v>0</v>
      </c>
      <c r="Y301" s="12">
        <v>3</v>
      </c>
      <c r="Z301" s="12">
        <v>16.75</v>
      </c>
      <c r="AA301" s="12">
        <v>0</v>
      </c>
      <c r="AB301" s="13">
        <f t="shared" si="16"/>
        <v>0</v>
      </c>
      <c r="AE301" s="12">
        <v>0</v>
      </c>
      <c r="AF301" s="12">
        <v>0</v>
      </c>
      <c r="AG301" s="12">
        <v>3</v>
      </c>
      <c r="AH301" s="12">
        <v>16.75</v>
      </c>
      <c r="AI301" s="12">
        <v>0</v>
      </c>
      <c r="AJ301" s="13">
        <f t="shared" si="17"/>
        <v>0</v>
      </c>
      <c r="AN301" s="12">
        <f t="shared" si="18"/>
        <v>66657</v>
      </c>
      <c r="AQ301" s="8" t="s">
        <v>419</v>
      </c>
      <c r="AR301" t="str">
        <f t="shared" si="19"/>
        <v>Norte - A09</v>
      </c>
    </row>
    <row r="302" spans="1:44" x14ac:dyDescent="0.2">
      <c r="A302" s="107" t="s">
        <v>5756</v>
      </c>
      <c r="B302" s="106" t="s">
        <v>5755</v>
      </c>
      <c r="C302" s="106" t="s">
        <v>5519</v>
      </c>
      <c r="D302" s="106" t="s">
        <v>1324</v>
      </c>
      <c r="E302" s="106" t="s">
        <v>5517</v>
      </c>
      <c r="F302" s="106" t="s">
        <v>590</v>
      </c>
      <c r="G302" s="106" t="s">
        <v>5754</v>
      </c>
      <c r="H302" s="105" t="s">
        <v>5753</v>
      </c>
      <c r="I302" s="105" t="s">
        <v>5752</v>
      </c>
      <c r="J302" s="104">
        <v>1.42</v>
      </c>
      <c r="K302" s="103" t="s">
        <v>429</v>
      </c>
      <c r="L302" s="102" t="s">
        <v>486</v>
      </c>
      <c r="M302" s="95"/>
      <c r="N302" s="14"/>
      <c r="O302" s="94">
        <v>21</v>
      </c>
      <c r="P302" s="14" t="s">
        <v>586</v>
      </c>
      <c r="Q302" s="14" t="s">
        <v>497</v>
      </c>
      <c r="R302" s="14" t="s">
        <v>496</v>
      </c>
      <c r="S302" s="15">
        <v>7.2</v>
      </c>
      <c r="T302" s="15">
        <v>2.5</v>
      </c>
      <c r="U302" s="15">
        <v>0</v>
      </c>
      <c r="V302" s="14">
        <v>328</v>
      </c>
      <c r="W302" s="12">
        <v>0</v>
      </c>
      <c r="X302" s="12">
        <v>0</v>
      </c>
      <c r="Y302" s="12">
        <v>0</v>
      </c>
      <c r="Z302" s="12">
        <v>1.42</v>
      </c>
      <c r="AA302" s="12">
        <v>0</v>
      </c>
      <c r="AB302" s="13">
        <f t="shared" si="16"/>
        <v>0</v>
      </c>
      <c r="AE302" s="12">
        <v>0</v>
      </c>
      <c r="AF302" s="12">
        <v>0</v>
      </c>
      <c r="AG302" s="12">
        <v>0</v>
      </c>
      <c r="AH302" s="12">
        <v>1.42</v>
      </c>
      <c r="AI302" s="12">
        <v>0</v>
      </c>
      <c r="AJ302" s="13">
        <f t="shared" si="17"/>
        <v>0</v>
      </c>
      <c r="AN302" s="12">
        <f t="shared" si="18"/>
        <v>466</v>
      </c>
      <c r="AQ302" s="8" t="s">
        <v>419</v>
      </c>
      <c r="AR302" t="str">
        <f t="shared" si="19"/>
        <v>Norte - A09</v>
      </c>
    </row>
    <row r="303" spans="1:44" x14ac:dyDescent="0.2">
      <c r="A303" s="107" t="s">
        <v>5751</v>
      </c>
      <c r="B303" s="106" t="s">
        <v>5750</v>
      </c>
      <c r="C303" s="106" t="s">
        <v>5519</v>
      </c>
      <c r="D303" s="106" t="s">
        <v>965</v>
      </c>
      <c r="E303" s="106" t="s">
        <v>5524</v>
      </c>
      <c r="F303" s="106" t="s">
        <v>490</v>
      </c>
      <c r="G303" s="106" t="s">
        <v>5749</v>
      </c>
      <c r="H303" s="105" t="s">
        <v>5336</v>
      </c>
      <c r="I303" s="105" t="s">
        <v>5745</v>
      </c>
      <c r="J303" s="104">
        <v>11.85</v>
      </c>
      <c r="K303" s="103" t="s">
        <v>429</v>
      </c>
      <c r="L303" s="102" t="s">
        <v>486</v>
      </c>
      <c r="M303" s="95"/>
      <c r="N303" s="14"/>
      <c r="O303" s="94">
        <v>21</v>
      </c>
      <c r="P303" s="14" t="s">
        <v>485</v>
      </c>
      <c r="Q303" s="14" t="s">
        <v>865</v>
      </c>
      <c r="R303" s="14" t="s">
        <v>1258</v>
      </c>
      <c r="S303" s="15">
        <v>6.6</v>
      </c>
      <c r="T303" s="15">
        <v>1.2</v>
      </c>
      <c r="U303" s="15">
        <v>0</v>
      </c>
      <c r="V303" s="14">
        <v>2111</v>
      </c>
      <c r="W303" s="12">
        <v>0</v>
      </c>
      <c r="X303" s="12">
        <v>0</v>
      </c>
      <c r="Y303" s="12">
        <v>4</v>
      </c>
      <c r="Z303" s="12">
        <v>7.85</v>
      </c>
      <c r="AA303" s="12">
        <v>0</v>
      </c>
      <c r="AB303" s="13">
        <f t="shared" si="16"/>
        <v>0</v>
      </c>
      <c r="AE303" s="12">
        <v>0</v>
      </c>
      <c r="AF303" s="12">
        <v>0</v>
      </c>
      <c r="AG303" s="12">
        <v>4</v>
      </c>
      <c r="AH303" s="12">
        <v>7.85</v>
      </c>
      <c r="AI303" s="12">
        <v>0</v>
      </c>
      <c r="AJ303" s="13">
        <f t="shared" si="17"/>
        <v>0</v>
      </c>
      <c r="AN303" s="12">
        <f t="shared" si="18"/>
        <v>25016</v>
      </c>
      <c r="AQ303" s="8" t="s">
        <v>419</v>
      </c>
      <c r="AR303" t="str">
        <f t="shared" si="19"/>
        <v>Norte - A09</v>
      </c>
    </row>
    <row r="304" spans="1:44" x14ac:dyDescent="0.2">
      <c r="A304" s="107" t="s">
        <v>5748</v>
      </c>
      <c r="B304" s="106" t="s">
        <v>5747</v>
      </c>
      <c r="C304" s="106" t="s">
        <v>5519</v>
      </c>
      <c r="D304" s="106" t="s">
        <v>2145</v>
      </c>
      <c r="E304" s="106" t="s">
        <v>5524</v>
      </c>
      <c r="F304" s="106" t="s">
        <v>490</v>
      </c>
      <c r="G304" s="106" t="s">
        <v>5746</v>
      </c>
      <c r="H304" s="105" t="s">
        <v>5745</v>
      </c>
      <c r="I304" s="105" t="s">
        <v>5744</v>
      </c>
      <c r="J304" s="104">
        <v>7.74</v>
      </c>
      <c r="K304" s="103" t="s">
        <v>429</v>
      </c>
      <c r="L304" s="102" t="s">
        <v>486</v>
      </c>
      <c r="M304" s="95"/>
      <c r="N304" s="14"/>
      <c r="O304" s="94">
        <v>21</v>
      </c>
      <c r="P304" s="14" t="s">
        <v>485</v>
      </c>
      <c r="Q304" s="14" t="s">
        <v>887</v>
      </c>
      <c r="R304" s="14" t="s">
        <v>1258</v>
      </c>
      <c r="S304" s="15">
        <v>6.6</v>
      </c>
      <c r="T304" s="15">
        <v>1.2</v>
      </c>
      <c r="U304" s="15">
        <v>0</v>
      </c>
      <c r="V304" s="14">
        <v>2285</v>
      </c>
      <c r="W304" s="12">
        <v>0</v>
      </c>
      <c r="X304" s="12">
        <v>0</v>
      </c>
      <c r="Y304" s="12">
        <v>4.74</v>
      </c>
      <c r="Z304" s="12">
        <v>3</v>
      </c>
      <c r="AA304" s="12">
        <v>0</v>
      </c>
      <c r="AB304" s="13">
        <f t="shared" si="16"/>
        <v>0</v>
      </c>
      <c r="AE304" s="12">
        <v>0</v>
      </c>
      <c r="AF304" s="12">
        <v>0</v>
      </c>
      <c r="AG304" s="12">
        <v>4.74</v>
      </c>
      <c r="AH304" s="12">
        <v>3</v>
      </c>
      <c r="AI304" s="12">
        <v>0</v>
      </c>
      <c r="AJ304" s="13">
        <f t="shared" si="17"/>
        <v>0</v>
      </c>
      <c r="AN304" s="12">
        <f t="shared" si="18"/>
        <v>17686</v>
      </c>
      <c r="AQ304" s="8" t="s">
        <v>419</v>
      </c>
      <c r="AR304" t="str">
        <f t="shared" si="19"/>
        <v>Norte - A09</v>
      </c>
    </row>
    <row r="305" spans="1:44" x14ac:dyDescent="0.2">
      <c r="A305" s="107" t="s">
        <v>5743</v>
      </c>
      <c r="B305" s="106" t="s">
        <v>5742</v>
      </c>
      <c r="C305" s="106" t="s">
        <v>5519</v>
      </c>
      <c r="D305" s="106" t="s">
        <v>2825</v>
      </c>
      <c r="E305" s="106" t="s">
        <v>5524</v>
      </c>
      <c r="F305" s="106" t="s">
        <v>490</v>
      </c>
      <c r="G305" s="106" t="s">
        <v>5741</v>
      </c>
      <c r="H305" s="105" t="s">
        <v>5740</v>
      </c>
      <c r="I305" s="105" t="s">
        <v>5739</v>
      </c>
      <c r="J305" s="104">
        <v>16.100000000000001</v>
      </c>
      <c r="K305" s="103" t="s">
        <v>425</v>
      </c>
      <c r="L305" s="102" t="s">
        <v>486</v>
      </c>
      <c r="M305" s="95"/>
      <c r="N305" s="14"/>
      <c r="O305" s="94">
        <v>17</v>
      </c>
      <c r="P305" s="14" t="s">
        <v>485</v>
      </c>
      <c r="Q305" s="14" t="s">
        <v>887</v>
      </c>
      <c r="R305" s="14" t="s">
        <v>1258</v>
      </c>
      <c r="S305" s="15">
        <v>6.6</v>
      </c>
      <c r="T305" s="15">
        <v>1.2</v>
      </c>
      <c r="U305" s="15">
        <v>0</v>
      </c>
      <c r="V305" s="14">
        <v>1232</v>
      </c>
      <c r="W305" s="12">
        <v>0</v>
      </c>
      <c r="X305" s="12">
        <v>3</v>
      </c>
      <c r="Y305" s="12">
        <v>9.1000000000000014</v>
      </c>
      <c r="Z305" s="12">
        <v>4</v>
      </c>
      <c r="AA305" s="12">
        <v>0</v>
      </c>
      <c r="AB305" s="13">
        <f t="shared" si="16"/>
        <v>0</v>
      </c>
      <c r="AE305" s="12">
        <v>0</v>
      </c>
      <c r="AF305" s="12">
        <v>3</v>
      </c>
      <c r="AG305" s="12">
        <v>9.1000000000000014</v>
      </c>
      <c r="AH305" s="12">
        <v>4</v>
      </c>
      <c r="AI305" s="12">
        <v>0</v>
      </c>
      <c r="AJ305" s="13">
        <f t="shared" si="17"/>
        <v>0</v>
      </c>
      <c r="AN305" s="12">
        <f t="shared" si="18"/>
        <v>19836</v>
      </c>
      <c r="AQ305" s="8" t="s">
        <v>419</v>
      </c>
      <c r="AR305" t="str">
        <f t="shared" si="19"/>
        <v>Norte - A05</v>
      </c>
    </row>
    <row r="306" spans="1:44" x14ac:dyDescent="0.2">
      <c r="A306" s="107" t="s">
        <v>5738</v>
      </c>
      <c r="B306" s="106" t="s">
        <v>5737</v>
      </c>
      <c r="C306" s="106" t="s">
        <v>5519</v>
      </c>
      <c r="D306" s="106" t="s">
        <v>2682</v>
      </c>
      <c r="E306" s="106" t="s">
        <v>5524</v>
      </c>
      <c r="F306" s="106" t="s">
        <v>490</v>
      </c>
      <c r="G306" s="106" t="s">
        <v>5736</v>
      </c>
      <c r="H306" s="105" t="s">
        <v>5735</v>
      </c>
      <c r="I306" s="105" t="s">
        <v>5731</v>
      </c>
      <c r="J306" s="104">
        <v>1.83</v>
      </c>
      <c r="K306" s="103" t="s">
        <v>425</v>
      </c>
      <c r="L306" s="102" t="s">
        <v>486</v>
      </c>
      <c r="M306" s="95"/>
      <c r="N306" s="14"/>
      <c r="O306" s="94">
        <v>17</v>
      </c>
      <c r="P306" s="14" t="s">
        <v>485</v>
      </c>
      <c r="Q306" s="14" t="s">
        <v>887</v>
      </c>
      <c r="R306" s="14" t="s">
        <v>1258</v>
      </c>
      <c r="S306" s="15">
        <v>6.6</v>
      </c>
      <c r="T306" s="15">
        <v>1.2</v>
      </c>
      <c r="U306" s="15">
        <v>0</v>
      </c>
      <c r="V306" s="14">
        <v>272</v>
      </c>
      <c r="W306" s="12">
        <v>0</v>
      </c>
      <c r="X306" s="12">
        <v>0</v>
      </c>
      <c r="Y306" s="12">
        <v>1</v>
      </c>
      <c r="Z306" s="12">
        <v>0.83000000000000007</v>
      </c>
      <c r="AA306" s="12">
        <v>0</v>
      </c>
      <c r="AB306" s="13">
        <f t="shared" si="16"/>
        <v>0</v>
      </c>
      <c r="AE306" s="12">
        <v>0</v>
      </c>
      <c r="AF306" s="12">
        <v>0</v>
      </c>
      <c r="AG306" s="12">
        <v>1</v>
      </c>
      <c r="AH306" s="12">
        <v>0.83000000000000007</v>
      </c>
      <c r="AI306" s="12">
        <v>0</v>
      </c>
      <c r="AJ306" s="13">
        <f t="shared" si="17"/>
        <v>0</v>
      </c>
      <c r="AN306" s="12">
        <f t="shared" si="18"/>
        <v>498</v>
      </c>
      <c r="AQ306" s="8" t="s">
        <v>419</v>
      </c>
      <c r="AR306" t="str">
        <f t="shared" si="19"/>
        <v>Norte - A05</v>
      </c>
    </row>
    <row r="307" spans="1:44" x14ac:dyDescent="0.2">
      <c r="A307" s="107" t="s">
        <v>5734</v>
      </c>
      <c r="B307" s="106" t="s">
        <v>5733</v>
      </c>
      <c r="C307" s="106" t="s">
        <v>5519</v>
      </c>
      <c r="D307" s="106" t="s">
        <v>2671</v>
      </c>
      <c r="E307" s="106" t="s">
        <v>5524</v>
      </c>
      <c r="F307" s="106" t="s">
        <v>490</v>
      </c>
      <c r="G307" s="106" t="s">
        <v>5732</v>
      </c>
      <c r="H307" s="105" t="s">
        <v>5731</v>
      </c>
      <c r="I307" s="105" t="s">
        <v>5727</v>
      </c>
      <c r="J307" s="104">
        <v>10.77</v>
      </c>
      <c r="K307" s="103" t="s">
        <v>425</v>
      </c>
      <c r="L307" s="102" t="s">
        <v>486</v>
      </c>
      <c r="M307" s="95"/>
      <c r="N307" s="14"/>
      <c r="O307" s="94">
        <v>17</v>
      </c>
      <c r="P307" s="14" t="s">
        <v>485</v>
      </c>
      <c r="Q307" s="14" t="s">
        <v>887</v>
      </c>
      <c r="R307" s="14" t="s">
        <v>1258</v>
      </c>
      <c r="S307" s="15">
        <v>6.6</v>
      </c>
      <c r="T307" s="15">
        <v>0.9</v>
      </c>
      <c r="U307" s="15">
        <v>0</v>
      </c>
      <c r="V307" s="14">
        <v>272</v>
      </c>
      <c r="W307" s="12">
        <v>0</v>
      </c>
      <c r="X307" s="12">
        <v>0</v>
      </c>
      <c r="Y307" s="12">
        <v>2</v>
      </c>
      <c r="Z307" s="12">
        <v>8.77</v>
      </c>
      <c r="AA307" s="12">
        <v>0</v>
      </c>
      <c r="AB307" s="13">
        <f t="shared" si="16"/>
        <v>0</v>
      </c>
      <c r="AE307" s="12">
        <v>0</v>
      </c>
      <c r="AF307" s="12">
        <v>0</v>
      </c>
      <c r="AG307" s="12">
        <v>2</v>
      </c>
      <c r="AH307" s="12">
        <v>8.77</v>
      </c>
      <c r="AI307" s="12">
        <v>0</v>
      </c>
      <c r="AJ307" s="13">
        <f t="shared" si="17"/>
        <v>0</v>
      </c>
      <c r="AN307" s="12">
        <f t="shared" si="18"/>
        <v>2930</v>
      </c>
      <c r="AQ307" s="8" t="s">
        <v>419</v>
      </c>
      <c r="AR307" t="str">
        <f t="shared" si="19"/>
        <v>Norte - A05</v>
      </c>
    </row>
    <row r="308" spans="1:44" x14ac:dyDescent="0.2">
      <c r="A308" s="107" t="s">
        <v>5730</v>
      </c>
      <c r="B308" s="106" t="s">
        <v>5729</v>
      </c>
      <c r="C308" s="106" t="s">
        <v>5519</v>
      </c>
      <c r="D308" s="106" t="s">
        <v>2661</v>
      </c>
      <c r="E308" s="106" t="s">
        <v>5524</v>
      </c>
      <c r="F308" s="106" t="s">
        <v>490</v>
      </c>
      <c r="G308" s="106" t="s">
        <v>5728</v>
      </c>
      <c r="H308" s="105" t="s">
        <v>5727</v>
      </c>
      <c r="I308" s="105" t="s">
        <v>5723</v>
      </c>
      <c r="J308" s="104">
        <v>1.08</v>
      </c>
      <c r="K308" s="103" t="s">
        <v>425</v>
      </c>
      <c r="L308" s="102" t="s">
        <v>486</v>
      </c>
      <c r="M308" s="95"/>
      <c r="N308" s="14"/>
      <c r="O308" s="94">
        <v>17</v>
      </c>
      <c r="P308" s="14" t="s">
        <v>485</v>
      </c>
      <c r="Q308" s="14" t="s">
        <v>887</v>
      </c>
      <c r="R308" s="14" t="s">
        <v>1258</v>
      </c>
      <c r="S308" s="15">
        <v>6.6</v>
      </c>
      <c r="T308" s="15">
        <v>0.9</v>
      </c>
      <c r="U308" s="15">
        <v>0</v>
      </c>
      <c r="V308" s="14">
        <v>272</v>
      </c>
      <c r="W308" s="12">
        <v>0</v>
      </c>
      <c r="X308" s="12">
        <v>0</v>
      </c>
      <c r="Y308" s="12">
        <v>0</v>
      </c>
      <c r="Z308" s="12">
        <v>1.08</v>
      </c>
      <c r="AA308" s="12">
        <v>0</v>
      </c>
      <c r="AB308" s="13">
        <f t="shared" si="16"/>
        <v>0</v>
      </c>
      <c r="AE308" s="12">
        <v>0</v>
      </c>
      <c r="AF308" s="12">
        <v>0</v>
      </c>
      <c r="AG308" s="12">
        <v>0</v>
      </c>
      <c r="AH308" s="12">
        <v>1.08</v>
      </c>
      <c r="AI308" s="12">
        <v>0</v>
      </c>
      <c r="AJ308" s="13">
        <f t="shared" si="17"/>
        <v>0</v>
      </c>
      <c r="AN308" s="12">
        <f t="shared" si="18"/>
        <v>294</v>
      </c>
      <c r="AQ308" s="8" t="s">
        <v>419</v>
      </c>
      <c r="AR308" t="str">
        <f t="shared" si="19"/>
        <v>Norte - A05</v>
      </c>
    </row>
    <row r="309" spans="1:44" x14ac:dyDescent="0.2">
      <c r="A309" s="107" t="s">
        <v>5726</v>
      </c>
      <c r="B309" s="106" t="s">
        <v>5725</v>
      </c>
      <c r="C309" s="106" t="s">
        <v>5519</v>
      </c>
      <c r="D309" s="106" t="s">
        <v>2656</v>
      </c>
      <c r="E309" s="106" t="s">
        <v>5517</v>
      </c>
      <c r="F309" s="106" t="s">
        <v>590</v>
      </c>
      <c r="G309" s="106" t="s">
        <v>5724</v>
      </c>
      <c r="H309" s="105" t="s">
        <v>5723</v>
      </c>
      <c r="I309" s="105" t="s">
        <v>5719</v>
      </c>
      <c r="J309" s="104">
        <v>1.86</v>
      </c>
      <c r="K309" s="103" t="s">
        <v>425</v>
      </c>
      <c r="L309" s="102" t="s">
        <v>486</v>
      </c>
      <c r="M309" s="95"/>
      <c r="N309" s="14"/>
      <c r="O309" s="94">
        <v>17</v>
      </c>
      <c r="P309" s="14" t="s">
        <v>586</v>
      </c>
      <c r="Q309" s="14" t="s">
        <v>887</v>
      </c>
      <c r="R309" s="14" t="s">
        <v>496</v>
      </c>
      <c r="S309" s="15">
        <v>8.3000000000000007</v>
      </c>
      <c r="T309" s="15">
        <v>0</v>
      </c>
      <c r="U309" s="15">
        <v>0</v>
      </c>
      <c r="V309" s="14">
        <v>212</v>
      </c>
      <c r="W309" s="12">
        <v>0</v>
      </c>
      <c r="X309" s="12">
        <v>0</v>
      </c>
      <c r="Y309" s="12">
        <v>0</v>
      </c>
      <c r="Z309" s="12">
        <v>1.86</v>
      </c>
      <c r="AA309" s="12">
        <v>0</v>
      </c>
      <c r="AB309" s="13">
        <f t="shared" si="16"/>
        <v>0</v>
      </c>
      <c r="AE309" s="12">
        <v>0</v>
      </c>
      <c r="AF309" s="12">
        <v>0</v>
      </c>
      <c r="AG309" s="12">
        <v>0</v>
      </c>
      <c r="AH309" s="12">
        <v>1.86</v>
      </c>
      <c r="AI309" s="12">
        <v>0</v>
      </c>
      <c r="AJ309" s="13">
        <f t="shared" si="17"/>
        <v>0</v>
      </c>
      <c r="AN309" s="12">
        <f t="shared" si="18"/>
        <v>395</v>
      </c>
      <c r="AQ309" s="8" t="s">
        <v>419</v>
      </c>
      <c r="AR309" t="str">
        <f t="shared" si="19"/>
        <v>Norte - A05</v>
      </c>
    </row>
    <row r="310" spans="1:44" x14ac:dyDescent="0.2">
      <c r="A310" s="107" t="s">
        <v>5722</v>
      </c>
      <c r="B310" s="106" t="s">
        <v>5721</v>
      </c>
      <c r="C310" s="106" t="s">
        <v>5519</v>
      </c>
      <c r="D310" s="106" t="s">
        <v>2631</v>
      </c>
      <c r="E310" s="106" t="s">
        <v>5524</v>
      </c>
      <c r="F310" s="106" t="s">
        <v>490</v>
      </c>
      <c r="G310" s="106" t="s">
        <v>5720</v>
      </c>
      <c r="H310" s="105" t="s">
        <v>5719</v>
      </c>
      <c r="I310" s="105" t="s">
        <v>5718</v>
      </c>
      <c r="J310" s="104">
        <v>24.15</v>
      </c>
      <c r="K310" s="103" t="s">
        <v>425</v>
      </c>
      <c r="L310" s="102" t="s">
        <v>486</v>
      </c>
      <c r="M310" s="95"/>
      <c r="N310" s="14"/>
      <c r="O310" s="94">
        <v>17</v>
      </c>
      <c r="P310" s="14" t="s">
        <v>485</v>
      </c>
      <c r="Q310" s="14" t="s">
        <v>561</v>
      </c>
      <c r="R310" s="16" t="s">
        <v>496</v>
      </c>
      <c r="S310" s="15">
        <v>6.6</v>
      </c>
      <c r="T310" s="15">
        <v>1.5</v>
      </c>
      <c r="U310" s="15">
        <v>0</v>
      </c>
      <c r="V310" s="14">
        <v>1810</v>
      </c>
      <c r="W310" s="12">
        <v>0</v>
      </c>
      <c r="X310" s="12">
        <v>0</v>
      </c>
      <c r="Y310" s="12">
        <v>0</v>
      </c>
      <c r="Z310" s="12">
        <v>24.15</v>
      </c>
      <c r="AA310" s="12">
        <v>0</v>
      </c>
      <c r="AB310" s="13">
        <f t="shared" si="16"/>
        <v>0</v>
      </c>
      <c r="AE310" s="12">
        <v>0</v>
      </c>
      <c r="AF310" s="12">
        <v>0</v>
      </c>
      <c r="AG310" s="12">
        <v>0</v>
      </c>
      <c r="AH310" s="12">
        <v>24.15</v>
      </c>
      <c r="AI310" s="12">
        <v>0</v>
      </c>
      <c r="AJ310" s="13">
        <f t="shared" si="17"/>
        <v>0</v>
      </c>
      <c r="AN310" s="12">
        <f t="shared" si="18"/>
        <v>43712</v>
      </c>
      <c r="AQ310" s="8" t="s">
        <v>419</v>
      </c>
      <c r="AR310" t="str">
        <f t="shared" si="19"/>
        <v>Norte - A05</v>
      </c>
    </row>
    <row r="311" spans="1:44" x14ac:dyDescent="0.2">
      <c r="A311" s="107" t="s">
        <v>5717</v>
      </c>
      <c r="B311" s="106" t="s">
        <v>5716</v>
      </c>
      <c r="C311" s="106" t="s">
        <v>5519</v>
      </c>
      <c r="D311" s="106" t="s">
        <v>2620</v>
      </c>
      <c r="E311" s="106" t="s">
        <v>5524</v>
      </c>
      <c r="F311" s="106" t="s">
        <v>490</v>
      </c>
      <c r="G311" s="106" t="s">
        <v>5715</v>
      </c>
      <c r="H311" s="105" t="s">
        <v>5714</v>
      </c>
      <c r="I311" s="105" t="s">
        <v>5710</v>
      </c>
      <c r="J311" s="104">
        <v>6.16</v>
      </c>
      <c r="K311" s="103" t="s">
        <v>424</v>
      </c>
      <c r="L311" s="102" t="s">
        <v>486</v>
      </c>
      <c r="M311" s="95"/>
      <c r="N311" s="14"/>
      <c r="O311" s="94">
        <v>16</v>
      </c>
      <c r="P311" s="14" t="s">
        <v>485</v>
      </c>
      <c r="Q311" s="14" t="s">
        <v>561</v>
      </c>
      <c r="R311" s="16" t="s">
        <v>496</v>
      </c>
      <c r="S311" s="15">
        <v>6.6</v>
      </c>
      <c r="T311" s="15">
        <v>1.5</v>
      </c>
      <c r="U311" s="15">
        <v>0</v>
      </c>
      <c r="V311" s="14">
        <v>3852</v>
      </c>
      <c r="W311" s="12">
        <v>0</v>
      </c>
      <c r="X311" s="12">
        <v>0</v>
      </c>
      <c r="Y311" s="12">
        <v>3.16</v>
      </c>
      <c r="Z311" s="12">
        <v>3</v>
      </c>
      <c r="AA311" s="12">
        <v>0</v>
      </c>
      <c r="AB311" s="13">
        <f t="shared" si="16"/>
        <v>0</v>
      </c>
      <c r="AE311" s="12">
        <v>0</v>
      </c>
      <c r="AF311" s="12">
        <v>0</v>
      </c>
      <c r="AG311" s="12">
        <v>3.16</v>
      </c>
      <c r="AH311" s="12">
        <v>3</v>
      </c>
      <c r="AI311" s="12">
        <v>0</v>
      </c>
      <c r="AJ311" s="13">
        <f t="shared" si="17"/>
        <v>0</v>
      </c>
      <c r="AN311" s="12">
        <f t="shared" si="18"/>
        <v>23729</v>
      </c>
      <c r="AQ311" s="8" t="s">
        <v>419</v>
      </c>
      <c r="AR311" t="str">
        <f t="shared" si="19"/>
        <v>Norte - A04</v>
      </c>
    </row>
    <row r="312" spans="1:44" x14ac:dyDescent="0.2">
      <c r="A312" s="107" t="s">
        <v>5713</v>
      </c>
      <c r="B312" s="106" t="s">
        <v>5712</v>
      </c>
      <c r="C312" s="106" t="s">
        <v>5519</v>
      </c>
      <c r="D312" s="106" t="s">
        <v>2602</v>
      </c>
      <c r="E312" s="106" t="s">
        <v>5524</v>
      </c>
      <c r="F312" s="106" t="s">
        <v>490</v>
      </c>
      <c r="G312" s="106" t="s">
        <v>5711</v>
      </c>
      <c r="H312" s="105" t="s">
        <v>5710</v>
      </c>
      <c r="I312" s="105" t="s">
        <v>5705</v>
      </c>
      <c r="J312" s="104">
        <v>3.28</v>
      </c>
      <c r="K312" s="103" t="s">
        <v>424</v>
      </c>
      <c r="L312" s="102" t="s">
        <v>486</v>
      </c>
      <c r="M312" s="95"/>
      <c r="N312" s="14"/>
      <c r="O312" s="94">
        <v>16</v>
      </c>
      <c r="P312" s="14" t="s">
        <v>485</v>
      </c>
      <c r="Q312" s="14" t="s">
        <v>497</v>
      </c>
      <c r="R312" s="14" t="s">
        <v>496</v>
      </c>
      <c r="S312" s="15">
        <v>6.6</v>
      </c>
      <c r="T312" s="15">
        <v>1.5</v>
      </c>
      <c r="U312" s="15">
        <v>0</v>
      </c>
      <c r="V312" s="14">
        <v>3852</v>
      </c>
      <c r="W312" s="12">
        <v>0</v>
      </c>
      <c r="X312" s="12">
        <v>3.28</v>
      </c>
      <c r="Y312" s="12">
        <v>0</v>
      </c>
      <c r="Z312" s="12">
        <v>0</v>
      </c>
      <c r="AA312" s="12">
        <v>0</v>
      </c>
      <c r="AB312" s="13">
        <f t="shared" si="16"/>
        <v>0</v>
      </c>
      <c r="AE312" s="12">
        <v>0</v>
      </c>
      <c r="AF312" s="12">
        <v>3.28</v>
      </c>
      <c r="AG312" s="12">
        <v>0</v>
      </c>
      <c r="AH312" s="12">
        <v>0</v>
      </c>
      <c r="AI312" s="12">
        <v>0</v>
      </c>
      <c r="AJ312" s="13">
        <f t="shared" si="17"/>
        <v>0</v>
      </c>
      <c r="AN312" s="12">
        <f t="shared" si="18"/>
        <v>12635</v>
      </c>
      <c r="AQ312" s="8" t="s">
        <v>419</v>
      </c>
      <c r="AR312" t="str">
        <f t="shared" si="19"/>
        <v>Norte - A04</v>
      </c>
    </row>
    <row r="313" spans="1:44" x14ac:dyDescent="0.2">
      <c r="A313" s="107" t="s">
        <v>5709</v>
      </c>
      <c r="B313" s="106" t="s">
        <v>5708</v>
      </c>
      <c r="C313" s="106" t="s">
        <v>5519</v>
      </c>
      <c r="D313" s="106" t="s">
        <v>5707</v>
      </c>
      <c r="E313" s="106" t="s">
        <v>5517</v>
      </c>
      <c r="F313" s="106" t="s">
        <v>590</v>
      </c>
      <c r="G313" s="106" t="s">
        <v>5706</v>
      </c>
      <c r="H313" s="105" t="s">
        <v>5705</v>
      </c>
      <c r="I313" s="105" t="s">
        <v>5701</v>
      </c>
      <c r="J313" s="104">
        <v>0.55000000000000004</v>
      </c>
      <c r="K313" s="103" t="s">
        <v>424</v>
      </c>
      <c r="L313" s="102" t="s">
        <v>486</v>
      </c>
      <c r="M313" s="95"/>
      <c r="N313" s="14"/>
      <c r="O313" s="94">
        <v>16</v>
      </c>
      <c r="P313" s="14" t="s">
        <v>586</v>
      </c>
      <c r="Q313" s="14" t="s">
        <v>497</v>
      </c>
      <c r="R313" s="14" t="s">
        <v>496</v>
      </c>
      <c r="S313" s="15">
        <v>14.7</v>
      </c>
      <c r="T313" s="15">
        <v>0</v>
      </c>
      <c r="U313" s="15">
        <v>0</v>
      </c>
      <c r="V313" s="14">
        <v>476</v>
      </c>
      <c r="W313" s="12">
        <v>0</v>
      </c>
      <c r="X313" s="12">
        <v>0</v>
      </c>
      <c r="Y313" s="12">
        <v>0.55000000000000004</v>
      </c>
      <c r="Z313" s="12">
        <v>0</v>
      </c>
      <c r="AA313" s="12">
        <v>0</v>
      </c>
      <c r="AB313" s="13">
        <f t="shared" si="16"/>
        <v>0</v>
      </c>
      <c r="AE313" s="12">
        <v>0</v>
      </c>
      <c r="AF313" s="12">
        <v>0</v>
      </c>
      <c r="AG313" s="12">
        <v>0.55000000000000004</v>
      </c>
      <c r="AH313" s="12">
        <v>0</v>
      </c>
      <c r="AI313" s="12">
        <v>0</v>
      </c>
      <c r="AJ313" s="13">
        <f t="shared" si="17"/>
        <v>0</v>
      </c>
      <c r="AN313" s="12">
        <f t="shared" si="18"/>
        <v>262</v>
      </c>
      <c r="AQ313" s="8" t="s">
        <v>419</v>
      </c>
      <c r="AR313" t="str">
        <f t="shared" si="19"/>
        <v>Norte - A04</v>
      </c>
    </row>
    <row r="314" spans="1:44" x14ac:dyDescent="0.2">
      <c r="A314" s="107" t="s">
        <v>5704</v>
      </c>
      <c r="B314" s="106" t="s">
        <v>5703</v>
      </c>
      <c r="C314" s="106" t="s">
        <v>5519</v>
      </c>
      <c r="D314" s="106" t="s">
        <v>5154</v>
      </c>
      <c r="E314" s="106" t="s">
        <v>5524</v>
      </c>
      <c r="F314" s="106" t="s">
        <v>490</v>
      </c>
      <c r="G314" s="106" t="s">
        <v>5702</v>
      </c>
      <c r="H314" s="105" t="s">
        <v>5701</v>
      </c>
      <c r="I314" s="105" t="s">
        <v>5697</v>
      </c>
      <c r="J314" s="104">
        <v>13.97</v>
      </c>
      <c r="K314" s="103" t="s">
        <v>424</v>
      </c>
      <c r="L314" s="102" t="s">
        <v>486</v>
      </c>
      <c r="M314" s="95"/>
      <c r="N314" s="14"/>
      <c r="O314" s="94">
        <v>16</v>
      </c>
      <c r="P314" s="14" t="s">
        <v>485</v>
      </c>
      <c r="Q314" s="14" t="s">
        <v>497</v>
      </c>
      <c r="R314" s="14" t="s">
        <v>496</v>
      </c>
      <c r="S314" s="15">
        <v>6.6</v>
      </c>
      <c r="T314" s="15">
        <v>1.5</v>
      </c>
      <c r="U314" s="15">
        <v>0</v>
      </c>
      <c r="V314" s="14">
        <v>3852</v>
      </c>
      <c r="W314" s="12">
        <v>0</v>
      </c>
      <c r="X314" s="12">
        <v>2</v>
      </c>
      <c r="Y314" s="12">
        <v>8.9700000000000006</v>
      </c>
      <c r="Z314" s="12">
        <v>3</v>
      </c>
      <c r="AA314" s="12">
        <v>0</v>
      </c>
      <c r="AB314" s="13">
        <f t="shared" si="16"/>
        <v>0</v>
      </c>
      <c r="AE314" s="12">
        <v>0</v>
      </c>
      <c r="AF314" s="12">
        <v>2</v>
      </c>
      <c r="AG314" s="12">
        <v>8.9700000000000006</v>
      </c>
      <c r="AH314" s="12">
        <v>3</v>
      </c>
      <c r="AI314" s="12">
        <v>0</v>
      </c>
      <c r="AJ314" s="13">
        <f t="shared" si="17"/>
        <v>0</v>
      </c>
      <c r="AN314" s="12">
        <f t="shared" si="18"/>
        <v>53813</v>
      </c>
      <c r="AQ314" s="8" t="s">
        <v>419</v>
      </c>
      <c r="AR314" t="str">
        <f t="shared" si="19"/>
        <v>Norte - A04</v>
      </c>
    </row>
    <row r="315" spans="1:44" x14ac:dyDescent="0.2">
      <c r="A315" s="107" t="s">
        <v>5700</v>
      </c>
      <c r="B315" s="106" t="s">
        <v>5699</v>
      </c>
      <c r="C315" s="106" t="s">
        <v>5519</v>
      </c>
      <c r="D315" s="106" t="s">
        <v>2591</v>
      </c>
      <c r="E315" s="106" t="s">
        <v>5517</v>
      </c>
      <c r="F315" s="106" t="s">
        <v>590</v>
      </c>
      <c r="G315" s="106" t="s">
        <v>5698</v>
      </c>
      <c r="H315" s="105" t="s">
        <v>5697</v>
      </c>
      <c r="I315" s="105" t="s">
        <v>5693</v>
      </c>
      <c r="J315" s="104">
        <v>1.4</v>
      </c>
      <c r="K315" s="103" t="s">
        <v>424</v>
      </c>
      <c r="L315" s="102" t="s">
        <v>486</v>
      </c>
      <c r="M315" s="95"/>
      <c r="N315" s="14"/>
      <c r="O315" s="94">
        <v>16</v>
      </c>
      <c r="P315" s="14" t="s">
        <v>586</v>
      </c>
      <c r="Q315" s="14" t="s">
        <v>497</v>
      </c>
      <c r="R315" s="14" t="s">
        <v>496</v>
      </c>
      <c r="S315" s="15">
        <v>11.5</v>
      </c>
      <c r="T315" s="15">
        <v>0</v>
      </c>
      <c r="U315" s="15">
        <v>0</v>
      </c>
      <c r="V315" s="14">
        <v>470</v>
      </c>
      <c r="W315" s="12">
        <v>0</v>
      </c>
      <c r="X315" s="12">
        <v>0</v>
      </c>
      <c r="Y315" s="12">
        <v>1.4</v>
      </c>
      <c r="Z315" s="12">
        <v>0</v>
      </c>
      <c r="AA315" s="12">
        <v>0</v>
      </c>
      <c r="AB315" s="13">
        <f t="shared" si="16"/>
        <v>0</v>
      </c>
      <c r="AE315" s="12">
        <v>0</v>
      </c>
      <c r="AF315" s="12">
        <v>0</v>
      </c>
      <c r="AG315" s="12">
        <v>1.4</v>
      </c>
      <c r="AH315" s="12">
        <v>0</v>
      </c>
      <c r="AI315" s="12">
        <v>0</v>
      </c>
      <c r="AJ315" s="13">
        <f t="shared" si="17"/>
        <v>0</v>
      </c>
      <c r="AN315" s="12">
        <f t="shared" si="18"/>
        <v>658</v>
      </c>
      <c r="AQ315" s="8" t="s">
        <v>419</v>
      </c>
      <c r="AR315" t="str">
        <f t="shared" si="19"/>
        <v>Norte - A04</v>
      </c>
    </row>
    <row r="316" spans="1:44" x14ac:dyDescent="0.2">
      <c r="A316" s="107" t="s">
        <v>5696</v>
      </c>
      <c r="B316" s="106" t="s">
        <v>5695</v>
      </c>
      <c r="C316" s="106" t="s">
        <v>5519</v>
      </c>
      <c r="D316" s="106" t="s">
        <v>2586</v>
      </c>
      <c r="E316" s="106" t="s">
        <v>5524</v>
      </c>
      <c r="F316" s="106" t="s">
        <v>490</v>
      </c>
      <c r="G316" s="106" t="s">
        <v>5694</v>
      </c>
      <c r="H316" s="105" t="s">
        <v>5693</v>
      </c>
      <c r="I316" s="105" t="s">
        <v>5688</v>
      </c>
      <c r="J316" s="104">
        <v>2.04</v>
      </c>
      <c r="K316" s="103" t="s">
        <v>424</v>
      </c>
      <c r="L316" s="102" t="s">
        <v>486</v>
      </c>
      <c r="M316" s="95"/>
      <c r="N316" s="14"/>
      <c r="O316" s="94">
        <v>16</v>
      </c>
      <c r="P316" s="14" t="s">
        <v>485</v>
      </c>
      <c r="Q316" s="14" t="s">
        <v>497</v>
      </c>
      <c r="R316" s="14" t="s">
        <v>496</v>
      </c>
      <c r="S316" s="15">
        <v>6.6</v>
      </c>
      <c r="T316" s="15">
        <v>1.5</v>
      </c>
      <c r="U316" s="15">
        <v>0</v>
      </c>
      <c r="V316" s="14">
        <v>3852</v>
      </c>
      <c r="W316" s="12">
        <v>0</v>
      </c>
      <c r="X316" s="12">
        <v>0</v>
      </c>
      <c r="Y316" s="12">
        <v>2.04</v>
      </c>
      <c r="Z316" s="12">
        <v>0</v>
      </c>
      <c r="AA316" s="12">
        <v>0</v>
      </c>
      <c r="AB316" s="13">
        <f t="shared" si="16"/>
        <v>0</v>
      </c>
      <c r="AE316" s="12">
        <v>0</v>
      </c>
      <c r="AF316" s="12">
        <v>0</v>
      </c>
      <c r="AG316" s="12">
        <v>2.04</v>
      </c>
      <c r="AH316" s="12">
        <v>0</v>
      </c>
      <c r="AI316" s="12">
        <v>0</v>
      </c>
      <c r="AJ316" s="13">
        <f t="shared" si="17"/>
        <v>0</v>
      </c>
      <c r="AN316" s="12">
        <f t="shared" si="18"/>
        <v>7859</v>
      </c>
      <c r="AQ316" s="8" t="s">
        <v>419</v>
      </c>
      <c r="AR316" t="str">
        <f t="shared" si="19"/>
        <v>Norte - A04</v>
      </c>
    </row>
    <row r="317" spans="1:44" x14ac:dyDescent="0.2">
      <c r="A317" s="107" t="s">
        <v>5692</v>
      </c>
      <c r="B317" s="106" t="s">
        <v>5691</v>
      </c>
      <c r="C317" s="106" t="s">
        <v>5519</v>
      </c>
      <c r="D317" s="106" t="s">
        <v>5690</v>
      </c>
      <c r="E317" s="106" t="s">
        <v>5524</v>
      </c>
      <c r="F317" s="106" t="s">
        <v>490</v>
      </c>
      <c r="G317" s="106" t="s">
        <v>5689</v>
      </c>
      <c r="H317" s="105" t="s">
        <v>5688</v>
      </c>
      <c r="I317" s="105" t="s">
        <v>4260</v>
      </c>
      <c r="J317" s="104">
        <v>1.29</v>
      </c>
      <c r="K317" s="103" t="s">
        <v>424</v>
      </c>
      <c r="L317" s="102" t="s">
        <v>486</v>
      </c>
      <c r="M317" s="95"/>
      <c r="N317" s="14"/>
      <c r="O317" s="94">
        <v>16</v>
      </c>
      <c r="P317" s="14" t="s">
        <v>485</v>
      </c>
      <c r="Q317" s="14" t="s">
        <v>497</v>
      </c>
      <c r="R317" s="14" t="s">
        <v>496</v>
      </c>
      <c r="S317" s="15">
        <v>6.6</v>
      </c>
      <c r="T317" s="15">
        <v>1.5</v>
      </c>
      <c r="U317" s="15">
        <v>0</v>
      </c>
      <c r="V317" s="14">
        <v>3852</v>
      </c>
      <c r="W317" s="12">
        <v>0</v>
      </c>
      <c r="X317" s="12">
        <v>0</v>
      </c>
      <c r="Y317" s="12">
        <v>0</v>
      </c>
      <c r="Z317" s="12">
        <v>1.29</v>
      </c>
      <c r="AA317" s="12">
        <v>0</v>
      </c>
      <c r="AB317" s="13">
        <f t="shared" si="16"/>
        <v>0</v>
      </c>
      <c r="AE317" s="12">
        <v>0</v>
      </c>
      <c r="AF317" s="12">
        <v>0</v>
      </c>
      <c r="AG317" s="12">
        <v>0</v>
      </c>
      <c r="AH317" s="12">
        <v>1.29</v>
      </c>
      <c r="AI317" s="12">
        <v>0</v>
      </c>
      <c r="AJ317" s="13">
        <f t="shared" si="17"/>
        <v>0</v>
      </c>
      <c r="AN317" s="12">
        <f t="shared" si="18"/>
        <v>4970</v>
      </c>
      <c r="AQ317" s="8" t="s">
        <v>419</v>
      </c>
      <c r="AR317" t="str">
        <f t="shared" si="19"/>
        <v>Norte - A04</v>
      </c>
    </row>
    <row r="318" spans="1:44" x14ac:dyDescent="0.2">
      <c r="A318" s="107" t="s">
        <v>5687</v>
      </c>
      <c r="B318" s="106" t="s">
        <v>5686</v>
      </c>
      <c r="C318" s="106" t="s">
        <v>5519</v>
      </c>
      <c r="D318" s="106" t="s">
        <v>2560</v>
      </c>
      <c r="E318" s="106" t="s">
        <v>5524</v>
      </c>
      <c r="F318" s="106" t="s">
        <v>490</v>
      </c>
      <c r="G318" s="106" t="s">
        <v>5685</v>
      </c>
      <c r="H318" s="105" t="s">
        <v>5684</v>
      </c>
      <c r="I318" s="105" t="s">
        <v>5683</v>
      </c>
      <c r="J318" s="104">
        <v>20.2</v>
      </c>
      <c r="K318" s="103" t="s">
        <v>423</v>
      </c>
      <c r="L318" s="102" t="s">
        <v>486</v>
      </c>
      <c r="M318" s="95"/>
      <c r="N318" s="14"/>
      <c r="O318" s="94">
        <v>15</v>
      </c>
      <c r="P318" s="14" t="s">
        <v>485</v>
      </c>
      <c r="Q318" s="14" t="s">
        <v>497</v>
      </c>
      <c r="R318" s="14" t="s">
        <v>496</v>
      </c>
      <c r="S318" s="15">
        <v>7.2</v>
      </c>
      <c r="T318" s="15">
        <v>0</v>
      </c>
      <c r="U318" s="15">
        <v>0</v>
      </c>
      <c r="V318" s="14">
        <v>1433</v>
      </c>
      <c r="W318" s="12">
        <v>0</v>
      </c>
      <c r="X318" s="12">
        <v>0</v>
      </c>
      <c r="Y318" s="12">
        <v>0</v>
      </c>
      <c r="Z318" s="12">
        <v>20.2</v>
      </c>
      <c r="AA318" s="12">
        <v>0</v>
      </c>
      <c r="AB318" s="13">
        <f t="shared" si="16"/>
        <v>0</v>
      </c>
      <c r="AE318" s="12">
        <v>0</v>
      </c>
      <c r="AF318" s="12">
        <v>0</v>
      </c>
      <c r="AG318" s="12">
        <v>0</v>
      </c>
      <c r="AH318" s="12">
        <v>20.2</v>
      </c>
      <c r="AI318" s="12">
        <v>0</v>
      </c>
      <c r="AJ318" s="13">
        <f t="shared" si="17"/>
        <v>0</v>
      </c>
      <c r="AN318" s="12">
        <f t="shared" si="18"/>
        <v>28947</v>
      </c>
      <c r="AQ318" s="8" t="s">
        <v>419</v>
      </c>
      <c r="AR318" t="str">
        <f t="shared" si="19"/>
        <v>Norte - A03</v>
      </c>
    </row>
    <row r="319" spans="1:44" x14ac:dyDescent="0.2">
      <c r="A319" s="107" t="s">
        <v>5682</v>
      </c>
      <c r="B319" s="106" t="s">
        <v>5681</v>
      </c>
      <c r="C319" s="106" t="s">
        <v>5519</v>
      </c>
      <c r="D319" s="106" t="s">
        <v>5680</v>
      </c>
      <c r="E319" s="106" t="s">
        <v>5517</v>
      </c>
      <c r="F319" s="106" t="s">
        <v>590</v>
      </c>
      <c r="G319" s="106" t="s">
        <v>5679</v>
      </c>
      <c r="H319" s="105" t="s">
        <v>5678</v>
      </c>
      <c r="I319" s="105" t="s">
        <v>5677</v>
      </c>
      <c r="J319" s="104">
        <v>3.51</v>
      </c>
      <c r="K319" s="103" t="s">
        <v>423</v>
      </c>
      <c r="L319" s="102" t="s">
        <v>486</v>
      </c>
      <c r="M319" s="95"/>
      <c r="N319" s="14"/>
      <c r="O319" s="94">
        <v>15</v>
      </c>
      <c r="P319" s="14" t="s">
        <v>586</v>
      </c>
      <c r="Q319" s="14" t="s">
        <v>497</v>
      </c>
      <c r="R319" s="14" t="s">
        <v>496</v>
      </c>
      <c r="S319" s="15">
        <v>12</v>
      </c>
      <c r="T319" s="15">
        <v>0</v>
      </c>
      <c r="U319" s="15">
        <v>0</v>
      </c>
      <c r="V319" s="14">
        <v>1090</v>
      </c>
      <c r="W319" s="12">
        <v>0</v>
      </c>
      <c r="X319" s="12">
        <v>0</v>
      </c>
      <c r="Y319" s="12">
        <v>0</v>
      </c>
      <c r="Z319" s="12">
        <v>3.5100000000000193</v>
      </c>
      <c r="AA319" s="12">
        <v>0</v>
      </c>
      <c r="AB319" s="13">
        <f t="shared" si="16"/>
        <v>1.9539925233402755E-14</v>
      </c>
      <c r="AE319" s="12">
        <v>0</v>
      </c>
      <c r="AF319" s="12">
        <v>0</v>
      </c>
      <c r="AG319" s="12">
        <v>0</v>
      </c>
      <c r="AH319" s="12">
        <v>3.5100000000000193</v>
      </c>
      <c r="AI319" s="12">
        <v>0</v>
      </c>
      <c r="AJ319" s="13">
        <f t="shared" si="17"/>
        <v>1.9539925233402755E-14</v>
      </c>
      <c r="AN319" s="12">
        <f t="shared" si="18"/>
        <v>3826</v>
      </c>
      <c r="AQ319" s="8" t="s">
        <v>419</v>
      </c>
      <c r="AR319" t="str">
        <f t="shared" si="19"/>
        <v>Norte - A03</v>
      </c>
    </row>
    <row r="320" spans="1:44" x14ac:dyDescent="0.2">
      <c r="A320" s="107" t="s">
        <v>5676</v>
      </c>
      <c r="B320" s="106" t="s">
        <v>5675</v>
      </c>
      <c r="C320" s="106" t="s">
        <v>5519</v>
      </c>
      <c r="D320" s="106" t="s">
        <v>4963</v>
      </c>
      <c r="E320" s="106" t="s">
        <v>5655</v>
      </c>
      <c r="F320" s="106" t="s">
        <v>606</v>
      </c>
      <c r="G320" s="106" t="s">
        <v>5674</v>
      </c>
      <c r="H320" s="105" t="s">
        <v>5670</v>
      </c>
      <c r="I320" s="105" t="s">
        <v>1483</v>
      </c>
      <c r="J320" s="104">
        <v>2.64</v>
      </c>
      <c r="K320" s="103" t="s">
        <v>421</v>
      </c>
      <c r="L320" s="102" t="s">
        <v>486</v>
      </c>
      <c r="M320" s="95"/>
      <c r="N320" s="14"/>
      <c r="O320" s="94">
        <v>13</v>
      </c>
      <c r="P320" s="14" t="s">
        <v>596</v>
      </c>
      <c r="Q320" s="14" t="s">
        <v>561</v>
      </c>
      <c r="R320" s="14" t="s">
        <v>496</v>
      </c>
      <c r="S320" s="15">
        <v>11.1</v>
      </c>
      <c r="T320" s="15">
        <v>0</v>
      </c>
      <c r="U320" s="15">
        <v>0</v>
      </c>
      <c r="V320" s="14">
        <v>4658</v>
      </c>
      <c r="W320" s="12">
        <v>0</v>
      </c>
      <c r="X320" s="12">
        <v>0</v>
      </c>
      <c r="Y320" s="12">
        <v>0.64000000000000012</v>
      </c>
      <c r="Z320" s="12">
        <v>2</v>
      </c>
      <c r="AA320" s="12">
        <v>0</v>
      </c>
      <c r="AB320" s="13">
        <f t="shared" si="16"/>
        <v>0</v>
      </c>
      <c r="AE320" s="12">
        <v>0</v>
      </c>
      <c r="AF320" s="12">
        <v>0</v>
      </c>
      <c r="AG320" s="12">
        <v>0.64000000000000012</v>
      </c>
      <c r="AH320" s="12">
        <v>2</v>
      </c>
      <c r="AI320" s="12">
        <v>0</v>
      </c>
      <c r="AJ320" s="13">
        <f t="shared" si="17"/>
        <v>0</v>
      </c>
      <c r="AN320" s="12">
        <f t="shared" si="18"/>
        <v>12298</v>
      </c>
      <c r="AQ320" s="8" t="s">
        <v>419</v>
      </c>
      <c r="AR320" t="str">
        <f t="shared" si="19"/>
        <v>Norte - A01</v>
      </c>
    </row>
    <row r="321" spans="1:44" x14ac:dyDescent="0.2">
      <c r="A321" s="107" t="s">
        <v>5673</v>
      </c>
      <c r="B321" s="106" t="s">
        <v>5672</v>
      </c>
      <c r="C321" s="106" t="s">
        <v>5519</v>
      </c>
      <c r="D321" s="106" t="s">
        <v>4963</v>
      </c>
      <c r="E321" s="106" t="s">
        <v>5650</v>
      </c>
      <c r="F321" s="106" t="s">
        <v>600</v>
      </c>
      <c r="G321" s="106" t="s">
        <v>5671</v>
      </c>
      <c r="H321" s="105" t="s">
        <v>5670</v>
      </c>
      <c r="I321" s="105" t="s">
        <v>1483</v>
      </c>
      <c r="J321" s="104">
        <v>2.64</v>
      </c>
      <c r="K321" s="103" t="s">
        <v>421</v>
      </c>
      <c r="L321" s="102" t="s">
        <v>486</v>
      </c>
      <c r="M321" s="95"/>
      <c r="N321" s="14"/>
      <c r="O321" s="94">
        <v>13</v>
      </c>
      <c r="P321" s="14" t="s">
        <v>596</v>
      </c>
      <c r="Q321" s="14" t="s">
        <v>561</v>
      </c>
      <c r="R321" s="14" t="s">
        <v>496</v>
      </c>
      <c r="S321" s="15">
        <v>11.1</v>
      </c>
      <c r="T321" s="15">
        <v>0</v>
      </c>
      <c r="U321" s="15">
        <v>0</v>
      </c>
      <c r="V321" s="14">
        <v>4658</v>
      </c>
      <c r="W321" s="12">
        <v>0</v>
      </c>
      <c r="X321" s="12">
        <v>0</v>
      </c>
      <c r="Y321" s="12">
        <v>0</v>
      </c>
      <c r="Z321" s="12">
        <v>2.64</v>
      </c>
      <c r="AA321" s="12">
        <v>0</v>
      </c>
      <c r="AB321" s="13">
        <f t="shared" si="16"/>
        <v>0</v>
      </c>
      <c r="AE321" s="12">
        <v>0</v>
      </c>
      <c r="AF321" s="12">
        <v>0</v>
      </c>
      <c r="AG321" s="12">
        <v>0</v>
      </c>
      <c r="AH321" s="12">
        <v>2.64</v>
      </c>
      <c r="AI321" s="12">
        <v>0</v>
      </c>
      <c r="AJ321" s="13">
        <f t="shared" si="17"/>
        <v>0</v>
      </c>
      <c r="AN321" s="12">
        <f t="shared" si="18"/>
        <v>12298</v>
      </c>
      <c r="AQ321" s="8" t="s">
        <v>419</v>
      </c>
      <c r="AR321" t="str">
        <f t="shared" si="19"/>
        <v>Norte - A01</v>
      </c>
    </row>
    <row r="322" spans="1:44" x14ac:dyDescent="0.2">
      <c r="A322" s="107" t="s">
        <v>5669</v>
      </c>
      <c r="B322" s="106" t="s">
        <v>5668</v>
      </c>
      <c r="C322" s="106" t="s">
        <v>5519</v>
      </c>
      <c r="D322" s="106" t="s">
        <v>4958</v>
      </c>
      <c r="E322" s="106" t="s">
        <v>5524</v>
      </c>
      <c r="F322" s="106" t="s">
        <v>490</v>
      </c>
      <c r="G322" s="106" t="s">
        <v>5667</v>
      </c>
      <c r="H322" s="105" t="s">
        <v>1483</v>
      </c>
      <c r="I322" s="105" t="s">
        <v>5663</v>
      </c>
      <c r="J322" s="104">
        <v>10.29</v>
      </c>
      <c r="K322" s="103" t="s">
        <v>421</v>
      </c>
      <c r="L322" s="102" t="s">
        <v>486</v>
      </c>
      <c r="M322" s="95"/>
      <c r="N322" s="14"/>
      <c r="O322" s="94">
        <v>13</v>
      </c>
      <c r="P322" s="14" t="s">
        <v>485</v>
      </c>
      <c r="Q322" s="14" t="s">
        <v>561</v>
      </c>
      <c r="R322" s="14" t="s">
        <v>496</v>
      </c>
      <c r="S322" s="15">
        <v>8</v>
      </c>
      <c r="T322" s="15">
        <v>2.5</v>
      </c>
      <c r="U322" s="15">
        <v>0</v>
      </c>
      <c r="V322" s="14">
        <v>5995</v>
      </c>
      <c r="W322" s="12">
        <v>0</v>
      </c>
      <c r="X322" s="12">
        <v>0</v>
      </c>
      <c r="Y322" s="12">
        <v>0</v>
      </c>
      <c r="Z322" s="12">
        <v>10.29</v>
      </c>
      <c r="AA322" s="12">
        <v>0</v>
      </c>
      <c r="AB322" s="13">
        <f t="shared" si="16"/>
        <v>0</v>
      </c>
      <c r="AE322" s="12">
        <v>0</v>
      </c>
      <c r="AF322" s="12">
        <v>0</v>
      </c>
      <c r="AG322" s="12">
        <v>0</v>
      </c>
      <c r="AH322" s="12">
        <v>10.29</v>
      </c>
      <c r="AI322" s="12">
        <v>0</v>
      </c>
      <c r="AJ322" s="13">
        <f t="shared" si="17"/>
        <v>0</v>
      </c>
      <c r="AN322" s="12">
        <f t="shared" si="18"/>
        <v>61689</v>
      </c>
      <c r="AQ322" s="8" t="s">
        <v>419</v>
      </c>
      <c r="AR322" t="str">
        <f t="shared" si="19"/>
        <v>Norte - A01</v>
      </c>
    </row>
    <row r="323" spans="1:44" x14ac:dyDescent="0.2">
      <c r="A323" s="107" t="s">
        <v>5666</v>
      </c>
      <c r="B323" s="106" t="s">
        <v>5665</v>
      </c>
      <c r="C323" s="106" t="s">
        <v>5519</v>
      </c>
      <c r="D323" s="106" t="s">
        <v>4754</v>
      </c>
      <c r="E323" s="106" t="s">
        <v>5524</v>
      </c>
      <c r="F323" s="106" t="s">
        <v>490</v>
      </c>
      <c r="G323" s="106" t="s">
        <v>5664</v>
      </c>
      <c r="H323" s="105" t="s">
        <v>5663</v>
      </c>
      <c r="I323" s="105" t="s">
        <v>5659</v>
      </c>
      <c r="J323" s="104">
        <v>5.8</v>
      </c>
      <c r="K323" s="103" t="s">
        <v>421</v>
      </c>
      <c r="L323" s="102" t="s">
        <v>486</v>
      </c>
      <c r="M323" s="95"/>
      <c r="N323" s="14"/>
      <c r="O323" s="94">
        <v>13</v>
      </c>
      <c r="P323" s="14" t="s">
        <v>485</v>
      </c>
      <c r="Q323" s="14" t="s">
        <v>561</v>
      </c>
      <c r="R323" s="14" t="s">
        <v>496</v>
      </c>
      <c r="S323" s="15">
        <v>7.3</v>
      </c>
      <c r="T323" s="15">
        <v>2.5</v>
      </c>
      <c r="U323" s="15">
        <v>0</v>
      </c>
      <c r="V323" s="14">
        <v>5357</v>
      </c>
      <c r="W323" s="12">
        <v>0</v>
      </c>
      <c r="X323" s="12">
        <v>0</v>
      </c>
      <c r="Y323" s="12">
        <v>0</v>
      </c>
      <c r="Z323" s="12">
        <v>5.8</v>
      </c>
      <c r="AA323" s="12">
        <v>0</v>
      </c>
      <c r="AB323" s="13">
        <f t="shared" si="16"/>
        <v>0</v>
      </c>
      <c r="AE323" s="12">
        <v>0</v>
      </c>
      <c r="AF323" s="12">
        <v>0</v>
      </c>
      <c r="AG323" s="12">
        <v>0</v>
      </c>
      <c r="AH323" s="12">
        <v>5.8</v>
      </c>
      <c r="AI323" s="12">
        <v>0</v>
      </c>
      <c r="AJ323" s="13">
        <f t="shared" si="17"/>
        <v>0</v>
      </c>
      <c r="AN323" s="12">
        <f t="shared" si="18"/>
        <v>31071</v>
      </c>
      <c r="AQ323" s="8" t="s">
        <v>419</v>
      </c>
      <c r="AR323" t="str">
        <f t="shared" si="19"/>
        <v>Norte - A01</v>
      </c>
    </row>
    <row r="324" spans="1:44" x14ac:dyDescent="0.2">
      <c r="A324" s="107" t="s">
        <v>5662</v>
      </c>
      <c r="B324" s="106" t="s">
        <v>5661</v>
      </c>
      <c r="C324" s="106" t="s">
        <v>5519</v>
      </c>
      <c r="D324" s="106" t="s">
        <v>3529</v>
      </c>
      <c r="E324" s="106" t="s">
        <v>5524</v>
      </c>
      <c r="F324" s="106" t="s">
        <v>490</v>
      </c>
      <c r="G324" s="106" t="s">
        <v>5660</v>
      </c>
      <c r="H324" s="105" t="s">
        <v>5659</v>
      </c>
      <c r="I324" s="105" t="s">
        <v>5658</v>
      </c>
      <c r="J324" s="104">
        <v>5.72</v>
      </c>
      <c r="K324" s="103" t="s">
        <v>421</v>
      </c>
      <c r="L324" s="102" t="s">
        <v>486</v>
      </c>
      <c r="M324" s="95"/>
      <c r="N324" s="14"/>
      <c r="O324" s="94">
        <v>13</v>
      </c>
      <c r="P324" s="14" t="s">
        <v>485</v>
      </c>
      <c r="Q324" s="14" t="s">
        <v>561</v>
      </c>
      <c r="R324" s="14" t="s">
        <v>496</v>
      </c>
      <c r="S324" s="15">
        <v>7.4</v>
      </c>
      <c r="T324" s="15">
        <v>2.5</v>
      </c>
      <c r="U324" s="15">
        <v>0</v>
      </c>
      <c r="V324" s="14">
        <v>5995</v>
      </c>
      <c r="W324" s="12">
        <v>0</v>
      </c>
      <c r="X324" s="12">
        <v>0</v>
      </c>
      <c r="Y324" s="12">
        <v>0</v>
      </c>
      <c r="Z324" s="12">
        <v>5.72</v>
      </c>
      <c r="AA324" s="12">
        <v>0</v>
      </c>
      <c r="AB324" s="13">
        <f t="shared" si="16"/>
        <v>0</v>
      </c>
      <c r="AE324" s="12">
        <v>0</v>
      </c>
      <c r="AF324" s="12">
        <v>0</v>
      </c>
      <c r="AG324" s="12">
        <v>0</v>
      </c>
      <c r="AH324" s="12">
        <v>5.72</v>
      </c>
      <c r="AI324" s="12">
        <v>0</v>
      </c>
      <c r="AJ324" s="13">
        <f t="shared" si="17"/>
        <v>0</v>
      </c>
      <c r="AN324" s="12">
        <f t="shared" si="18"/>
        <v>34292</v>
      </c>
      <c r="AQ324" s="8" t="s">
        <v>419</v>
      </c>
      <c r="AR324" t="str">
        <f t="shared" si="19"/>
        <v>Norte - A01</v>
      </c>
    </row>
    <row r="325" spans="1:44" x14ac:dyDescent="0.2">
      <c r="A325" s="107" t="s">
        <v>5657</v>
      </c>
      <c r="B325" s="106" t="s">
        <v>5656</v>
      </c>
      <c r="C325" s="106" t="s">
        <v>5519</v>
      </c>
      <c r="D325" s="106" t="s">
        <v>5651</v>
      </c>
      <c r="E325" s="106" t="s">
        <v>5655</v>
      </c>
      <c r="F325" s="106" t="s">
        <v>606</v>
      </c>
      <c r="G325" s="106" t="s">
        <v>5654</v>
      </c>
      <c r="H325" s="105" t="s">
        <v>5648</v>
      </c>
      <c r="I325" s="105" t="s">
        <v>5644</v>
      </c>
      <c r="J325" s="104">
        <v>2.29</v>
      </c>
      <c r="K325" s="103" t="s">
        <v>421</v>
      </c>
      <c r="L325" s="102" t="s">
        <v>486</v>
      </c>
      <c r="M325" s="95"/>
      <c r="N325" s="14"/>
      <c r="O325" s="94">
        <v>13</v>
      </c>
      <c r="P325" s="14" t="s">
        <v>596</v>
      </c>
      <c r="Q325" s="14" t="s">
        <v>561</v>
      </c>
      <c r="R325" s="14" t="s">
        <v>496</v>
      </c>
      <c r="S325" s="15">
        <v>7.3</v>
      </c>
      <c r="T325" s="15">
        <v>2.5</v>
      </c>
      <c r="U325" s="15">
        <v>0</v>
      </c>
      <c r="V325" s="14">
        <v>4658</v>
      </c>
      <c r="W325" s="12">
        <v>0</v>
      </c>
      <c r="X325" s="12">
        <v>0</v>
      </c>
      <c r="Y325" s="12">
        <v>0</v>
      </c>
      <c r="Z325" s="12">
        <v>2.29</v>
      </c>
      <c r="AA325" s="12">
        <v>0</v>
      </c>
      <c r="AB325" s="13">
        <f t="shared" si="16"/>
        <v>0</v>
      </c>
      <c r="AE325" s="12">
        <v>0</v>
      </c>
      <c r="AF325" s="12">
        <v>0</v>
      </c>
      <c r="AG325" s="12">
        <v>0</v>
      </c>
      <c r="AH325" s="12">
        <v>2.29</v>
      </c>
      <c r="AI325" s="12">
        <v>0</v>
      </c>
      <c r="AJ325" s="13">
        <f t="shared" si="17"/>
        <v>0</v>
      </c>
      <c r="AN325" s="12">
        <f t="shared" si="18"/>
        <v>10667</v>
      </c>
      <c r="AQ325" s="8" t="s">
        <v>419</v>
      </c>
      <c r="AR325" t="str">
        <f t="shared" si="19"/>
        <v>Norte - A01</v>
      </c>
    </row>
    <row r="326" spans="1:44" x14ac:dyDescent="0.2">
      <c r="A326" s="107" t="s">
        <v>5653</v>
      </c>
      <c r="B326" s="106" t="s">
        <v>5652</v>
      </c>
      <c r="C326" s="106" t="s">
        <v>5519</v>
      </c>
      <c r="D326" s="106" t="s">
        <v>5651</v>
      </c>
      <c r="E326" s="106" t="s">
        <v>5650</v>
      </c>
      <c r="F326" s="106" t="s">
        <v>600</v>
      </c>
      <c r="G326" s="106" t="s">
        <v>5649</v>
      </c>
      <c r="H326" s="105" t="s">
        <v>5648</v>
      </c>
      <c r="I326" s="105" t="s">
        <v>5644</v>
      </c>
      <c r="J326" s="104">
        <v>2.29</v>
      </c>
      <c r="K326" s="103" t="s">
        <v>421</v>
      </c>
      <c r="L326" s="102" t="s">
        <v>486</v>
      </c>
      <c r="M326" s="95"/>
      <c r="N326" s="14"/>
      <c r="O326" s="94">
        <v>13</v>
      </c>
      <c r="P326" s="14" t="s">
        <v>596</v>
      </c>
      <c r="Q326" s="14" t="s">
        <v>561</v>
      </c>
      <c r="R326" s="14" t="s">
        <v>496</v>
      </c>
      <c r="S326" s="15">
        <v>7.3</v>
      </c>
      <c r="T326" s="15">
        <v>2.5</v>
      </c>
      <c r="U326" s="15">
        <v>0</v>
      </c>
      <c r="V326" s="14">
        <v>4658</v>
      </c>
      <c r="W326" s="12">
        <v>0</v>
      </c>
      <c r="X326" s="12">
        <v>0</v>
      </c>
      <c r="Y326" s="12">
        <v>0</v>
      </c>
      <c r="Z326" s="12">
        <v>2.29</v>
      </c>
      <c r="AA326" s="12">
        <v>0</v>
      </c>
      <c r="AB326" s="13">
        <f t="shared" ref="AB326:AB389" si="21">SUM(W326:AA326)-J326</f>
        <v>0</v>
      </c>
      <c r="AE326" s="12">
        <v>0</v>
      </c>
      <c r="AF326" s="12">
        <v>0</v>
      </c>
      <c r="AG326" s="12">
        <v>0</v>
      </c>
      <c r="AH326" s="12">
        <v>2.29</v>
      </c>
      <c r="AI326" s="12">
        <v>0</v>
      </c>
      <c r="AJ326" s="13">
        <f t="shared" ref="AJ326:AJ389" si="22">SUM(AE326:AI326)-J326</f>
        <v>0</v>
      </c>
      <c r="AN326" s="12">
        <f t="shared" ref="AN326:AN389" si="23">ROUNDUP(V326*J326,0)</f>
        <v>10667</v>
      </c>
      <c r="AQ326" s="8" t="s">
        <v>419</v>
      </c>
      <c r="AR326" t="str">
        <f t="shared" ref="AR326:AR389" si="24">AQ326&amp;" - "&amp;K326</f>
        <v>Norte - A01</v>
      </c>
    </row>
    <row r="327" spans="1:44" x14ac:dyDescent="0.2">
      <c r="A327" s="107" t="s">
        <v>5647</v>
      </c>
      <c r="B327" s="106" t="s">
        <v>5646</v>
      </c>
      <c r="C327" s="106" t="s">
        <v>5519</v>
      </c>
      <c r="D327" s="106" t="s">
        <v>4740</v>
      </c>
      <c r="E327" s="106" t="s">
        <v>5524</v>
      </c>
      <c r="F327" s="106" t="s">
        <v>490</v>
      </c>
      <c r="G327" s="106" t="s">
        <v>5645</v>
      </c>
      <c r="H327" s="105" t="s">
        <v>5644</v>
      </c>
      <c r="I327" s="105" t="s">
        <v>5639</v>
      </c>
      <c r="J327" s="104">
        <v>2.99</v>
      </c>
      <c r="K327" s="103" t="s">
        <v>421</v>
      </c>
      <c r="L327" s="102" t="s">
        <v>533</v>
      </c>
      <c r="M327" s="95"/>
      <c r="N327" s="14"/>
      <c r="O327" s="94">
        <v>23</v>
      </c>
      <c r="P327" s="14" t="s">
        <v>485</v>
      </c>
      <c r="Q327" s="14" t="s">
        <v>561</v>
      </c>
      <c r="R327" s="14" t="s">
        <v>496</v>
      </c>
      <c r="S327" s="15">
        <v>7</v>
      </c>
      <c r="T327" s="15">
        <v>2.6</v>
      </c>
      <c r="U327" s="15">
        <v>0.99</v>
      </c>
      <c r="V327" s="14">
        <v>6528</v>
      </c>
      <c r="W327" s="12">
        <v>0</v>
      </c>
      <c r="X327" s="12">
        <v>0</v>
      </c>
      <c r="Y327" s="12">
        <v>0</v>
      </c>
      <c r="Z327" s="12">
        <v>2.99</v>
      </c>
      <c r="AA327" s="12">
        <v>0</v>
      </c>
      <c r="AB327" s="13">
        <f t="shared" si="21"/>
        <v>0</v>
      </c>
      <c r="AE327" s="12">
        <v>0</v>
      </c>
      <c r="AF327" s="12">
        <v>0</v>
      </c>
      <c r="AG327" s="12">
        <v>0</v>
      </c>
      <c r="AH327" s="12">
        <v>2.99</v>
      </c>
      <c r="AI327" s="12">
        <v>0</v>
      </c>
      <c r="AJ327" s="13">
        <f t="shared" si="22"/>
        <v>0</v>
      </c>
      <c r="AN327" s="12">
        <f t="shared" si="23"/>
        <v>19519</v>
      </c>
      <c r="AQ327" s="8" t="s">
        <v>418</v>
      </c>
      <c r="AR327" t="str">
        <f t="shared" si="24"/>
        <v>Noroeste - A01</v>
      </c>
    </row>
    <row r="328" spans="1:44" x14ac:dyDescent="0.2">
      <c r="A328" s="107" t="s">
        <v>5643</v>
      </c>
      <c r="B328" s="106" t="s">
        <v>5642</v>
      </c>
      <c r="C328" s="106" t="s">
        <v>5519</v>
      </c>
      <c r="D328" s="106" t="s">
        <v>5641</v>
      </c>
      <c r="E328" s="106" t="s">
        <v>5524</v>
      </c>
      <c r="F328" s="106" t="s">
        <v>490</v>
      </c>
      <c r="G328" s="106" t="s">
        <v>5640</v>
      </c>
      <c r="H328" s="105" t="s">
        <v>5639</v>
      </c>
      <c r="I328" s="105" t="s">
        <v>5634</v>
      </c>
      <c r="J328" s="104">
        <v>1.42</v>
      </c>
      <c r="K328" s="103" t="s">
        <v>421</v>
      </c>
      <c r="L328" s="102" t="s">
        <v>533</v>
      </c>
      <c r="M328" s="95"/>
      <c r="N328" s="14"/>
      <c r="O328" s="94">
        <v>23</v>
      </c>
      <c r="P328" s="14" t="s">
        <v>485</v>
      </c>
      <c r="Q328" s="14" t="s">
        <v>561</v>
      </c>
      <c r="R328" s="14" t="s">
        <v>496</v>
      </c>
      <c r="S328" s="15">
        <v>7</v>
      </c>
      <c r="T328" s="15">
        <v>2.6</v>
      </c>
      <c r="U328" s="15">
        <v>0</v>
      </c>
      <c r="V328" s="14">
        <v>6528</v>
      </c>
      <c r="W328" s="12">
        <v>0</v>
      </c>
      <c r="X328" s="12">
        <v>0</v>
      </c>
      <c r="Y328" s="12">
        <v>0.41999999999999993</v>
      </c>
      <c r="Z328" s="12">
        <v>1</v>
      </c>
      <c r="AA328" s="12">
        <v>0</v>
      </c>
      <c r="AB328" s="13">
        <f t="shared" si="21"/>
        <v>0</v>
      </c>
      <c r="AE328" s="12">
        <v>0</v>
      </c>
      <c r="AF328" s="12">
        <v>0</v>
      </c>
      <c r="AG328" s="12">
        <v>0.41999999999999993</v>
      </c>
      <c r="AH328" s="12">
        <v>1</v>
      </c>
      <c r="AI328" s="12">
        <v>0</v>
      </c>
      <c r="AJ328" s="13">
        <f t="shared" si="22"/>
        <v>0</v>
      </c>
      <c r="AN328" s="12">
        <f t="shared" si="23"/>
        <v>9270</v>
      </c>
      <c r="AQ328" s="8" t="s">
        <v>418</v>
      </c>
      <c r="AR328" t="str">
        <f t="shared" si="24"/>
        <v>Noroeste - A01</v>
      </c>
    </row>
    <row r="329" spans="1:44" x14ac:dyDescent="0.2">
      <c r="A329" s="107" t="s">
        <v>5638</v>
      </c>
      <c r="B329" s="106" t="s">
        <v>5637</v>
      </c>
      <c r="C329" s="106" t="s">
        <v>5519</v>
      </c>
      <c r="D329" s="106" t="s">
        <v>5636</v>
      </c>
      <c r="E329" s="106" t="s">
        <v>5524</v>
      </c>
      <c r="F329" s="106" t="s">
        <v>490</v>
      </c>
      <c r="G329" s="106" t="s">
        <v>5635</v>
      </c>
      <c r="H329" s="105" t="s">
        <v>5634</v>
      </c>
      <c r="I329" s="105" t="s">
        <v>5633</v>
      </c>
      <c r="J329" s="104">
        <v>0.31</v>
      </c>
      <c r="K329" s="103" t="s">
        <v>421</v>
      </c>
      <c r="L329" s="102" t="s">
        <v>533</v>
      </c>
      <c r="M329" s="95"/>
      <c r="N329" s="14"/>
      <c r="O329" s="94">
        <v>23</v>
      </c>
      <c r="P329" s="14" t="s">
        <v>485</v>
      </c>
      <c r="Q329" s="14" t="s">
        <v>561</v>
      </c>
      <c r="R329" s="14" t="s">
        <v>496</v>
      </c>
      <c r="S329" s="15">
        <v>10.5</v>
      </c>
      <c r="T329" s="15">
        <v>0</v>
      </c>
      <c r="U329" s="15">
        <v>0</v>
      </c>
      <c r="V329" s="14">
        <v>6528</v>
      </c>
      <c r="W329" s="12">
        <v>0</v>
      </c>
      <c r="X329" s="12">
        <v>0</v>
      </c>
      <c r="Y329" s="12">
        <v>0.31</v>
      </c>
      <c r="Z329" s="12">
        <v>0</v>
      </c>
      <c r="AA329" s="12">
        <v>0</v>
      </c>
      <c r="AB329" s="13">
        <f t="shared" si="21"/>
        <v>0</v>
      </c>
      <c r="AE329" s="12">
        <v>0</v>
      </c>
      <c r="AF329" s="12">
        <v>0</v>
      </c>
      <c r="AG329" s="12">
        <v>0.31</v>
      </c>
      <c r="AH329" s="12">
        <v>0</v>
      </c>
      <c r="AI329" s="12">
        <v>0</v>
      </c>
      <c r="AJ329" s="13">
        <f t="shared" si="22"/>
        <v>0</v>
      </c>
      <c r="AN329" s="12">
        <f t="shared" si="23"/>
        <v>2024</v>
      </c>
      <c r="AQ329" s="8" t="s">
        <v>418</v>
      </c>
      <c r="AR329" t="str">
        <f t="shared" si="24"/>
        <v>Noroeste - A01</v>
      </c>
    </row>
    <row r="330" spans="1:44" x14ac:dyDescent="0.2">
      <c r="A330" s="107" t="s">
        <v>5632</v>
      </c>
      <c r="B330" s="106" t="s">
        <v>5631</v>
      </c>
      <c r="C330" s="106" t="s">
        <v>5519</v>
      </c>
      <c r="D330" s="106" t="s">
        <v>4735</v>
      </c>
      <c r="E330" s="106" t="s">
        <v>5524</v>
      </c>
      <c r="F330" s="106" t="s">
        <v>490</v>
      </c>
      <c r="G330" s="106" t="s">
        <v>5630</v>
      </c>
      <c r="H330" s="105" t="s">
        <v>5629</v>
      </c>
      <c r="I330" s="105" t="s">
        <v>5625</v>
      </c>
      <c r="J330" s="104">
        <v>3.5</v>
      </c>
      <c r="K330" s="103" t="s">
        <v>421</v>
      </c>
      <c r="L330" s="102" t="s">
        <v>533</v>
      </c>
      <c r="M330" s="95"/>
      <c r="N330" s="14"/>
      <c r="O330" s="94">
        <v>23</v>
      </c>
      <c r="P330" s="14" t="s">
        <v>485</v>
      </c>
      <c r="Q330" s="14" t="s">
        <v>561</v>
      </c>
      <c r="R330" s="14" t="s">
        <v>496</v>
      </c>
      <c r="S330" s="15">
        <v>7</v>
      </c>
      <c r="T330" s="15">
        <v>2.2999999999999998</v>
      </c>
      <c r="U330" s="15">
        <v>0</v>
      </c>
      <c r="V330" s="14">
        <v>6528</v>
      </c>
      <c r="W330" s="12">
        <v>0</v>
      </c>
      <c r="X330" s="12">
        <v>0</v>
      </c>
      <c r="Y330" s="12">
        <v>0</v>
      </c>
      <c r="Z330" s="12">
        <v>3.5</v>
      </c>
      <c r="AA330" s="12">
        <v>0</v>
      </c>
      <c r="AB330" s="13">
        <f t="shared" si="21"/>
        <v>0</v>
      </c>
      <c r="AE330" s="12">
        <v>0</v>
      </c>
      <c r="AF330" s="12">
        <v>0</v>
      </c>
      <c r="AG330" s="12">
        <v>0</v>
      </c>
      <c r="AH330" s="12">
        <v>3.5</v>
      </c>
      <c r="AI330" s="12">
        <v>0</v>
      </c>
      <c r="AJ330" s="13">
        <f t="shared" si="22"/>
        <v>0</v>
      </c>
      <c r="AN330" s="12">
        <f t="shared" si="23"/>
        <v>22848</v>
      </c>
      <c r="AQ330" s="8" t="s">
        <v>418</v>
      </c>
      <c r="AR330" t="str">
        <f t="shared" si="24"/>
        <v>Noroeste - A01</v>
      </c>
    </row>
    <row r="331" spans="1:44" x14ac:dyDescent="0.2">
      <c r="A331" s="107" t="s">
        <v>5628</v>
      </c>
      <c r="B331" s="106" t="s">
        <v>5627</v>
      </c>
      <c r="C331" s="106" t="s">
        <v>5519</v>
      </c>
      <c r="D331" s="106" t="s">
        <v>4715</v>
      </c>
      <c r="E331" s="106" t="s">
        <v>5524</v>
      </c>
      <c r="F331" s="106" t="s">
        <v>490</v>
      </c>
      <c r="G331" s="106" t="s">
        <v>5626</v>
      </c>
      <c r="H331" s="105" t="s">
        <v>5625</v>
      </c>
      <c r="I331" s="105" t="s">
        <v>5019</v>
      </c>
      <c r="J331" s="104">
        <v>6.14</v>
      </c>
      <c r="K331" s="103" t="s">
        <v>421</v>
      </c>
      <c r="L331" s="102" t="s">
        <v>533</v>
      </c>
      <c r="M331" s="95"/>
      <c r="N331" s="14"/>
      <c r="O331" s="94">
        <v>23</v>
      </c>
      <c r="P331" s="14" t="s">
        <v>485</v>
      </c>
      <c r="Q331" s="14" t="s">
        <v>561</v>
      </c>
      <c r="R331" s="14" t="s">
        <v>496</v>
      </c>
      <c r="S331" s="15">
        <v>7</v>
      </c>
      <c r="T331" s="15">
        <v>2.4</v>
      </c>
      <c r="U331" s="15">
        <v>0</v>
      </c>
      <c r="V331" s="14">
        <v>1505</v>
      </c>
      <c r="W331" s="12">
        <v>0</v>
      </c>
      <c r="X331" s="12">
        <v>0</v>
      </c>
      <c r="Y331" s="12">
        <v>0</v>
      </c>
      <c r="Z331" s="12">
        <v>6.14</v>
      </c>
      <c r="AA331" s="12">
        <v>0</v>
      </c>
      <c r="AB331" s="13">
        <f t="shared" si="21"/>
        <v>0</v>
      </c>
      <c r="AE331" s="12">
        <v>0</v>
      </c>
      <c r="AF331" s="12">
        <v>0</v>
      </c>
      <c r="AG331" s="12">
        <v>0</v>
      </c>
      <c r="AH331" s="12">
        <v>6.14</v>
      </c>
      <c r="AI331" s="12">
        <v>0</v>
      </c>
      <c r="AJ331" s="13">
        <f t="shared" si="22"/>
        <v>0</v>
      </c>
      <c r="AN331" s="12">
        <f t="shared" si="23"/>
        <v>9241</v>
      </c>
      <c r="AQ331" s="8" t="s">
        <v>418</v>
      </c>
      <c r="AR331" t="str">
        <f t="shared" si="24"/>
        <v>Noroeste - A01</v>
      </c>
    </row>
    <row r="332" spans="1:44" x14ac:dyDescent="0.2">
      <c r="A332" s="107" t="s">
        <v>5624</v>
      </c>
      <c r="B332" s="106" t="s">
        <v>5623</v>
      </c>
      <c r="C332" s="106" t="s">
        <v>5519</v>
      </c>
      <c r="D332" s="106" t="s">
        <v>4705</v>
      </c>
      <c r="E332" s="106" t="s">
        <v>5524</v>
      </c>
      <c r="F332" s="106" t="s">
        <v>490</v>
      </c>
      <c r="G332" s="106" t="s">
        <v>5622</v>
      </c>
      <c r="H332" s="105" t="s">
        <v>5019</v>
      </c>
      <c r="I332" s="105" t="s">
        <v>5616</v>
      </c>
      <c r="J332" s="104">
        <v>4.71</v>
      </c>
      <c r="K332" s="103" t="s">
        <v>421</v>
      </c>
      <c r="L332" s="102" t="s">
        <v>533</v>
      </c>
      <c r="M332" s="95"/>
      <c r="N332" s="14"/>
      <c r="O332" s="94">
        <v>23</v>
      </c>
      <c r="P332" s="14" t="s">
        <v>485</v>
      </c>
      <c r="Q332" s="14" t="s">
        <v>561</v>
      </c>
      <c r="R332" s="14" t="s">
        <v>496</v>
      </c>
      <c r="S332" s="15">
        <v>7</v>
      </c>
      <c r="T332" s="15">
        <v>2.4</v>
      </c>
      <c r="U332" s="15">
        <v>0</v>
      </c>
      <c r="V332" s="14">
        <v>7778</v>
      </c>
      <c r="W332" s="12">
        <v>0</v>
      </c>
      <c r="X332" s="12">
        <v>0</v>
      </c>
      <c r="Y332" s="12">
        <v>0</v>
      </c>
      <c r="Z332" s="12">
        <v>4.71</v>
      </c>
      <c r="AA332" s="12">
        <v>0</v>
      </c>
      <c r="AB332" s="13">
        <f t="shared" si="21"/>
        <v>0</v>
      </c>
      <c r="AE332" s="12">
        <v>0</v>
      </c>
      <c r="AF332" s="12">
        <v>0</v>
      </c>
      <c r="AG332" s="12">
        <v>0</v>
      </c>
      <c r="AH332" s="12">
        <v>4.71</v>
      </c>
      <c r="AI332" s="12">
        <v>0</v>
      </c>
      <c r="AJ332" s="13">
        <f t="shared" si="22"/>
        <v>0</v>
      </c>
      <c r="AN332" s="12">
        <f t="shared" si="23"/>
        <v>36635</v>
      </c>
      <c r="AQ332" s="8" t="s">
        <v>418</v>
      </c>
      <c r="AR332" t="str">
        <f t="shared" si="24"/>
        <v>Noroeste - A01</v>
      </c>
    </row>
    <row r="333" spans="1:44" x14ac:dyDescent="0.2">
      <c r="A333" s="107" t="s">
        <v>5621</v>
      </c>
      <c r="B333" s="106" t="s">
        <v>5618</v>
      </c>
      <c r="C333" s="106" t="s">
        <v>5519</v>
      </c>
      <c r="D333" s="106" t="s">
        <v>4700</v>
      </c>
      <c r="E333" s="106" t="s">
        <v>5517</v>
      </c>
      <c r="F333" s="106" t="s">
        <v>590</v>
      </c>
      <c r="G333" s="106" t="s">
        <v>5620</v>
      </c>
      <c r="H333" s="105" t="s">
        <v>5616</v>
      </c>
      <c r="I333" s="105" t="s">
        <v>5612</v>
      </c>
      <c r="J333" s="104">
        <v>1.41</v>
      </c>
      <c r="K333" s="103" t="s">
        <v>421</v>
      </c>
      <c r="L333" s="102" t="s">
        <v>533</v>
      </c>
      <c r="M333" s="95"/>
      <c r="N333" s="14"/>
      <c r="O333" s="94">
        <v>23</v>
      </c>
      <c r="P333" s="14" t="s">
        <v>586</v>
      </c>
      <c r="Q333" s="14" t="s">
        <v>561</v>
      </c>
      <c r="R333" s="14" t="s">
        <v>496</v>
      </c>
      <c r="S333" s="15">
        <v>9</v>
      </c>
      <c r="T333" s="15">
        <v>0</v>
      </c>
      <c r="U333" s="15">
        <v>0</v>
      </c>
      <c r="V333" s="14">
        <v>2825</v>
      </c>
      <c r="W333" s="12">
        <v>0</v>
      </c>
      <c r="X333" s="12">
        <v>0</v>
      </c>
      <c r="Y333" s="12">
        <v>1</v>
      </c>
      <c r="Z333" s="12">
        <v>0.40999999999999992</v>
      </c>
      <c r="AA333" s="12">
        <v>0</v>
      </c>
      <c r="AB333" s="13">
        <f t="shared" si="21"/>
        <v>0</v>
      </c>
      <c r="AE333" s="12">
        <v>0</v>
      </c>
      <c r="AF333" s="12">
        <v>0</v>
      </c>
      <c r="AG333" s="12">
        <v>1</v>
      </c>
      <c r="AH333" s="12">
        <v>0.40999999999999992</v>
      </c>
      <c r="AI333" s="12">
        <v>0</v>
      </c>
      <c r="AJ333" s="13">
        <f t="shared" si="22"/>
        <v>0</v>
      </c>
      <c r="AN333" s="12">
        <f t="shared" si="23"/>
        <v>3984</v>
      </c>
      <c r="AQ333" s="8" t="s">
        <v>418</v>
      </c>
      <c r="AR333" t="str">
        <f t="shared" si="24"/>
        <v>Noroeste - A01</v>
      </c>
    </row>
    <row r="334" spans="1:44" x14ac:dyDescent="0.2">
      <c r="A334" s="107" t="s">
        <v>5619</v>
      </c>
      <c r="B334" s="106" t="s">
        <v>5618</v>
      </c>
      <c r="C334" s="106" t="s">
        <v>5519</v>
      </c>
      <c r="D334" s="106" t="s">
        <v>4700</v>
      </c>
      <c r="E334" s="106" t="s">
        <v>5517</v>
      </c>
      <c r="F334" s="106" t="s">
        <v>590</v>
      </c>
      <c r="G334" s="106" t="s">
        <v>5617</v>
      </c>
      <c r="H334" s="105" t="s">
        <v>5612</v>
      </c>
      <c r="I334" s="105" t="s">
        <v>5616</v>
      </c>
      <c r="J334" s="104">
        <v>1.78</v>
      </c>
      <c r="K334" s="103" t="s">
        <v>421</v>
      </c>
      <c r="L334" s="102" t="s">
        <v>533</v>
      </c>
      <c r="M334" s="95"/>
      <c r="N334" s="14"/>
      <c r="O334" s="94">
        <v>23</v>
      </c>
      <c r="P334" s="14" t="s">
        <v>586</v>
      </c>
      <c r="Q334" s="14" t="s">
        <v>561</v>
      </c>
      <c r="R334" s="14" t="s">
        <v>496</v>
      </c>
      <c r="S334" s="15">
        <v>9.1999999999999993</v>
      </c>
      <c r="T334" s="15">
        <v>0</v>
      </c>
      <c r="U334" s="15">
        <v>0</v>
      </c>
      <c r="V334" s="14">
        <v>2825</v>
      </c>
      <c r="W334" s="12">
        <v>0</v>
      </c>
      <c r="X334" s="12">
        <v>0</v>
      </c>
      <c r="Y334" s="12">
        <v>1.78</v>
      </c>
      <c r="Z334" s="12">
        <v>0</v>
      </c>
      <c r="AA334" s="12">
        <v>0</v>
      </c>
      <c r="AB334" s="13">
        <f t="shared" si="21"/>
        <v>0</v>
      </c>
      <c r="AE334" s="12">
        <v>0</v>
      </c>
      <c r="AF334" s="12">
        <v>0</v>
      </c>
      <c r="AG334" s="12">
        <v>1.78</v>
      </c>
      <c r="AH334" s="12">
        <v>0</v>
      </c>
      <c r="AI334" s="12">
        <v>0</v>
      </c>
      <c r="AJ334" s="13">
        <f t="shared" si="22"/>
        <v>0</v>
      </c>
      <c r="AN334" s="12">
        <f t="shared" si="23"/>
        <v>5029</v>
      </c>
      <c r="AQ334" s="8" t="s">
        <v>418</v>
      </c>
      <c r="AR334" t="str">
        <f t="shared" si="24"/>
        <v>Noroeste - A01</v>
      </c>
    </row>
    <row r="335" spans="1:44" x14ac:dyDescent="0.2">
      <c r="A335" s="107" t="s">
        <v>5615</v>
      </c>
      <c r="B335" s="106" t="s">
        <v>5614</v>
      </c>
      <c r="C335" s="106" t="s">
        <v>5519</v>
      </c>
      <c r="D335" s="106" t="s">
        <v>5405</v>
      </c>
      <c r="E335" s="106" t="s">
        <v>5524</v>
      </c>
      <c r="F335" s="106" t="s">
        <v>490</v>
      </c>
      <c r="G335" s="106" t="s">
        <v>5613</v>
      </c>
      <c r="H335" s="105" t="s">
        <v>5612</v>
      </c>
      <c r="I335" s="105" t="s">
        <v>5608</v>
      </c>
      <c r="J335" s="104">
        <v>1.1399999999999999</v>
      </c>
      <c r="K335" s="103" t="s">
        <v>421</v>
      </c>
      <c r="L335" s="102" t="s">
        <v>533</v>
      </c>
      <c r="M335" s="95"/>
      <c r="N335" s="14"/>
      <c r="O335" s="94">
        <v>23</v>
      </c>
      <c r="P335" s="14" t="s">
        <v>485</v>
      </c>
      <c r="Q335" s="14" t="s">
        <v>561</v>
      </c>
      <c r="R335" s="14" t="s">
        <v>496</v>
      </c>
      <c r="S335" s="15">
        <v>7</v>
      </c>
      <c r="T335" s="15">
        <v>2.4</v>
      </c>
      <c r="U335" s="15">
        <v>0</v>
      </c>
      <c r="V335" s="14">
        <v>7778</v>
      </c>
      <c r="W335" s="12">
        <v>0</v>
      </c>
      <c r="X335" s="12">
        <v>1.1399999999999999</v>
      </c>
      <c r="Y335" s="12">
        <v>0</v>
      </c>
      <c r="Z335" s="12">
        <v>0</v>
      </c>
      <c r="AA335" s="12">
        <v>0</v>
      </c>
      <c r="AB335" s="13">
        <f t="shared" si="21"/>
        <v>0</v>
      </c>
      <c r="AE335" s="12">
        <v>0</v>
      </c>
      <c r="AF335" s="12">
        <v>1.1399999999999999</v>
      </c>
      <c r="AG335" s="12">
        <v>0</v>
      </c>
      <c r="AH335" s="12">
        <v>0</v>
      </c>
      <c r="AI335" s="12">
        <v>0</v>
      </c>
      <c r="AJ335" s="13">
        <f t="shared" si="22"/>
        <v>0</v>
      </c>
      <c r="AN335" s="12">
        <f t="shared" si="23"/>
        <v>8867</v>
      </c>
      <c r="AQ335" s="8" t="s">
        <v>418</v>
      </c>
      <c r="AR335" t="str">
        <f t="shared" si="24"/>
        <v>Noroeste - A01</v>
      </c>
    </row>
    <row r="336" spans="1:44" x14ac:dyDescent="0.2">
      <c r="A336" s="107" t="s">
        <v>5611</v>
      </c>
      <c r="B336" s="106" t="s">
        <v>5610</v>
      </c>
      <c r="C336" s="106" t="s">
        <v>5519</v>
      </c>
      <c r="D336" s="106" t="s">
        <v>4685</v>
      </c>
      <c r="E336" s="106" t="s">
        <v>5524</v>
      </c>
      <c r="F336" s="106" t="s">
        <v>490</v>
      </c>
      <c r="G336" s="106" t="s">
        <v>5609</v>
      </c>
      <c r="H336" s="105" t="s">
        <v>5608</v>
      </c>
      <c r="I336" s="105" t="s">
        <v>5607</v>
      </c>
      <c r="J336" s="104">
        <v>6.91</v>
      </c>
      <c r="K336" s="103" t="s">
        <v>421</v>
      </c>
      <c r="L336" s="102" t="s">
        <v>533</v>
      </c>
      <c r="M336" s="95"/>
      <c r="N336" s="14"/>
      <c r="O336" s="94">
        <v>23</v>
      </c>
      <c r="P336" s="14" t="s">
        <v>485</v>
      </c>
      <c r="Q336" s="14" t="s">
        <v>561</v>
      </c>
      <c r="R336" s="14" t="s">
        <v>585</v>
      </c>
      <c r="S336" s="15">
        <v>7.1</v>
      </c>
      <c r="T336" s="15">
        <v>0.8</v>
      </c>
      <c r="U336" s="15">
        <v>0</v>
      </c>
      <c r="V336" s="14">
        <v>3422</v>
      </c>
      <c r="W336" s="12">
        <v>0</v>
      </c>
      <c r="X336" s="12">
        <v>0</v>
      </c>
      <c r="Y336" s="12">
        <v>5.91</v>
      </c>
      <c r="Z336" s="12">
        <v>1</v>
      </c>
      <c r="AA336" s="12">
        <v>0</v>
      </c>
      <c r="AB336" s="13">
        <f t="shared" si="21"/>
        <v>0</v>
      </c>
      <c r="AE336" s="12">
        <v>0</v>
      </c>
      <c r="AF336" s="12">
        <v>0</v>
      </c>
      <c r="AG336" s="12">
        <v>5.91</v>
      </c>
      <c r="AH336" s="12">
        <v>1</v>
      </c>
      <c r="AI336" s="12">
        <v>0</v>
      </c>
      <c r="AJ336" s="13">
        <f t="shared" si="22"/>
        <v>0</v>
      </c>
      <c r="AN336" s="12">
        <f t="shared" si="23"/>
        <v>23647</v>
      </c>
      <c r="AQ336" s="8" t="s">
        <v>418</v>
      </c>
      <c r="AR336" t="str">
        <f t="shared" si="24"/>
        <v>Noroeste - A01</v>
      </c>
    </row>
    <row r="337" spans="1:44" x14ac:dyDescent="0.2">
      <c r="A337" s="107" t="s">
        <v>5606</v>
      </c>
      <c r="B337" s="106" t="s">
        <v>5605</v>
      </c>
      <c r="C337" s="106" t="s">
        <v>5519</v>
      </c>
      <c r="D337" s="106" t="s">
        <v>4882</v>
      </c>
      <c r="E337" s="106" t="s">
        <v>5524</v>
      </c>
      <c r="F337" s="106" t="s">
        <v>490</v>
      </c>
      <c r="G337" s="106" t="s">
        <v>5604</v>
      </c>
      <c r="H337" s="105" t="s">
        <v>5603</v>
      </c>
      <c r="I337" s="105" t="s">
        <v>5599</v>
      </c>
      <c r="J337" s="104">
        <v>1.26</v>
      </c>
      <c r="K337" s="103" t="s">
        <v>421</v>
      </c>
      <c r="L337" s="102" t="s">
        <v>533</v>
      </c>
      <c r="M337" s="95"/>
      <c r="N337" s="14"/>
      <c r="O337" s="94">
        <v>23</v>
      </c>
      <c r="P337" s="14" t="s">
        <v>485</v>
      </c>
      <c r="Q337" s="14" t="s">
        <v>561</v>
      </c>
      <c r="R337" s="14" t="s">
        <v>585</v>
      </c>
      <c r="S337" s="15">
        <v>7.2</v>
      </c>
      <c r="T337" s="15">
        <v>0</v>
      </c>
      <c r="U337" s="15">
        <v>0</v>
      </c>
      <c r="V337" s="14">
        <v>3422</v>
      </c>
      <c r="W337" s="12">
        <v>0</v>
      </c>
      <c r="X337" s="12">
        <v>0</v>
      </c>
      <c r="Y337" s="12">
        <v>1.26</v>
      </c>
      <c r="Z337" s="12">
        <v>0</v>
      </c>
      <c r="AA337" s="12">
        <v>0</v>
      </c>
      <c r="AB337" s="13">
        <f t="shared" si="21"/>
        <v>0</v>
      </c>
      <c r="AE337" s="12">
        <v>0</v>
      </c>
      <c r="AF337" s="12">
        <v>0</v>
      </c>
      <c r="AG337" s="12">
        <v>1.26</v>
      </c>
      <c r="AH337" s="12">
        <v>0</v>
      </c>
      <c r="AI337" s="12">
        <v>0</v>
      </c>
      <c r="AJ337" s="13">
        <f t="shared" si="22"/>
        <v>0</v>
      </c>
      <c r="AN337" s="12">
        <f t="shared" si="23"/>
        <v>4312</v>
      </c>
      <c r="AQ337" s="8" t="s">
        <v>418</v>
      </c>
      <c r="AR337" t="str">
        <f t="shared" si="24"/>
        <v>Noroeste - A01</v>
      </c>
    </row>
    <row r="338" spans="1:44" x14ac:dyDescent="0.2">
      <c r="A338" s="107" t="s">
        <v>5602</v>
      </c>
      <c r="B338" s="106" t="s">
        <v>5601</v>
      </c>
      <c r="C338" s="106" t="s">
        <v>5519</v>
      </c>
      <c r="D338" s="106" t="s">
        <v>3519</v>
      </c>
      <c r="E338" s="106" t="s">
        <v>5524</v>
      </c>
      <c r="F338" s="106" t="s">
        <v>490</v>
      </c>
      <c r="G338" s="106" t="s">
        <v>5600</v>
      </c>
      <c r="H338" s="105" t="s">
        <v>5599</v>
      </c>
      <c r="I338" s="105" t="s">
        <v>5595</v>
      </c>
      <c r="J338" s="104">
        <v>17.12</v>
      </c>
      <c r="K338" s="103" t="s">
        <v>424</v>
      </c>
      <c r="L338" s="102" t="s">
        <v>533</v>
      </c>
      <c r="M338" s="95"/>
      <c r="N338" s="14"/>
      <c r="O338" s="94">
        <v>26</v>
      </c>
      <c r="P338" s="14" t="s">
        <v>485</v>
      </c>
      <c r="Q338" s="14" t="s">
        <v>561</v>
      </c>
      <c r="R338" s="14" t="s">
        <v>585</v>
      </c>
      <c r="S338" s="15">
        <v>7</v>
      </c>
      <c r="T338" s="15">
        <v>1</v>
      </c>
      <c r="U338" s="15">
        <v>0</v>
      </c>
      <c r="V338" s="14">
        <v>2194</v>
      </c>
      <c r="W338" s="12">
        <v>0</v>
      </c>
      <c r="X338" s="12">
        <v>0.12000000000000099</v>
      </c>
      <c r="Y338" s="12">
        <v>15</v>
      </c>
      <c r="Z338" s="12">
        <v>2</v>
      </c>
      <c r="AA338" s="12">
        <v>0</v>
      </c>
      <c r="AB338" s="13">
        <f t="shared" si="21"/>
        <v>0</v>
      </c>
      <c r="AE338" s="12">
        <v>0</v>
      </c>
      <c r="AF338" s="12">
        <v>0.12000000000000099</v>
      </c>
      <c r="AG338" s="12">
        <v>15</v>
      </c>
      <c r="AH338" s="12">
        <v>2</v>
      </c>
      <c r="AI338" s="12">
        <v>0</v>
      </c>
      <c r="AJ338" s="13">
        <f t="shared" si="22"/>
        <v>0</v>
      </c>
      <c r="AN338" s="12">
        <f t="shared" si="23"/>
        <v>37562</v>
      </c>
      <c r="AQ338" s="8" t="s">
        <v>418</v>
      </c>
      <c r="AR338" t="str">
        <f t="shared" si="24"/>
        <v>Noroeste - A04</v>
      </c>
    </row>
    <row r="339" spans="1:44" x14ac:dyDescent="0.2">
      <c r="A339" s="107" t="s">
        <v>5598</v>
      </c>
      <c r="B339" s="106" t="s">
        <v>5597</v>
      </c>
      <c r="C339" s="106" t="s">
        <v>5519</v>
      </c>
      <c r="D339" s="106" t="s">
        <v>3514</v>
      </c>
      <c r="E339" s="106" t="s">
        <v>5524</v>
      </c>
      <c r="F339" s="106" t="s">
        <v>490</v>
      </c>
      <c r="G339" s="106" t="s">
        <v>5596</v>
      </c>
      <c r="H339" s="105" t="s">
        <v>5595</v>
      </c>
      <c r="I339" s="105" t="s">
        <v>5594</v>
      </c>
      <c r="J339" s="104">
        <v>15.76</v>
      </c>
      <c r="K339" s="103" t="s">
        <v>424</v>
      </c>
      <c r="L339" s="102" t="s">
        <v>533</v>
      </c>
      <c r="M339" s="95"/>
      <c r="N339" s="14"/>
      <c r="O339" s="94">
        <v>26</v>
      </c>
      <c r="P339" s="14" t="s">
        <v>485</v>
      </c>
      <c r="Q339" s="14" t="s">
        <v>561</v>
      </c>
      <c r="R339" s="14" t="s">
        <v>585</v>
      </c>
      <c r="S339" s="15">
        <v>6.9285714285714288</v>
      </c>
      <c r="T339" s="15">
        <v>1</v>
      </c>
      <c r="U339" s="15">
        <v>0</v>
      </c>
      <c r="V339" s="14">
        <v>5748</v>
      </c>
      <c r="W339" s="12">
        <v>0</v>
      </c>
      <c r="X339" s="12">
        <v>1</v>
      </c>
      <c r="Y339" s="12">
        <v>12</v>
      </c>
      <c r="Z339" s="12">
        <v>2.76</v>
      </c>
      <c r="AA339" s="12">
        <v>0</v>
      </c>
      <c r="AB339" s="13">
        <f t="shared" si="21"/>
        <v>0</v>
      </c>
      <c r="AE339" s="12">
        <v>0</v>
      </c>
      <c r="AF339" s="12">
        <v>1</v>
      </c>
      <c r="AG339" s="12">
        <v>12</v>
      </c>
      <c r="AH339" s="12">
        <v>2.76</v>
      </c>
      <c r="AI339" s="12">
        <v>0</v>
      </c>
      <c r="AJ339" s="13">
        <f t="shared" si="22"/>
        <v>0</v>
      </c>
      <c r="AN339" s="12">
        <f t="shared" si="23"/>
        <v>90589</v>
      </c>
      <c r="AQ339" s="8" t="s">
        <v>418</v>
      </c>
      <c r="AR339" t="str">
        <f t="shared" si="24"/>
        <v>Noroeste - A04</v>
      </c>
    </row>
    <row r="340" spans="1:44" x14ac:dyDescent="0.2">
      <c r="A340" s="107" t="s">
        <v>5593</v>
      </c>
      <c r="B340" s="106" t="s">
        <v>5592</v>
      </c>
      <c r="C340" s="106" t="s">
        <v>5519</v>
      </c>
      <c r="D340" s="106" t="s">
        <v>4521</v>
      </c>
      <c r="E340" s="106" t="s">
        <v>5524</v>
      </c>
      <c r="F340" s="106" t="s">
        <v>490</v>
      </c>
      <c r="G340" s="106" t="s">
        <v>5591</v>
      </c>
      <c r="H340" s="105" t="s">
        <v>5590</v>
      </c>
      <c r="I340" s="105" t="s">
        <v>5586</v>
      </c>
      <c r="J340" s="104">
        <v>13.39</v>
      </c>
      <c r="K340" s="103" t="s">
        <v>427</v>
      </c>
      <c r="L340" s="102" t="s">
        <v>533</v>
      </c>
      <c r="M340" s="95"/>
      <c r="N340" s="14"/>
      <c r="O340" s="94">
        <v>29</v>
      </c>
      <c r="P340" s="14" t="s">
        <v>485</v>
      </c>
      <c r="Q340" s="14" t="s">
        <v>887</v>
      </c>
      <c r="R340" s="14" t="s">
        <v>496</v>
      </c>
      <c r="S340" s="15">
        <v>6.8</v>
      </c>
      <c r="T340" s="15">
        <v>1.4</v>
      </c>
      <c r="U340" s="15">
        <v>0</v>
      </c>
      <c r="V340" s="14">
        <v>1022</v>
      </c>
      <c r="W340" s="12">
        <v>0</v>
      </c>
      <c r="X340" s="12">
        <v>0</v>
      </c>
      <c r="Y340" s="12">
        <v>0</v>
      </c>
      <c r="Z340" s="12">
        <v>13.39</v>
      </c>
      <c r="AA340" s="12">
        <v>0</v>
      </c>
      <c r="AB340" s="13">
        <f t="shared" si="21"/>
        <v>0</v>
      </c>
      <c r="AE340" s="12">
        <v>0</v>
      </c>
      <c r="AF340" s="12">
        <v>0</v>
      </c>
      <c r="AG340" s="12">
        <v>0</v>
      </c>
      <c r="AH340" s="12">
        <v>13.39</v>
      </c>
      <c r="AI340" s="12">
        <v>0</v>
      </c>
      <c r="AJ340" s="13">
        <f t="shared" si="22"/>
        <v>0</v>
      </c>
      <c r="AN340" s="12">
        <f t="shared" si="23"/>
        <v>13685</v>
      </c>
      <c r="AQ340" s="8" t="s">
        <v>418</v>
      </c>
      <c r="AR340" t="str">
        <f t="shared" si="24"/>
        <v>Noroeste - A07</v>
      </c>
    </row>
    <row r="341" spans="1:44" x14ac:dyDescent="0.2">
      <c r="A341" s="107" t="s">
        <v>5589</v>
      </c>
      <c r="B341" s="106" t="s">
        <v>5588</v>
      </c>
      <c r="C341" s="106" t="s">
        <v>5519</v>
      </c>
      <c r="D341" s="106" t="s">
        <v>5057</v>
      </c>
      <c r="E341" s="106" t="s">
        <v>5524</v>
      </c>
      <c r="F341" s="106" t="s">
        <v>490</v>
      </c>
      <c r="G341" s="106" t="s">
        <v>5587</v>
      </c>
      <c r="H341" s="105" t="s">
        <v>5586</v>
      </c>
      <c r="I341" s="105" t="s">
        <v>5581</v>
      </c>
      <c r="J341" s="104">
        <v>20.04</v>
      </c>
      <c r="K341" s="103" t="s">
        <v>427</v>
      </c>
      <c r="L341" s="102" t="s">
        <v>533</v>
      </c>
      <c r="M341" s="95"/>
      <c r="N341" s="14"/>
      <c r="O341" s="94">
        <v>29</v>
      </c>
      <c r="P341" s="14" t="s">
        <v>485</v>
      </c>
      <c r="Q341" s="14" t="s">
        <v>887</v>
      </c>
      <c r="R341" s="14" t="s">
        <v>496</v>
      </c>
      <c r="S341" s="15">
        <v>7.1</v>
      </c>
      <c r="T341" s="15">
        <v>1.2</v>
      </c>
      <c r="U341" s="15">
        <v>0</v>
      </c>
      <c r="V341" s="14">
        <v>1902</v>
      </c>
      <c r="W341" s="12">
        <v>0</v>
      </c>
      <c r="X341" s="12">
        <v>1</v>
      </c>
      <c r="Y341" s="12">
        <v>15</v>
      </c>
      <c r="Z341" s="12">
        <v>4.0399999999999991</v>
      </c>
      <c r="AA341" s="12">
        <v>0</v>
      </c>
      <c r="AB341" s="13">
        <f t="shared" si="21"/>
        <v>0</v>
      </c>
      <c r="AE341" s="12">
        <v>0</v>
      </c>
      <c r="AF341" s="12">
        <v>1</v>
      </c>
      <c r="AG341" s="12">
        <v>15</v>
      </c>
      <c r="AH341" s="12">
        <v>4.0399999999999991</v>
      </c>
      <c r="AI341" s="12">
        <v>0</v>
      </c>
      <c r="AJ341" s="13">
        <f t="shared" si="22"/>
        <v>0</v>
      </c>
      <c r="AN341" s="12">
        <f t="shared" si="23"/>
        <v>38117</v>
      </c>
      <c r="AQ341" s="8" t="s">
        <v>418</v>
      </c>
      <c r="AR341" t="str">
        <f t="shared" si="24"/>
        <v>Noroeste - A07</v>
      </c>
    </row>
    <row r="342" spans="1:44" x14ac:dyDescent="0.2">
      <c r="A342" s="107" t="s">
        <v>5585</v>
      </c>
      <c r="B342" s="106" t="s">
        <v>5584</v>
      </c>
      <c r="C342" s="106" t="s">
        <v>5519</v>
      </c>
      <c r="D342" s="106" t="s">
        <v>5583</v>
      </c>
      <c r="E342" s="106" t="s">
        <v>5517</v>
      </c>
      <c r="F342" s="106" t="s">
        <v>590</v>
      </c>
      <c r="G342" s="106" t="s">
        <v>5582</v>
      </c>
      <c r="H342" s="105" t="s">
        <v>5581</v>
      </c>
      <c r="I342" s="105" t="s">
        <v>5577</v>
      </c>
      <c r="J342" s="104">
        <v>1.06</v>
      </c>
      <c r="K342" s="103" t="s">
        <v>427</v>
      </c>
      <c r="L342" s="102" t="s">
        <v>533</v>
      </c>
      <c r="M342" s="95"/>
      <c r="N342" s="14"/>
      <c r="O342" s="94">
        <v>29</v>
      </c>
      <c r="P342" s="14" t="s">
        <v>586</v>
      </c>
      <c r="Q342" s="14" t="s">
        <v>887</v>
      </c>
      <c r="R342" s="14" t="s">
        <v>496</v>
      </c>
      <c r="S342" s="15">
        <v>15</v>
      </c>
      <c r="T342" s="15">
        <v>0</v>
      </c>
      <c r="U342" s="15">
        <v>0</v>
      </c>
      <c r="V342" s="14">
        <v>778</v>
      </c>
      <c r="W342" s="12">
        <v>0</v>
      </c>
      <c r="X342" s="12">
        <v>0</v>
      </c>
      <c r="Y342" s="12">
        <v>1.06</v>
      </c>
      <c r="Z342" s="12">
        <v>0</v>
      </c>
      <c r="AA342" s="12">
        <v>0</v>
      </c>
      <c r="AB342" s="13">
        <f t="shared" si="21"/>
        <v>0</v>
      </c>
      <c r="AE342" s="12">
        <v>0</v>
      </c>
      <c r="AF342" s="12">
        <v>0</v>
      </c>
      <c r="AG342" s="12">
        <v>1.06</v>
      </c>
      <c r="AH342" s="12">
        <v>0</v>
      </c>
      <c r="AI342" s="12">
        <v>0</v>
      </c>
      <c r="AJ342" s="13">
        <f t="shared" si="22"/>
        <v>0</v>
      </c>
      <c r="AN342" s="12">
        <f t="shared" si="23"/>
        <v>825</v>
      </c>
      <c r="AQ342" s="8" t="s">
        <v>418</v>
      </c>
      <c r="AR342" t="str">
        <f t="shared" si="24"/>
        <v>Noroeste - A07</v>
      </c>
    </row>
    <row r="343" spans="1:44" x14ac:dyDescent="0.2">
      <c r="A343" s="107" t="s">
        <v>5580</v>
      </c>
      <c r="B343" s="106" t="s">
        <v>5579</v>
      </c>
      <c r="C343" s="106" t="s">
        <v>5519</v>
      </c>
      <c r="D343" s="106" t="s">
        <v>4513</v>
      </c>
      <c r="E343" s="106" t="s">
        <v>5524</v>
      </c>
      <c r="F343" s="106" t="s">
        <v>490</v>
      </c>
      <c r="G343" s="106" t="s">
        <v>5578</v>
      </c>
      <c r="H343" s="105" t="s">
        <v>5577</v>
      </c>
      <c r="I343" s="105" t="s">
        <v>5572</v>
      </c>
      <c r="J343" s="104">
        <v>14.53</v>
      </c>
      <c r="K343" s="103" t="s">
        <v>429</v>
      </c>
      <c r="L343" s="102" t="s">
        <v>533</v>
      </c>
      <c r="M343" s="95"/>
      <c r="N343" s="14"/>
      <c r="O343" s="94">
        <v>31</v>
      </c>
      <c r="P343" s="14" t="s">
        <v>485</v>
      </c>
      <c r="Q343" s="14" t="s">
        <v>887</v>
      </c>
      <c r="R343" s="14" t="s">
        <v>496</v>
      </c>
      <c r="S343" s="15">
        <v>6.8</v>
      </c>
      <c r="T343" s="15">
        <v>1.6</v>
      </c>
      <c r="U343" s="15">
        <v>0</v>
      </c>
      <c r="V343" s="14">
        <v>1022</v>
      </c>
      <c r="W343" s="12">
        <v>0</v>
      </c>
      <c r="X343" s="12">
        <v>0</v>
      </c>
      <c r="Y343" s="12">
        <v>8</v>
      </c>
      <c r="Z343" s="12">
        <v>6.5299999999999994</v>
      </c>
      <c r="AA343" s="12">
        <v>0</v>
      </c>
      <c r="AB343" s="13">
        <f t="shared" si="21"/>
        <v>0</v>
      </c>
      <c r="AE343" s="12">
        <v>0</v>
      </c>
      <c r="AF343" s="12">
        <v>0</v>
      </c>
      <c r="AG343" s="12">
        <v>8</v>
      </c>
      <c r="AH343" s="12">
        <v>6.5299999999999994</v>
      </c>
      <c r="AI343" s="12">
        <v>0</v>
      </c>
      <c r="AJ343" s="13">
        <f t="shared" si="22"/>
        <v>0</v>
      </c>
      <c r="AN343" s="12">
        <f t="shared" si="23"/>
        <v>14850</v>
      </c>
      <c r="AQ343" s="8" t="s">
        <v>418</v>
      </c>
      <c r="AR343" t="str">
        <f t="shared" si="24"/>
        <v>Noroeste - A09</v>
      </c>
    </row>
    <row r="344" spans="1:44" x14ac:dyDescent="0.2">
      <c r="A344" s="107" t="s">
        <v>5576</v>
      </c>
      <c r="B344" s="106" t="s">
        <v>5575</v>
      </c>
      <c r="C344" s="106" t="s">
        <v>5519</v>
      </c>
      <c r="D344" s="106" t="s">
        <v>5574</v>
      </c>
      <c r="E344" s="106" t="s">
        <v>5517</v>
      </c>
      <c r="F344" s="106" t="s">
        <v>590</v>
      </c>
      <c r="G344" s="106" t="s">
        <v>5573</v>
      </c>
      <c r="H344" s="105" t="s">
        <v>5572</v>
      </c>
      <c r="I344" s="105" t="s">
        <v>5567</v>
      </c>
      <c r="J344" s="104">
        <v>1.25</v>
      </c>
      <c r="K344" s="103" t="s">
        <v>429</v>
      </c>
      <c r="L344" s="102" t="s">
        <v>533</v>
      </c>
      <c r="M344" s="95"/>
      <c r="N344" s="14"/>
      <c r="O344" s="94">
        <v>31</v>
      </c>
      <c r="P344" s="14" t="s">
        <v>586</v>
      </c>
      <c r="Q344" s="14" t="s">
        <v>887</v>
      </c>
      <c r="R344" s="14" t="s">
        <v>496</v>
      </c>
      <c r="S344" s="15">
        <v>14</v>
      </c>
      <c r="T344" s="15">
        <v>0</v>
      </c>
      <c r="U344" s="15">
        <v>0</v>
      </c>
      <c r="V344" s="14">
        <v>778</v>
      </c>
      <c r="W344" s="12">
        <v>0</v>
      </c>
      <c r="X344" s="12">
        <v>0</v>
      </c>
      <c r="Y344" s="12">
        <v>1.25</v>
      </c>
      <c r="Z344" s="12">
        <v>0</v>
      </c>
      <c r="AA344" s="12">
        <v>0</v>
      </c>
      <c r="AB344" s="13">
        <f t="shared" si="21"/>
        <v>0</v>
      </c>
      <c r="AE344" s="12">
        <v>0</v>
      </c>
      <c r="AF344" s="12">
        <v>0</v>
      </c>
      <c r="AG344" s="12">
        <v>1.25</v>
      </c>
      <c r="AH344" s="12">
        <v>0</v>
      </c>
      <c r="AI344" s="12">
        <v>0</v>
      </c>
      <c r="AJ344" s="13">
        <f t="shared" si="22"/>
        <v>0</v>
      </c>
      <c r="AN344" s="12">
        <f t="shared" si="23"/>
        <v>973</v>
      </c>
      <c r="AQ344" s="8" t="s">
        <v>418</v>
      </c>
      <c r="AR344" t="str">
        <f t="shared" si="24"/>
        <v>Noroeste - A09</v>
      </c>
    </row>
    <row r="345" spans="1:44" x14ac:dyDescent="0.2">
      <c r="A345" s="107" t="s">
        <v>5571</v>
      </c>
      <c r="B345" s="106" t="s">
        <v>5570</v>
      </c>
      <c r="C345" s="106" t="s">
        <v>5519</v>
      </c>
      <c r="D345" s="106" t="s">
        <v>5569</v>
      </c>
      <c r="E345" s="106" t="s">
        <v>5524</v>
      </c>
      <c r="F345" s="106" t="s">
        <v>490</v>
      </c>
      <c r="G345" s="106" t="s">
        <v>5568</v>
      </c>
      <c r="H345" s="105" t="s">
        <v>5567</v>
      </c>
      <c r="I345" s="105" t="s">
        <v>5562</v>
      </c>
      <c r="J345" s="104">
        <v>5.47</v>
      </c>
      <c r="K345" s="103" t="s">
        <v>429</v>
      </c>
      <c r="L345" s="102" t="s">
        <v>533</v>
      </c>
      <c r="M345" s="95"/>
      <c r="N345" s="14"/>
      <c r="O345" s="94">
        <v>31</v>
      </c>
      <c r="P345" s="14" t="s">
        <v>485</v>
      </c>
      <c r="Q345" s="14" t="s">
        <v>887</v>
      </c>
      <c r="R345" s="14" t="s">
        <v>496</v>
      </c>
      <c r="S345" s="15">
        <v>7</v>
      </c>
      <c r="T345" s="15">
        <v>0.9</v>
      </c>
      <c r="U345" s="15">
        <v>0</v>
      </c>
      <c r="V345" s="14">
        <v>1162</v>
      </c>
      <c r="W345" s="12">
        <v>0</v>
      </c>
      <c r="X345" s="12">
        <v>0</v>
      </c>
      <c r="Y345" s="12">
        <v>2</v>
      </c>
      <c r="Z345" s="12">
        <v>3.4699999999999998</v>
      </c>
      <c r="AA345" s="12">
        <v>0</v>
      </c>
      <c r="AB345" s="13">
        <f t="shared" si="21"/>
        <v>0</v>
      </c>
      <c r="AE345" s="12">
        <v>0</v>
      </c>
      <c r="AF345" s="12">
        <v>0</v>
      </c>
      <c r="AG345" s="12">
        <v>2</v>
      </c>
      <c r="AH345" s="12">
        <v>3.4699999999999998</v>
      </c>
      <c r="AI345" s="12">
        <v>0</v>
      </c>
      <c r="AJ345" s="13">
        <f t="shared" si="22"/>
        <v>0</v>
      </c>
      <c r="AN345" s="12">
        <f t="shared" si="23"/>
        <v>6357</v>
      </c>
      <c r="AQ345" s="8" t="s">
        <v>418</v>
      </c>
      <c r="AR345" t="str">
        <f t="shared" si="24"/>
        <v>Noroeste - A09</v>
      </c>
    </row>
    <row r="346" spans="1:44" x14ac:dyDescent="0.2">
      <c r="A346" s="107" t="s">
        <v>5566</v>
      </c>
      <c r="B346" s="106" t="s">
        <v>5565</v>
      </c>
      <c r="C346" s="106" t="s">
        <v>5519</v>
      </c>
      <c r="D346" s="106" t="s">
        <v>5564</v>
      </c>
      <c r="E346" s="106" t="s">
        <v>5524</v>
      </c>
      <c r="F346" s="106" t="s">
        <v>490</v>
      </c>
      <c r="G346" s="106" t="s">
        <v>5563</v>
      </c>
      <c r="H346" s="105" t="s">
        <v>5562</v>
      </c>
      <c r="I346" s="105" t="s">
        <v>5561</v>
      </c>
      <c r="J346" s="104">
        <v>22.05</v>
      </c>
      <c r="K346" s="103" t="s">
        <v>429</v>
      </c>
      <c r="L346" s="102" t="s">
        <v>533</v>
      </c>
      <c r="M346" s="95"/>
      <c r="N346" s="14"/>
      <c r="O346" s="94">
        <v>31</v>
      </c>
      <c r="P346" s="14" t="s">
        <v>485</v>
      </c>
      <c r="Q346" s="14" t="s">
        <v>887</v>
      </c>
      <c r="R346" s="14" t="s">
        <v>496</v>
      </c>
      <c r="S346" s="15">
        <v>6.8</v>
      </c>
      <c r="T346" s="15">
        <v>0.7</v>
      </c>
      <c r="U346" s="15">
        <v>0</v>
      </c>
      <c r="V346" s="14">
        <v>1162</v>
      </c>
      <c r="W346" s="12">
        <v>0</v>
      </c>
      <c r="X346" s="12">
        <v>0</v>
      </c>
      <c r="Y346" s="12">
        <v>6</v>
      </c>
      <c r="Z346" s="12">
        <v>16.05</v>
      </c>
      <c r="AA346" s="12">
        <v>0</v>
      </c>
      <c r="AB346" s="13">
        <f t="shared" si="21"/>
        <v>0</v>
      </c>
      <c r="AE346" s="12">
        <v>0</v>
      </c>
      <c r="AF346" s="12">
        <v>0</v>
      </c>
      <c r="AG346" s="12">
        <v>6</v>
      </c>
      <c r="AH346" s="12">
        <v>16.05</v>
      </c>
      <c r="AI346" s="12">
        <v>0</v>
      </c>
      <c r="AJ346" s="13">
        <f t="shared" si="22"/>
        <v>0</v>
      </c>
      <c r="AN346" s="12">
        <f t="shared" si="23"/>
        <v>25623</v>
      </c>
      <c r="AQ346" s="8" t="s">
        <v>418</v>
      </c>
      <c r="AR346" t="str">
        <f t="shared" si="24"/>
        <v>Noroeste - A09</v>
      </c>
    </row>
    <row r="347" spans="1:44" x14ac:dyDescent="0.2">
      <c r="A347" s="107" t="s">
        <v>5560</v>
      </c>
      <c r="B347" s="106" t="s">
        <v>5559</v>
      </c>
      <c r="C347" s="106" t="s">
        <v>5519</v>
      </c>
      <c r="D347" s="106" t="s">
        <v>5558</v>
      </c>
      <c r="E347" s="106" t="s">
        <v>5524</v>
      </c>
      <c r="F347" s="106" t="s">
        <v>490</v>
      </c>
      <c r="G347" s="106" t="s">
        <v>5557</v>
      </c>
      <c r="H347" s="105" t="s">
        <v>5556</v>
      </c>
      <c r="I347" s="105" t="s">
        <v>5555</v>
      </c>
      <c r="J347" s="104">
        <v>1.96</v>
      </c>
      <c r="K347" s="103" t="s">
        <v>429</v>
      </c>
      <c r="L347" s="102" t="s">
        <v>533</v>
      </c>
      <c r="M347" s="95"/>
      <c r="N347" s="14"/>
      <c r="O347" s="94">
        <v>31</v>
      </c>
      <c r="P347" s="14" t="s">
        <v>485</v>
      </c>
      <c r="Q347" s="14" t="s">
        <v>887</v>
      </c>
      <c r="R347" s="14" t="s">
        <v>496</v>
      </c>
      <c r="S347" s="15">
        <v>7</v>
      </c>
      <c r="T347" s="15">
        <v>1.3</v>
      </c>
      <c r="U347" s="15">
        <v>0</v>
      </c>
      <c r="V347" s="14">
        <v>1162</v>
      </c>
      <c r="W347" s="12">
        <v>0</v>
      </c>
      <c r="X347" s="12">
        <v>0</v>
      </c>
      <c r="Y347" s="12">
        <v>0</v>
      </c>
      <c r="Z347" s="12">
        <v>1.96</v>
      </c>
      <c r="AA347" s="12">
        <v>0</v>
      </c>
      <c r="AB347" s="13">
        <f t="shared" si="21"/>
        <v>0</v>
      </c>
      <c r="AE347" s="12">
        <v>0</v>
      </c>
      <c r="AF347" s="12">
        <v>0</v>
      </c>
      <c r="AG347" s="12">
        <v>0</v>
      </c>
      <c r="AH347" s="12">
        <v>1.96</v>
      </c>
      <c r="AI347" s="12">
        <v>0</v>
      </c>
      <c r="AJ347" s="13">
        <f t="shared" si="22"/>
        <v>0</v>
      </c>
      <c r="AN347" s="12">
        <f t="shared" si="23"/>
        <v>2278</v>
      </c>
      <c r="AQ347" s="8" t="s">
        <v>418</v>
      </c>
      <c r="AR347" t="str">
        <f t="shared" si="24"/>
        <v>Noroeste - A09</v>
      </c>
    </row>
    <row r="348" spans="1:44" x14ac:dyDescent="0.2">
      <c r="A348" s="107" t="s">
        <v>5554</v>
      </c>
      <c r="B348" s="106" t="s">
        <v>5553</v>
      </c>
      <c r="C348" s="106" t="s">
        <v>5519</v>
      </c>
      <c r="D348" s="106" t="s">
        <v>3487</v>
      </c>
      <c r="E348" s="106" t="s">
        <v>5517</v>
      </c>
      <c r="F348" s="106" t="s">
        <v>590</v>
      </c>
      <c r="G348" s="106" t="s">
        <v>5552</v>
      </c>
      <c r="H348" s="105" t="s">
        <v>5551</v>
      </c>
      <c r="I348" s="105" t="s">
        <v>2941</v>
      </c>
      <c r="J348" s="104">
        <v>1.66</v>
      </c>
      <c r="K348" s="103" t="s">
        <v>429</v>
      </c>
      <c r="L348" s="102" t="s">
        <v>533</v>
      </c>
      <c r="M348" s="95"/>
      <c r="N348" s="14"/>
      <c r="O348" s="94">
        <v>31</v>
      </c>
      <c r="P348" s="14" t="s">
        <v>586</v>
      </c>
      <c r="Q348" s="14" t="s">
        <v>887</v>
      </c>
      <c r="R348" s="14" t="s">
        <v>496</v>
      </c>
      <c r="S348" s="15">
        <v>14</v>
      </c>
      <c r="T348" s="15">
        <v>0</v>
      </c>
      <c r="U348" s="15">
        <v>0</v>
      </c>
      <c r="V348" s="14">
        <v>336</v>
      </c>
      <c r="W348" s="12">
        <v>0</v>
      </c>
      <c r="X348" s="12">
        <v>0</v>
      </c>
      <c r="Y348" s="12">
        <v>1</v>
      </c>
      <c r="Z348" s="12">
        <v>0.65999999999999992</v>
      </c>
      <c r="AA348" s="12">
        <v>0</v>
      </c>
      <c r="AB348" s="13">
        <f t="shared" si="21"/>
        <v>0</v>
      </c>
      <c r="AE348" s="12">
        <v>0</v>
      </c>
      <c r="AF348" s="12">
        <v>0</v>
      </c>
      <c r="AG348" s="12">
        <v>1</v>
      </c>
      <c r="AH348" s="12">
        <v>0.65999999999999992</v>
      </c>
      <c r="AI348" s="12">
        <v>0</v>
      </c>
      <c r="AJ348" s="13">
        <f t="shared" si="22"/>
        <v>0</v>
      </c>
      <c r="AN348" s="12">
        <f t="shared" si="23"/>
        <v>558</v>
      </c>
      <c r="AQ348" s="8" t="s">
        <v>418</v>
      </c>
      <c r="AR348" t="str">
        <f t="shared" si="24"/>
        <v>Noroeste - A09</v>
      </c>
    </row>
    <row r="349" spans="1:44" x14ac:dyDescent="0.2">
      <c r="A349" s="107" t="s">
        <v>5550</v>
      </c>
      <c r="B349" s="106" t="s">
        <v>5549</v>
      </c>
      <c r="C349" s="106" t="s">
        <v>5519</v>
      </c>
      <c r="D349" s="106" t="s">
        <v>3483</v>
      </c>
      <c r="E349" s="106" t="s">
        <v>5524</v>
      </c>
      <c r="F349" s="106" t="s">
        <v>490</v>
      </c>
      <c r="G349" s="106" t="s">
        <v>5548</v>
      </c>
      <c r="H349" s="105" t="s">
        <v>2941</v>
      </c>
      <c r="I349" s="105" t="s">
        <v>5543</v>
      </c>
      <c r="J349" s="104">
        <v>3.77</v>
      </c>
      <c r="K349" s="103" t="s">
        <v>429</v>
      </c>
      <c r="L349" s="102" t="s">
        <v>533</v>
      </c>
      <c r="M349" s="95"/>
      <c r="N349" s="14"/>
      <c r="O349" s="94">
        <v>31</v>
      </c>
      <c r="P349" s="14" t="s">
        <v>485</v>
      </c>
      <c r="Q349" s="14" t="s">
        <v>887</v>
      </c>
      <c r="R349" s="14" t="s">
        <v>496</v>
      </c>
      <c r="S349" s="15">
        <v>7.2</v>
      </c>
      <c r="T349" s="15">
        <v>0.7</v>
      </c>
      <c r="U349" s="15">
        <v>0</v>
      </c>
      <c r="V349" s="14">
        <v>3434</v>
      </c>
      <c r="W349" s="12">
        <v>0</v>
      </c>
      <c r="X349" s="12">
        <v>0</v>
      </c>
      <c r="Y349" s="12">
        <v>3</v>
      </c>
      <c r="Z349" s="12">
        <v>0.77</v>
      </c>
      <c r="AA349" s="12">
        <v>0</v>
      </c>
      <c r="AB349" s="13">
        <f t="shared" si="21"/>
        <v>0</v>
      </c>
      <c r="AE349" s="12">
        <v>0</v>
      </c>
      <c r="AF349" s="12">
        <v>0</v>
      </c>
      <c r="AG349" s="12">
        <v>3</v>
      </c>
      <c r="AH349" s="12">
        <v>0.77</v>
      </c>
      <c r="AI349" s="12">
        <v>0</v>
      </c>
      <c r="AJ349" s="13">
        <f t="shared" si="22"/>
        <v>0</v>
      </c>
      <c r="AN349" s="12">
        <f t="shared" si="23"/>
        <v>12947</v>
      </c>
      <c r="AQ349" s="8" t="s">
        <v>418</v>
      </c>
      <c r="AR349" t="str">
        <f t="shared" si="24"/>
        <v>Noroeste - A09</v>
      </c>
    </row>
    <row r="350" spans="1:44" x14ac:dyDescent="0.2">
      <c r="A350" s="107" t="s">
        <v>5547</v>
      </c>
      <c r="B350" s="106" t="s">
        <v>5546</v>
      </c>
      <c r="C350" s="106" t="s">
        <v>5519</v>
      </c>
      <c r="D350" s="106" t="s">
        <v>5545</v>
      </c>
      <c r="E350" s="106" t="s">
        <v>5524</v>
      </c>
      <c r="F350" s="106" t="s">
        <v>490</v>
      </c>
      <c r="G350" s="106" t="s">
        <v>5544</v>
      </c>
      <c r="H350" s="105" t="s">
        <v>5543</v>
      </c>
      <c r="I350" s="105" t="s">
        <v>5538</v>
      </c>
      <c r="J350" s="104">
        <v>11.24</v>
      </c>
      <c r="K350" s="103" t="s">
        <v>429</v>
      </c>
      <c r="L350" s="102" t="s">
        <v>533</v>
      </c>
      <c r="M350" s="95"/>
      <c r="N350" s="14"/>
      <c r="O350" s="94">
        <v>31</v>
      </c>
      <c r="P350" s="14" t="s">
        <v>485</v>
      </c>
      <c r="Q350" s="14" t="s">
        <v>887</v>
      </c>
      <c r="R350" s="14" t="s">
        <v>496</v>
      </c>
      <c r="S350" s="15">
        <v>7.2</v>
      </c>
      <c r="T350" s="15">
        <v>0.7</v>
      </c>
      <c r="U350" s="15">
        <v>0</v>
      </c>
      <c r="V350" s="14">
        <v>1688</v>
      </c>
      <c r="W350" s="12">
        <v>0</v>
      </c>
      <c r="X350" s="12">
        <v>0</v>
      </c>
      <c r="Y350" s="12">
        <v>8.24</v>
      </c>
      <c r="Z350" s="12">
        <v>3</v>
      </c>
      <c r="AA350" s="12">
        <v>0</v>
      </c>
      <c r="AB350" s="13">
        <f t="shared" si="21"/>
        <v>0</v>
      </c>
      <c r="AE350" s="12">
        <v>0</v>
      </c>
      <c r="AF350" s="12">
        <v>0</v>
      </c>
      <c r="AG350" s="12">
        <v>8.24</v>
      </c>
      <c r="AH350" s="12">
        <v>3</v>
      </c>
      <c r="AI350" s="12">
        <v>0</v>
      </c>
      <c r="AJ350" s="13">
        <f t="shared" si="22"/>
        <v>0</v>
      </c>
      <c r="AN350" s="12">
        <f t="shared" si="23"/>
        <v>18974</v>
      </c>
      <c r="AQ350" s="8" t="s">
        <v>418</v>
      </c>
      <c r="AR350" t="str">
        <f t="shared" si="24"/>
        <v>Noroeste - A09</v>
      </c>
    </row>
    <row r="351" spans="1:44" x14ac:dyDescent="0.2">
      <c r="A351" s="107" t="s">
        <v>5542</v>
      </c>
      <c r="B351" s="106" t="s">
        <v>5541</v>
      </c>
      <c r="C351" s="106" t="s">
        <v>5519</v>
      </c>
      <c r="D351" s="106" t="s">
        <v>5540</v>
      </c>
      <c r="E351" s="106" t="s">
        <v>5524</v>
      </c>
      <c r="F351" s="106" t="s">
        <v>490</v>
      </c>
      <c r="G351" s="106" t="s">
        <v>5539</v>
      </c>
      <c r="H351" s="105" t="s">
        <v>5538</v>
      </c>
      <c r="I351" s="105" t="s">
        <v>5533</v>
      </c>
      <c r="J351" s="104">
        <v>1.94</v>
      </c>
      <c r="K351" s="103" t="s">
        <v>429</v>
      </c>
      <c r="L351" s="102" t="s">
        <v>533</v>
      </c>
      <c r="M351" s="95"/>
      <c r="N351" s="14"/>
      <c r="O351" s="94">
        <v>31</v>
      </c>
      <c r="P351" s="14" t="s">
        <v>485</v>
      </c>
      <c r="Q351" s="14" t="s">
        <v>887</v>
      </c>
      <c r="R351" s="14" t="s">
        <v>496</v>
      </c>
      <c r="S351" s="15">
        <v>7</v>
      </c>
      <c r="T351" s="15">
        <v>0.9</v>
      </c>
      <c r="U351" s="15">
        <v>0</v>
      </c>
      <c r="V351" s="14">
        <v>2706</v>
      </c>
      <c r="W351" s="12">
        <v>0</v>
      </c>
      <c r="X351" s="12">
        <v>0</v>
      </c>
      <c r="Y351" s="12">
        <v>0</v>
      </c>
      <c r="Z351" s="12">
        <v>1.94</v>
      </c>
      <c r="AA351" s="12">
        <v>0</v>
      </c>
      <c r="AB351" s="13">
        <f t="shared" si="21"/>
        <v>0</v>
      </c>
      <c r="AE351" s="12">
        <v>0</v>
      </c>
      <c r="AF351" s="12">
        <v>0</v>
      </c>
      <c r="AG351" s="12">
        <v>0</v>
      </c>
      <c r="AH351" s="12">
        <v>1.94</v>
      </c>
      <c r="AI351" s="12">
        <v>0</v>
      </c>
      <c r="AJ351" s="13">
        <f t="shared" si="22"/>
        <v>0</v>
      </c>
      <c r="AN351" s="12">
        <f t="shared" si="23"/>
        <v>5250</v>
      </c>
      <c r="AQ351" s="8" t="s">
        <v>418</v>
      </c>
      <c r="AR351" t="str">
        <f t="shared" si="24"/>
        <v>Noroeste - A09</v>
      </c>
    </row>
    <row r="352" spans="1:44" x14ac:dyDescent="0.2">
      <c r="A352" s="107" t="s">
        <v>5537</v>
      </c>
      <c r="B352" s="106" t="s">
        <v>5536</v>
      </c>
      <c r="C352" s="106" t="s">
        <v>5519</v>
      </c>
      <c r="D352" s="106" t="s">
        <v>5535</v>
      </c>
      <c r="E352" s="106" t="s">
        <v>5517</v>
      </c>
      <c r="F352" s="106" t="s">
        <v>590</v>
      </c>
      <c r="G352" s="106" t="s">
        <v>5534</v>
      </c>
      <c r="H352" s="105" t="s">
        <v>5533</v>
      </c>
      <c r="I352" s="105" t="s">
        <v>5528</v>
      </c>
      <c r="J352" s="104">
        <v>1.6</v>
      </c>
      <c r="K352" s="103" t="s">
        <v>429</v>
      </c>
      <c r="L352" s="102" t="s">
        <v>533</v>
      </c>
      <c r="M352" s="95"/>
      <c r="N352" s="14"/>
      <c r="O352" s="94">
        <v>31</v>
      </c>
      <c r="P352" s="14" t="s">
        <v>586</v>
      </c>
      <c r="Q352" s="14" t="s">
        <v>887</v>
      </c>
      <c r="R352" s="14" t="s">
        <v>496</v>
      </c>
      <c r="S352" s="15">
        <v>14</v>
      </c>
      <c r="T352" s="15">
        <v>0</v>
      </c>
      <c r="U352" s="15">
        <v>0</v>
      </c>
      <c r="V352" s="14">
        <v>688</v>
      </c>
      <c r="W352" s="12">
        <v>0</v>
      </c>
      <c r="X352" s="12">
        <v>0</v>
      </c>
      <c r="Y352" s="12">
        <v>1.6</v>
      </c>
      <c r="Z352" s="12">
        <v>0</v>
      </c>
      <c r="AA352" s="12">
        <v>0</v>
      </c>
      <c r="AB352" s="13">
        <f t="shared" si="21"/>
        <v>0</v>
      </c>
      <c r="AE352" s="12">
        <v>0</v>
      </c>
      <c r="AF352" s="12">
        <v>0</v>
      </c>
      <c r="AG352" s="12">
        <v>1.6</v>
      </c>
      <c r="AH352" s="12">
        <v>0</v>
      </c>
      <c r="AI352" s="12">
        <v>0</v>
      </c>
      <c r="AJ352" s="13">
        <f t="shared" si="22"/>
        <v>0</v>
      </c>
      <c r="AN352" s="12">
        <f t="shared" si="23"/>
        <v>1101</v>
      </c>
      <c r="AQ352" s="8" t="s">
        <v>418</v>
      </c>
      <c r="AR352" t="str">
        <f t="shared" si="24"/>
        <v>Noroeste - A09</v>
      </c>
    </row>
    <row r="353" spans="1:44" x14ac:dyDescent="0.2">
      <c r="A353" s="107" t="s">
        <v>5532</v>
      </c>
      <c r="B353" s="106" t="s">
        <v>5531</v>
      </c>
      <c r="C353" s="106" t="s">
        <v>5519</v>
      </c>
      <c r="D353" s="106" t="s">
        <v>5530</v>
      </c>
      <c r="E353" s="106" t="s">
        <v>5517</v>
      </c>
      <c r="F353" s="106" t="s">
        <v>590</v>
      </c>
      <c r="G353" s="106" t="s">
        <v>5529</v>
      </c>
      <c r="H353" s="105" t="s">
        <v>5528</v>
      </c>
      <c r="I353" s="105" t="s">
        <v>5522</v>
      </c>
      <c r="J353" s="104">
        <v>0.45</v>
      </c>
      <c r="K353" s="103" t="s">
        <v>429</v>
      </c>
      <c r="L353" s="102" t="s">
        <v>533</v>
      </c>
      <c r="M353" s="95"/>
      <c r="N353" s="14"/>
      <c r="O353" s="94">
        <v>31</v>
      </c>
      <c r="P353" s="14" t="s">
        <v>586</v>
      </c>
      <c r="Q353" s="14" t="s">
        <v>887</v>
      </c>
      <c r="R353" s="14" t="s">
        <v>496</v>
      </c>
      <c r="S353" s="15">
        <v>14</v>
      </c>
      <c r="T353" s="15">
        <v>0</v>
      </c>
      <c r="U353" s="15">
        <v>0</v>
      </c>
      <c r="V353" s="14">
        <v>688</v>
      </c>
      <c r="W353" s="12">
        <v>0</v>
      </c>
      <c r="X353" s="12">
        <v>0</v>
      </c>
      <c r="Y353" s="12">
        <v>0.45</v>
      </c>
      <c r="Z353" s="12">
        <v>0</v>
      </c>
      <c r="AA353" s="12">
        <v>0</v>
      </c>
      <c r="AB353" s="13">
        <f t="shared" si="21"/>
        <v>0</v>
      </c>
      <c r="AE353" s="12">
        <v>0</v>
      </c>
      <c r="AF353" s="12">
        <v>0</v>
      </c>
      <c r="AG353" s="12">
        <v>0.45</v>
      </c>
      <c r="AH353" s="12">
        <v>0</v>
      </c>
      <c r="AI353" s="12">
        <v>0</v>
      </c>
      <c r="AJ353" s="13">
        <f t="shared" si="22"/>
        <v>0</v>
      </c>
      <c r="AN353" s="12">
        <f t="shared" si="23"/>
        <v>310</v>
      </c>
      <c r="AQ353" s="8" t="s">
        <v>418</v>
      </c>
      <c r="AR353" t="str">
        <f t="shared" si="24"/>
        <v>Noroeste - A09</v>
      </c>
    </row>
    <row r="354" spans="1:44" x14ac:dyDescent="0.2">
      <c r="A354" s="107" t="s">
        <v>5527</v>
      </c>
      <c r="B354" s="106" t="s">
        <v>5526</v>
      </c>
      <c r="C354" s="106" t="s">
        <v>5519</v>
      </c>
      <c r="D354" s="106" t="s">
        <v>5525</v>
      </c>
      <c r="E354" s="106" t="s">
        <v>5524</v>
      </c>
      <c r="F354" s="106" t="s">
        <v>490</v>
      </c>
      <c r="G354" s="106" t="s">
        <v>5523</v>
      </c>
      <c r="H354" s="105" t="s">
        <v>5522</v>
      </c>
      <c r="I354" s="105" t="s">
        <v>5515</v>
      </c>
      <c r="J354" s="104">
        <v>25.15</v>
      </c>
      <c r="K354" s="103" t="s">
        <v>429</v>
      </c>
      <c r="L354" s="102" t="s">
        <v>533</v>
      </c>
      <c r="M354" s="95"/>
      <c r="N354" s="14"/>
      <c r="O354" s="94">
        <v>31</v>
      </c>
      <c r="P354" s="14" t="s">
        <v>485</v>
      </c>
      <c r="Q354" s="14" t="s">
        <v>887</v>
      </c>
      <c r="R354" s="14" t="s">
        <v>496</v>
      </c>
      <c r="S354" s="15">
        <v>7</v>
      </c>
      <c r="T354" s="15">
        <v>0.9</v>
      </c>
      <c r="U354" s="15">
        <v>0</v>
      </c>
      <c r="V354" s="14">
        <v>1318</v>
      </c>
      <c r="W354" s="12">
        <v>0</v>
      </c>
      <c r="X354" s="12">
        <v>0</v>
      </c>
      <c r="Y354" s="12">
        <v>21</v>
      </c>
      <c r="Z354" s="12">
        <v>4.1499999999999986</v>
      </c>
      <c r="AA354" s="12">
        <v>0</v>
      </c>
      <c r="AB354" s="13">
        <f t="shared" si="21"/>
        <v>0</v>
      </c>
      <c r="AE354" s="12">
        <v>0</v>
      </c>
      <c r="AF354" s="12">
        <v>0</v>
      </c>
      <c r="AG354" s="12">
        <v>21</v>
      </c>
      <c r="AH354" s="12">
        <v>4.1499999999999986</v>
      </c>
      <c r="AI354" s="12">
        <v>0</v>
      </c>
      <c r="AJ354" s="13">
        <f t="shared" si="22"/>
        <v>0</v>
      </c>
      <c r="AN354" s="12">
        <f t="shared" si="23"/>
        <v>33148</v>
      </c>
      <c r="AQ354" s="8" t="s">
        <v>418</v>
      </c>
      <c r="AR354" t="str">
        <f t="shared" si="24"/>
        <v>Noroeste - A09</v>
      </c>
    </row>
    <row r="355" spans="1:44" x14ac:dyDescent="0.2">
      <c r="A355" s="107" t="s">
        <v>5521</v>
      </c>
      <c r="B355" s="106" t="s">
        <v>5520</v>
      </c>
      <c r="C355" s="106" t="s">
        <v>5519</v>
      </c>
      <c r="D355" s="106" t="s">
        <v>5518</v>
      </c>
      <c r="E355" s="106" t="s">
        <v>5517</v>
      </c>
      <c r="F355" s="106" t="s">
        <v>590</v>
      </c>
      <c r="G355" s="106" t="s">
        <v>5516</v>
      </c>
      <c r="H355" s="105" t="s">
        <v>5515</v>
      </c>
      <c r="I355" s="105" t="s">
        <v>5514</v>
      </c>
      <c r="J355" s="104">
        <v>2.04</v>
      </c>
      <c r="K355" s="103" t="s">
        <v>429</v>
      </c>
      <c r="L355" s="102" t="s">
        <v>533</v>
      </c>
      <c r="M355" s="95"/>
      <c r="N355" s="14"/>
      <c r="O355" s="94">
        <v>31</v>
      </c>
      <c r="P355" s="14" t="s">
        <v>586</v>
      </c>
      <c r="Q355" s="14" t="s">
        <v>887</v>
      </c>
      <c r="R355" s="14" t="s">
        <v>496</v>
      </c>
      <c r="S355" s="15">
        <v>14</v>
      </c>
      <c r="T355" s="15">
        <v>0</v>
      </c>
      <c r="U355" s="15">
        <v>0</v>
      </c>
      <c r="V355" s="14">
        <v>760</v>
      </c>
      <c r="W355" s="12">
        <v>0</v>
      </c>
      <c r="X355" s="12">
        <v>0</v>
      </c>
      <c r="Y355" s="12">
        <v>0</v>
      </c>
      <c r="Z355" s="12">
        <v>2.04</v>
      </c>
      <c r="AA355" s="12">
        <v>0</v>
      </c>
      <c r="AB355" s="13">
        <f t="shared" si="21"/>
        <v>0</v>
      </c>
      <c r="AE355" s="12">
        <v>0</v>
      </c>
      <c r="AF355" s="12">
        <v>0</v>
      </c>
      <c r="AG355" s="12">
        <v>0</v>
      </c>
      <c r="AH355" s="12">
        <v>2.04</v>
      </c>
      <c r="AI355" s="12">
        <v>0</v>
      </c>
      <c r="AJ355" s="13">
        <f t="shared" si="22"/>
        <v>0</v>
      </c>
      <c r="AN355" s="12">
        <f t="shared" si="23"/>
        <v>1551</v>
      </c>
      <c r="AQ355" s="8" t="s">
        <v>418</v>
      </c>
      <c r="AR355" t="str">
        <f t="shared" si="24"/>
        <v>Noroeste - A09</v>
      </c>
    </row>
    <row r="356" spans="1:44" x14ac:dyDescent="0.2">
      <c r="A356" s="107" t="s">
        <v>5513</v>
      </c>
      <c r="B356" s="106" t="s">
        <v>5512</v>
      </c>
      <c r="C356" s="106" t="s">
        <v>5358</v>
      </c>
      <c r="D356" s="106" t="s">
        <v>981</v>
      </c>
      <c r="E356" s="106" t="s">
        <v>5363</v>
      </c>
      <c r="F356" s="106" t="s">
        <v>590</v>
      </c>
      <c r="G356" s="106" t="s">
        <v>5511</v>
      </c>
      <c r="H356" s="105" t="s">
        <v>5510</v>
      </c>
      <c r="I356" s="105" t="s">
        <v>5506</v>
      </c>
      <c r="J356" s="104">
        <v>1.56</v>
      </c>
      <c r="K356" s="103" t="s">
        <v>421</v>
      </c>
      <c r="L356" s="102" t="s">
        <v>577</v>
      </c>
      <c r="M356" s="95"/>
      <c r="N356" s="14"/>
      <c r="O356" s="94">
        <v>6</v>
      </c>
      <c r="P356" s="14" t="s">
        <v>586</v>
      </c>
      <c r="Q356" s="14" t="s">
        <v>497</v>
      </c>
      <c r="R356" s="14" t="s">
        <v>496</v>
      </c>
      <c r="S356" s="15">
        <v>11.95</v>
      </c>
      <c r="T356" s="15">
        <v>0</v>
      </c>
      <c r="U356" s="15">
        <v>0</v>
      </c>
      <c r="V356" s="14">
        <v>304</v>
      </c>
      <c r="W356" s="12">
        <v>0</v>
      </c>
      <c r="X356" s="12">
        <v>0.56000000000000005</v>
      </c>
      <c r="Y356" s="12">
        <v>1</v>
      </c>
      <c r="Z356" s="12">
        <v>0</v>
      </c>
      <c r="AA356" s="12">
        <v>0</v>
      </c>
      <c r="AB356" s="13">
        <f t="shared" si="21"/>
        <v>0</v>
      </c>
      <c r="AE356" s="12">
        <v>0</v>
      </c>
      <c r="AF356" s="12">
        <v>0.56000000000000005</v>
      </c>
      <c r="AG356" s="12">
        <v>1</v>
      </c>
      <c r="AH356" s="12">
        <v>0</v>
      </c>
      <c r="AI356" s="12">
        <v>0</v>
      </c>
      <c r="AJ356" s="13">
        <f t="shared" si="22"/>
        <v>0</v>
      </c>
      <c r="AN356" s="12">
        <f t="shared" si="23"/>
        <v>475</v>
      </c>
      <c r="AQ356" s="8" t="s">
        <v>420</v>
      </c>
      <c r="AR356" t="str">
        <f t="shared" si="24"/>
        <v>Campos Gerais - A01</v>
      </c>
    </row>
    <row r="357" spans="1:44" x14ac:dyDescent="0.2">
      <c r="A357" s="107" t="s">
        <v>5509</v>
      </c>
      <c r="B357" s="106" t="s">
        <v>5508</v>
      </c>
      <c r="C357" s="106" t="s">
        <v>5358</v>
      </c>
      <c r="D357" s="106" t="s">
        <v>1269</v>
      </c>
      <c r="E357" s="106" t="s">
        <v>5356</v>
      </c>
      <c r="F357" s="106" t="s">
        <v>490</v>
      </c>
      <c r="G357" s="106" t="s">
        <v>5507</v>
      </c>
      <c r="H357" s="105" t="s">
        <v>5506</v>
      </c>
      <c r="I357" s="105" t="s">
        <v>5505</v>
      </c>
      <c r="J357" s="104">
        <v>42.56</v>
      </c>
      <c r="K357" s="103" t="s">
        <v>421</v>
      </c>
      <c r="L357" s="102" t="s">
        <v>577</v>
      </c>
      <c r="M357" s="95"/>
      <c r="N357" s="14"/>
      <c r="O357" s="94">
        <v>6</v>
      </c>
      <c r="P357" s="14" t="s">
        <v>485</v>
      </c>
      <c r="Q357" s="14" t="s">
        <v>497</v>
      </c>
      <c r="R357" s="14" t="s">
        <v>496</v>
      </c>
      <c r="S357" s="15">
        <v>7</v>
      </c>
      <c r="T357" s="15">
        <v>0</v>
      </c>
      <c r="U357" s="15">
        <v>0</v>
      </c>
      <c r="V357" s="14">
        <v>2038</v>
      </c>
      <c r="W357" s="12">
        <v>0</v>
      </c>
      <c r="X357" s="12">
        <v>13.560000000000002</v>
      </c>
      <c r="Y357" s="12">
        <v>26</v>
      </c>
      <c r="Z357" s="12">
        <v>3</v>
      </c>
      <c r="AA357" s="12">
        <v>0</v>
      </c>
      <c r="AB357" s="13">
        <f t="shared" si="21"/>
        <v>0</v>
      </c>
      <c r="AE357" s="12">
        <v>0</v>
      </c>
      <c r="AF357" s="12">
        <v>13.560000000000002</v>
      </c>
      <c r="AG357" s="12">
        <v>26</v>
      </c>
      <c r="AH357" s="12">
        <v>3</v>
      </c>
      <c r="AI357" s="12">
        <v>0</v>
      </c>
      <c r="AJ357" s="13">
        <f t="shared" si="22"/>
        <v>0</v>
      </c>
      <c r="AN357" s="12">
        <f t="shared" si="23"/>
        <v>86738</v>
      </c>
      <c r="AQ357" s="8" t="s">
        <v>420</v>
      </c>
      <c r="AR357" t="str">
        <f t="shared" si="24"/>
        <v>Campos Gerais - A01</v>
      </c>
    </row>
    <row r="358" spans="1:44" x14ac:dyDescent="0.2">
      <c r="A358" s="107" t="s">
        <v>5504</v>
      </c>
      <c r="B358" s="106" t="s">
        <v>5503</v>
      </c>
      <c r="C358" s="106" t="s">
        <v>5358</v>
      </c>
      <c r="D358" s="106" t="s">
        <v>2631</v>
      </c>
      <c r="E358" s="106" t="s">
        <v>5356</v>
      </c>
      <c r="F358" s="106" t="s">
        <v>490</v>
      </c>
      <c r="G358" s="106" t="s">
        <v>5502</v>
      </c>
      <c r="H358" s="105" t="s">
        <v>5501</v>
      </c>
      <c r="I358" s="105" t="s">
        <v>5500</v>
      </c>
      <c r="J358" s="104">
        <v>45.91</v>
      </c>
      <c r="K358" s="103" t="s">
        <v>423</v>
      </c>
      <c r="L358" s="102" t="s">
        <v>577</v>
      </c>
      <c r="M358" s="95"/>
      <c r="N358" s="14"/>
      <c r="O358" s="94">
        <v>8</v>
      </c>
      <c r="P358" s="14" t="s">
        <v>485</v>
      </c>
      <c r="Q358" s="14" t="s">
        <v>865</v>
      </c>
      <c r="R358" s="14" t="s">
        <v>576</v>
      </c>
      <c r="S358" s="15">
        <v>7.3</v>
      </c>
      <c r="T358" s="15">
        <v>0.4</v>
      </c>
      <c r="U358" s="15">
        <v>3.1</v>
      </c>
      <c r="V358" s="14">
        <v>2697</v>
      </c>
      <c r="W358" s="12">
        <v>0</v>
      </c>
      <c r="X358" s="12">
        <v>3</v>
      </c>
      <c r="Y358" s="12">
        <v>28</v>
      </c>
      <c r="Z358" s="12">
        <v>14.909999999999997</v>
      </c>
      <c r="AA358" s="12">
        <v>0</v>
      </c>
      <c r="AB358" s="13">
        <f t="shared" si="21"/>
        <v>0</v>
      </c>
      <c r="AE358" s="12">
        <v>0</v>
      </c>
      <c r="AF358" s="12">
        <v>3</v>
      </c>
      <c r="AG358" s="12">
        <v>28</v>
      </c>
      <c r="AH358" s="12">
        <v>14.909999999999997</v>
      </c>
      <c r="AI358" s="12">
        <v>0</v>
      </c>
      <c r="AJ358" s="13">
        <f t="shared" si="22"/>
        <v>0</v>
      </c>
      <c r="AN358" s="12">
        <f t="shared" si="23"/>
        <v>123820</v>
      </c>
      <c r="AQ358" s="8" t="s">
        <v>420</v>
      </c>
      <c r="AR358" t="str">
        <f t="shared" si="24"/>
        <v>Campos Gerais - A03</v>
      </c>
    </row>
    <row r="359" spans="1:44" x14ac:dyDescent="0.2">
      <c r="A359" s="107" t="s">
        <v>5499</v>
      </c>
      <c r="B359" s="106" t="s">
        <v>5498</v>
      </c>
      <c r="C359" s="106" t="s">
        <v>5358</v>
      </c>
      <c r="D359" s="106" t="s">
        <v>5497</v>
      </c>
      <c r="E359" s="106" t="s">
        <v>5399</v>
      </c>
      <c r="F359" s="106" t="s">
        <v>511</v>
      </c>
      <c r="G359" s="106" t="s">
        <v>5496</v>
      </c>
      <c r="H359" s="105" t="s">
        <v>3737</v>
      </c>
      <c r="I359" s="105" t="s">
        <v>5489</v>
      </c>
      <c r="J359" s="104">
        <v>44.68</v>
      </c>
      <c r="K359" s="103" t="s">
        <v>426</v>
      </c>
      <c r="L359" s="102" t="s">
        <v>577</v>
      </c>
      <c r="M359" s="95"/>
      <c r="N359" s="14"/>
      <c r="O359" s="94">
        <v>11</v>
      </c>
      <c r="P359" s="14" t="s">
        <v>506</v>
      </c>
      <c r="Q359" s="14" t="s">
        <v>497</v>
      </c>
      <c r="R359" s="14" t="s">
        <v>496</v>
      </c>
      <c r="S359" s="15">
        <v>7</v>
      </c>
      <c r="T359" s="15">
        <v>0</v>
      </c>
      <c r="U359" s="15">
        <v>15</v>
      </c>
      <c r="V359" s="14">
        <v>250</v>
      </c>
      <c r="W359" s="12">
        <v>0</v>
      </c>
      <c r="X359" s="12">
        <v>0</v>
      </c>
      <c r="Y359" s="12">
        <v>0</v>
      </c>
      <c r="Z359" s="12">
        <v>0</v>
      </c>
      <c r="AA359" s="12">
        <v>44.68</v>
      </c>
      <c r="AB359" s="13">
        <f t="shared" si="21"/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44.68</v>
      </c>
      <c r="AJ359" s="13">
        <f t="shared" si="22"/>
        <v>0</v>
      </c>
      <c r="AN359" s="12">
        <f t="shared" si="23"/>
        <v>11170</v>
      </c>
      <c r="AQ359" s="8" t="s">
        <v>420</v>
      </c>
      <c r="AR359" t="str">
        <f t="shared" si="24"/>
        <v>Campos Gerais - A06</v>
      </c>
    </row>
    <row r="360" spans="1:44" x14ac:dyDescent="0.2">
      <c r="A360" s="107" t="s">
        <v>5495</v>
      </c>
      <c r="B360" s="106" t="s">
        <v>5494</v>
      </c>
      <c r="C360" s="106" t="s">
        <v>5358</v>
      </c>
      <c r="D360" s="106" t="s">
        <v>2607</v>
      </c>
      <c r="E360" s="106" t="s">
        <v>5388</v>
      </c>
      <c r="F360" s="106" t="s">
        <v>606</v>
      </c>
      <c r="G360" s="106" t="s">
        <v>5493</v>
      </c>
      <c r="H360" s="105" t="s">
        <v>5489</v>
      </c>
      <c r="I360" s="105" t="s">
        <v>5488</v>
      </c>
      <c r="J360" s="104">
        <v>1.84</v>
      </c>
      <c r="K360" s="103" t="s">
        <v>426</v>
      </c>
      <c r="L360" s="102" t="s">
        <v>577</v>
      </c>
      <c r="M360" s="95"/>
      <c r="N360" s="14"/>
      <c r="O360" s="94">
        <v>11</v>
      </c>
      <c r="P360" s="14" t="s">
        <v>596</v>
      </c>
      <c r="Q360" s="14" t="s">
        <v>497</v>
      </c>
      <c r="R360" s="14" t="s">
        <v>496</v>
      </c>
      <c r="S360" s="15">
        <v>7.2</v>
      </c>
      <c r="T360" s="15">
        <v>0.6</v>
      </c>
      <c r="U360" s="15">
        <v>0</v>
      </c>
      <c r="V360" s="14">
        <v>143</v>
      </c>
      <c r="W360" s="12">
        <v>0</v>
      </c>
      <c r="X360" s="12">
        <v>0</v>
      </c>
      <c r="Y360" s="12">
        <v>0</v>
      </c>
      <c r="Z360" s="12">
        <v>0</v>
      </c>
      <c r="AA360" s="12">
        <v>1.84</v>
      </c>
      <c r="AB360" s="13">
        <f t="shared" si="21"/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1.84</v>
      </c>
      <c r="AJ360" s="13">
        <f t="shared" si="22"/>
        <v>0</v>
      </c>
      <c r="AN360" s="12">
        <f t="shared" si="23"/>
        <v>264</v>
      </c>
      <c r="AQ360" s="8" t="s">
        <v>420</v>
      </c>
      <c r="AR360" t="str">
        <f t="shared" si="24"/>
        <v>Campos Gerais - A06</v>
      </c>
    </row>
    <row r="361" spans="1:44" x14ac:dyDescent="0.2">
      <c r="A361" s="107" t="s">
        <v>5492</v>
      </c>
      <c r="B361" s="106" t="s">
        <v>5491</v>
      </c>
      <c r="C361" s="106" t="s">
        <v>5358</v>
      </c>
      <c r="D361" s="106" t="s">
        <v>2607</v>
      </c>
      <c r="E361" s="106" t="s">
        <v>5383</v>
      </c>
      <c r="F361" s="106" t="s">
        <v>600</v>
      </c>
      <c r="G361" s="106" t="s">
        <v>5490</v>
      </c>
      <c r="H361" s="105" t="s">
        <v>5489</v>
      </c>
      <c r="I361" s="105" t="s">
        <v>5488</v>
      </c>
      <c r="J361" s="104">
        <v>1.84</v>
      </c>
      <c r="K361" s="103" t="s">
        <v>426</v>
      </c>
      <c r="L361" s="102" t="s">
        <v>577</v>
      </c>
      <c r="M361" s="95"/>
      <c r="N361" s="14"/>
      <c r="O361" s="94">
        <v>11</v>
      </c>
      <c r="P361" s="14" t="s">
        <v>596</v>
      </c>
      <c r="Q361" s="14" t="s">
        <v>497</v>
      </c>
      <c r="R361" s="14" t="s">
        <v>496</v>
      </c>
      <c r="S361" s="15">
        <v>7.2</v>
      </c>
      <c r="T361" s="15">
        <v>0.6</v>
      </c>
      <c r="U361" s="15">
        <v>0</v>
      </c>
      <c r="V361" s="14">
        <v>138</v>
      </c>
      <c r="W361" s="12">
        <v>0</v>
      </c>
      <c r="X361" s="12">
        <v>0</v>
      </c>
      <c r="Y361" s="12">
        <v>0</v>
      </c>
      <c r="Z361" s="12">
        <v>0</v>
      </c>
      <c r="AA361" s="12">
        <v>1.84</v>
      </c>
      <c r="AB361" s="13">
        <f t="shared" si="21"/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1.84</v>
      </c>
      <c r="AJ361" s="13">
        <f t="shared" si="22"/>
        <v>0</v>
      </c>
      <c r="AN361" s="12">
        <f t="shared" si="23"/>
        <v>254</v>
      </c>
      <c r="AQ361" s="8" t="s">
        <v>420</v>
      </c>
      <c r="AR361" t="str">
        <f t="shared" si="24"/>
        <v>Campos Gerais - A06</v>
      </c>
    </row>
    <row r="362" spans="1:44" x14ac:dyDescent="0.2">
      <c r="A362" s="107" t="s">
        <v>5487</v>
      </c>
      <c r="B362" s="106" t="s">
        <v>5486</v>
      </c>
      <c r="C362" s="106" t="s">
        <v>5358</v>
      </c>
      <c r="D362" s="106" t="s">
        <v>5485</v>
      </c>
      <c r="E362" s="106" t="s">
        <v>5363</v>
      </c>
      <c r="F362" s="106" t="s">
        <v>590</v>
      </c>
      <c r="G362" s="106" t="s">
        <v>5484</v>
      </c>
      <c r="H362" s="105" t="s">
        <v>3651</v>
      </c>
      <c r="I362" s="105" t="s">
        <v>5479</v>
      </c>
      <c r="J362" s="104">
        <v>0.78</v>
      </c>
      <c r="K362" s="103" t="s">
        <v>426</v>
      </c>
      <c r="L362" s="102" t="s">
        <v>533</v>
      </c>
      <c r="M362" s="95"/>
      <c r="N362" s="14"/>
      <c r="O362" s="94">
        <v>28</v>
      </c>
      <c r="P362" s="14" t="s">
        <v>586</v>
      </c>
      <c r="Q362" s="14" t="s">
        <v>497</v>
      </c>
      <c r="R362" s="14" t="s">
        <v>496</v>
      </c>
      <c r="S362" s="15">
        <v>8</v>
      </c>
      <c r="T362" s="15">
        <v>4.5999999999999996</v>
      </c>
      <c r="U362" s="15">
        <v>0</v>
      </c>
      <c r="V362" s="14">
        <v>276</v>
      </c>
      <c r="W362" s="12">
        <v>0</v>
      </c>
      <c r="X362" s="12">
        <v>0</v>
      </c>
      <c r="Y362" s="12">
        <v>0</v>
      </c>
      <c r="Z362" s="12">
        <v>0.78</v>
      </c>
      <c r="AA362" s="12">
        <v>0</v>
      </c>
      <c r="AB362" s="13">
        <f t="shared" si="21"/>
        <v>0</v>
      </c>
      <c r="AE362" s="12">
        <v>0</v>
      </c>
      <c r="AF362" s="12">
        <v>0</v>
      </c>
      <c r="AG362" s="12">
        <v>0</v>
      </c>
      <c r="AH362" s="12">
        <v>0.78</v>
      </c>
      <c r="AI362" s="12">
        <v>0</v>
      </c>
      <c r="AJ362" s="13">
        <f t="shared" si="22"/>
        <v>0</v>
      </c>
      <c r="AN362" s="12">
        <f t="shared" si="23"/>
        <v>216</v>
      </c>
      <c r="AQ362" s="8" t="s">
        <v>418</v>
      </c>
      <c r="AR362" t="str">
        <f t="shared" si="24"/>
        <v>Noroeste - A06</v>
      </c>
    </row>
    <row r="363" spans="1:44" x14ac:dyDescent="0.2">
      <c r="A363" s="107" t="s">
        <v>5483</v>
      </c>
      <c r="B363" s="106" t="s">
        <v>5482</v>
      </c>
      <c r="C363" s="106" t="s">
        <v>5358</v>
      </c>
      <c r="D363" s="106" t="s">
        <v>5481</v>
      </c>
      <c r="E363" s="106" t="s">
        <v>5363</v>
      </c>
      <c r="F363" s="106" t="s">
        <v>590</v>
      </c>
      <c r="G363" s="106" t="s">
        <v>5480</v>
      </c>
      <c r="H363" s="105" t="s">
        <v>5479</v>
      </c>
      <c r="I363" s="105" t="s">
        <v>5475</v>
      </c>
      <c r="J363" s="104">
        <v>0.52</v>
      </c>
      <c r="K363" s="103" t="s">
        <v>426</v>
      </c>
      <c r="L363" s="102" t="s">
        <v>533</v>
      </c>
      <c r="M363" s="95"/>
      <c r="N363" s="14"/>
      <c r="O363" s="94">
        <v>28</v>
      </c>
      <c r="P363" s="14" t="s">
        <v>586</v>
      </c>
      <c r="Q363" s="14" t="s">
        <v>497</v>
      </c>
      <c r="R363" s="14" t="s">
        <v>496</v>
      </c>
      <c r="S363" s="15">
        <v>8</v>
      </c>
      <c r="T363" s="15">
        <v>4.5999999999999996</v>
      </c>
      <c r="U363" s="15">
        <v>0</v>
      </c>
      <c r="V363" s="14">
        <v>276</v>
      </c>
      <c r="W363" s="12">
        <v>0</v>
      </c>
      <c r="X363" s="12">
        <v>0</v>
      </c>
      <c r="Y363" s="12">
        <v>0.52</v>
      </c>
      <c r="Z363" s="12">
        <v>0</v>
      </c>
      <c r="AA363" s="12">
        <v>0</v>
      </c>
      <c r="AB363" s="13">
        <f t="shared" si="21"/>
        <v>0</v>
      </c>
      <c r="AE363" s="12">
        <v>0</v>
      </c>
      <c r="AF363" s="12">
        <v>0</v>
      </c>
      <c r="AG363" s="12">
        <v>0.52</v>
      </c>
      <c r="AH363" s="12">
        <v>0</v>
      </c>
      <c r="AI363" s="12">
        <v>0</v>
      </c>
      <c r="AJ363" s="13">
        <f t="shared" si="22"/>
        <v>0</v>
      </c>
      <c r="AN363" s="12">
        <f t="shared" si="23"/>
        <v>144</v>
      </c>
      <c r="AQ363" s="8" t="s">
        <v>418</v>
      </c>
      <c r="AR363" t="str">
        <f t="shared" si="24"/>
        <v>Noroeste - A06</v>
      </c>
    </row>
    <row r="364" spans="1:44" x14ac:dyDescent="0.2">
      <c r="A364" s="107" t="s">
        <v>5478</v>
      </c>
      <c r="B364" s="106" t="s">
        <v>5477</v>
      </c>
      <c r="C364" s="106" t="s">
        <v>5358</v>
      </c>
      <c r="D364" s="106" t="s">
        <v>5154</v>
      </c>
      <c r="E364" s="106" t="s">
        <v>5356</v>
      </c>
      <c r="F364" s="106" t="s">
        <v>490</v>
      </c>
      <c r="G364" s="106" t="s">
        <v>5476</v>
      </c>
      <c r="H364" s="105" t="s">
        <v>5475</v>
      </c>
      <c r="I364" s="105" t="s">
        <v>5471</v>
      </c>
      <c r="J364" s="104">
        <v>0.71</v>
      </c>
      <c r="K364" s="103" t="s">
        <v>426</v>
      </c>
      <c r="L364" s="102" t="s">
        <v>533</v>
      </c>
      <c r="M364" s="95"/>
      <c r="N364" s="14"/>
      <c r="O364" s="94">
        <v>28</v>
      </c>
      <c r="P364" s="14" t="s">
        <v>485</v>
      </c>
      <c r="Q364" s="14" t="s">
        <v>497</v>
      </c>
      <c r="R364" s="14" t="s">
        <v>496</v>
      </c>
      <c r="S364" s="15">
        <v>7</v>
      </c>
      <c r="T364" s="15">
        <v>0.6</v>
      </c>
      <c r="U364" s="15">
        <v>0</v>
      </c>
      <c r="V364" s="14">
        <v>396</v>
      </c>
      <c r="W364" s="12">
        <v>0</v>
      </c>
      <c r="X364" s="12">
        <v>0</v>
      </c>
      <c r="Y364" s="12">
        <v>0</v>
      </c>
      <c r="Z364" s="12">
        <v>0.71</v>
      </c>
      <c r="AA364" s="12">
        <v>0</v>
      </c>
      <c r="AB364" s="13">
        <f t="shared" si="21"/>
        <v>0</v>
      </c>
      <c r="AE364" s="12">
        <v>0</v>
      </c>
      <c r="AF364" s="12">
        <v>0</v>
      </c>
      <c r="AG364" s="12">
        <v>0</v>
      </c>
      <c r="AH364" s="12">
        <v>0.71</v>
      </c>
      <c r="AI364" s="12">
        <v>0</v>
      </c>
      <c r="AJ364" s="13">
        <f t="shared" si="22"/>
        <v>0</v>
      </c>
      <c r="AN364" s="12">
        <f t="shared" si="23"/>
        <v>282</v>
      </c>
      <c r="AQ364" s="8" t="s">
        <v>418</v>
      </c>
      <c r="AR364" t="str">
        <f t="shared" si="24"/>
        <v>Noroeste - A06</v>
      </c>
    </row>
    <row r="365" spans="1:44" x14ac:dyDescent="0.2">
      <c r="A365" s="107" t="s">
        <v>5474</v>
      </c>
      <c r="B365" s="106" t="s">
        <v>5473</v>
      </c>
      <c r="C365" s="106" t="s">
        <v>5358</v>
      </c>
      <c r="D365" s="106" t="s">
        <v>5271</v>
      </c>
      <c r="E365" s="106" t="s">
        <v>5356</v>
      </c>
      <c r="F365" s="106" t="s">
        <v>490</v>
      </c>
      <c r="G365" s="106" t="s">
        <v>5472</v>
      </c>
      <c r="H365" s="105" t="s">
        <v>5471</v>
      </c>
      <c r="I365" s="105" t="s">
        <v>5466</v>
      </c>
      <c r="J365" s="104">
        <v>36.25</v>
      </c>
      <c r="K365" s="103" t="s">
        <v>426</v>
      </c>
      <c r="L365" s="102" t="s">
        <v>533</v>
      </c>
      <c r="M365" s="95"/>
      <c r="N365" s="14"/>
      <c r="O365" s="94">
        <v>28</v>
      </c>
      <c r="P365" s="14" t="s">
        <v>485</v>
      </c>
      <c r="Q365" s="14" t="s">
        <v>497</v>
      </c>
      <c r="R365" s="14" t="s">
        <v>496</v>
      </c>
      <c r="S365" s="15">
        <v>7</v>
      </c>
      <c r="T365" s="15">
        <v>0.6</v>
      </c>
      <c r="U365" s="15">
        <v>0</v>
      </c>
      <c r="V365" s="14">
        <v>396</v>
      </c>
      <c r="W365" s="12">
        <v>0</v>
      </c>
      <c r="X365" s="12">
        <v>0</v>
      </c>
      <c r="Y365" s="12">
        <v>25</v>
      </c>
      <c r="Z365" s="12">
        <v>11.25</v>
      </c>
      <c r="AA365" s="12">
        <v>0</v>
      </c>
      <c r="AB365" s="13">
        <f t="shared" si="21"/>
        <v>0</v>
      </c>
      <c r="AE365" s="12">
        <v>0</v>
      </c>
      <c r="AF365" s="12">
        <v>0</v>
      </c>
      <c r="AG365" s="12">
        <v>25</v>
      </c>
      <c r="AH365" s="12">
        <v>11.25</v>
      </c>
      <c r="AI365" s="12">
        <v>0</v>
      </c>
      <c r="AJ365" s="13">
        <f t="shared" si="22"/>
        <v>0</v>
      </c>
      <c r="AN365" s="12">
        <f t="shared" si="23"/>
        <v>14355</v>
      </c>
      <c r="AQ365" s="8" t="s">
        <v>418</v>
      </c>
      <c r="AR365" t="str">
        <f t="shared" si="24"/>
        <v>Noroeste - A06</v>
      </c>
    </row>
    <row r="366" spans="1:44" x14ac:dyDescent="0.2">
      <c r="A366" s="107" t="s">
        <v>5470</v>
      </c>
      <c r="B366" s="106" t="s">
        <v>5469</v>
      </c>
      <c r="C366" s="106" t="s">
        <v>5358</v>
      </c>
      <c r="D366" s="106" t="s">
        <v>5468</v>
      </c>
      <c r="E366" s="106" t="s">
        <v>5363</v>
      </c>
      <c r="F366" s="106" t="s">
        <v>590</v>
      </c>
      <c r="G366" s="106" t="s">
        <v>5467</v>
      </c>
      <c r="H366" s="105" t="s">
        <v>5466</v>
      </c>
      <c r="I366" s="105" t="s">
        <v>5462</v>
      </c>
      <c r="J366" s="104">
        <v>0.97</v>
      </c>
      <c r="K366" s="103" t="s">
        <v>426</v>
      </c>
      <c r="L366" s="102" t="s">
        <v>533</v>
      </c>
      <c r="M366" s="95"/>
      <c r="N366" s="14"/>
      <c r="O366" s="94">
        <v>28</v>
      </c>
      <c r="P366" s="14" t="s">
        <v>586</v>
      </c>
      <c r="Q366" s="14" t="s">
        <v>497</v>
      </c>
      <c r="R366" s="14" t="s">
        <v>496</v>
      </c>
      <c r="S366" s="15">
        <v>8</v>
      </c>
      <c r="T366" s="15">
        <v>4.5999999999999996</v>
      </c>
      <c r="U366" s="15">
        <v>0</v>
      </c>
      <c r="V366" s="14">
        <v>276</v>
      </c>
      <c r="W366" s="12">
        <v>0</v>
      </c>
      <c r="X366" s="12">
        <v>0</v>
      </c>
      <c r="Y366" s="12">
        <v>0.97</v>
      </c>
      <c r="Z366" s="12">
        <v>0</v>
      </c>
      <c r="AA366" s="12">
        <v>0</v>
      </c>
      <c r="AB366" s="13">
        <f t="shared" si="21"/>
        <v>0</v>
      </c>
      <c r="AE366" s="12">
        <v>0</v>
      </c>
      <c r="AF366" s="12">
        <v>0</v>
      </c>
      <c r="AG366" s="12">
        <v>0.97</v>
      </c>
      <c r="AH366" s="12">
        <v>0</v>
      </c>
      <c r="AI366" s="12">
        <v>0</v>
      </c>
      <c r="AJ366" s="13">
        <f t="shared" si="22"/>
        <v>0</v>
      </c>
      <c r="AN366" s="12">
        <f t="shared" si="23"/>
        <v>268</v>
      </c>
      <c r="AQ366" s="8" t="s">
        <v>418</v>
      </c>
      <c r="AR366" t="str">
        <f t="shared" si="24"/>
        <v>Noroeste - A06</v>
      </c>
    </row>
    <row r="367" spans="1:44" x14ac:dyDescent="0.2">
      <c r="A367" s="107" t="s">
        <v>5465</v>
      </c>
      <c r="B367" s="106" t="s">
        <v>5464</v>
      </c>
      <c r="C367" s="106" t="s">
        <v>5358</v>
      </c>
      <c r="D367" s="106" t="s">
        <v>2586</v>
      </c>
      <c r="E367" s="106" t="s">
        <v>5356</v>
      </c>
      <c r="F367" s="106" t="s">
        <v>490</v>
      </c>
      <c r="G367" s="106" t="s">
        <v>5463</v>
      </c>
      <c r="H367" s="105" t="s">
        <v>5462</v>
      </c>
      <c r="I367" s="105" t="s">
        <v>5458</v>
      </c>
      <c r="J367" s="104">
        <v>25.2</v>
      </c>
      <c r="K367" s="103" t="s">
        <v>426</v>
      </c>
      <c r="L367" s="102" t="s">
        <v>533</v>
      </c>
      <c r="M367" s="95"/>
      <c r="N367" s="14"/>
      <c r="O367" s="94">
        <v>28</v>
      </c>
      <c r="P367" s="14" t="s">
        <v>485</v>
      </c>
      <c r="Q367" s="14" t="s">
        <v>497</v>
      </c>
      <c r="R367" s="14" t="s">
        <v>496</v>
      </c>
      <c r="S367" s="15">
        <v>7</v>
      </c>
      <c r="T367" s="15">
        <v>0.6</v>
      </c>
      <c r="U367" s="15">
        <v>0</v>
      </c>
      <c r="V367" s="14">
        <v>396</v>
      </c>
      <c r="W367" s="12">
        <v>0</v>
      </c>
      <c r="X367" s="12">
        <v>0</v>
      </c>
      <c r="Y367" s="12">
        <v>9</v>
      </c>
      <c r="Z367" s="12">
        <v>16.2</v>
      </c>
      <c r="AA367" s="12">
        <v>0</v>
      </c>
      <c r="AB367" s="13">
        <f t="shared" si="21"/>
        <v>0</v>
      </c>
      <c r="AE367" s="12">
        <v>0</v>
      </c>
      <c r="AF367" s="12">
        <v>0</v>
      </c>
      <c r="AG367" s="12">
        <v>9</v>
      </c>
      <c r="AH367" s="12">
        <v>16.2</v>
      </c>
      <c r="AI367" s="12">
        <v>0</v>
      </c>
      <c r="AJ367" s="13">
        <f t="shared" si="22"/>
        <v>0</v>
      </c>
      <c r="AN367" s="12">
        <f t="shared" si="23"/>
        <v>9980</v>
      </c>
      <c r="AQ367" s="8" t="s">
        <v>418</v>
      </c>
      <c r="AR367" t="str">
        <f t="shared" si="24"/>
        <v>Noroeste - A06</v>
      </c>
    </row>
    <row r="368" spans="1:44" x14ac:dyDescent="0.2">
      <c r="A368" s="107" t="s">
        <v>5461</v>
      </c>
      <c r="B368" s="106" t="s">
        <v>5460</v>
      </c>
      <c r="C368" s="106" t="s">
        <v>5358</v>
      </c>
      <c r="D368" s="106" t="s">
        <v>2567</v>
      </c>
      <c r="E368" s="106" t="s">
        <v>5356</v>
      </c>
      <c r="F368" s="106" t="s">
        <v>490</v>
      </c>
      <c r="G368" s="106" t="s">
        <v>5459</v>
      </c>
      <c r="H368" s="105" t="s">
        <v>5458</v>
      </c>
      <c r="I368" s="105" t="s">
        <v>5453</v>
      </c>
      <c r="J368" s="104">
        <v>2.85</v>
      </c>
      <c r="K368" s="103" t="s">
        <v>426</v>
      </c>
      <c r="L368" s="102" t="s">
        <v>533</v>
      </c>
      <c r="M368" s="95"/>
      <c r="N368" s="14"/>
      <c r="O368" s="94">
        <v>28</v>
      </c>
      <c r="P368" s="14" t="s">
        <v>485</v>
      </c>
      <c r="Q368" s="14" t="s">
        <v>497</v>
      </c>
      <c r="R368" s="14" t="s">
        <v>496</v>
      </c>
      <c r="S368" s="15">
        <v>7</v>
      </c>
      <c r="T368" s="15">
        <v>0.6</v>
      </c>
      <c r="U368" s="15">
        <v>0</v>
      </c>
      <c r="V368" s="14">
        <v>1150</v>
      </c>
      <c r="W368" s="12">
        <v>0</v>
      </c>
      <c r="X368" s="12">
        <v>0</v>
      </c>
      <c r="Y368" s="12">
        <v>0.85000000000000009</v>
      </c>
      <c r="Z368" s="12">
        <v>2</v>
      </c>
      <c r="AA368" s="12">
        <v>0</v>
      </c>
      <c r="AB368" s="13">
        <f t="shared" si="21"/>
        <v>0</v>
      </c>
      <c r="AE368" s="12">
        <v>0</v>
      </c>
      <c r="AF368" s="12">
        <v>0</v>
      </c>
      <c r="AG368" s="12">
        <v>0.85000000000000009</v>
      </c>
      <c r="AH368" s="12">
        <v>2</v>
      </c>
      <c r="AI368" s="12">
        <v>0</v>
      </c>
      <c r="AJ368" s="13">
        <f t="shared" si="22"/>
        <v>0</v>
      </c>
      <c r="AN368" s="12">
        <f t="shared" si="23"/>
        <v>3278</v>
      </c>
      <c r="AQ368" s="8" t="s">
        <v>418</v>
      </c>
      <c r="AR368" t="str">
        <f t="shared" si="24"/>
        <v>Noroeste - A06</v>
      </c>
    </row>
    <row r="369" spans="1:44" x14ac:dyDescent="0.2">
      <c r="A369" s="107" t="s">
        <v>5457</v>
      </c>
      <c r="B369" s="106" t="s">
        <v>5456</v>
      </c>
      <c r="C369" s="106" t="s">
        <v>5358</v>
      </c>
      <c r="D369" s="106" t="s">
        <v>5455</v>
      </c>
      <c r="E369" s="106" t="s">
        <v>5363</v>
      </c>
      <c r="F369" s="106" t="s">
        <v>590</v>
      </c>
      <c r="G369" s="106" t="s">
        <v>5454</v>
      </c>
      <c r="H369" s="105" t="s">
        <v>5453</v>
      </c>
      <c r="I369" s="105" t="s">
        <v>3229</v>
      </c>
      <c r="J369" s="104">
        <v>0.52</v>
      </c>
      <c r="K369" s="103" t="s">
        <v>426</v>
      </c>
      <c r="L369" s="102" t="s">
        <v>533</v>
      </c>
      <c r="M369" s="95"/>
      <c r="N369" s="14"/>
      <c r="O369" s="94">
        <v>28</v>
      </c>
      <c r="P369" s="14" t="s">
        <v>586</v>
      </c>
      <c r="Q369" s="14" t="s">
        <v>497</v>
      </c>
      <c r="R369" s="14" t="s">
        <v>496</v>
      </c>
      <c r="S369" s="15">
        <v>14</v>
      </c>
      <c r="T369" s="15">
        <v>0</v>
      </c>
      <c r="U369" s="15">
        <v>0</v>
      </c>
      <c r="V369" s="14">
        <v>278</v>
      </c>
      <c r="W369" s="12">
        <v>0</v>
      </c>
      <c r="X369" s="12">
        <v>0</v>
      </c>
      <c r="Y369" s="12">
        <v>0</v>
      </c>
      <c r="Z369" s="12">
        <v>0.52</v>
      </c>
      <c r="AA369" s="12">
        <v>0</v>
      </c>
      <c r="AB369" s="13">
        <f t="shared" si="21"/>
        <v>0</v>
      </c>
      <c r="AE369" s="12">
        <v>0</v>
      </c>
      <c r="AF369" s="12">
        <v>0</v>
      </c>
      <c r="AG369" s="12">
        <v>0</v>
      </c>
      <c r="AH369" s="12">
        <v>0.52</v>
      </c>
      <c r="AI369" s="12">
        <v>0</v>
      </c>
      <c r="AJ369" s="13">
        <f t="shared" si="22"/>
        <v>0</v>
      </c>
      <c r="AN369" s="12">
        <f t="shared" si="23"/>
        <v>145</v>
      </c>
      <c r="AQ369" s="8" t="s">
        <v>418</v>
      </c>
      <c r="AR369" t="str">
        <f t="shared" si="24"/>
        <v>Noroeste - A06</v>
      </c>
    </row>
    <row r="370" spans="1:44" x14ac:dyDescent="0.2">
      <c r="A370" s="107" t="s">
        <v>5452</v>
      </c>
      <c r="B370" s="106" t="s">
        <v>5451</v>
      </c>
      <c r="C370" s="106" t="s">
        <v>5358</v>
      </c>
      <c r="D370" s="106" t="s">
        <v>4763</v>
      </c>
      <c r="E370" s="106" t="s">
        <v>5363</v>
      </c>
      <c r="F370" s="106" t="s">
        <v>590</v>
      </c>
      <c r="G370" s="106" t="s">
        <v>5450</v>
      </c>
      <c r="H370" s="105" t="s">
        <v>3229</v>
      </c>
      <c r="I370" s="105" t="s">
        <v>5446</v>
      </c>
      <c r="J370" s="104">
        <v>2.09</v>
      </c>
      <c r="K370" s="103" t="s">
        <v>426</v>
      </c>
      <c r="L370" s="102" t="s">
        <v>533</v>
      </c>
      <c r="M370" s="95"/>
      <c r="N370" s="14"/>
      <c r="O370" s="94">
        <v>28</v>
      </c>
      <c r="P370" s="14" t="s">
        <v>586</v>
      </c>
      <c r="Q370" s="14" t="s">
        <v>497</v>
      </c>
      <c r="R370" s="14" t="s">
        <v>496</v>
      </c>
      <c r="S370" s="15">
        <v>14</v>
      </c>
      <c r="T370" s="15">
        <v>0</v>
      </c>
      <c r="U370" s="15">
        <v>0</v>
      </c>
      <c r="V370" s="14">
        <v>278</v>
      </c>
      <c r="W370" s="12">
        <v>0</v>
      </c>
      <c r="X370" s="12">
        <v>0</v>
      </c>
      <c r="Y370" s="12">
        <v>0</v>
      </c>
      <c r="Z370" s="12">
        <v>2.09</v>
      </c>
      <c r="AA370" s="12">
        <v>0</v>
      </c>
      <c r="AB370" s="13">
        <f t="shared" si="21"/>
        <v>0</v>
      </c>
      <c r="AE370" s="12">
        <v>0</v>
      </c>
      <c r="AF370" s="12">
        <v>0</v>
      </c>
      <c r="AG370" s="12">
        <v>0</v>
      </c>
      <c r="AH370" s="12">
        <v>2.09</v>
      </c>
      <c r="AI370" s="12">
        <v>0</v>
      </c>
      <c r="AJ370" s="13">
        <f t="shared" si="22"/>
        <v>0</v>
      </c>
      <c r="AN370" s="12">
        <f t="shared" si="23"/>
        <v>582</v>
      </c>
      <c r="AQ370" s="8" t="s">
        <v>418</v>
      </c>
      <c r="AR370" t="str">
        <f t="shared" si="24"/>
        <v>Noroeste - A06</v>
      </c>
    </row>
    <row r="371" spans="1:44" x14ac:dyDescent="0.2">
      <c r="A371" s="107" t="s">
        <v>5449</v>
      </c>
      <c r="B371" s="106" t="s">
        <v>5448</v>
      </c>
      <c r="C371" s="106" t="s">
        <v>5358</v>
      </c>
      <c r="D371" s="106" t="s">
        <v>2560</v>
      </c>
      <c r="E371" s="106" t="s">
        <v>5356</v>
      </c>
      <c r="F371" s="106" t="s">
        <v>490</v>
      </c>
      <c r="G371" s="106" t="s">
        <v>5447</v>
      </c>
      <c r="H371" s="105" t="s">
        <v>5446</v>
      </c>
      <c r="I371" s="105" t="s">
        <v>5445</v>
      </c>
      <c r="J371" s="104">
        <v>15.76</v>
      </c>
      <c r="K371" s="103" t="s">
        <v>426</v>
      </c>
      <c r="L371" s="102" t="s">
        <v>533</v>
      </c>
      <c r="M371" s="95"/>
      <c r="N371" s="14"/>
      <c r="O371" s="94">
        <v>28</v>
      </c>
      <c r="P371" s="14" t="s">
        <v>485</v>
      </c>
      <c r="Q371" s="14" t="s">
        <v>497</v>
      </c>
      <c r="R371" s="14" t="s">
        <v>496</v>
      </c>
      <c r="S371" s="15">
        <v>7</v>
      </c>
      <c r="T371" s="15">
        <v>0.6</v>
      </c>
      <c r="U371" s="15">
        <v>0</v>
      </c>
      <c r="V371" s="14">
        <v>2929</v>
      </c>
      <c r="W371" s="12">
        <v>0</v>
      </c>
      <c r="X371" s="12">
        <v>0</v>
      </c>
      <c r="Y371" s="12">
        <v>2</v>
      </c>
      <c r="Z371" s="12">
        <v>13.76</v>
      </c>
      <c r="AA371" s="12">
        <v>0</v>
      </c>
      <c r="AB371" s="13">
        <f t="shared" si="21"/>
        <v>0</v>
      </c>
      <c r="AE371" s="12">
        <v>0</v>
      </c>
      <c r="AF371" s="12">
        <v>0</v>
      </c>
      <c r="AG371" s="12">
        <v>2</v>
      </c>
      <c r="AH371" s="12">
        <v>13.76</v>
      </c>
      <c r="AI371" s="12">
        <v>0</v>
      </c>
      <c r="AJ371" s="13">
        <f t="shared" si="22"/>
        <v>0</v>
      </c>
      <c r="AN371" s="12">
        <f t="shared" si="23"/>
        <v>46162</v>
      </c>
      <c r="AQ371" s="8" t="s">
        <v>418</v>
      </c>
      <c r="AR371" t="str">
        <f t="shared" si="24"/>
        <v>Noroeste - A06</v>
      </c>
    </row>
    <row r="372" spans="1:44" x14ac:dyDescent="0.2">
      <c r="A372" s="107" t="s">
        <v>5444</v>
      </c>
      <c r="B372" s="106" t="s">
        <v>5443</v>
      </c>
      <c r="C372" s="106" t="s">
        <v>5358</v>
      </c>
      <c r="D372" s="106" t="s">
        <v>3529</v>
      </c>
      <c r="E372" s="106" t="s">
        <v>5356</v>
      </c>
      <c r="F372" s="106" t="s">
        <v>490</v>
      </c>
      <c r="G372" s="106" t="s">
        <v>5442</v>
      </c>
      <c r="H372" s="105" t="s">
        <v>5441</v>
      </c>
      <c r="I372" s="105" t="s">
        <v>5437</v>
      </c>
      <c r="J372" s="104">
        <v>9.52</v>
      </c>
      <c r="K372" s="103" t="s">
        <v>423</v>
      </c>
      <c r="L372" s="102" t="s">
        <v>507</v>
      </c>
      <c r="M372" s="95"/>
      <c r="N372" s="14"/>
      <c r="O372" s="94">
        <v>35</v>
      </c>
      <c r="P372" s="14" t="s">
        <v>485</v>
      </c>
      <c r="Q372" s="14" t="s">
        <v>887</v>
      </c>
      <c r="R372" s="14" t="s">
        <v>496</v>
      </c>
      <c r="S372" s="15">
        <v>7</v>
      </c>
      <c r="T372" s="15">
        <v>0</v>
      </c>
      <c r="U372" s="15">
        <v>0</v>
      </c>
      <c r="V372" s="14">
        <v>1531</v>
      </c>
      <c r="W372" s="12">
        <v>0</v>
      </c>
      <c r="X372" s="12">
        <v>5.52</v>
      </c>
      <c r="Y372" s="12">
        <v>4</v>
      </c>
      <c r="Z372" s="12">
        <v>0</v>
      </c>
      <c r="AA372" s="12">
        <v>0</v>
      </c>
      <c r="AB372" s="13">
        <f t="shared" si="21"/>
        <v>0</v>
      </c>
      <c r="AE372" s="12">
        <v>0</v>
      </c>
      <c r="AF372" s="12">
        <v>5.52</v>
      </c>
      <c r="AG372" s="12">
        <v>4</v>
      </c>
      <c r="AH372" s="12">
        <v>0</v>
      </c>
      <c r="AI372" s="12">
        <v>0</v>
      </c>
      <c r="AJ372" s="13">
        <f t="shared" si="22"/>
        <v>0</v>
      </c>
      <c r="AN372" s="12">
        <f t="shared" si="23"/>
        <v>14576</v>
      </c>
      <c r="AQ372" s="8" t="s">
        <v>417</v>
      </c>
      <c r="AR372" t="str">
        <f t="shared" si="24"/>
        <v>Oeste - A03</v>
      </c>
    </row>
    <row r="373" spans="1:44" x14ac:dyDescent="0.2">
      <c r="A373" s="107" t="s">
        <v>5440</v>
      </c>
      <c r="B373" s="106" t="s">
        <v>5439</v>
      </c>
      <c r="C373" s="106" t="s">
        <v>5358</v>
      </c>
      <c r="D373" s="106" t="s">
        <v>4735</v>
      </c>
      <c r="E373" s="106" t="s">
        <v>5356</v>
      </c>
      <c r="F373" s="106" t="s">
        <v>490</v>
      </c>
      <c r="G373" s="106" t="s">
        <v>5438</v>
      </c>
      <c r="H373" s="105" t="s">
        <v>5437</v>
      </c>
      <c r="I373" s="105" t="s">
        <v>5433</v>
      </c>
      <c r="J373" s="104">
        <v>1.71</v>
      </c>
      <c r="K373" s="103" t="s">
        <v>423</v>
      </c>
      <c r="L373" s="102" t="s">
        <v>507</v>
      </c>
      <c r="M373" s="95"/>
      <c r="N373" s="14"/>
      <c r="O373" s="94">
        <v>35</v>
      </c>
      <c r="P373" s="14" t="s">
        <v>485</v>
      </c>
      <c r="Q373" s="14" t="s">
        <v>887</v>
      </c>
      <c r="R373" s="14" t="s">
        <v>496</v>
      </c>
      <c r="S373" s="15">
        <v>7</v>
      </c>
      <c r="T373" s="15">
        <v>0</v>
      </c>
      <c r="U373" s="15">
        <v>0</v>
      </c>
      <c r="V373" s="14">
        <v>1531</v>
      </c>
      <c r="W373" s="12">
        <v>0</v>
      </c>
      <c r="X373" s="12">
        <v>1.71</v>
      </c>
      <c r="Y373" s="12">
        <v>0</v>
      </c>
      <c r="Z373" s="12">
        <v>0</v>
      </c>
      <c r="AA373" s="12">
        <v>0</v>
      </c>
      <c r="AB373" s="13">
        <f t="shared" si="21"/>
        <v>0</v>
      </c>
      <c r="AE373" s="12">
        <v>0</v>
      </c>
      <c r="AF373" s="12">
        <v>1.71</v>
      </c>
      <c r="AG373" s="12">
        <v>0</v>
      </c>
      <c r="AH373" s="12">
        <v>0</v>
      </c>
      <c r="AI373" s="12">
        <v>0</v>
      </c>
      <c r="AJ373" s="13">
        <f t="shared" si="22"/>
        <v>0</v>
      </c>
      <c r="AN373" s="12">
        <f t="shared" si="23"/>
        <v>2619</v>
      </c>
      <c r="AQ373" s="8" t="s">
        <v>417</v>
      </c>
      <c r="AR373" t="str">
        <f t="shared" si="24"/>
        <v>Oeste - A03</v>
      </c>
    </row>
    <row r="374" spans="1:44" x14ac:dyDescent="0.2">
      <c r="A374" s="107" t="s">
        <v>5436</v>
      </c>
      <c r="B374" s="106" t="s">
        <v>5435</v>
      </c>
      <c r="C374" s="106" t="s">
        <v>5358</v>
      </c>
      <c r="D374" s="106" t="s">
        <v>5107</v>
      </c>
      <c r="E374" s="106" t="s">
        <v>5356</v>
      </c>
      <c r="F374" s="106" t="s">
        <v>490</v>
      </c>
      <c r="G374" s="106" t="s">
        <v>5434</v>
      </c>
      <c r="H374" s="105" t="s">
        <v>5433</v>
      </c>
      <c r="I374" s="105" t="s">
        <v>5429</v>
      </c>
      <c r="J374" s="104">
        <v>14.73</v>
      </c>
      <c r="K374" s="103" t="s">
        <v>423</v>
      </c>
      <c r="L374" s="102" t="s">
        <v>507</v>
      </c>
      <c r="M374" s="95"/>
      <c r="N374" s="14"/>
      <c r="O374" s="94">
        <v>35</v>
      </c>
      <c r="P374" s="14" t="s">
        <v>485</v>
      </c>
      <c r="Q374" s="14" t="s">
        <v>505</v>
      </c>
      <c r="R374" s="14" t="s">
        <v>496</v>
      </c>
      <c r="S374" s="15">
        <v>7</v>
      </c>
      <c r="T374" s="15">
        <v>0</v>
      </c>
      <c r="U374" s="15">
        <v>0</v>
      </c>
      <c r="V374" s="14">
        <v>1644</v>
      </c>
      <c r="W374" s="12">
        <v>0</v>
      </c>
      <c r="X374" s="12">
        <v>5.73</v>
      </c>
      <c r="Y374" s="12">
        <v>9</v>
      </c>
      <c r="Z374" s="12">
        <v>0</v>
      </c>
      <c r="AA374" s="12">
        <v>0</v>
      </c>
      <c r="AB374" s="13">
        <f t="shared" si="21"/>
        <v>0</v>
      </c>
      <c r="AE374" s="12">
        <v>0</v>
      </c>
      <c r="AF374" s="12">
        <v>5.73</v>
      </c>
      <c r="AG374" s="12">
        <v>9</v>
      </c>
      <c r="AH374" s="12">
        <v>0</v>
      </c>
      <c r="AI374" s="12">
        <v>0</v>
      </c>
      <c r="AJ374" s="13">
        <f t="shared" si="22"/>
        <v>0</v>
      </c>
      <c r="AN374" s="12">
        <f t="shared" si="23"/>
        <v>24217</v>
      </c>
      <c r="AQ374" s="8" t="s">
        <v>417</v>
      </c>
      <c r="AR374" t="str">
        <f t="shared" si="24"/>
        <v>Oeste - A03</v>
      </c>
    </row>
    <row r="375" spans="1:44" x14ac:dyDescent="0.2">
      <c r="A375" s="107" t="s">
        <v>5432</v>
      </c>
      <c r="B375" s="106" t="s">
        <v>5431</v>
      </c>
      <c r="C375" s="106" t="s">
        <v>5358</v>
      </c>
      <c r="D375" s="106" t="s">
        <v>4726</v>
      </c>
      <c r="E375" s="106" t="s">
        <v>5356</v>
      </c>
      <c r="F375" s="106" t="s">
        <v>490</v>
      </c>
      <c r="G375" s="106" t="s">
        <v>5430</v>
      </c>
      <c r="H375" s="105" t="s">
        <v>5429</v>
      </c>
      <c r="I375" s="105" t="s">
        <v>5425</v>
      </c>
      <c r="J375" s="104">
        <v>7.68</v>
      </c>
      <c r="K375" s="103" t="s">
        <v>423</v>
      </c>
      <c r="L375" s="102" t="s">
        <v>507</v>
      </c>
      <c r="M375" s="95"/>
      <c r="N375" s="14"/>
      <c r="O375" s="94">
        <v>35</v>
      </c>
      <c r="P375" s="14" t="s">
        <v>485</v>
      </c>
      <c r="Q375" s="14" t="s">
        <v>505</v>
      </c>
      <c r="R375" s="14" t="s">
        <v>496</v>
      </c>
      <c r="S375" s="15">
        <v>7</v>
      </c>
      <c r="T375" s="15">
        <v>0</v>
      </c>
      <c r="U375" s="15">
        <v>0</v>
      </c>
      <c r="V375" s="14">
        <v>1567</v>
      </c>
      <c r="W375" s="12">
        <v>2</v>
      </c>
      <c r="X375" s="12">
        <v>1.6799999999999997</v>
      </c>
      <c r="Y375" s="12">
        <v>4</v>
      </c>
      <c r="Z375" s="12">
        <v>0</v>
      </c>
      <c r="AA375" s="12">
        <v>0</v>
      </c>
      <c r="AB375" s="13">
        <f t="shared" si="21"/>
        <v>0</v>
      </c>
      <c r="AE375" s="12">
        <v>2</v>
      </c>
      <c r="AF375" s="12">
        <v>1.6799999999999997</v>
      </c>
      <c r="AG375" s="12">
        <v>4</v>
      </c>
      <c r="AH375" s="12">
        <v>0</v>
      </c>
      <c r="AI375" s="12">
        <v>0</v>
      </c>
      <c r="AJ375" s="13">
        <f t="shared" si="22"/>
        <v>0</v>
      </c>
      <c r="AN375" s="12">
        <f t="shared" si="23"/>
        <v>12035</v>
      </c>
      <c r="AQ375" s="8" t="s">
        <v>417</v>
      </c>
      <c r="AR375" t="str">
        <f t="shared" si="24"/>
        <v>Oeste - A03</v>
      </c>
    </row>
    <row r="376" spans="1:44" x14ac:dyDescent="0.2">
      <c r="A376" s="107" t="s">
        <v>5428</v>
      </c>
      <c r="B376" s="106" t="s">
        <v>5427</v>
      </c>
      <c r="C376" s="106" t="s">
        <v>5358</v>
      </c>
      <c r="D376" s="106" t="s">
        <v>4720</v>
      </c>
      <c r="E376" s="106" t="s">
        <v>5356</v>
      </c>
      <c r="F376" s="106" t="s">
        <v>490</v>
      </c>
      <c r="G376" s="106" t="s">
        <v>5426</v>
      </c>
      <c r="H376" s="105" t="s">
        <v>5425</v>
      </c>
      <c r="I376" s="105" t="s">
        <v>5421</v>
      </c>
      <c r="J376" s="104">
        <v>0.52</v>
      </c>
      <c r="K376" s="103" t="s">
        <v>423</v>
      </c>
      <c r="L376" s="102" t="s">
        <v>507</v>
      </c>
      <c r="M376" s="95"/>
      <c r="N376" s="14"/>
      <c r="O376" s="94">
        <v>35</v>
      </c>
      <c r="P376" s="14" t="s">
        <v>485</v>
      </c>
      <c r="Q376" s="14" t="s">
        <v>505</v>
      </c>
      <c r="R376" s="14" t="s">
        <v>496</v>
      </c>
      <c r="S376" s="15">
        <v>7</v>
      </c>
      <c r="T376" s="15">
        <v>0</v>
      </c>
      <c r="U376" s="15">
        <v>0</v>
      </c>
      <c r="V376" s="14">
        <v>1644</v>
      </c>
      <c r="W376" s="12">
        <v>0</v>
      </c>
      <c r="X376" s="12">
        <v>0</v>
      </c>
      <c r="Y376" s="12">
        <v>0.52</v>
      </c>
      <c r="Z376" s="12">
        <v>0</v>
      </c>
      <c r="AA376" s="12">
        <v>0</v>
      </c>
      <c r="AB376" s="13">
        <f t="shared" si="21"/>
        <v>0</v>
      </c>
      <c r="AE376" s="12">
        <v>0</v>
      </c>
      <c r="AF376" s="12">
        <v>0</v>
      </c>
      <c r="AG376" s="12">
        <v>0.52</v>
      </c>
      <c r="AH376" s="12">
        <v>0</v>
      </c>
      <c r="AI376" s="12">
        <v>0</v>
      </c>
      <c r="AJ376" s="13">
        <f t="shared" si="22"/>
        <v>0</v>
      </c>
      <c r="AN376" s="12">
        <f t="shared" si="23"/>
        <v>855</v>
      </c>
      <c r="AQ376" s="8" t="s">
        <v>417</v>
      </c>
      <c r="AR376" t="str">
        <f t="shared" si="24"/>
        <v>Oeste - A03</v>
      </c>
    </row>
    <row r="377" spans="1:44" x14ac:dyDescent="0.2">
      <c r="A377" s="107" t="s">
        <v>5424</v>
      </c>
      <c r="B377" s="106" t="s">
        <v>5423</v>
      </c>
      <c r="C377" s="106" t="s">
        <v>5358</v>
      </c>
      <c r="D377" s="106" t="s">
        <v>4715</v>
      </c>
      <c r="E377" s="106" t="s">
        <v>5356</v>
      </c>
      <c r="F377" s="106" t="s">
        <v>490</v>
      </c>
      <c r="G377" s="106" t="s">
        <v>5422</v>
      </c>
      <c r="H377" s="105" t="s">
        <v>5421</v>
      </c>
      <c r="I377" s="105" t="s">
        <v>5417</v>
      </c>
      <c r="J377" s="104">
        <v>12.78</v>
      </c>
      <c r="K377" s="103" t="s">
        <v>423</v>
      </c>
      <c r="L377" s="102" t="s">
        <v>507</v>
      </c>
      <c r="M377" s="95"/>
      <c r="N377" s="14"/>
      <c r="O377" s="94">
        <v>35</v>
      </c>
      <c r="P377" s="14" t="s">
        <v>485</v>
      </c>
      <c r="Q377" s="14" t="s">
        <v>561</v>
      </c>
      <c r="R377" s="14" t="s">
        <v>496</v>
      </c>
      <c r="S377" s="15">
        <v>6.6</v>
      </c>
      <c r="T377" s="15">
        <v>0</v>
      </c>
      <c r="U377" s="15">
        <v>0</v>
      </c>
      <c r="V377" s="14">
        <v>4590</v>
      </c>
      <c r="W377" s="12">
        <v>0</v>
      </c>
      <c r="X377" s="12">
        <v>0</v>
      </c>
      <c r="Y377" s="12">
        <v>4</v>
      </c>
      <c r="Z377" s="12">
        <v>8.7799999999999994</v>
      </c>
      <c r="AA377" s="12">
        <v>0</v>
      </c>
      <c r="AB377" s="13">
        <f t="shared" si="21"/>
        <v>0</v>
      </c>
      <c r="AE377" s="12">
        <v>0</v>
      </c>
      <c r="AF377" s="12">
        <v>0</v>
      </c>
      <c r="AG377" s="12">
        <v>4</v>
      </c>
      <c r="AH377" s="12">
        <v>8.7799999999999994</v>
      </c>
      <c r="AI377" s="12">
        <v>0</v>
      </c>
      <c r="AJ377" s="13">
        <f t="shared" si="22"/>
        <v>0</v>
      </c>
      <c r="AN377" s="12">
        <f t="shared" si="23"/>
        <v>58661</v>
      </c>
      <c r="AQ377" s="8" t="s">
        <v>417</v>
      </c>
      <c r="AR377" t="str">
        <f t="shared" si="24"/>
        <v>Oeste - A03</v>
      </c>
    </row>
    <row r="378" spans="1:44" x14ac:dyDescent="0.2">
      <c r="A378" s="107" t="s">
        <v>5420</v>
      </c>
      <c r="B378" s="106" t="s">
        <v>5419</v>
      </c>
      <c r="C378" s="106" t="s">
        <v>5358</v>
      </c>
      <c r="D378" s="106" t="s">
        <v>4710</v>
      </c>
      <c r="E378" s="106" t="s">
        <v>5363</v>
      </c>
      <c r="F378" s="106" t="s">
        <v>590</v>
      </c>
      <c r="G378" s="106" t="s">
        <v>5418</v>
      </c>
      <c r="H378" s="105" t="s">
        <v>5417</v>
      </c>
      <c r="I378" s="105" t="s">
        <v>5413</v>
      </c>
      <c r="J378" s="104">
        <v>4.7300000000000004</v>
      </c>
      <c r="K378" s="103" t="s">
        <v>423</v>
      </c>
      <c r="L378" s="102" t="s">
        <v>507</v>
      </c>
      <c r="M378" s="95"/>
      <c r="N378" s="14"/>
      <c r="O378" s="94">
        <v>35</v>
      </c>
      <c r="P378" s="14" t="s">
        <v>586</v>
      </c>
      <c r="Q378" s="14" t="s">
        <v>561</v>
      </c>
      <c r="R378" s="14" t="s">
        <v>496</v>
      </c>
      <c r="S378" s="15">
        <v>14</v>
      </c>
      <c r="T378" s="15">
        <v>0</v>
      </c>
      <c r="U378" s="15">
        <v>0</v>
      </c>
      <c r="V378" s="14">
        <v>1917</v>
      </c>
      <c r="W378" s="12">
        <v>0</v>
      </c>
      <c r="X378" s="12">
        <v>0</v>
      </c>
      <c r="Y378" s="12">
        <v>1</v>
      </c>
      <c r="Z378" s="12">
        <v>3.7300000000000004</v>
      </c>
      <c r="AA378" s="12">
        <v>0</v>
      </c>
      <c r="AB378" s="13">
        <f t="shared" si="21"/>
        <v>0</v>
      </c>
      <c r="AE378" s="12">
        <v>0</v>
      </c>
      <c r="AF378" s="12">
        <v>0</v>
      </c>
      <c r="AG378" s="12">
        <v>1</v>
      </c>
      <c r="AH378" s="12">
        <v>3.7300000000000004</v>
      </c>
      <c r="AI378" s="12">
        <v>0</v>
      </c>
      <c r="AJ378" s="13">
        <f t="shared" si="22"/>
        <v>0</v>
      </c>
      <c r="AN378" s="12">
        <f t="shared" si="23"/>
        <v>9068</v>
      </c>
      <c r="AQ378" s="8" t="s">
        <v>417</v>
      </c>
      <c r="AR378" t="str">
        <f t="shared" si="24"/>
        <v>Oeste - A03</v>
      </c>
    </row>
    <row r="379" spans="1:44" x14ac:dyDescent="0.2">
      <c r="A379" s="107" t="s">
        <v>5416</v>
      </c>
      <c r="B379" s="106" t="s">
        <v>5415</v>
      </c>
      <c r="C379" s="106" t="s">
        <v>5358</v>
      </c>
      <c r="D379" s="106" t="s">
        <v>4705</v>
      </c>
      <c r="E379" s="106" t="s">
        <v>5356</v>
      </c>
      <c r="F379" s="106" t="s">
        <v>490</v>
      </c>
      <c r="G379" s="106" t="s">
        <v>5414</v>
      </c>
      <c r="H379" s="105" t="s">
        <v>5413</v>
      </c>
      <c r="I379" s="105" t="s">
        <v>5412</v>
      </c>
      <c r="J379" s="104">
        <v>0.94</v>
      </c>
      <c r="K379" s="103" t="s">
        <v>423</v>
      </c>
      <c r="L379" s="102" t="s">
        <v>507</v>
      </c>
      <c r="M379" s="95"/>
      <c r="N379" s="14"/>
      <c r="O379" s="94">
        <v>35</v>
      </c>
      <c r="P379" s="14" t="s">
        <v>485</v>
      </c>
      <c r="Q379" s="14" t="s">
        <v>497</v>
      </c>
      <c r="R379" s="14" t="s">
        <v>496</v>
      </c>
      <c r="S379" s="15">
        <v>7</v>
      </c>
      <c r="T379" s="15">
        <v>2.2000000000000002</v>
      </c>
      <c r="U379" s="15">
        <v>0</v>
      </c>
      <c r="V379" s="14">
        <v>4845</v>
      </c>
      <c r="W379" s="12">
        <v>0</v>
      </c>
      <c r="X379" s="12">
        <v>0</v>
      </c>
      <c r="Y379" s="12">
        <v>0</v>
      </c>
      <c r="Z379" s="12">
        <v>0.94</v>
      </c>
      <c r="AA379" s="12">
        <v>0</v>
      </c>
      <c r="AB379" s="13">
        <f t="shared" si="21"/>
        <v>0</v>
      </c>
      <c r="AE379" s="12">
        <v>0</v>
      </c>
      <c r="AF379" s="12">
        <v>0</v>
      </c>
      <c r="AG379" s="12">
        <v>0</v>
      </c>
      <c r="AH379" s="12">
        <v>0.94</v>
      </c>
      <c r="AI379" s="12">
        <v>0</v>
      </c>
      <c r="AJ379" s="13">
        <f t="shared" si="22"/>
        <v>0</v>
      </c>
      <c r="AN379" s="12">
        <f t="shared" si="23"/>
        <v>4555</v>
      </c>
      <c r="AQ379" s="8" t="s">
        <v>417</v>
      </c>
      <c r="AR379" t="str">
        <f t="shared" si="24"/>
        <v>Oeste - A03</v>
      </c>
    </row>
    <row r="380" spans="1:44" x14ac:dyDescent="0.2">
      <c r="A380" s="107" t="s">
        <v>5411</v>
      </c>
      <c r="B380" s="106" t="s">
        <v>5410</v>
      </c>
      <c r="C380" s="106" t="s">
        <v>5358</v>
      </c>
      <c r="D380" s="106" t="s">
        <v>4700</v>
      </c>
      <c r="E380" s="106" t="s">
        <v>5356</v>
      </c>
      <c r="F380" s="106" t="s">
        <v>490</v>
      </c>
      <c r="G380" s="106" t="s">
        <v>5409</v>
      </c>
      <c r="H380" s="105" t="s">
        <v>5408</v>
      </c>
      <c r="I380" s="105" t="s">
        <v>5403</v>
      </c>
      <c r="J380" s="104">
        <v>20.51</v>
      </c>
      <c r="K380" s="103" t="s">
        <v>423</v>
      </c>
      <c r="L380" s="102" t="s">
        <v>507</v>
      </c>
      <c r="M380" s="95"/>
      <c r="N380" s="14"/>
      <c r="O380" s="94">
        <v>35</v>
      </c>
      <c r="P380" s="14" t="s">
        <v>485</v>
      </c>
      <c r="Q380" s="14" t="s">
        <v>497</v>
      </c>
      <c r="R380" s="14" t="s">
        <v>496</v>
      </c>
      <c r="S380" s="15">
        <v>7</v>
      </c>
      <c r="T380" s="15">
        <v>2.2000000000000002</v>
      </c>
      <c r="U380" s="15">
        <v>0</v>
      </c>
      <c r="V380" s="14">
        <v>5457</v>
      </c>
      <c r="W380" s="12">
        <v>0</v>
      </c>
      <c r="X380" s="12">
        <v>0</v>
      </c>
      <c r="Y380" s="12">
        <v>0</v>
      </c>
      <c r="Z380" s="12">
        <v>20.51</v>
      </c>
      <c r="AA380" s="12">
        <v>0</v>
      </c>
      <c r="AB380" s="13">
        <f t="shared" si="21"/>
        <v>0</v>
      </c>
      <c r="AE380" s="12">
        <v>0</v>
      </c>
      <c r="AF380" s="12">
        <v>0</v>
      </c>
      <c r="AG380" s="12">
        <v>0</v>
      </c>
      <c r="AH380" s="12">
        <v>20.51</v>
      </c>
      <c r="AI380" s="12">
        <v>0</v>
      </c>
      <c r="AJ380" s="13">
        <f t="shared" si="22"/>
        <v>0</v>
      </c>
      <c r="AN380" s="12">
        <f t="shared" si="23"/>
        <v>111924</v>
      </c>
      <c r="AQ380" s="8" t="s">
        <v>417</v>
      </c>
      <c r="AR380" t="str">
        <f t="shared" si="24"/>
        <v>Oeste - A03</v>
      </c>
    </row>
    <row r="381" spans="1:44" x14ac:dyDescent="0.2">
      <c r="A381" s="107" t="s">
        <v>5407</v>
      </c>
      <c r="B381" s="106" t="s">
        <v>5406</v>
      </c>
      <c r="C381" s="106" t="s">
        <v>5358</v>
      </c>
      <c r="D381" s="106" t="s">
        <v>5405</v>
      </c>
      <c r="E381" s="106" t="s">
        <v>5356</v>
      </c>
      <c r="F381" s="106" t="s">
        <v>490</v>
      </c>
      <c r="G381" s="106" t="s">
        <v>5404</v>
      </c>
      <c r="H381" s="105" t="s">
        <v>5403</v>
      </c>
      <c r="I381" s="105" t="s">
        <v>5402</v>
      </c>
      <c r="J381" s="104">
        <v>3.13</v>
      </c>
      <c r="K381" s="103" t="s">
        <v>423</v>
      </c>
      <c r="L381" s="102" t="s">
        <v>507</v>
      </c>
      <c r="M381" s="95"/>
      <c r="N381" s="14"/>
      <c r="O381" s="94">
        <v>35</v>
      </c>
      <c r="P381" s="14" t="s">
        <v>485</v>
      </c>
      <c r="Q381" s="14" t="s">
        <v>497</v>
      </c>
      <c r="R381" s="14" t="s">
        <v>496</v>
      </c>
      <c r="S381" s="15">
        <v>7</v>
      </c>
      <c r="T381" s="15">
        <v>2.2000000000000002</v>
      </c>
      <c r="U381" s="15">
        <v>0</v>
      </c>
      <c r="V381" s="14">
        <v>5605</v>
      </c>
      <c r="W381" s="12">
        <v>0</v>
      </c>
      <c r="X381" s="12">
        <v>0</v>
      </c>
      <c r="Y381" s="12">
        <v>0</v>
      </c>
      <c r="Z381" s="12">
        <v>3.13</v>
      </c>
      <c r="AA381" s="12">
        <v>0</v>
      </c>
      <c r="AB381" s="13">
        <f t="shared" si="21"/>
        <v>0</v>
      </c>
      <c r="AE381" s="12">
        <v>0</v>
      </c>
      <c r="AF381" s="12">
        <v>0</v>
      </c>
      <c r="AG381" s="12">
        <v>0</v>
      </c>
      <c r="AH381" s="12">
        <v>3.13</v>
      </c>
      <c r="AI381" s="12">
        <v>0</v>
      </c>
      <c r="AJ381" s="13">
        <f t="shared" si="22"/>
        <v>0</v>
      </c>
      <c r="AN381" s="12">
        <f t="shared" si="23"/>
        <v>17544</v>
      </c>
      <c r="AQ381" s="8" t="s">
        <v>417</v>
      </c>
      <c r="AR381" t="str">
        <f t="shared" si="24"/>
        <v>Oeste - A03</v>
      </c>
    </row>
    <row r="382" spans="1:44" x14ac:dyDescent="0.2">
      <c r="A382" s="107" t="s">
        <v>5401</v>
      </c>
      <c r="B382" s="106" t="s">
        <v>5400</v>
      </c>
      <c r="C382" s="106" t="s">
        <v>5358</v>
      </c>
      <c r="D382" s="106" t="s">
        <v>4685</v>
      </c>
      <c r="E382" s="106" t="s">
        <v>5399</v>
      </c>
      <c r="F382" s="106" t="s">
        <v>511</v>
      </c>
      <c r="G382" s="106" t="s">
        <v>5398</v>
      </c>
      <c r="H382" s="105" t="s">
        <v>5397</v>
      </c>
      <c r="I382" s="105" t="s">
        <v>5396</v>
      </c>
      <c r="J382" s="104">
        <v>9.66</v>
      </c>
      <c r="K382" s="103" t="s">
        <v>422</v>
      </c>
      <c r="L382" s="102" t="s">
        <v>507</v>
      </c>
      <c r="M382" s="95"/>
      <c r="N382" s="14"/>
      <c r="O382" s="94">
        <v>34</v>
      </c>
      <c r="P382" s="14" t="s">
        <v>506</v>
      </c>
      <c r="Q382" s="14" t="s">
        <v>497</v>
      </c>
      <c r="R382" s="14" t="s">
        <v>496</v>
      </c>
      <c r="S382" s="15">
        <v>7.2</v>
      </c>
      <c r="T382" s="15">
        <v>2</v>
      </c>
      <c r="U382" s="15">
        <v>0</v>
      </c>
      <c r="V382" s="14">
        <v>1384</v>
      </c>
      <c r="W382" s="12">
        <v>0</v>
      </c>
      <c r="X382" s="12">
        <v>0</v>
      </c>
      <c r="Y382" s="12">
        <v>0</v>
      </c>
      <c r="Z382" s="12">
        <v>0</v>
      </c>
      <c r="AA382" s="12">
        <v>9.66</v>
      </c>
      <c r="AB382" s="13">
        <f t="shared" si="21"/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9.66</v>
      </c>
      <c r="AJ382" s="13">
        <f t="shared" si="22"/>
        <v>0</v>
      </c>
      <c r="AN382" s="12">
        <f t="shared" si="23"/>
        <v>13370</v>
      </c>
      <c r="AQ382" s="8" t="s">
        <v>417</v>
      </c>
      <c r="AR382" t="str">
        <f t="shared" si="24"/>
        <v>Oeste - A02</v>
      </c>
    </row>
    <row r="383" spans="1:44" x14ac:dyDescent="0.2">
      <c r="A383" s="107" t="s">
        <v>5395</v>
      </c>
      <c r="B383" s="106" t="s">
        <v>5394</v>
      </c>
      <c r="C383" s="106" t="s">
        <v>5358</v>
      </c>
      <c r="D383" s="106" t="s">
        <v>3519</v>
      </c>
      <c r="E383" s="106" t="s">
        <v>5356</v>
      </c>
      <c r="F383" s="106" t="s">
        <v>490</v>
      </c>
      <c r="G383" s="106" t="s">
        <v>5393</v>
      </c>
      <c r="H383" s="105" t="s">
        <v>5392</v>
      </c>
      <c r="I383" s="105" t="s">
        <v>5391</v>
      </c>
      <c r="J383" s="104">
        <v>8.61</v>
      </c>
      <c r="K383" s="103" t="s">
        <v>422</v>
      </c>
      <c r="L383" s="102" t="s">
        <v>507</v>
      </c>
      <c r="M383" s="95"/>
      <c r="N383" s="14"/>
      <c r="O383" s="94">
        <v>34</v>
      </c>
      <c r="P383" s="14" t="s">
        <v>485</v>
      </c>
      <c r="Q383" s="14" t="s">
        <v>497</v>
      </c>
      <c r="R383" s="14" t="s">
        <v>496</v>
      </c>
      <c r="S383" s="15">
        <v>6.6</v>
      </c>
      <c r="T383" s="15">
        <v>0</v>
      </c>
      <c r="U383" s="15">
        <v>0</v>
      </c>
      <c r="V383" s="14">
        <v>1078</v>
      </c>
      <c r="W383" s="12">
        <v>0</v>
      </c>
      <c r="X383" s="12">
        <v>0</v>
      </c>
      <c r="Y383" s="12">
        <v>1</v>
      </c>
      <c r="Z383" s="12">
        <v>7.6099999999999994</v>
      </c>
      <c r="AA383" s="12">
        <v>0</v>
      </c>
      <c r="AB383" s="13">
        <f t="shared" si="21"/>
        <v>0</v>
      </c>
      <c r="AE383" s="12">
        <v>0</v>
      </c>
      <c r="AF383" s="12">
        <v>0</v>
      </c>
      <c r="AG383" s="12">
        <v>1</v>
      </c>
      <c r="AH383" s="12">
        <v>7.6099999999999994</v>
      </c>
      <c r="AI383" s="12">
        <v>0</v>
      </c>
      <c r="AJ383" s="13">
        <f t="shared" si="22"/>
        <v>0</v>
      </c>
      <c r="AN383" s="12">
        <f t="shared" si="23"/>
        <v>9282</v>
      </c>
      <c r="AQ383" s="8" t="s">
        <v>417</v>
      </c>
      <c r="AR383" t="str">
        <f t="shared" si="24"/>
        <v>Oeste - A02</v>
      </c>
    </row>
    <row r="384" spans="1:44" x14ac:dyDescent="0.2">
      <c r="A384" s="107" t="s">
        <v>5390</v>
      </c>
      <c r="B384" s="106" t="s">
        <v>5389</v>
      </c>
      <c r="C384" s="106" t="s">
        <v>5358</v>
      </c>
      <c r="D384" s="106" t="s">
        <v>5384</v>
      </c>
      <c r="E384" s="106" t="s">
        <v>5388</v>
      </c>
      <c r="F384" s="106" t="s">
        <v>606</v>
      </c>
      <c r="G384" s="106" t="s">
        <v>5387</v>
      </c>
      <c r="H384" s="105" t="s">
        <v>5381</v>
      </c>
      <c r="I384" s="105" t="s">
        <v>5376</v>
      </c>
      <c r="J384" s="104">
        <v>0.95</v>
      </c>
      <c r="K384" s="103" t="s">
        <v>422</v>
      </c>
      <c r="L384" s="102" t="s">
        <v>507</v>
      </c>
      <c r="M384" s="95"/>
      <c r="N384" s="14"/>
      <c r="O384" s="94">
        <v>34</v>
      </c>
      <c r="P384" s="14" t="s">
        <v>596</v>
      </c>
      <c r="Q384" s="14" t="s">
        <v>497</v>
      </c>
      <c r="R384" s="14" t="s">
        <v>496</v>
      </c>
      <c r="S384" s="15">
        <v>6.6</v>
      </c>
      <c r="T384" s="15">
        <v>0</v>
      </c>
      <c r="U384" s="15">
        <v>0</v>
      </c>
      <c r="V384" s="14">
        <v>1410</v>
      </c>
      <c r="W384" s="12">
        <v>0</v>
      </c>
      <c r="X384" s="12">
        <v>0</v>
      </c>
      <c r="Y384" s="12">
        <v>0</v>
      </c>
      <c r="Z384" s="12">
        <v>0.95</v>
      </c>
      <c r="AA384" s="12">
        <v>0</v>
      </c>
      <c r="AB384" s="13">
        <f t="shared" si="21"/>
        <v>0</v>
      </c>
      <c r="AE384" s="12">
        <v>0</v>
      </c>
      <c r="AF384" s="12">
        <v>0</v>
      </c>
      <c r="AG384" s="12">
        <v>0</v>
      </c>
      <c r="AH384" s="12">
        <v>0.95</v>
      </c>
      <c r="AI384" s="12">
        <v>0</v>
      </c>
      <c r="AJ384" s="13">
        <f t="shared" si="22"/>
        <v>0</v>
      </c>
      <c r="AN384" s="12">
        <f t="shared" si="23"/>
        <v>1340</v>
      </c>
      <c r="AQ384" s="8" t="s">
        <v>417</v>
      </c>
      <c r="AR384" t="str">
        <f t="shared" si="24"/>
        <v>Oeste - A02</v>
      </c>
    </row>
    <row r="385" spans="1:44" x14ac:dyDescent="0.2">
      <c r="A385" s="107" t="s">
        <v>5386</v>
      </c>
      <c r="B385" s="106" t="s">
        <v>5385</v>
      </c>
      <c r="C385" s="106" t="s">
        <v>5358</v>
      </c>
      <c r="D385" s="106" t="s">
        <v>5384</v>
      </c>
      <c r="E385" s="106" t="s">
        <v>5383</v>
      </c>
      <c r="F385" s="106" t="s">
        <v>600</v>
      </c>
      <c r="G385" s="106" t="s">
        <v>5382</v>
      </c>
      <c r="H385" s="105" t="s">
        <v>5381</v>
      </c>
      <c r="I385" s="105" t="s">
        <v>5376</v>
      </c>
      <c r="J385" s="104">
        <v>0.95</v>
      </c>
      <c r="K385" s="103" t="s">
        <v>422</v>
      </c>
      <c r="L385" s="102" t="s">
        <v>507</v>
      </c>
      <c r="M385" s="95"/>
      <c r="N385" s="14"/>
      <c r="O385" s="94">
        <v>34</v>
      </c>
      <c r="P385" s="14" t="s">
        <v>596</v>
      </c>
      <c r="Q385" s="14" t="s">
        <v>497</v>
      </c>
      <c r="R385" s="14" t="s">
        <v>496</v>
      </c>
      <c r="S385" s="15">
        <v>6.6</v>
      </c>
      <c r="T385" s="15">
        <v>0</v>
      </c>
      <c r="U385" s="15">
        <v>0</v>
      </c>
      <c r="V385" s="14">
        <v>1410</v>
      </c>
      <c r="W385" s="12">
        <v>0</v>
      </c>
      <c r="X385" s="12">
        <v>0</v>
      </c>
      <c r="Y385" s="12">
        <v>0</v>
      </c>
      <c r="Z385" s="12">
        <v>0.95</v>
      </c>
      <c r="AA385" s="12">
        <v>0</v>
      </c>
      <c r="AB385" s="13">
        <f t="shared" si="21"/>
        <v>0</v>
      </c>
      <c r="AE385" s="12">
        <v>0</v>
      </c>
      <c r="AF385" s="12">
        <v>0</v>
      </c>
      <c r="AG385" s="12">
        <v>0</v>
      </c>
      <c r="AH385" s="12">
        <v>0.95</v>
      </c>
      <c r="AI385" s="12">
        <v>0</v>
      </c>
      <c r="AJ385" s="13">
        <f t="shared" si="22"/>
        <v>0</v>
      </c>
      <c r="AN385" s="12">
        <f t="shared" si="23"/>
        <v>1340</v>
      </c>
      <c r="AQ385" s="8" t="s">
        <v>417</v>
      </c>
      <c r="AR385" t="str">
        <f t="shared" si="24"/>
        <v>Oeste - A02</v>
      </c>
    </row>
    <row r="386" spans="1:44" x14ac:dyDescent="0.2">
      <c r="A386" s="107" t="s">
        <v>5380</v>
      </c>
      <c r="B386" s="106" t="s">
        <v>5379</v>
      </c>
      <c r="C386" s="106" t="s">
        <v>5358</v>
      </c>
      <c r="D386" s="106" t="s">
        <v>5378</v>
      </c>
      <c r="E386" s="106" t="s">
        <v>5356</v>
      </c>
      <c r="F386" s="106" t="s">
        <v>490</v>
      </c>
      <c r="G386" s="106" t="s">
        <v>5377</v>
      </c>
      <c r="H386" s="105" t="s">
        <v>5376</v>
      </c>
      <c r="I386" s="105" t="s">
        <v>5371</v>
      </c>
      <c r="J386" s="104">
        <v>9.9600000000000009</v>
      </c>
      <c r="K386" s="103" t="s">
        <v>422</v>
      </c>
      <c r="L386" s="102" t="s">
        <v>507</v>
      </c>
      <c r="M386" s="95"/>
      <c r="N386" s="14"/>
      <c r="O386" s="94">
        <v>34</v>
      </c>
      <c r="P386" s="14" t="s">
        <v>485</v>
      </c>
      <c r="Q386" s="14" t="s">
        <v>497</v>
      </c>
      <c r="R386" s="14" t="s">
        <v>496</v>
      </c>
      <c r="S386" s="15">
        <v>6.6</v>
      </c>
      <c r="T386" s="15">
        <v>0</v>
      </c>
      <c r="U386" s="15">
        <v>0</v>
      </c>
      <c r="V386" s="14">
        <v>1827</v>
      </c>
      <c r="W386" s="12">
        <v>0</v>
      </c>
      <c r="X386" s="12">
        <v>0</v>
      </c>
      <c r="Y386" s="12">
        <v>0</v>
      </c>
      <c r="Z386" s="12">
        <v>9.9600000000000009</v>
      </c>
      <c r="AA386" s="12">
        <v>0</v>
      </c>
      <c r="AB386" s="13">
        <f t="shared" si="21"/>
        <v>0</v>
      </c>
      <c r="AE386" s="12">
        <v>0</v>
      </c>
      <c r="AF386" s="12">
        <v>0</v>
      </c>
      <c r="AG386" s="12">
        <v>0</v>
      </c>
      <c r="AH386" s="12">
        <v>9.9600000000000009</v>
      </c>
      <c r="AI386" s="12">
        <v>0</v>
      </c>
      <c r="AJ386" s="13">
        <f t="shared" si="22"/>
        <v>0</v>
      </c>
      <c r="AN386" s="12">
        <f t="shared" si="23"/>
        <v>18197</v>
      </c>
      <c r="AQ386" s="8" t="s">
        <v>417</v>
      </c>
      <c r="AR386" t="str">
        <f t="shared" si="24"/>
        <v>Oeste - A02</v>
      </c>
    </row>
    <row r="387" spans="1:44" x14ac:dyDescent="0.2">
      <c r="A387" s="107" t="s">
        <v>5375</v>
      </c>
      <c r="B387" s="106" t="s">
        <v>5374</v>
      </c>
      <c r="C387" s="106" t="s">
        <v>5358</v>
      </c>
      <c r="D387" s="106" t="s">
        <v>5373</v>
      </c>
      <c r="E387" s="106" t="s">
        <v>5356</v>
      </c>
      <c r="F387" s="106" t="s">
        <v>490</v>
      </c>
      <c r="G387" s="106" t="s">
        <v>5372</v>
      </c>
      <c r="H387" s="105" t="s">
        <v>5371</v>
      </c>
      <c r="I387" s="105" t="s">
        <v>5367</v>
      </c>
      <c r="J387" s="104">
        <v>0.83</v>
      </c>
      <c r="K387" s="103" t="s">
        <v>422</v>
      </c>
      <c r="L387" s="102" t="s">
        <v>507</v>
      </c>
      <c r="M387" s="95"/>
      <c r="N387" s="14"/>
      <c r="O387" s="94">
        <v>34</v>
      </c>
      <c r="P387" s="14" t="s">
        <v>485</v>
      </c>
      <c r="Q387" s="14" t="s">
        <v>497</v>
      </c>
      <c r="R387" s="14" t="s">
        <v>496</v>
      </c>
      <c r="S387" s="15">
        <v>6.6</v>
      </c>
      <c r="T387" s="15">
        <v>0</v>
      </c>
      <c r="U387" s="15">
        <v>0</v>
      </c>
      <c r="V387" s="14">
        <v>1827</v>
      </c>
      <c r="W387" s="12">
        <v>0</v>
      </c>
      <c r="X387" s="12">
        <v>0</v>
      </c>
      <c r="Y387" s="12">
        <v>0</v>
      </c>
      <c r="Z387" s="12">
        <v>0.83</v>
      </c>
      <c r="AA387" s="12">
        <v>0</v>
      </c>
      <c r="AB387" s="13">
        <f t="shared" si="21"/>
        <v>0</v>
      </c>
      <c r="AE387" s="12">
        <v>0</v>
      </c>
      <c r="AF387" s="12">
        <v>0</v>
      </c>
      <c r="AG387" s="12">
        <v>0</v>
      </c>
      <c r="AH387" s="12">
        <v>0.83</v>
      </c>
      <c r="AI387" s="12">
        <v>0</v>
      </c>
      <c r="AJ387" s="13">
        <f t="shared" si="22"/>
        <v>0</v>
      </c>
      <c r="AN387" s="12">
        <f t="shared" si="23"/>
        <v>1517</v>
      </c>
      <c r="AQ387" s="8" t="s">
        <v>417</v>
      </c>
      <c r="AR387" t="str">
        <f t="shared" si="24"/>
        <v>Oeste - A02</v>
      </c>
    </row>
    <row r="388" spans="1:44" x14ac:dyDescent="0.2">
      <c r="A388" s="107" t="s">
        <v>5370</v>
      </c>
      <c r="B388" s="106" t="s">
        <v>5369</v>
      </c>
      <c r="C388" s="106" t="s">
        <v>5358</v>
      </c>
      <c r="D388" s="106" t="s">
        <v>3514</v>
      </c>
      <c r="E388" s="106" t="s">
        <v>5356</v>
      </c>
      <c r="F388" s="106" t="s">
        <v>490</v>
      </c>
      <c r="G388" s="106" t="s">
        <v>5368</v>
      </c>
      <c r="H388" s="105" t="s">
        <v>5367</v>
      </c>
      <c r="I388" s="105" t="s">
        <v>5361</v>
      </c>
      <c r="J388" s="104">
        <v>6.47</v>
      </c>
      <c r="K388" s="103" t="s">
        <v>422</v>
      </c>
      <c r="L388" s="102" t="s">
        <v>507</v>
      </c>
      <c r="M388" s="95"/>
      <c r="N388" s="14"/>
      <c r="O388" s="94">
        <v>34</v>
      </c>
      <c r="P388" s="14" t="s">
        <v>485</v>
      </c>
      <c r="Q388" s="14" t="s">
        <v>497</v>
      </c>
      <c r="R388" s="14" t="s">
        <v>496</v>
      </c>
      <c r="S388" s="15">
        <v>6</v>
      </c>
      <c r="T388" s="15">
        <v>0</v>
      </c>
      <c r="U388" s="15">
        <v>0</v>
      </c>
      <c r="V388" s="14">
        <v>1397</v>
      </c>
      <c r="W388" s="12">
        <v>0</v>
      </c>
      <c r="X388" s="12">
        <v>0</v>
      </c>
      <c r="Y388" s="12">
        <v>1</v>
      </c>
      <c r="Z388" s="12">
        <v>5.47</v>
      </c>
      <c r="AA388" s="12">
        <v>0</v>
      </c>
      <c r="AB388" s="13">
        <f t="shared" si="21"/>
        <v>0</v>
      </c>
      <c r="AE388" s="12">
        <v>0</v>
      </c>
      <c r="AF388" s="12">
        <v>0</v>
      </c>
      <c r="AG388" s="12">
        <v>1</v>
      </c>
      <c r="AH388" s="12">
        <v>5.47</v>
      </c>
      <c r="AI388" s="12">
        <v>0</v>
      </c>
      <c r="AJ388" s="13">
        <f t="shared" si="22"/>
        <v>0</v>
      </c>
      <c r="AN388" s="12">
        <f t="shared" si="23"/>
        <v>9039</v>
      </c>
      <c r="AQ388" s="8" t="s">
        <v>417</v>
      </c>
      <c r="AR388" t="str">
        <f t="shared" si="24"/>
        <v>Oeste - A02</v>
      </c>
    </row>
    <row r="389" spans="1:44" x14ac:dyDescent="0.2">
      <c r="A389" s="107" t="s">
        <v>5366</v>
      </c>
      <c r="B389" s="106" t="s">
        <v>5365</v>
      </c>
      <c r="C389" s="106" t="s">
        <v>5358</v>
      </c>
      <c r="D389" s="106" t="s">
        <v>5364</v>
      </c>
      <c r="E389" s="106" t="s">
        <v>5363</v>
      </c>
      <c r="F389" s="106" t="s">
        <v>590</v>
      </c>
      <c r="G389" s="106" t="s">
        <v>5362</v>
      </c>
      <c r="H389" s="105" t="s">
        <v>5361</v>
      </c>
      <c r="I389" s="105" t="s">
        <v>5354</v>
      </c>
      <c r="J389" s="104">
        <v>1.1599999999999999</v>
      </c>
      <c r="K389" s="103" t="s">
        <v>422</v>
      </c>
      <c r="L389" s="102" t="s">
        <v>507</v>
      </c>
      <c r="M389" s="95"/>
      <c r="N389" s="14"/>
      <c r="O389" s="94">
        <v>34</v>
      </c>
      <c r="P389" s="14" t="s">
        <v>586</v>
      </c>
      <c r="Q389" s="14" t="s">
        <v>497</v>
      </c>
      <c r="R389" s="14" t="s">
        <v>496</v>
      </c>
      <c r="S389" s="15">
        <v>14</v>
      </c>
      <c r="T389" s="15">
        <v>0</v>
      </c>
      <c r="U389" s="15">
        <v>0</v>
      </c>
      <c r="V389" s="14">
        <v>2957</v>
      </c>
      <c r="W389" s="12">
        <v>0</v>
      </c>
      <c r="X389" s="12">
        <v>0</v>
      </c>
      <c r="Y389" s="12">
        <v>0</v>
      </c>
      <c r="Z389" s="12">
        <v>1.1599999999999999</v>
      </c>
      <c r="AA389" s="12">
        <v>0</v>
      </c>
      <c r="AB389" s="13">
        <f t="shared" si="21"/>
        <v>0</v>
      </c>
      <c r="AE389" s="12">
        <v>0</v>
      </c>
      <c r="AF389" s="12">
        <v>0</v>
      </c>
      <c r="AG389" s="12">
        <v>0</v>
      </c>
      <c r="AH389" s="12">
        <v>1.1599999999999999</v>
      </c>
      <c r="AI389" s="12">
        <v>0</v>
      </c>
      <c r="AJ389" s="13">
        <f t="shared" si="22"/>
        <v>0</v>
      </c>
      <c r="AN389" s="12">
        <f t="shared" si="23"/>
        <v>3431</v>
      </c>
      <c r="AQ389" s="8" t="s">
        <v>417</v>
      </c>
      <c r="AR389" t="str">
        <f t="shared" si="24"/>
        <v>Oeste - A02</v>
      </c>
    </row>
    <row r="390" spans="1:44" x14ac:dyDescent="0.2">
      <c r="A390" s="107" t="s">
        <v>5360</v>
      </c>
      <c r="B390" s="106" t="s">
        <v>5359</v>
      </c>
      <c r="C390" s="106" t="s">
        <v>5358</v>
      </c>
      <c r="D390" s="106" t="s">
        <v>5357</v>
      </c>
      <c r="E390" s="106" t="s">
        <v>5356</v>
      </c>
      <c r="F390" s="106" t="s">
        <v>490</v>
      </c>
      <c r="G390" s="106" t="s">
        <v>5355</v>
      </c>
      <c r="H390" s="105" t="s">
        <v>5354</v>
      </c>
      <c r="I390" s="105" t="s">
        <v>526</v>
      </c>
      <c r="J390" s="104">
        <v>1.59</v>
      </c>
      <c r="K390" s="103" t="s">
        <v>422</v>
      </c>
      <c r="L390" s="102" t="s">
        <v>507</v>
      </c>
      <c r="M390" s="95"/>
      <c r="N390" s="14"/>
      <c r="O390" s="94">
        <v>34</v>
      </c>
      <c r="P390" s="14" t="s">
        <v>485</v>
      </c>
      <c r="Q390" s="14" t="s">
        <v>497</v>
      </c>
      <c r="R390" s="14" t="s">
        <v>496</v>
      </c>
      <c r="S390" s="15">
        <v>6</v>
      </c>
      <c r="T390" s="15">
        <v>0</v>
      </c>
      <c r="U390" s="15">
        <v>0</v>
      </c>
      <c r="V390" s="14">
        <v>3471</v>
      </c>
      <c r="W390" s="12">
        <v>0</v>
      </c>
      <c r="X390" s="12">
        <v>0</v>
      </c>
      <c r="Y390" s="12">
        <v>0</v>
      </c>
      <c r="Z390" s="12">
        <v>1.59</v>
      </c>
      <c r="AA390" s="12">
        <v>0</v>
      </c>
      <c r="AB390" s="13">
        <f t="shared" ref="AB390:AB453" si="25">SUM(W390:AA390)-J390</f>
        <v>0</v>
      </c>
      <c r="AE390" s="12">
        <v>0</v>
      </c>
      <c r="AF390" s="12">
        <v>0</v>
      </c>
      <c r="AG390" s="12">
        <v>0</v>
      </c>
      <c r="AH390" s="12">
        <v>1.59</v>
      </c>
      <c r="AI390" s="12">
        <v>0</v>
      </c>
      <c r="AJ390" s="13">
        <f t="shared" ref="AJ390:AJ453" si="26">SUM(AE390:AI390)-J390</f>
        <v>0</v>
      </c>
      <c r="AN390" s="12">
        <f t="shared" ref="AN390:AN453" si="27">ROUNDUP(V390*J390,0)</f>
        <v>5519</v>
      </c>
      <c r="AQ390" s="8" t="s">
        <v>417</v>
      </c>
      <c r="AR390" t="str">
        <f t="shared" ref="AR390:AR453" si="28">AQ390&amp;" - "&amp;K390</f>
        <v>Oeste - A02</v>
      </c>
    </row>
    <row r="391" spans="1:44" x14ac:dyDescent="0.2">
      <c r="A391" s="107" t="s">
        <v>5353</v>
      </c>
      <c r="B391" s="106" t="s">
        <v>5352</v>
      </c>
      <c r="C391" s="106" t="s">
        <v>5254</v>
      </c>
      <c r="D391" s="106" t="s">
        <v>492</v>
      </c>
      <c r="E391" s="106" t="s">
        <v>5253</v>
      </c>
      <c r="F391" s="106" t="s">
        <v>490</v>
      </c>
      <c r="G391" s="106" t="s">
        <v>5351</v>
      </c>
      <c r="H391" s="105" t="s">
        <v>5350</v>
      </c>
      <c r="I391" s="105" t="s">
        <v>5349</v>
      </c>
      <c r="J391" s="104">
        <v>6</v>
      </c>
      <c r="K391" s="103" t="s">
        <v>421</v>
      </c>
      <c r="L391" s="102" t="s">
        <v>577</v>
      </c>
      <c r="M391" s="95"/>
      <c r="N391" s="14"/>
      <c r="O391" s="94">
        <v>6</v>
      </c>
      <c r="P391" s="14" t="s">
        <v>485</v>
      </c>
      <c r="Q391" s="14" t="s">
        <v>887</v>
      </c>
      <c r="R391" s="14" t="s">
        <v>1258</v>
      </c>
      <c r="S391" s="15">
        <v>7</v>
      </c>
      <c r="T391" s="15">
        <v>0</v>
      </c>
      <c r="U391" s="15">
        <v>0</v>
      </c>
      <c r="V391" s="14">
        <v>329</v>
      </c>
      <c r="W391" s="12">
        <v>0</v>
      </c>
      <c r="X391" s="12">
        <v>0</v>
      </c>
      <c r="Y391" s="12">
        <v>1</v>
      </c>
      <c r="Z391" s="12">
        <v>5</v>
      </c>
      <c r="AA391" s="12">
        <v>0</v>
      </c>
      <c r="AB391" s="13">
        <f t="shared" si="25"/>
        <v>0</v>
      </c>
      <c r="AE391" s="12">
        <v>0</v>
      </c>
      <c r="AF391" s="12">
        <v>0</v>
      </c>
      <c r="AG391" s="12">
        <v>1</v>
      </c>
      <c r="AH391" s="12">
        <v>5</v>
      </c>
      <c r="AI391" s="12">
        <v>0</v>
      </c>
      <c r="AJ391" s="13">
        <f t="shared" si="26"/>
        <v>0</v>
      </c>
      <c r="AN391" s="12">
        <f t="shared" si="27"/>
        <v>1974</v>
      </c>
      <c r="AQ391" s="8" t="s">
        <v>420</v>
      </c>
      <c r="AR391" t="str">
        <f t="shared" si="28"/>
        <v>Campos Gerais - A01</v>
      </c>
    </row>
    <row r="392" spans="1:44" x14ac:dyDescent="0.2">
      <c r="A392" s="107" t="s">
        <v>5348</v>
      </c>
      <c r="B392" s="106" t="s">
        <v>5347</v>
      </c>
      <c r="C392" s="106" t="s">
        <v>5254</v>
      </c>
      <c r="D392" s="106" t="s">
        <v>1106</v>
      </c>
      <c r="E392" s="106" t="s">
        <v>5253</v>
      </c>
      <c r="F392" s="106" t="s">
        <v>490</v>
      </c>
      <c r="G392" s="106" t="s">
        <v>5346</v>
      </c>
      <c r="H392" s="105" t="s">
        <v>5345</v>
      </c>
      <c r="I392" s="105" t="s">
        <v>5341</v>
      </c>
      <c r="J392" s="104">
        <v>2.88</v>
      </c>
      <c r="K392" s="103" t="s">
        <v>421</v>
      </c>
      <c r="L392" s="102" t="s">
        <v>577</v>
      </c>
      <c r="M392" s="95"/>
      <c r="N392" s="14"/>
      <c r="O392" s="94">
        <v>6</v>
      </c>
      <c r="P392" s="14" t="s">
        <v>485</v>
      </c>
      <c r="Q392" s="14" t="s">
        <v>887</v>
      </c>
      <c r="R392" s="14" t="s">
        <v>1258</v>
      </c>
      <c r="S392" s="15">
        <v>7</v>
      </c>
      <c r="T392" s="15">
        <v>0</v>
      </c>
      <c r="U392" s="15">
        <v>0</v>
      </c>
      <c r="V392" s="14">
        <v>329</v>
      </c>
      <c r="W392" s="12">
        <v>0</v>
      </c>
      <c r="X392" s="12">
        <v>0</v>
      </c>
      <c r="Y392" s="12">
        <v>0</v>
      </c>
      <c r="Z392" s="12">
        <v>2.88</v>
      </c>
      <c r="AA392" s="12">
        <v>0</v>
      </c>
      <c r="AB392" s="13">
        <f t="shared" si="25"/>
        <v>0</v>
      </c>
      <c r="AE392" s="12">
        <v>0</v>
      </c>
      <c r="AF392" s="12">
        <v>0</v>
      </c>
      <c r="AG392" s="12">
        <v>0</v>
      </c>
      <c r="AH392" s="12">
        <v>2.88</v>
      </c>
      <c r="AI392" s="12">
        <v>0</v>
      </c>
      <c r="AJ392" s="13">
        <f t="shared" si="26"/>
        <v>0</v>
      </c>
      <c r="AN392" s="12">
        <f t="shared" si="27"/>
        <v>948</v>
      </c>
      <c r="AQ392" s="8" t="s">
        <v>420</v>
      </c>
      <c r="AR392" t="str">
        <f t="shared" si="28"/>
        <v>Campos Gerais - A01</v>
      </c>
    </row>
    <row r="393" spans="1:44" x14ac:dyDescent="0.2">
      <c r="A393" s="107" t="s">
        <v>5344</v>
      </c>
      <c r="B393" s="106" t="s">
        <v>5343</v>
      </c>
      <c r="C393" s="106" t="s">
        <v>5254</v>
      </c>
      <c r="D393" s="106" t="s">
        <v>3073</v>
      </c>
      <c r="E393" s="106" t="s">
        <v>5317</v>
      </c>
      <c r="F393" s="106" t="s">
        <v>590</v>
      </c>
      <c r="G393" s="106" t="s">
        <v>5342</v>
      </c>
      <c r="H393" s="105" t="s">
        <v>5341</v>
      </c>
      <c r="I393" s="105" t="s">
        <v>5340</v>
      </c>
      <c r="J393" s="104">
        <v>1.22</v>
      </c>
      <c r="K393" s="103" t="s">
        <v>421</v>
      </c>
      <c r="L393" s="102" t="s">
        <v>577</v>
      </c>
      <c r="M393" s="95"/>
      <c r="N393" s="14"/>
      <c r="O393" s="94">
        <v>6</v>
      </c>
      <c r="P393" s="14" t="s">
        <v>586</v>
      </c>
      <c r="Q393" s="14" t="s">
        <v>887</v>
      </c>
      <c r="R393" s="14" t="s">
        <v>496</v>
      </c>
      <c r="S393" s="15">
        <v>9.1999999999999993</v>
      </c>
      <c r="T393" s="15">
        <v>0</v>
      </c>
      <c r="U393" s="15">
        <v>0</v>
      </c>
      <c r="V393" s="14">
        <v>50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3">
        <f t="shared" si="25"/>
        <v>-1.22</v>
      </c>
      <c r="AE393" s="12">
        <f>IF(W393=0,0,W393-$AB393)</f>
        <v>0</v>
      </c>
      <c r="AF393" s="12">
        <f>IF(X393=0,0,X393-$AB393)</f>
        <v>0</v>
      </c>
      <c r="AG393" s="12">
        <v>1.22</v>
      </c>
      <c r="AH393" s="12">
        <f>IF(Z393=0,0,Z393-$AB393)</f>
        <v>0</v>
      </c>
      <c r="AI393" s="12">
        <f>IF(AA393=0,0,AA393-$AB393)</f>
        <v>0</v>
      </c>
      <c r="AJ393" s="13">
        <f t="shared" si="26"/>
        <v>0</v>
      </c>
      <c r="AN393" s="12">
        <f t="shared" si="27"/>
        <v>61</v>
      </c>
      <c r="AQ393" s="8" t="s">
        <v>420</v>
      </c>
      <c r="AR393" t="str">
        <f t="shared" si="28"/>
        <v>Campos Gerais - A01</v>
      </c>
    </row>
    <row r="394" spans="1:44" x14ac:dyDescent="0.2">
      <c r="A394" s="107" t="s">
        <v>5339</v>
      </c>
      <c r="B394" s="106" t="s">
        <v>5338</v>
      </c>
      <c r="C394" s="106" t="s">
        <v>5254</v>
      </c>
      <c r="D394" s="106" t="s">
        <v>981</v>
      </c>
      <c r="E394" s="106" t="s">
        <v>5253</v>
      </c>
      <c r="F394" s="106" t="s">
        <v>490</v>
      </c>
      <c r="G394" s="106" t="s">
        <v>5337</v>
      </c>
      <c r="H394" s="105" t="s">
        <v>5336</v>
      </c>
      <c r="I394" s="105" t="s">
        <v>5332</v>
      </c>
      <c r="J394" s="104">
        <v>2.86</v>
      </c>
      <c r="K394" s="103" t="s">
        <v>429</v>
      </c>
      <c r="L394" s="102" t="s">
        <v>486</v>
      </c>
      <c r="M394" s="95"/>
      <c r="N394" s="14"/>
      <c r="O394" s="94">
        <v>21</v>
      </c>
      <c r="P394" s="14" t="s">
        <v>485</v>
      </c>
      <c r="Q394" s="14" t="s">
        <v>497</v>
      </c>
      <c r="R394" s="16" t="s">
        <v>496</v>
      </c>
      <c r="S394" s="15">
        <v>6.6</v>
      </c>
      <c r="T394" s="15">
        <v>0.8</v>
      </c>
      <c r="U394" s="15">
        <v>0</v>
      </c>
      <c r="V394" s="14">
        <v>1895</v>
      </c>
      <c r="W394" s="12">
        <v>0</v>
      </c>
      <c r="X394" s="12">
        <v>0</v>
      </c>
      <c r="Y394" s="12">
        <v>1</v>
      </c>
      <c r="Z394" s="12">
        <v>1.8599999999999999</v>
      </c>
      <c r="AA394" s="12">
        <v>0</v>
      </c>
      <c r="AB394" s="13">
        <f t="shared" si="25"/>
        <v>0</v>
      </c>
      <c r="AE394" s="12">
        <v>0</v>
      </c>
      <c r="AF394" s="12">
        <v>0</v>
      </c>
      <c r="AG394" s="12">
        <v>1</v>
      </c>
      <c r="AH394" s="12">
        <v>1.8599999999999999</v>
      </c>
      <c r="AI394" s="12">
        <v>0</v>
      </c>
      <c r="AJ394" s="13">
        <f t="shared" si="26"/>
        <v>0</v>
      </c>
      <c r="AN394" s="12">
        <f t="shared" si="27"/>
        <v>5420</v>
      </c>
      <c r="AQ394" s="8" t="s">
        <v>419</v>
      </c>
      <c r="AR394" t="str">
        <f t="shared" si="28"/>
        <v>Norte - A09</v>
      </c>
    </row>
    <row r="395" spans="1:44" x14ac:dyDescent="0.2">
      <c r="A395" s="107" t="s">
        <v>5335</v>
      </c>
      <c r="B395" s="106" t="s">
        <v>5334</v>
      </c>
      <c r="C395" s="106" t="s">
        <v>5254</v>
      </c>
      <c r="D395" s="106" t="s">
        <v>975</v>
      </c>
      <c r="E395" s="106" t="s">
        <v>5253</v>
      </c>
      <c r="F395" s="106" t="s">
        <v>490</v>
      </c>
      <c r="G395" s="106" t="s">
        <v>5333</v>
      </c>
      <c r="H395" s="105" t="s">
        <v>5332</v>
      </c>
      <c r="I395" s="105" t="s">
        <v>5328</v>
      </c>
      <c r="J395" s="104">
        <v>16.47</v>
      </c>
      <c r="K395" s="103" t="s">
        <v>429</v>
      </c>
      <c r="L395" s="102" t="s">
        <v>486</v>
      </c>
      <c r="M395" s="95"/>
      <c r="N395" s="14"/>
      <c r="O395" s="94">
        <v>21</v>
      </c>
      <c r="P395" s="14" t="s">
        <v>485</v>
      </c>
      <c r="Q395" s="14" t="s">
        <v>497</v>
      </c>
      <c r="R395" s="16" t="s">
        <v>496</v>
      </c>
      <c r="S395" s="15">
        <v>6.6</v>
      </c>
      <c r="T395" s="15">
        <v>0.8</v>
      </c>
      <c r="U395" s="15">
        <v>0</v>
      </c>
      <c r="V395" s="14">
        <v>1895</v>
      </c>
      <c r="W395" s="12">
        <v>0</v>
      </c>
      <c r="X395" s="12">
        <v>0</v>
      </c>
      <c r="Y395" s="12">
        <v>8</v>
      </c>
      <c r="Z395" s="12">
        <v>8.4699999999999989</v>
      </c>
      <c r="AA395" s="12">
        <v>0</v>
      </c>
      <c r="AB395" s="13">
        <f t="shared" si="25"/>
        <v>0</v>
      </c>
      <c r="AE395" s="12">
        <v>0</v>
      </c>
      <c r="AF395" s="12">
        <v>0</v>
      </c>
      <c r="AG395" s="12">
        <v>8</v>
      </c>
      <c r="AH395" s="12">
        <v>8.4699999999999989</v>
      </c>
      <c r="AI395" s="12">
        <v>0</v>
      </c>
      <c r="AJ395" s="13">
        <f t="shared" si="26"/>
        <v>0</v>
      </c>
      <c r="AN395" s="12">
        <f t="shared" si="27"/>
        <v>31211</v>
      </c>
      <c r="AQ395" s="8" t="s">
        <v>419</v>
      </c>
      <c r="AR395" t="str">
        <f t="shared" si="28"/>
        <v>Norte - A09</v>
      </c>
    </row>
    <row r="396" spans="1:44" x14ac:dyDescent="0.2">
      <c r="A396" s="107" t="s">
        <v>5331</v>
      </c>
      <c r="B396" s="106" t="s">
        <v>5330</v>
      </c>
      <c r="C396" s="106" t="s">
        <v>5254</v>
      </c>
      <c r="D396" s="106" t="s">
        <v>1269</v>
      </c>
      <c r="E396" s="106" t="s">
        <v>5253</v>
      </c>
      <c r="F396" s="106" t="s">
        <v>490</v>
      </c>
      <c r="G396" s="106" t="s">
        <v>5329</v>
      </c>
      <c r="H396" s="105" t="s">
        <v>5328</v>
      </c>
      <c r="I396" s="105" t="s">
        <v>5324</v>
      </c>
      <c r="J396" s="104">
        <v>1.22</v>
      </c>
      <c r="K396" s="103" t="s">
        <v>429</v>
      </c>
      <c r="L396" s="102" t="s">
        <v>486</v>
      </c>
      <c r="M396" s="95"/>
      <c r="N396" s="14"/>
      <c r="O396" s="94">
        <v>21</v>
      </c>
      <c r="P396" s="14" t="s">
        <v>485</v>
      </c>
      <c r="Q396" s="14" t="s">
        <v>497</v>
      </c>
      <c r="R396" s="14" t="s">
        <v>496</v>
      </c>
      <c r="S396" s="15">
        <v>7</v>
      </c>
      <c r="T396" s="15">
        <v>2.5</v>
      </c>
      <c r="U396" s="15">
        <v>0</v>
      </c>
      <c r="V396" s="14">
        <v>3507</v>
      </c>
      <c r="W396" s="12">
        <v>0</v>
      </c>
      <c r="X396" s="12">
        <v>1</v>
      </c>
      <c r="Y396" s="12">
        <v>0.21999999999999997</v>
      </c>
      <c r="Z396" s="12">
        <v>0</v>
      </c>
      <c r="AA396" s="12">
        <v>0</v>
      </c>
      <c r="AB396" s="13">
        <f t="shared" si="25"/>
        <v>0</v>
      </c>
      <c r="AE396" s="12">
        <v>0</v>
      </c>
      <c r="AF396" s="12">
        <v>1</v>
      </c>
      <c r="AG396" s="12">
        <v>0.21999999999999997</v>
      </c>
      <c r="AH396" s="12">
        <v>0</v>
      </c>
      <c r="AI396" s="12">
        <v>0</v>
      </c>
      <c r="AJ396" s="13">
        <f t="shared" si="26"/>
        <v>0</v>
      </c>
      <c r="AN396" s="12">
        <f t="shared" si="27"/>
        <v>4279</v>
      </c>
      <c r="AQ396" s="8" t="s">
        <v>419</v>
      </c>
      <c r="AR396" t="str">
        <f t="shared" si="28"/>
        <v>Norte - A09</v>
      </c>
    </row>
    <row r="397" spans="1:44" x14ac:dyDescent="0.2">
      <c r="A397" s="107" t="s">
        <v>5327</v>
      </c>
      <c r="B397" s="106" t="s">
        <v>5326</v>
      </c>
      <c r="C397" s="106" t="s">
        <v>5254</v>
      </c>
      <c r="D397" s="106" t="s">
        <v>1263</v>
      </c>
      <c r="E397" s="106" t="s">
        <v>5253</v>
      </c>
      <c r="F397" s="106" t="s">
        <v>490</v>
      </c>
      <c r="G397" s="106" t="s">
        <v>5325</v>
      </c>
      <c r="H397" s="105" t="s">
        <v>5324</v>
      </c>
      <c r="I397" s="105" t="s">
        <v>5320</v>
      </c>
      <c r="J397" s="104">
        <v>12.19</v>
      </c>
      <c r="K397" s="103" t="s">
        <v>428</v>
      </c>
      <c r="L397" s="102" t="s">
        <v>486</v>
      </c>
      <c r="M397" s="95"/>
      <c r="N397" s="14"/>
      <c r="O397" s="94">
        <v>20</v>
      </c>
      <c r="P397" s="14" t="s">
        <v>485</v>
      </c>
      <c r="Q397" s="14" t="s">
        <v>497</v>
      </c>
      <c r="R397" s="14" t="s">
        <v>496</v>
      </c>
      <c r="S397" s="15">
        <v>7</v>
      </c>
      <c r="T397" s="15">
        <v>1.4</v>
      </c>
      <c r="U397" s="15">
        <v>0</v>
      </c>
      <c r="V397" s="14">
        <v>3507</v>
      </c>
      <c r="W397" s="12">
        <v>0</v>
      </c>
      <c r="X397" s="12">
        <v>0.1899999999999995</v>
      </c>
      <c r="Y397" s="12">
        <v>9</v>
      </c>
      <c r="Z397" s="12">
        <v>3</v>
      </c>
      <c r="AA397" s="12">
        <v>0</v>
      </c>
      <c r="AB397" s="13">
        <f t="shared" si="25"/>
        <v>0</v>
      </c>
      <c r="AE397" s="12">
        <v>0</v>
      </c>
      <c r="AF397" s="12">
        <v>0.1899999999999995</v>
      </c>
      <c r="AG397" s="12">
        <v>9</v>
      </c>
      <c r="AH397" s="12">
        <v>3</v>
      </c>
      <c r="AI397" s="12">
        <v>0</v>
      </c>
      <c r="AJ397" s="13">
        <f t="shared" si="26"/>
        <v>0</v>
      </c>
      <c r="AN397" s="12">
        <f t="shared" si="27"/>
        <v>42751</v>
      </c>
      <c r="AQ397" s="8" t="s">
        <v>419</v>
      </c>
      <c r="AR397" t="str">
        <f t="shared" si="28"/>
        <v>Norte - A08</v>
      </c>
    </row>
    <row r="398" spans="1:44" x14ac:dyDescent="0.2">
      <c r="A398" s="107" t="s">
        <v>5323</v>
      </c>
      <c r="B398" s="106" t="s">
        <v>5322</v>
      </c>
      <c r="C398" s="106" t="s">
        <v>5254</v>
      </c>
      <c r="D398" s="106" t="s">
        <v>965</v>
      </c>
      <c r="E398" s="106" t="s">
        <v>5253</v>
      </c>
      <c r="F398" s="106" t="s">
        <v>490</v>
      </c>
      <c r="G398" s="106" t="s">
        <v>5321</v>
      </c>
      <c r="H398" s="105" t="s">
        <v>5320</v>
      </c>
      <c r="I398" s="105" t="s">
        <v>5315</v>
      </c>
      <c r="J398" s="104">
        <v>0.73</v>
      </c>
      <c r="K398" s="103" t="s">
        <v>428</v>
      </c>
      <c r="L398" s="102" t="s">
        <v>486</v>
      </c>
      <c r="M398" s="95"/>
      <c r="N398" s="14"/>
      <c r="O398" s="94">
        <v>20</v>
      </c>
      <c r="P398" s="14" t="s">
        <v>485</v>
      </c>
      <c r="Q398" s="14" t="s">
        <v>497</v>
      </c>
      <c r="R398" s="14" t="s">
        <v>496</v>
      </c>
      <c r="S398" s="15">
        <v>7</v>
      </c>
      <c r="T398" s="15">
        <v>1.4</v>
      </c>
      <c r="U398" s="15">
        <v>0</v>
      </c>
      <c r="V398" s="14">
        <v>3507</v>
      </c>
      <c r="W398" s="12">
        <v>0</v>
      </c>
      <c r="X398" s="12">
        <v>0</v>
      </c>
      <c r="Y398" s="12">
        <v>0.73</v>
      </c>
      <c r="Z398" s="12">
        <v>0</v>
      </c>
      <c r="AA398" s="12">
        <v>0</v>
      </c>
      <c r="AB398" s="13">
        <f t="shared" si="25"/>
        <v>0</v>
      </c>
      <c r="AE398" s="12">
        <v>0</v>
      </c>
      <c r="AF398" s="12">
        <v>0</v>
      </c>
      <c r="AG398" s="12">
        <v>0.73</v>
      </c>
      <c r="AH398" s="12">
        <v>0</v>
      </c>
      <c r="AI398" s="12">
        <v>0</v>
      </c>
      <c r="AJ398" s="13">
        <f t="shared" si="26"/>
        <v>0</v>
      </c>
      <c r="AN398" s="12">
        <f t="shared" si="27"/>
        <v>2561</v>
      </c>
      <c r="AQ398" s="8" t="s">
        <v>419</v>
      </c>
      <c r="AR398" t="str">
        <f t="shared" si="28"/>
        <v>Norte - A08</v>
      </c>
    </row>
    <row r="399" spans="1:44" x14ac:dyDescent="0.2">
      <c r="A399" s="107" t="s">
        <v>5319</v>
      </c>
      <c r="B399" s="106" t="s">
        <v>5318</v>
      </c>
      <c r="C399" s="106" t="s">
        <v>5254</v>
      </c>
      <c r="D399" s="106" t="s">
        <v>2152</v>
      </c>
      <c r="E399" s="106" t="s">
        <v>5317</v>
      </c>
      <c r="F399" s="106" t="s">
        <v>590</v>
      </c>
      <c r="G399" s="106" t="s">
        <v>5316</v>
      </c>
      <c r="H399" s="105" t="s">
        <v>5315</v>
      </c>
      <c r="I399" s="105" t="s">
        <v>5311</v>
      </c>
      <c r="J399" s="104">
        <v>0.5</v>
      </c>
      <c r="K399" s="103" t="s">
        <v>428</v>
      </c>
      <c r="L399" s="102" t="s">
        <v>486</v>
      </c>
      <c r="M399" s="95"/>
      <c r="N399" s="14"/>
      <c r="O399" s="94">
        <v>20</v>
      </c>
      <c r="P399" s="14" t="s">
        <v>586</v>
      </c>
      <c r="Q399" s="14" t="s">
        <v>497</v>
      </c>
      <c r="R399" s="14" t="s">
        <v>496</v>
      </c>
      <c r="S399" s="15">
        <v>19</v>
      </c>
      <c r="T399" s="15">
        <v>0</v>
      </c>
      <c r="U399" s="15">
        <v>0</v>
      </c>
      <c r="V399" s="14">
        <v>2712</v>
      </c>
      <c r="W399" s="12">
        <v>0</v>
      </c>
      <c r="X399" s="12">
        <v>0</v>
      </c>
      <c r="Y399" s="12">
        <v>0</v>
      </c>
      <c r="Z399" s="12">
        <v>0.5</v>
      </c>
      <c r="AA399" s="12">
        <v>0</v>
      </c>
      <c r="AB399" s="13">
        <f t="shared" si="25"/>
        <v>0</v>
      </c>
      <c r="AE399" s="12">
        <v>0</v>
      </c>
      <c r="AF399" s="12">
        <v>0</v>
      </c>
      <c r="AG399" s="12">
        <v>0</v>
      </c>
      <c r="AH399" s="12">
        <v>0.5</v>
      </c>
      <c r="AI399" s="12">
        <v>0</v>
      </c>
      <c r="AJ399" s="13">
        <f t="shared" si="26"/>
        <v>0</v>
      </c>
      <c r="AN399" s="12">
        <f t="shared" si="27"/>
        <v>1356</v>
      </c>
      <c r="AQ399" s="8" t="s">
        <v>419</v>
      </c>
      <c r="AR399" t="str">
        <f t="shared" si="28"/>
        <v>Norte - A08</v>
      </c>
    </row>
    <row r="400" spans="1:44" x14ac:dyDescent="0.2">
      <c r="A400" s="107" t="s">
        <v>5314</v>
      </c>
      <c r="B400" s="106" t="s">
        <v>5313</v>
      </c>
      <c r="C400" s="106" t="s">
        <v>5254</v>
      </c>
      <c r="D400" s="106" t="s">
        <v>633</v>
      </c>
      <c r="E400" s="106" t="s">
        <v>5253</v>
      </c>
      <c r="F400" s="106" t="s">
        <v>490</v>
      </c>
      <c r="G400" s="106" t="s">
        <v>5312</v>
      </c>
      <c r="H400" s="105" t="s">
        <v>5311</v>
      </c>
      <c r="I400" s="105" t="s">
        <v>5307</v>
      </c>
      <c r="J400" s="104">
        <v>2.39</v>
      </c>
      <c r="K400" s="103" t="s">
        <v>428</v>
      </c>
      <c r="L400" s="102" t="s">
        <v>486</v>
      </c>
      <c r="M400" s="95"/>
      <c r="N400" s="14"/>
      <c r="O400" s="94">
        <v>20</v>
      </c>
      <c r="P400" s="14" t="s">
        <v>485</v>
      </c>
      <c r="Q400" s="14" t="s">
        <v>497</v>
      </c>
      <c r="R400" s="14" t="s">
        <v>496</v>
      </c>
      <c r="S400" s="15">
        <v>7</v>
      </c>
      <c r="T400" s="15">
        <v>1.4</v>
      </c>
      <c r="U400" s="15">
        <v>0</v>
      </c>
      <c r="V400" s="14">
        <v>3507</v>
      </c>
      <c r="W400" s="12">
        <v>0</v>
      </c>
      <c r="X400" s="12">
        <v>0</v>
      </c>
      <c r="Y400" s="12">
        <v>2.39</v>
      </c>
      <c r="Z400" s="12">
        <v>0</v>
      </c>
      <c r="AA400" s="12">
        <v>0</v>
      </c>
      <c r="AB400" s="13">
        <f t="shared" si="25"/>
        <v>0</v>
      </c>
      <c r="AE400" s="12">
        <v>0</v>
      </c>
      <c r="AF400" s="12">
        <v>0</v>
      </c>
      <c r="AG400" s="12">
        <v>2.39</v>
      </c>
      <c r="AH400" s="12">
        <v>0</v>
      </c>
      <c r="AI400" s="12">
        <v>0</v>
      </c>
      <c r="AJ400" s="13">
        <f t="shared" si="26"/>
        <v>0</v>
      </c>
      <c r="AN400" s="12">
        <f t="shared" si="27"/>
        <v>8382</v>
      </c>
      <c r="AQ400" s="8" t="s">
        <v>419</v>
      </c>
      <c r="AR400" t="str">
        <f t="shared" si="28"/>
        <v>Norte - A08</v>
      </c>
    </row>
    <row r="401" spans="1:44" x14ac:dyDescent="0.2">
      <c r="A401" s="107" t="s">
        <v>5310</v>
      </c>
      <c r="B401" s="106" t="s">
        <v>5309</v>
      </c>
      <c r="C401" s="106" t="s">
        <v>5254</v>
      </c>
      <c r="D401" s="106" t="s">
        <v>2145</v>
      </c>
      <c r="E401" s="106" t="s">
        <v>5253</v>
      </c>
      <c r="F401" s="106" t="s">
        <v>490</v>
      </c>
      <c r="G401" s="106" t="s">
        <v>5308</v>
      </c>
      <c r="H401" s="105" t="s">
        <v>5307</v>
      </c>
      <c r="I401" s="105" t="s">
        <v>5298</v>
      </c>
      <c r="J401" s="104">
        <v>6.57</v>
      </c>
      <c r="K401" s="103" t="s">
        <v>428</v>
      </c>
      <c r="L401" s="102" t="s">
        <v>486</v>
      </c>
      <c r="M401" s="95"/>
      <c r="N401" s="14"/>
      <c r="O401" s="94">
        <v>20</v>
      </c>
      <c r="P401" s="14" t="s">
        <v>485</v>
      </c>
      <c r="Q401" s="14" t="s">
        <v>497</v>
      </c>
      <c r="R401" s="14" t="s">
        <v>496</v>
      </c>
      <c r="S401" s="15">
        <v>7</v>
      </c>
      <c r="T401" s="15">
        <v>1.4</v>
      </c>
      <c r="U401" s="15">
        <v>0</v>
      </c>
      <c r="V401" s="14">
        <v>3507</v>
      </c>
      <c r="W401" s="12">
        <v>0</v>
      </c>
      <c r="X401" s="12">
        <v>0</v>
      </c>
      <c r="Y401" s="12">
        <v>4.57</v>
      </c>
      <c r="Z401" s="12">
        <v>2</v>
      </c>
      <c r="AA401" s="12">
        <v>0</v>
      </c>
      <c r="AB401" s="13">
        <f t="shared" si="25"/>
        <v>0</v>
      </c>
      <c r="AE401" s="12">
        <v>0</v>
      </c>
      <c r="AF401" s="12">
        <v>0</v>
      </c>
      <c r="AG401" s="12">
        <v>4.57</v>
      </c>
      <c r="AH401" s="12">
        <v>2</v>
      </c>
      <c r="AI401" s="12">
        <v>0</v>
      </c>
      <c r="AJ401" s="13">
        <f t="shared" si="26"/>
        <v>0</v>
      </c>
      <c r="AN401" s="12">
        <f t="shared" si="27"/>
        <v>23041</v>
      </c>
      <c r="AQ401" s="8" t="s">
        <v>419</v>
      </c>
      <c r="AR401" t="str">
        <f t="shared" si="28"/>
        <v>Norte - A08</v>
      </c>
    </row>
    <row r="402" spans="1:44" x14ac:dyDescent="0.2">
      <c r="A402" s="107" t="s">
        <v>5306</v>
      </c>
      <c r="B402" s="106" t="s">
        <v>5305</v>
      </c>
      <c r="C402" s="106" t="s">
        <v>5254</v>
      </c>
      <c r="D402" s="106" t="s">
        <v>3016</v>
      </c>
      <c r="E402" s="106" t="s">
        <v>5304</v>
      </c>
      <c r="F402" s="106" t="s">
        <v>606</v>
      </c>
      <c r="G402" s="106" t="s">
        <v>5303</v>
      </c>
      <c r="H402" s="105" t="s">
        <v>5298</v>
      </c>
      <c r="I402" s="105" t="s">
        <v>1483</v>
      </c>
      <c r="J402" s="104">
        <v>0.59</v>
      </c>
      <c r="K402" s="103" t="s">
        <v>428</v>
      </c>
      <c r="L402" s="102" t="s">
        <v>486</v>
      </c>
      <c r="M402" s="95"/>
      <c r="N402" s="14"/>
      <c r="O402" s="94">
        <v>20</v>
      </c>
      <c r="P402" s="14" t="s">
        <v>596</v>
      </c>
      <c r="Q402" s="14" t="s">
        <v>497</v>
      </c>
      <c r="R402" s="14" t="s">
        <v>496</v>
      </c>
      <c r="S402" s="15">
        <v>4.5</v>
      </c>
      <c r="T402" s="15">
        <v>2.5</v>
      </c>
      <c r="U402" s="15">
        <v>0</v>
      </c>
      <c r="V402" s="14">
        <v>3075</v>
      </c>
      <c r="W402" s="12">
        <v>0</v>
      </c>
      <c r="X402" s="12">
        <v>0</v>
      </c>
      <c r="Y402" s="12">
        <v>0.59</v>
      </c>
      <c r="Z402" s="12">
        <v>0</v>
      </c>
      <c r="AA402" s="12">
        <v>0</v>
      </c>
      <c r="AB402" s="13">
        <f t="shared" si="25"/>
        <v>0</v>
      </c>
      <c r="AE402" s="12">
        <v>0</v>
      </c>
      <c r="AF402" s="12">
        <v>0</v>
      </c>
      <c r="AG402" s="12">
        <v>0.59</v>
      </c>
      <c r="AH402" s="12">
        <v>0</v>
      </c>
      <c r="AI402" s="12">
        <v>0</v>
      </c>
      <c r="AJ402" s="13">
        <f t="shared" si="26"/>
        <v>0</v>
      </c>
      <c r="AN402" s="12">
        <f t="shared" si="27"/>
        <v>1815</v>
      </c>
      <c r="AQ402" s="8" t="s">
        <v>419</v>
      </c>
      <c r="AR402" t="str">
        <f t="shared" si="28"/>
        <v>Norte - A08</v>
      </c>
    </row>
    <row r="403" spans="1:44" x14ac:dyDescent="0.2">
      <c r="A403" s="107" t="s">
        <v>5302</v>
      </c>
      <c r="B403" s="106" t="s">
        <v>5301</v>
      </c>
      <c r="C403" s="106" t="s">
        <v>5254</v>
      </c>
      <c r="D403" s="106" t="s">
        <v>3016</v>
      </c>
      <c r="E403" s="106" t="s">
        <v>5300</v>
      </c>
      <c r="F403" s="106" t="s">
        <v>600</v>
      </c>
      <c r="G403" s="106" t="s">
        <v>5299</v>
      </c>
      <c r="H403" s="105" t="s">
        <v>5298</v>
      </c>
      <c r="I403" s="105" t="s">
        <v>1483</v>
      </c>
      <c r="J403" s="104">
        <v>0.59</v>
      </c>
      <c r="K403" s="103" t="s">
        <v>428</v>
      </c>
      <c r="L403" s="102" t="s">
        <v>486</v>
      </c>
      <c r="M403" s="95"/>
      <c r="N403" s="14"/>
      <c r="O403" s="94">
        <v>20</v>
      </c>
      <c r="P403" s="14" t="s">
        <v>596</v>
      </c>
      <c r="Q403" s="14" t="s">
        <v>497</v>
      </c>
      <c r="R403" s="14" t="s">
        <v>496</v>
      </c>
      <c r="S403" s="15">
        <v>4.5</v>
      </c>
      <c r="T403" s="15">
        <v>2.5</v>
      </c>
      <c r="U403" s="15">
        <v>0</v>
      </c>
      <c r="V403" s="14">
        <v>3075</v>
      </c>
      <c r="W403" s="12">
        <v>0</v>
      </c>
      <c r="X403" s="12">
        <v>0</v>
      </c>
      <c r="Y403" s="12">
        <v>0.59</v>
      </c>
      <c r="Z403" s="12">
        <v>0</v>
      </c>
      <c r="AA403" s="12">
        <v>0</v>
      </c>
      <c r="AB403" s="13">
        <f t="shared" si="25"/>
        <v>0</v>
      </c>
      <c r="AE403" s="12">
        <v>0</v>
      </c>
      <c r="AF403" s="12">
        <v>0</v>
      </c>
      <c r="AG403" s="12">
        <v>0.59</v>
      </c>
      <c r="AH403" s="12">
        <v>0</v>
      </c>
      <c r="AI403" s="12">
        <v>0</v>
      </c>
      <c r="AJ403" s="13">
        <f t="shared" si="26"/>
        <v>0</v>
      </c>
      <c r="AN403" s="12">
        <f t="shared" si="27"/>
        <v>1815</v>
      </c>
      <c r="AQ403" s="8" t="s">
        <v>419</v>
      </c>
      <c r="AR403" t="str">
        <f t="shared" si="28"/>
        <v>Norte - A08</v>
      </c>
    </row>
    <row r="404" spans="1:44" x14ac:dyDescent="0.2">
      <c r="A404" s="107" t="s">
        <v>5297</v>
      </c>
      <c r="B404" s="106" t="s">
        <v>5296</v>
      </c>
      <c r="C404" s="106" t="s">
        <v>5254</v>
      </c>
      <c r="D404" s="106" t="s">
        <v>2837</v>
      </c>
      <c r="E404" s="106" t="s">
        <v>5253</v>
      </c>
      <c r="F404" s="106" t="s">
        <v>490</v>
      </c>
      <c r="G404" s="106" t="s">
        <v>5295</v>
      </c>
      <c r="H404" s="105" t="s">
        <v>1483</v>
      </c>
      <c r="I404" s="105" t="s">
        <v>5291</v>
      </c>
      <c r="J404" s="104">
        <v>0.38</v>
      </c>
      <c r="K404" s="103" t="s">
        <v>428</v>
      </c>
      <c r="L404" s="102" t="s">
        <v>486</v>
      </c>
      <c r="M404" s="95"/>
      <c r="N404" s="14"/>
      <c r="O404" s="94">
        <v>20</v>
      </c>
      <c r="P404" s="14" t="s">
        <v>485</v>
      </c>
      <c r="Q404" s="14" t="s">
        <v>497</v>
      </c>
      <c r="R404" s="14" t="s">
        <v>496</v>
      </c>
      <c r="S404" s="15">
        <v>7</v>
      </c>
      <c r="T404" s="15">
        <v>1.4</v>
      </c>
      <c r="U404" s="15">
        <v>0</v>
      </c>
      <c r="V404" s="14">
        <v>3971</v>
      </c>
      <c r="W404" s="12">
        <v>0</v>
      </c>
      <c r="X404" s="12">
        <v>0</v>
      </c>
      <c r="Y404" s="12">
        <v>0.38</v>
      </c>
      <c r="Z404" s="12">
        <v>0</v>
      </c>
      <c r="AA404" s="12">
        <v>0</v>
      </c>
      <c r="AB404" s="13">
        <f t="shared" si="25"/>
        <v>0</v>
      </c>
      <c r="AE404" s="12">
        <v>0</v>
      </c>
      <c r="AF404" s="12">
        <v>0</v>
      </c>
      <c r="AG404" s="12">
        <v>0.38</v>
      </c>
      <c r="AH404" s="12">
        <v>0</v>
      </c>
      <c r="AI404" s="12">
        <v>0</v>
      </c>
      <c r="AJ404" s="13">
        <f t="shared" si="26"/>
        <v>0</v>
      </c>
      <c r="AN404" s="12">
        <f t="shared" si="27"/>
        <v>1509</v>
      </c>
      <c r="AQ404" s="8" t="s">
        <v>419</v>
      </c>
      <c r="AR404" t="str">
        <f t="shared" si="28"/>
        <v>Norte - A08</v>
      </c>
    </row>
    <row r="405" spans="1:44" x14ac:dyDescent="0.2">
      <c r="A405" s="107" t="s">
        <v>5294</v>
      </c>
      <c r="B405" s="106" t="s">
        <v>5293</v>
      </c>
      <c r="C405" s="106" t="s">
        <v>5254</v>
      </c>
      <c r="D405" s="106" t="s">
        <v>3010</v>
      </c>
      <c r="E405" s="106" t="s">
        <v>5253</v>
      </c>
      <c r="F405" s="106" t="s">
        <v>490</v>
      </c>
      <c r="G405" s="106" t="s">
        <v>5292</v>
      </c>
      <c r="H405" s="105" t="s">
        <v>5291</v>
      </c>
      <c r="I405" s="105" t="s">
        <v>4112</v>
      </c>
      <c r="J405" s="104">
        <v>4.26</v>
      </c>
      <c r="K405" s="103" t="s">
        <v>428</v>
      </c>
      <c r="L405" s="102" t="s">
        <v>486</v>
      </c>
      <c r="M405" s="95"/>
      <c r="N405" s="14"/>
      <c r="O405" s="94">
        <v>20</v>
      </c>
      <c r="P405" s="14" t="s">
        <v>485</v>
      </c>
      <c r="Q405" s="14" t="s">
        <v>497</v>
      </c>
      <c r="R405" s="14" t="s">
        <v>496</v>
      </c>
      <c r="S405" s="15">
        <v>7</v>
      </c>
      <c r="T405" s="15">
        <v>1.4</v>
      </c>
      <c r="U405" s="15">
        <v>0</v>
      </c>
      <c r="V405" s="14">
        <v>3971</v>
      </c>
      <c r="W405" s="12">
        <v>0</v>
      </c>
      <c r="X405" s="12">
        <v>0</v>
      </c>
      <c r="Y405" s="12">
        <v>2.2599999999999998</v>
      </c>
      <c r="Z405" s="12">
        <v>2</v>
      </c>
      <c r="AA405" s="12">
        <v>0</v>
      </c>
      <c r="AB405" s="13">
        <f t="shared" si="25"/>
        <v>0</v>
      </c>
      <c r="AE405" s="12">
        <v>0</v>
      </c>
      <c r="AF405" s="12">
        <v>0</v>
      </c>
      <c r="AG405" s="12">
        <v>2.2599999999999998</v>
      </c>
      <c r="AH405" s="12">
        <v>2</v>
      </c>
      <c r="AI405" s="12">
        <v>0</v>
      </c>
      <c r="AJ405" s="13">
        <f t="shared" si="26"/>
        <v>0</v>
      </c>
      <c r="AN405" s="12">
        <f t="shared" si="27"/>
        <v>16917</v>
      </c>
      <c r="AQ405" s="8" t="s">
        <v>419</v>
      </c>
      <c r="AR405" t="str">
        <f t="shared" si="28"/>
        <v>Norte - A08</v>
      </c>
    </row>
    <row r="406" spans="1:44" x14ac:dyDescent="0.2">
      <c r="A406" s="107" t="s">
        <v>5290</v>
      </c>
      <c r="B406" s="106" t="s">
        <v>5289</v>
      </c>
      <c r="C406" s="106" t="s">
        <v>5254</v>
      </c>
      <c r="D406" s="106" t="s">
        <v>2671</v>
      </c>
      <c r="E406" s="106" t="s">
        <v>5253</v>
      </c>
      <c r="F406" s="106" t="s">
        <v>490</v>
      </c>
      <c r="G406" s="106" t="s">
        <v>5288</v>
      </c>
      <c r="H406" s="105" t="s">
        <v>5287</v>
      </c>
      <c r="I406" s="105" t="s">
        <v>5283</v>
      </c>
      <c r="J406" s="104">
        <v>1.52</v>
      </c>
      <c r="K406" s="103" t="s">
        <v>428</v>
      </c>
      <c r="L406" s="102" t="s">
        <v>486</v>
      </c>
      <c r="M406" s="95"/>
      <c r="N406" s="14"/>
      <c r="O406" s="94">
        <v>20</v>
      </c>
      <c r="P406" s="14" t="s">
        <v>485</v>
      </c>
      <c r="Q406" s="14" t="s">
        <v>561</v>
      </c>
      <c r="R406" s="14" t="s">
        <v>496</v>
      </c>
      <c r="S406" s="15">
        <v>6.8</v>
      </c>
      <c r="T406" s="15">
        <v>0.8</v>
      </c>
      <c r="U406" s="15">
        <v>0</v>
      </c>
      <c r="V406" s="14">
        <v>3946</v>
      </c>
      <c r="W406" s="12">
        <v>0</v>
      </c>
      <c r="X406" s="12">
        <v>0</v>
      </c>
      <c r="Y406" s="12">
        <v>1.52</v>
      </c>
      <c r="Z406" s="12">
        <v>0</v>
      </c>
      <c r="AA406" s="12">
        <v>0</v>
      </c>
      <c r="AB406" s="13">
        <f t="shared" si="25"/>
        <v>0</v>
      </c>
      <c r="AE406" s="12">
        <v>0</v>
      </c>
      <c r="AF406" s="12">
        <v>0</v>
      </c>
      <c r="AG406" s="12">
        <v>1.52</v>
      </c>
      <c r="AH406" s="12">
        <v>0</v>
      </c>
      <c r="AI406" s="12">
        <v>0</v>
      </c>
      <c r="AJ406" s="13">
        <f t="shared" si="26"/>
        <v>0</v>
      </c>
      <c r="AN406" s="12">
        <f t="shared" si="27"/>
        <v>5998</v>
      </c>
      <c r="AQ406" s="8" t="s">
        <v>419</v>
      </c>
      <c r="AR406" t="str">
        <f t="shared" si="28"/>
        <v>Norte - A08</v>
      </c>
    </row>
    <row r="407" spans="1:44" x14ac:dyDescent="0.2">
      <c r="A407" s="107" t="s">
        <v>5286</v>
      </c>
      <c r="B407" s="106" t="s">
        <v>5285</v>
      </c>
      <c r="C407" s="106" t="s">
        <v>5254</v>
      </c>
      <c r="D407" s="106" t="s">
        <v>2651</v>
      </c>
      <c r="E407" s="106" t="s">
        <v>5253</v>
      </c>
      <c r="F407" s="106" t="s">
        <v>490</v>
      </c>
      <c r="G407" s="106" t="s">
        <v>5284</v>
      </c>
      <c r="H407" s="105" t="s">
        <v>5283</v>
      </c>
      <c r="I407" s="105" t="s">
        <v>5282</v>
      </c>
      <c r="J407" s="104">
        <v>24.59</v>
      </c>
      <c r="K407" s="103" t="s">
        <v>428</v>
      </c>
      <c r="L407" s="102" t="s">
        <v>486</v>
      </c>
      <c r="M407" s="95"/>
      <c r="N407" s="14"/>
      <c r="O407" s="94">
        <v>20</v>
      </c>
      <c r="P407" s="14" t="s">
        <v>485</v>
      </c>
      <c r="Q407" s="14" t="s">
        <v>561</v>
      </c>
      <c r="R407" s="14" t="s">
        <v>496</v>
      </c>
      <c r="S407" s="15">
        <v>6.8</v>
      </c>
      <c r="T407" s="15">
        <v>0.8</v>
      </c>
      <c r="U407" s="15">
        <v>0</v>
      </c>
      <c r="V407" s="14">
        <v>1007</v>
      </c>
      <c r="W407" s="12">
        <v>0</v>
      </c>
      <c r="X407" s="12">
        <v>1</v>
      </c>
      <c r="Y407" s="12">
        <v>6</v>
      </c>
      <c r="Z407" s="12">
        <v>17.59</v>
      </c>
      <c r="AA407" s="12">
        <v>0</v>
      </c>
      <c r="AB407" s="13">
        <f t="shared" si="25"/>
        <v>0</v>
      </c>
      <c r="AE407" s="12">
        <v>0</v>
      </c>
      <c r="AF407" s="12">
        <v>1</v>
      </c>
      <c r="AG407" s="12">
        <v>6</v>
      </c>
      <c r="AH407" s="12">
        <v>17.59</v>
      </c>
      <c r="AI407" s="12">
        <v>0</v>
      </c>
      <c r="AJ407" s="13">
        <f t="shared" si="26"/>
        <v>0</v>
      </c>
      <c r="AN407" s="12">
        <f t="shared" si="27"/>
        <v>24763</v>
      </c>
      <c r="AQ407" s="8" t="s">
        <v>419</v>
      </c>
      <c r="AR407" t="str">
        <f t="shared" si="28"/>
        <v>Norte - A08</v>
      </c>
    </row>
    <row r="408" spans="1:44" x14ac:dyDescent="0.2">
      <c r="A408" s="107" t="s">
        <v>5281</v>
      </c>
      <c r="B408" s="106" t="s">
        <v>5280</v>
      </c>
      <c r="C408" s="106" t="s">
        <v>5254</v>
      </c>
      <c r="D408" s="106" t="s">
        <v>2602</v>
      </c>
      <c r="E408" s="106" t="s">
        <v>5253</v>
      </c>
      <c r="F408" s="106" t="s">
        <v>490</v>
      </c>
      <c r="G408" s="106" t="s">
        <v>5279</v>
      </c>
      <c r="H408" s="105" t="s">
        <v>5278</v>
      </c>
      <c r="I408" s="105" t="s">
        <v>5274</v>
      </c>
      <c r="J408" s="104">
        <v>17.07</v>
      </c>
      <c r="K408" s="103" t="s">
        <v>430</v>
      </c>
      <c r="L408" s="102" t="s">
        <v>486</v>
      </c>
      <c r="M408" s="95"/>
      <c r="N408" s="14"/>
      <c r="O408" s="94">
        <v>22</v>
      </c>
      <c r="P408" s="14" t="s">
        <v>485</v>
      </c>
      <c r="Q408" s="14" t="s">
        <v>561</v>
      </c>
      <c r="R408" s="14" t="s">
        <v>496</v>
      </c>
      <c r="S408" s="15">
        <v>7.2</v>
      </c>
      <c r="T408" s="15">
        <v>2.5</v>
      </c>
      <c r="U408" s="15">
        <v>0</v>
      </c>
      <c r="V408" s="14">
        <v>4791</v>
      </c>
      <c r="W408" s="12">
        <v>0</v>
      </c>
      <c r="X408" s="12">
        <v>1</v>
      </c>
      <c r="Y408" s="12">
        <v>14.07</v>
      </c>
      <c r="Z408" s="12">
        <v>2</v>
      </c>
      <c r="AA408" s="12">
        <v>0</v>
      </c>
      <c r="AB408" s="13">
        <f t="shared" si="25"/>
        <v>0</v>
      </c>
      <c r="AE408" s="12">
        <v>0</v>
      </c>
      <c r="AF408" s="12">
        <v>1</v>
      </c>
      <c r="AG408" s="12">
        <v>14.07</v>
      </c>
      <c r="AH408" s="12">
        <v>2</v>
      </c>
      <c r="AI408" s="12">
        <v>0</v>
      </c>
      <c r="AJ408" s="13">
        <f t="shared" si="26"/>
        <v>0</v>
      </c>
      <c r="AN408" s="12">
        <f t="shared" si="27"/>
        <v>81783</v>
      </c>
      <c r="AQ408" s="8" t="s">
        <v>419</v>
      </c>
      <c r="AR408" t="str">
        <f t="shared" si="28"/>
        <v>Norte - A10</v>
      </c>
    </row>
    <row r="409" spans="1:44" x14ac:dyDescent="0.2">
      <c r="A409" s="107" t="s">
        <v>5277</v>
      </c>
      <c r="B409" s="106" t="s">
        <v>5276</v>
      </c>
      <c r="C409" s="106" t="s">
        <v>5254</v>
      </c>
      <c r="D409" s="106" t="s">
        <v>5154</v>
      </c>
      <c r="E409" s="106" t="s">
        <v>5253</v>
      </c>
      <c r="F409" s="106" t="s">
        <v>490</v>
      </c>
      <c r="G409" s="106" t="s">
        <v>5275</v>
      </c>
      <c r="H409" s="105" t="s">
        <v>5274</v>
      </c>
      <c r="I409" s="105" t="s">
        <v>5269</v>
      </c>
      <c r="J409" s="104">
        <v>1.25</v>
      </c>
      <c r="K409" s="103" t="s">
        <v>430</v>
      </c>
      <c r="L409" s="102" t="s">
        <v>486</v>
      </c>
      <c r="M409" s="95"/>
      <c r="N409" s="14"/>
      <c r="O409" s="94">
        <v>22</v>
      </c>
      <c r="P409" s="14" t="s">
        <v>485</v>
      </c>
      <c r="Q409" s="14" t="s">
        <v>497</v>
      </c>
      <c r="R409" s="14" t="s">
        <v>496</v>
      </c>
      <c r="S409" s="15">
        <v>7.2</v>
      </c>
      <c r="T409" s="15">
        <v>2.5</v>
      </c>
      <c r="U409" s="15">
        <v>0</v>
      </c>
      <c r="V409" s="14">
        <v>4791</v>
      </c>
      <c r="W409" s="12">
        <v>0</v>
      </c>
      <c r="X409" s="12">
        <v>0</v>
      </c>
      <c r="Y409" s="12">
        <v>1.25</v>
      </c>
      <c r="Z409" s="12">
        <v>0</v>
      </c>
      <c r="AA409" s="12">
        <v>0</v>
      </c>
      <c r="AB409" s="13">
        <f t="shared" si="25"/>
        <v>0</v>
      </c>
      <c r="AE409" s="12">
        <v>0</v>
      </c>
      <c r="AF409" s="12">
        <v>0</v>
      </c>
      <c r="AG409" s="12">
        <v>1.25</v>
      </c>
      <c r="AH409" s="12">
        <v>0</v>
      </c>
      <c r="AI409" s="12">
        <v>0</v>
      </c>
      <c r="AJ409" s="13">
        <f t="shared" si="26"/>
        <v>0</v>
      </c>
      <c r="AN409" s="12">
        <f t="shared" si="27"/>
        <v>5989</v>
      </c>
      <c r="AQ409" s="8" t="s">
        <v>419</v>
      </c>
      <c r="AR409" t="str">
        <f t="shared" si="28"/>
        <v>Norte - A10</v>
      </c>
    </row>
    <row r="410" spans="1:44" x14ac:dyDescent="0.2">
      <c r="A410" s="107" t="s">
        <v>5273</v>
      </c>
      <c r="B410" s="106" t="s">
        <v>5272</v>
      </c>
      <c r="C410" s="106" t="s">
        <v>5254</v>
      </c>
      <c r="D410" s="106" t="s">
        <v>5271</v>
      </c>
      <c r="E410" s="106" t="s">
        <v>5253</v>
      </c>
      <c r="F410" s="106" t="s">
        <v>490</v>
      </c>
      <c r="G410" s="106" t="s">
        <v>5270</v>
      </c>
      <c r="H410" s="105" t="s">
        <v>5269</v>
      </c>
      <c r="I410" s="105" t="s">
        <v>5265</v>
      </c>
      <c r="J410" s="104">
        <v>9.77</v>
      </c>
      <c r="K410" s="103" t="s">
        <v>430</v>
      </c>
      <c r="L410" s="102" t="s">
        <v>486</v>
      </c>
      <c r="M410" s="95"/>
      <c r="N410" s="14"/>
      <c r="O410" s="94">
        <v>22</v>
      </c>
      <c r="P410" s="14" t="s">
        <v>485</v>
      </c>
      <c r="Q410" s="14" t="s">
        <v>497</v>
      </c>
      <c r="R410" s="14" t="s">
        <v>496</v>
      </c>
      <c r="S410" s="15">
        <v>7.2</v>
      </c>
      <c r="T410" s="15">
        <v>2.5</v>
      </c>
      <c r="U410" s="15">
        <v>0</v>
      </c>
      <c r="V410" s="14">
        <v>4791</v>
      </c>
      <c r="W410" s="12">
        <v>0</v>
      </c>
      <c r="X410" s="12">
        <v>1</v>
      </c>
      <c r="Y410" s="12">
        <v>6.77</v>
      </c>
      <c r="Z410" s="12">
        <v>2</v>
      </c>
      <c r="AA410" s="12">
        <v>0</v>
      </c>
      <c r="AB410" s="13">
        <f t="shared" si="25"/>
        <v>0</v>
      </c>
      <c r="AE410" s="12">
        <v>0</v>
      </c>
      <c r="AF410" s="12">
        <v>1</v>
      </c>
      <c r="AG410" s="12">
        <v>6.77</v>
      </c>
      <c r="AH410" s="12">
        <v>2</v>
      </c>
      <c r="AI410" s="12">
        <v>0</v>
      </c>
      <c r="AJ410" s="13">
        <f t="shared" si="26"/>
        <v>0</v>
      </c>
      <c r="AN410" s="12">
        <f t="shared" si="27"/>
        <v>46809</v>
      </c>
      <c r="AQ410" s="8" t="s">
        <v>419</v>
      </c>
      <c r="AR410" t="str">
        <f t="shared" si="28"/>
        <v>Norte - A10</v>
      </c>
    </row>
    <row r="411" spans="1:44" x14ac:dyDescent="0.2">
      <c r="A411" s="107" t="s">
        <v>5268</v>
      </c>
      <c r="B411" s="106" t="s">
        <v>5267</v>
      </c>
      <c r="C411" s="106" t="s">
        <v>5254</v>
      </c>
      <c r="D411" s="106" t="s">
        <v>2586</v>
      </c>
      <c r="E411" s="106" t="s">
        <v>5253</v>
      </c>
      <c r="F411" s="106" t="s">
        <v>490</v>
      </c>
      <c r="G411" s="106" t="s">
        <v>5266</v>
      </c>
      <c r="H411" s="105" t="s">
        <v>5265</v>
      </c>
      <c r="I411" s="105" t="s">
        <v>5261</v>
      </c>
      <c r="J411" s="104">
        <v>4.2699999999999996</v>
      </c>
      <c r="K411" s="103" t="s">
        <v>430</v>
      </c>
      <c r="L411" s="102" t="s">
        <v>486</v>
      </c>
      <c r="M411" s="95"/>
      <c r="N411" s="14"/>
      <c r="O411" s="94">
        <v>22</v>
      </c>
      <c r="P411" s="14" t="s">
        <v>485</v>
      </c>
      <c r="Q411" s="14" t="s">
        <v>497</v>
      </c>
      <c r="R411" s="14" t="s">
        <v>496</v>
      </c>
      <c r="S411" s="15">
        <v>7.2</v>
      </c>
      <c r="T411" s="15">
        <v>2.5</v>
      </c>
      <c r="U411" s="15">
        <v>0</v>
      </c>
      <c r="V411" s="14">
        <v>4791</v>
      </c>
      <c r="W411" s="12">
        <v>0</v>
      </c>
      <c r="X411" s="12">
        <v>1</v>
      </c>
      <c r="Y411" s="12">
        <v>3.2699999999999996</v>
      </c>
      <c r="Z411" s="12">
        <v>0</v>
      </c>
      <c r="AA411" s="12">
        <v>0</v>
      </c>
      <c r="AB411" s="13">
        <f t="shared" si="25"/>
        <v>0</v>
      </c>
      <c r="AE411" s="12">
        <v>0</v>
      </c>
      <c r="AF411" s="12">
        <v>1</v>
      </c>
      <c r="AG411" s="12">
        <v>3.2699999999999996</v>
      </c>
      <c r="AH411" s="12">
        <v>0</v>
      </c>
      <c r="AI411" s="12">
        <v>0</v>
      </c>
      <c r="AJ411" s="13">
        <f t="shared" si="26"/>
        <v>0</v>
      </c>
      <c r="AN411" s="12">
        <f t="shared" si="27"/>
        <v>20458</v>
      </c>
      <c r="AQ411" s="8" t="s">
        <v>419</v>
      </c>
      <c r="AR411" t="str">
        <f t="shared" si="28"/>
        <v>Norte - A10</v>
      </c>
    </row>
    <row r="412" spans="1:44" x14ac:dyDescent="0.2">
      <c r="A412" s="107" t="s">
        <v>5264</v>
      </c>
      <c r="B412" s="106" t="s">
        <v>5263</v>
      </c>
      <c r="C412" s="106" t="s">
        <v>5254</v>
      </c>
      <c r="D412" s="106" t="s">
        <v>2567</v>
      </c>
      <c r="E412" s="106" t="s">
        <v>5253</v>
      </c>
      <c r="F412" s="106" t="s">
        <v>490</v>
      </c>
      <c r="G412" s="106" t="s">
        <v>5262</v>
      </c>
      <c r="H412" s="105" t="s">
        <v>5261</v>
      </c>
      <c r="I412" s="105" t="s">
        <v>5257</v>
      </c>
      <c r="J412" s="104">
        <v>7.43</v>
      </c>
      <c r="K412" s="103" t="s">
        <v>430</v>
      </c>
      <c r="L412" s="102" t="s">
        <v>486</v>
      </c>
      <c r="M412" s="95"/>
      <c r="N412" s="14"/>
      <c r="O412" s="94">
        <v>22</v>
      </c>
      <c r="P412" s="14" t="s">
        <v>485</v>
      </c>
      <c r="Q412" s="14" t="s">
        <v>497</v>
      </c>
      <c r="R412" s="14" t="s">
        <v>496</v>
      </c>
      <c r="S412" s="15">
        <v>7.2</v>
      </c>
      <c r="T412" s="15">
        <v>2.5</v>
      </c>
      <c r="U412" s="15">
        <v>0</v>
      </c>
      <c r="V412" s="14">
        <v>3589</v>
      </c>
      <c r="W412" s="12">
        <v>0</v>
      </c>
      <c r="X412" s="12">
        <v>0</v>
      </c>
      <c r="Y412" s="12">
        <v>2</v>
      </c>
      <c r="Z412" s="12">
        <v>5.43</v>
      </c>
      <c r="AA412" s="12">
        <v>0</v>
      </c>
      <c r="AB412" s="13">
        <f t="shared" si="25"/>
        <v>0</v>
      </c>
      <c r="AE412" s="12">
        <v>0</v>
      </c>
      <c r="AF412" s="12">
        <v>0</v>
      </c>
      <c r="AG412" s="12">
        <v>2</v>
      </c>
      <c r="AH412" s="12">
        <v>5.43</v>
      </c>
      <c r="AI412" s="12">
        <v>0</v>
      </c>
      <c r="AJ412" s="13">
        <f t="shared" si="26"/>
        <v>0</v>
      </c>
      <c r="AN412" s="12">
        <f t="shared" si="27"/>
        <v>26667</v>
      </c>
      <c r="AQ412" s="8" t="s">
        <v>419</v>
      </c>
      <c r="AR412" t="str">
        <f t="shared" si="28"/>
        <v>Norte - A10</v>
      </c>
    </row>
    <row r="413" spans="1:44" x14ac:dyDescent="0.2">
      <c r="A413" s="107" t="s">
        <v>5260</v>
      </c>
      <c r="B413" s="106" t="s">
        <v>5259</v>
      </c>
      <c r="C413" s="106" t="s">
        <v>5254</v>
      </c>
      <c r="D413" s="106" t="s">
        <v>2560</v>
      </c>
      <c r="E413" s="106" t="s">
        <v>5253</v>
      </c>
      <c r="F413" s="106" t="s">
        <v>490</v>
      </c>
      <c r="G413" s="106" t="s">
        <v>5258</v>
      </c>
      <c r="H413" s="105" t="s">
        <v>5257</v>
      </c>
      <c r="I413" s="105" t="s">
        <v>5251</v>
      </c>
      <c r="J413" s="104">
        <v>0.36</v>
      </c>
      <c r="K413" s="103" t="s">
        <v>427</v>
      </c>
      <c r="L413" s="102" t="s">
        <v>486</v>
      </c>
      <c r="M413" s="95"/>
      <c r="N413" s="14"/>
      <c r="O413" s="94">
        <v>19</v>
      </c>
      <c r="P413" s="14" t="s">
        <v>485</v>
      </c>
      <c r="Q413" s="14" t="s">
        <v>497</v>
      </c>
      <c r="R413" s="14" t="s">
        <v>496</v>
      </c>
      <c r="S413" s="15">
        <v>7.2</v>
      </c>
      <c r="T413" s="15">
        <v>2.5</v>
      </c>
      <c r="U413" s="15">
        <v>0</v>
      </c>
      <c r="V413" s="14">
        <v>2793</v>
      </c>
      <c r="W413" s="12">
        <v>0</v>
      </c>
      <c r="X413" s="12">
        <v>0</v>
      </c>
      <c r="Y413" s="12">
        <v>0.36</v>
      </c>
      <c r="Z413" s="12">
        <v>0</v>
      </c>
      <c r="AA413" s="12">
        <v>0</v>
      </c>
      <c r="AB413" s="13">
        <f t="shared" si="25"/>
        <v>0</v>
      </c>
      <c r="AE413" s="12">
        <v>0</v>
      </c>
      <c r="AF413" s="12">
        <v>0</v>
      </c>
      <c r="AG413" s="12">
        <v>0.36</v>
      </c>
      <c r="AH413" s="12">
        <v>0</v>
      </c>
      <c r="AI413" s="12">
        <v>0</v>
      </c>
      <c r="AJ413" s="13">
        <f t="shared" si="26"/>
        <v>0</v>
      </c>
      <c r="AN413" s="12">
        <f t="shared" si="27"/>
        <v>1006</v>
      </c>
      <c r="AQ413" s="8" t="s">
        <v>419</v>
      </c>
      <c r="AR413" t="str">
        <f t="shared" si="28"/>
        <v>Norte - A07</v>
      </c>
    </row>
    <row r="414" spans="1:44" x14ac:dyDescent="0.2">
      <c r="A414" s="107" t="s">
        <v>5256</v>
      </c>
      <c r="B414" s="106" t="s">
        <v>5255</v>
      </c>
      <c r="C414" s="106" t="s">
        <v>5254</v>
      </c>
      <c r="D414" s="106" t="s">
        <v>4967</v>
      </c>
      <c r="E414" s="106" t="s">
        <v>5253</v>
      </c>
      <c r="F414" s="106" t="s">
        <v>490</v>
      </c>
      <c r="G414" s="106" t="s">
        <v>5252</v>
      </c>
      <c r="H414" s="105" t="s">
        <v>5251</v>
      </c>
      <c r="I414" s="105" t="s">
        <v>5250</v>
      </c>
      <c r="J414" s="104">
        <v>14.66</v>
      </c>
      <c r="K414" s="103" t="s">
        <v>427</v>
      </c>
      <c r="L414" s="102" t="s">
        <v>486</v>
      </c>
      <c r="M414" s="95"/>
      <c r="N414" s="14"/>
      <c r="O414" s="94">
        <v>19</v>
      </c>
      <c r="P414" s="14" t="s">
        <v>485</v>
      </c>
      <c r="Q414" s="14" t="s">
        <v>497</v>
      </c>
      <c r="R414" s="14" t="s">
        <v>496</v>
      </c>
      <c r="S414" s="15">
        <v>7.2</v>
      </c>
      <c r="T414" s="15">
        <v>2.5</v>
      </c>
      <c r="U414" s="15">
        <v>0</v>
      </c>
      <c r="V414" s="14">
        <v>2793</v>
      </c>
      <c r="W414" s="12">
        <v>0</v>
      </c>
      <c r="X414" s="12">
        <v>1.6600000000000001</v>
      </c>
      <c r="Y414" s="12">
        <v>6</v>
      </c>
      <c r="Z414" s="12">
        <v>7</v>
      </c>
      <c r="AA414" s="12">
        <v>0</v>
      </c>
      <c r="AB414" s="13">
        <f t="shared" si="25"/>
        <v>0</v>
      </c>
      <c r="AE414" s="12">
        <v>0</v>
      </c>
      <c r="AF414" s="12">
        <v>1.6600000000000001</v>
      </c>
      <c r="AG414" s="12">
        <v>6</v>
      </c>
      <c r="AH414" s="12">
        <v>7</v>
      </c>
      <c r="AI414" s="12">
        <v>0</v>
      </c>
      <c r="AJ414" s="13">
        <f t="shared" si="26"/>
        <v>0</v>
      </c>
      <c r="AN414" s="12">
        <f t="shared" si="27"/>
        <v>40946</v>
      </c>
      <c r="AQ414" s="8" t="s">
        <v>419</v>
      </c>
      <c r="AR414" t="str">
        <f t="shared" si="28"/>
        <v>Norte - A07</v>
      </c>
    </row>
    <row r="415" spans="1:44" x14ac:dyDescent="0.2">
      <c r="A415" s="107" t="s">
        <v>5249</v>
      </c>
      <c r="B415" s="106" t="s">
        <v>5248</v>
      </c>
      <c r="C415" s="106" t="s">
        <v>5216</v>
      </c>
      <c r="D415" s="106" t="s">
        <v>492</v>
      </c>
      <c r="E415" s="106" t="s">
        <v>5215</v>
      </c>
      <c r="F415" s="106" t="s">
        <v>490</v>
      </c>
      <c r="G415" s="106" t="s">
        <v>5247</v>
      </c>
      <c r="H415" s="105" t="s">
        <v>5246</v>
      </c>
      <c r="I415" s="105" t="s">
        <v>5245</v>
      </c>
      <c r="J415" s="104">
        <v>6.6</v>
      </c>
      <c r="K415" s="103" t="s">
        <v>425</v>
      </c>
      <c r="L415" s="102" t="s">
        <v>801</v>
      </c>
      <c r="M415" s="95"/>
      <c r="N415" s="14"/>
      <c r="O415" s="94">
        <v>5</v>
      </c>
      <c r="P415" s="14" t="s">
        <v>485</v>
      </c>
      <c r="Q415" s="14" t="s">
        <v>497</v>
      </c>
      <c r="R415" s="14" t="s">
        <v>496</v>
      </c>
      <c r="S415" s="15">
        <v>7.53</v>
      </c>
      <c r="T415" s="15">
        <v>0.73499999999999965</v>
      </c>
      <c r="U415" s="15">
        <v>0</v>
      </c>
      <c r="V415" s="14">
        <v>2379</v>
      </c>
      <c r="W415" s="12">
        <v>0</v>
      </c>
      <c r="X415" s="12">
        <v>0</v>
      </c>
      <c r="Y415" s="12">
        <v>1</v>
      </c>
      <c r="Z415" s="12">
        <v>5.6</v>
      </c>
      <c r="AA415" s="12">
        <v>0</v>
      </c>
      <c r="AB415" s="13">
        <f t="shared" si="25"/>
        <v>0</v>
      </c>
      <c r="AE415" s="12">
        <v>0</v>
      </c>
      <c r="AF415" s="12">
        <v>0</v>
      </c>
      <c r="AG415" s="12">
        <v>1</v>
      </c>
      <c r="AH415" s="12">
        <v>5.6</v>
      </c>
      <c r="AI415" s="12">
        <v>0</v>
      </c>
      <c r="AJ415" s="13">
        <f t="shared" si="26"/>
        <v>0</v>
      </c>
      <c r="AN415" s="12">
        <f t="shared" si="27"/>
        <v>15702</v>
      </c>
      <c r="AQ415" s="8" t="s">
        <v>416</v>
      </c>
      <c r="AR415" t="str">
        <f t="shared" si="28"/>
        <v>Leste - A05</v>
      </c>
    </row>
    <row r="416" spans="1:44" x14ac:dyDescent="0.2">
      <c r="A416" s="107" t="s">
        <v>5244</v>
      </c>
      <c r="B416" s="106"/>
      <c r="C416" s="106">
        <v>280</v>
      </c>
      <c r="D416" s="106"/>
      <c r="E416" s="106"/>
      <c r="F416" s="106"/>
      <c r="G416" s="106" t="s">
        <v>5243</v>
      </c>
      <c r="H416" s="105" t="s">
        <v>2994</v>
      </c>
      <c r="I416" s="105" t="s">
        <v>5242</v>
      </c>
      <c r="J416" s="104">
        <v>0.49</v>
      </c>
      <c r="K416" s="103" t="s">
        <v>425</v>
      </c>
      <c r="L416" s="102" t="s">
        <v>801</v>
      </c>
      <c r="M416" s="95"/>
      <c r="N416" s="14"/>
      <c r="O416" s="94">
        <v>5</v>
      </c>
      <c r="P416" s="14" t="s">
        <v>485</v>
      </c>
      <c r="Q416" s="14" t="s">
        <v>497</v>
      </c>
      <c r="R416" s="14" t="s">
        <v>496</v>
      </c>
      <c r="S416" s="15">
        <v>7</v>
      </c>
      <c r="T416" s="15">
        <v>2.5</v>
      </c>
      <c r="U416" s="15">
        <v>0.49</v>
      </c>
      <c r="V416" s="14">
        <v>5312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3">
        <f t="shared" si="25"/>
        <v>-0.49</v>
      </c>
      <c r="AE416" s="12">
        <f>IF(W416=0,0,W416-$AB416)</f>
        <v>0</v>
      </c>
      <c r="AF416" s="12">
        <f>IF(X416=0,0,X416-$AB416)</f>
        <v>0</v>
      </c>
      <c r="AG416" s="12">
        <f>IF(Y416=0,0,Y416-$AB416)</f>
        <v>0</v>
      </c>
      <c r="AH416" s="12">
        <f>IF(Z416=0,0,Z416-$AB416)</f>
        <v>0</v>
      </c>
      <c r="AI416" s="12">
        <f>IF(AA416=0,0,AA416-$AB416)</f>
        <v>0</v>
      </c>
      <c r="AJ416" s="13">
        <f t="shared" si="26"/>
        <v>-0.49</v>
      </c>
      <c r="AN416" s="12">
        <f t="shared" si="27"/>
        <v>2603</v>
      </c>
      <c r="AQ416" s="8" t="s">
        <v>416</v>
      </c>
      <c r="AR416" t="str">
        <f t="shared" si="28"/>
        <v>Leste - A05</v>
      </c>
    </row>
    <row r="417" spans="1:44" x14ac:dyDescent="0.2">
      <c r="A417" s="107" t="s">
        <v>5241</v>
      </c>
      <c r="B417" s="106" t="s">
        <v>5240</v>
      </c>
      <c r="C417" s="106" t="s">
        <v>5216</v>
      </c>
      <c r="D417" s="106" t="s">
        <v>4636</v>
      </c>
      <c r="E417" s="106" t="s">
        <v>5215</v>
      </c>
      <c r="F417" s="106" t="s">
        <v>490</v>
      </c>
      <c r="G417" s="106" t="s">
        <v>5239</v>
      </c>
      <c r="H417" s="105" t="s">
        <v>5238</v>
      </c>
      <c r="I417" s="105" t="s">
        <v>5234</v>
      </c>
      <c r="J417" s="104">
        <v>3.08</v>
      </c>
      <c r="K417" s="103" t="s">
        <v>428</v>
      </c>
      <c r="L417" s="102" t="s">
        <v>507</v>
      </c>
      <c r="M417" s="95"/>
      <c r="N417" s="14"/>
      <c r="O417" s="94"/>
      <c r="P417" s="14" t="s">
        <v>485</v>
      </c>
      <c r="Q417" s="14" t="s">
        <v>497</v>
      </c>
      <c r="R417" s="14" t="s">
        <v>496</v>
      </c>
      <c r="S417" s="15">
        <v>7</v>
      </c>
      <c r="T417" s="15">
        <v>2.5</v>
      </c>
      <c r="U417" s="15">
        <v>1.9000000000000001</v>
      </c>
      <c r="V417" s="14">
        <v>3747</v>
      </c>
      <c r="W417" s="12">
        <v>0</v>
      </c>
      <c r="X417" s="12">
        <v>0</v>
      </c>
      <c r="Y417" s="12">
        <v>3.08</v>
      </c>
      <c r="Z417" s="12">
        <v>0</v>
      </c>
      <c r="AA417" s="12">
        <v>0</v>
      </c>
      <c r="AB417" s="13">
        <f t="shared" si="25"/>
        <v>0</v>
      </c>
      <c r="AE417" s="12">
        <v>0</v>
      </c>
      <c r="AF417" s="12">
        <v>0</v>
      </c>
      <c r="AG417" s="12">
        <v>3.08</v>
      </c>
      <c r="AH417" s="12">
        <v>0</v>
      </c>
      <c r="AI417" s="12">
        <v>0</v>
      </c>
      <c r="AJ417" s="13">
        <f t="shared" si="26"/>
        <v>0</v>
      </c>
      <c r="AN417" s="12">
        <f t="shared" si="27"/>
        <v>11541</v>
      </c>
      <c r="AQ417" s="8" t="s">
        <v>417</v>
      </c>
      <c r="AR417" t="str">
        <f t="shared" si="28"/>
        <v>Oeste - A08</v>
      </c>
    </row>
    <row r="418" spans="1:44" x14ac:dyDescent="0.2">
      <c r="A418" s="107" t="s">
        <v>5237</v>
      </c>
      <c r="B418" s="106" t="s">
        <v>5236</v>
      </c>
      <c r="C418" s="106" t="s">
        <v>5216</v>
      </c>
      <c r="D418" s="106" t="s">
        <v>2152</v>
      </c>
      <c r="E418" s="106" t="s">
        <v>5215</v>
      </c>
      <c r="F418" s="106" t="s">
        <v>490</v>
      </c>
      <c r="G418" s="106" t="s">
        <v>5235</v>
      </c>
      <c r="H418" s="105" t="s">
        <v>5234</v>
      </c>
      <c r="I418" s="105" t="s">
        <v>674</v>
      </c>
      <c r="J418" s="104">
        <v>1.43</v>
      </c>
      <c r="K418" s="103" t="s">
        <v>428</v>
      </c>
      <c r="L418" s="102" t="s">
        <v>507</v>
      </c>
      <c r="M418" s="95"/>
      <c r="N418" s="14"/>
      <c r="O418" s="94"/>
      <c r="P418" s="14" t="s">
        <v>485</v>
      </c>
      <c r="Q418" s="14" t="s">
        <v>497</v>
      </c>
      <c r="R418" s="14" t="s">
        <v>496</v>
      </c>
      <c r="S418" s="15">
        <v>7.2666666666666666</v>
      </c>
      <c r="T418" s="15">
        <v>2.3166666666666664</v>
      </c>
      <c r="U418" s="15">
        <v>0</v>
      </c>
      <c r="V418" s="14">
        <v>1907</v>
      </c>
      <c r="W418" s="12">
        <v>0</v>
      </c>
      <c r="X418" s="12">
        <v>0</v>
      </c>
      <c r="Y418" s="12">
        <v>1.43</v>
      </c>
      <c r="Z418" s="12">
        <v>0</v>
      </c>
      <c r="AA418" s="12">
        <v>0</v>
      </c>
      <c r="AB418" s="13">
        <f t="shared" si="25"/>
        <v>0</v>
      </c>
      <c r="AE418" s="12">
        <v>0</v>
      </c>
      <c r="AF418" s="12">
        <v>0</v>
      </c>
      <c r="AG418" s="12">
        <v>1.43</v>
      </c>
      <c r="AH418" s="12">
        <v>0</v>
      </c>
      <c r="AI418" s="12">
        <v>0</v>
      </c>
      <c r="AJ418" s="13">
        <f t="shared" si="26"/>
        <v>0</v>
      </c>
      <c r="AN418" s="12">
        <f t="shared" si="27"/>
        <v>2728</v>
      </c>
      <c r="AQ418" s="8" t="s">
        <v>417</v>
      </c>
      <c r="AR418" t="str">
        <f t="shared" si="28"/>
        <v>Oeste - A08</v>
      </c>
    </row>
    <row r="419" spans="1:44" x14ac:dyDescent="0.2">
      <c r="A419" s="107" t="s">
        <v>5233</v>
      </c>
      <c r="B419" s="106" t="s">
        <v>5232</v>
      </c>
      <c r="C419" s="106" t="s">
        <v>5216</v>
      </c>
      <c r="D419" s="106" t="s">
        <v>633</v>
      </c>
      <c r="E419" s="106" t="s">
        <v>5215</v>
      </c>
      <c r="F419" s="106" t="s">
        <v>490</v>
      </c>
      <c r="G419" s="106" t="s">
        <v>5231</v>
      </c>
      <c r="H419" s="105" t="s">
        <v>674</v>
      </c>
      <c r="I419" s="105" t="s">
        <v>5227</v>
      </c>
      <c r="J419" s="104">
        <v>21.13</v>
      </c>
      <c r="K419" s="103" t="s">
        <v>428</v>
      </c>
      <c r="L419" s="102" t="s">
        <v>507</v>
      </c>
      <c r="M419" s="95"/>
      <c r="N419" s="14"/>
      <c r="O419" s="94"/>
      <c r="P419" s="14" t="s">
        <v>485</v>
      </c>
      <c r="Q419" s="14" t="s">
        <v>497</v>
      </c>
      <c r="R419" s="14" t="s">
        <v>496</v>
      </c>
      <c r="S419" s="15">
        <v>7.2666666666666666</v>
      </c>
      <c r="T419" s="15">
        <v>2.2666666666666666</v>
      </c>
      <c r="U419" s="15">
        <v>6.6000000000000023</v>
      </c>
      <c r="V419" s="14">
        <v>4637</v>
      </c>
      <c r="W419" s="12">
        <v>0</v>
      </c>
      <c r="X419" s="12">
        <v>0.12999999999999901</v>
      </c>
      <c r="Y419" s="12">
        <v>19</v>
      </c>
      <c r="Z419" s="12">
        <v>2</v>
      </c>
      <c r="AA419" s="12">
        <v>0</v>
      </c>
      <c r="AB419" s="13">
        <f t="shared" si="25"/>
        <v>0</v>
      </c>
      <c r="AE419" s="12">
        <v>0</v>
      </c>
      <c r="AF419" s="12">
        <v>0.12999999999999901</v>
      </c>
      <c r="AG419" s="12">
        <v>19</v>
      </c>
      <c r="AH419" s="12">
        <v>2</v>
      </c>
      <c r="AI419" s="12">
        <v>0</v>
      </c>
      <c r="AJ419" s="13">
        <f t="shared" si="26"/>
        <v>0</v>
      </c>
      <c r="AN419" s="12">
        <f t="shared" si="27"/>
        <v>97980</v>
      </c>
      <c r="AQ419" s="8" t="s">
        <v>417</v>
      </c>
      <c r="AR419" t="str">
        <f t="shared" si="28"/>
        <v>Oeste - A08</v>
      </c>
    </row>
    <row r="420" spans="1:44" x14ac:dyDescent="0.2">
      <c r="A420" s="107" t="s">
        <v>5230</v>
      </c>
      <c r="B420" s="106" t="s">
        <v>5229</v>
      </c>
      <c r="C420" s="106" t="s">
        <v>5216</v>
      </c>
      <c r="D420" s="106" t="s">
        <v>2145</v>
      </c>
      <c r="E420" s="106" t="s">
        <v>5215</v>
      </c>
      <c r="F420" s="106" t="s">
        <v>490</v>
      </c>
      <c r="G420" s="106" t="s">
        <v>5228</v>
      </c>
      <c r="H420" s="105" t="s">
        <v>5227</v>
      </c>
      <c r="I420" s="105" t="s">
        <v>5223</v>
      </c>
      <c r="J420" s="104">
        <v>12.16</v>
      </c>
      <c r="K420" s="103" t="s">
        <v>428</v>
      </c>
      <c r="L420" s="102" t="s">
        <v>507</v>
      </c>
      <c r="M420" s="95"/>
      <c r="N420" s="14"/>
      <c r="O420" s="94"/>
      <c r="P420" s="14" t="s">
        <v>485</v>
      </c>
      <c r="Q420" s="14" t="s">
        <v>497</v>
      </c>
      <c r="R420" s="14" t="s">
        <v>496</v>
      </c>
      <c r="S420" s="15">
        <v>7.4666666666666659</v>
      </c>
      <c r="T420" s="15">
        <v>2.3333333333333335</v>
      </c>
      <c r="U420" s="15">
        <v>1.4000000000000004</v>
      </c>
      <c r="V420" s="14">
        <v>4850</v>
      </c>
      <c r="W420" s="12">
        <v>0</v>
      </c>
      <c r="X420" s="12">
        <v>1</v>
      </c>
      <c r="Y420" s="12">
        <v>9.16</v>
      </c>
      <c r="Z420" s="12">
        <v>2</v>
      </c>
      <c r="AA420" s="12">
        <v>0</v>
      </c>
      <c r="AB420" s="13">
        <f t="shared" si="25"/>
        <v>0</v>
      </c>
      <c r="AE420" s="12">
        <v>0</v>
      </c>
      <c r="AF420" s="12">
        <v>1</v>
      </c>
      <c r="AG420" s="12">
        <v>9.16</v>
      </c>
      <c r="AH420" s="12">
        <v>2</v>
      </c>
      <c r="AI420" s="12">
        <v>0</v>
      </c>
      <c r="AJ420" s="13">
        <f t="shared" si="26"/>
        <v>0</v>
      </c>
      <c r="AN420" s="12">
        <f t="shared" si="27"/>
        <v>58976</v>
      </c>
      <c r="AQ420" s="8" t="s">
        <v>417</v>
      </c>
      <c r="AR420" t="str">
        <f t="shared" si="28"/>
        <v>Oeste - A08</v>
      </c>
    </row>
    <row r="421" spans="1:44" x14ac:dyDescent="0.2">
      <c r="A421" s="107" t="s">
        <v>5226</v>
      </c>
      <c r="B421" s="106" t="s">
        <v>5225</v>
      </c>
      <c r="C421" s="106" t="s">
        <v>5216</v>
      </c>
      <c r="D421" s="106" t="s">
        <v>3025</v>
      </c>
      <c r="E421" s="106" t="s">
        <v>5215</v>
      </c>
      <c r="F421" s="106" t="s">
        <v>490</v>
      </c>
      <c r="G421" s="106" t="s">
        <v>5224</v>
      </c>
      <c r="H421" s="105" t="s">
        <v>5223</v>
      </c>
      <c r="I421" s="105" t="s">
        <v>5219</v>
      </c>
      <c r="J421" s="104">
        <v>6.25</v>
      </c>
      <c r="K421" s="103" t="s">
        <v>428</v>
      </c>
      <c r="L421" s="102" t="s">
        <v>507</v>
      </c>
      <c r="M421" s="95"/>
      <c r="N421" s="14"/>
      <c r="O421" s="94"/>
      <c r="P421" s="14" t="s">
        <v>485</v>
      </c>
      <c r="Q421" s="14" t="s">
        <v>497</v>
      </c>
      <c r="R421" s="14" t="s">
        <v>496</v>
      </c>
      <c r="S421" s="15">
        <v>7.2</v>
      </c>
      <c r="T421" s="15">
        <v>2.1</v>
      </c>
      <c r="U421" s="15">
        <v>2.5</v>
      </c>
      <c r="V421" s="14">
        <v>4535</v>
      </c>
      <c r="W421" s="12">
        <v>0</v>
      </c>
      <c r="X421" s="12">
        <v>1</v>
      </c>
      <c r="Y421" s="12">
        <v>5.25</v>
      </c>
      <c r="Z421" s="12">
        <v>0</v>
      </c>
      <c r="AA421" s="12">
        <v>0</v>
      </c>
      <c r="AB421" s="13">
        <f t="shared" si="25"/>
        <v>0</v>
      </c>
      <c r="AE421" s="12">
        <v>0</v>
      </c>
      <c r="AF421" s="12">
        <v>1</v>
      </c>
      <c r="AG421" s="12">
        <v>5.25</v>
      </c>
      <c r="AH421" s="12">
        <v>0</v>
      </c>
      <c r="AI421" s="12">
        <v>0</v>
      </c>
      <c r="AJ421" s="13">
        <f t="shared" si="26"/>
        <v>0</v>
      </c>
      <c r="AN421" s="12">
        <f t="shared" si="27"/>
        <v>28344</v>
      </c>
      <c r="AQ421" s="8" t="s">
        <v>417</v>
      </c>
      <c r="AR421" t="str">
        <f t="shared" si="28"/>
        <v>Oeste - A08</v>
      </c>
    </row>
    <row r="422" spans="1:44" x14ac:dyDescent="0.2">
      <c r="A422" s="107" t="s">
        <v>5222</v>
      </c>
      <c r="B422" s="106" t="s">
        <v>5221</v>
      </c>
      <c r="C422" s="106" t="s">
        <v>5216</v>
      </c>
      <c r="D422" s="106" t="s">
        <v>3016</v>
      </c>
      <c r="E422" s="106" t="s">
        <v>5215</v>
      </c>
      <c r="F422" s="106" t="s">
        <v>490</v>
      </c>
      <c r="G422" s="106" t="s">
        <v>5220</v>
      </c>
      <c r="H422" s="105" t="s">
        <v>5219</v>
      </c>
      <c r="I422" s="105" t="s">
        <v>5213</v>
      </c>
      <c r="J422" s="104">
        <v>19.98</v>
      </c>
      <c r="K422" s="103" t="s">
        <v>428</v>
      </c>
      <c r="L422" s="102" t="s">
        <v>507</v>
      </c>
      <c r="M422" s="95"/>
      <c r="N422" s="14"/>
      <c r="O422" s="94"/>
      <c r="P422" s="14" t="s">
        <v>485</v>
      </c>
      <c r="Q422" s="14" t="s">
        <v>497</v>
      </c>
      <c r="R422" s="14" t="s">
        <v>496</v>
      </c>
      <c r="S422" s="15">
        <v>7.3000000000000007</v>
      </c>
      <c r="T422" s="15">
        <v>1.95</v>
      </c>
      <c r="U422" s="15">
        <v>7.6000000000000005</v>
      </c>
      <c r="V422" s="14">
        <v>5733</v>
      </c>
      <c r="W422" s="12">
        <v>0</v>
      </c>
      <c r="X422" s="12">
        <v>3</v>
      </c>
      <c r="Y422" s="12">
        <v>11.98</v>
      </c>
      <c r="Z422" s="12">
        <v>5</v>
      </c>
      <c r="AA422" s="12">
        <v>0</v>
      </c>
      <c r="AB422" s="13">
        <f t="shared" si="25"/>
        <v>0</v>
      </c>
      <c r="AE422" s="12">
        <v>0</v>
      </c>
      <c r="AF422" s="12">
        <v>3</v>
      </c>
      <c r="AG422" s="12">
        <v>11.98</v>
      </c>
      <c r="AH422" s="12">
        <v>5</v>
      </c>
      <c r="AI422" s="12">
        <v>0</v>
      </c>
      <c r="AJ422" s="13">
        <f t="shared" si="26"/>
        <v>0</v>
      </c>
      <c r="AN422" s="12">
        <f t="shared" si="27"/>
        <v>114546</v>
      </c>
      <c r="AQ422" s="8" t="s">
        <v>417</v>
      </c>
      <c r="AR422" t="str">
        <f t="shared" si="28"/>
        <v>Oeste - A08</v>
      </c>
    </row>
    <row r="423" spans="1:44" x14ac:dyDescent="0.2">
      <c r="A423" s="107" t="s">
        <v>5218</v>
      </c>
      <c r="B423" s="106" t="s">
        <v>5217</v>
      </c>
      <c r="C423" s="106" t="s">
        <v>5216</v>
      </c>
      <c r="D423" s="106" t="s">
        <v>2825</v>
      </c>
      <c r="E423" s="106" t="s">
        <v>5215</v>
      </c>
      <c r="F423" s="106" t="s">
        <v>490</v>
      </c>
      <c r="G423" s="106" t="s">
        <v>5214</v>
      </c>
      <c r="H423" s="105" t="s">
        <v>5213</v>
      </c>
      <c r="I423" s="105" t="s">
        <v>5212</v>
      </c>
      <c r="J423" s="104">
        <v>18.32</v>
      </c>
      <c r="K423" s="103" t="s">
        <v>428</v>
      </c>
      <c r="L423" s="102" t="s">
        <v>507</v>
      </c>
      <c r="M423" s="95"/>
      <c r="N423" s="14"/>
      <c r="O423" s="94"/>
      <c r="P423" s="14" t="s">
        <v>485</v>
      </c>
      <c r="Q423" s="14" t="s">
        <v>497</v>
      </c>
      <c r="R423" s="14" t="s">
        <v>496</v>
      </c>
      <c r="S423" s="15">
        <v>7.4666666666666659</v>
      </c>
      <c r="T423" s="15">
        <v>2.1666666666666665</v>
      </c>
      <c r="U423" s="15">
        <v>8.5999999999999979</v>
      </c>
      <c r="V423" s="14">
        <v>6220</v>
      </c>
      <c r="W423" s="12">
        <v>0</v>
      </c>
      <c r="X423" s="12">
        <v>3</v>
      </c>
      <c r="Y423" s="12">
        <v>14.32</v>
      </c>
      <c r="Z423" s="12">
        <v>1</v>
      </c>
      <c r="AA423" s="12">
        <v>0</v>
      </c>
      <c r="AB423" s="13">
        <f t="shared" si="25"/>
        <v>0</v>
      </c>
      <c r="AE423" s="12">
        <v>0</v>
      </c>
      <c r="AF423" s="12">
        <v>3</v>
      </c>
      <c r="AG423" s="12">
        <v>14.32</v>
      </c>
      <c r="AH423" s="12">
        <v>1</v>
      </c>
      <c r="AI423" s="12">
        <v>0</v>
      </c>
      <c r="AJ423" s="13">
        <f t="shared" si="26"/>
        <v>0</v>
      </c>
      <c r="AN423" s="12">
        <f t="shared" si="27"/>
        <v>113951</v>
      </c>
      <c r="AQ423" s="8" t="s">
        <v>417</v>
      </c>
      <c r="AR423" t="str">
        <f t="shared" si="28"/>
        <v>Oeste - A08</v>
      </c>
    </row>
    <row r="424" spans="1:44" x14ac:dyDescent="0.2">
      <c r="A424" s="107" t="s">
        <v>5211</v>
      </c>
      <c r="B424" s="106" t="s">
        <v>5210</v>
      </c>
      <c r="C424" s="106" t="s">
        <v>5058</v>
      </c>
      <c r="D424" s="106" t="s">
        <v>492</v>
      </c>
      <c r="E424" s="106" t="s">
        <v>5056</v>
      </c>
      <c r="F424" s="106" t="s">
        <v>490</v>
      </c>
      <c r="G424" s="106" t="s">
        <v>5209</v>
      </c>
      <c r="H424" s="105" t="s">
        <v>488</v>
      </c>
      <c r="I424" s="105" t="s">
        <v>5205</v>
      </c>
      <c r="J424" s="104">
        <v>13.61</v>
      </c>
      <c r="K424" s="103" t="s">
        <v>423</v>
      </c>
      <c r="L424" s="102" t="s">
        <v>801</v>
      </c>
      <c r="M424" s="95"/>
      <c r="N424" s="14"/>
      <c r="O424" s="94">
        <v>3</v>
      </c>
      <c r="P424" s="14" t="s">
        <v>485</v>
      </c>
      <c r="Q424" s="14" t="s">
        <v>872</v>
      </c>
      <c r="R424" s="14" t="s">
        <v>496</v>
      </c>
      <c r="S424" s="15">
        <v>7.1862746509919182</v>
      </c>
      <c r="T424" s="15">
        <v>1.5</v>
      </c>
      <c r="U424" s="15">
        <v>0</v>
      </c>
      <c r="V424" s="14">
        <v>2470</v>
      </c>
      <c r="W424" s="12">
        <v>0</v>
      </c>
      <c r="X424" s="12">
        <v>0</v>
      </c>
      <c r="Y424" s="12">
        <v>6</v>
      </c>
      <c r="Z424" s="12">
        <v>7.6099999999999994</v>
      </c>
      <c r="AA424" s="12">
        <v>0</v>
      </c>
      <c r="AB424" s="13">
        <f t="shared" si="25"/>
        <v>0</v>
      </c>
      <c r="AE424" s="12">
        <v>0</v>
      </c>
      <c r="AF424" s="12">
        <v>0</v>
      </c>
      <c r="AG424" s="12">
        <v>6</v>
      </c>
      <c r="AH424" s="12">
        <v>7.6099999999999994</v>
      </c>
      <c r="AI424" s="12">
        <v>0</v>
      </c>
      <c r="AJ424" s="13">
        <f t="shared" si="26"/>
        <v>0</v>
      </c>
      <c r="AN424" s="12">
        <f t="shared" si="27"/>
        <v>33617</v>
      </c>
      <c r="AQ424" s="8" t="s">
        <v>416</v>
      </c>
      <c r="AR424" t="str">
        <f t="shared" si="28"/>
        <v>Leste - A03</v>
      </c>
    </row>
    <row r="425" spans="1:44" x14ac:dyDescent="0.2">
      <c r="A425" s="107" t="s">
        <v>5208</v>
      </c>
      <c r="B425" s="106" t="s">
        <v>5207</v>
      </c>
      <c r="C425" s="106" t="s">
        <v>5058</v>
      </c>
      <c r="D425" s="106" t="s">
        <v>592</v>
      </c>
      <c r="E425" s="106" t="s">
        <v>5094</v>
      </c>
      <c r="F425" s="106" t="s">
        <v>590</v>
      </c>
      <c r="G425" s="106" t="s">
        <v>5206</v>
      </c>
      <c r="H425" s="105" t="s">
        <v>5205</v>
      </c>
      <c r="I425" s="105" t="s">
        <v>5201</v>
      </c>
      <c r="J425" s="104">
        <v>0.59</v>
      </c>
      <c r="K425" s="103" t="s">
        <v>423</v>
      </c>
      <c r="L425" s="102" t="s">
        <v>801</v>
      </c>
      <c r="M425" s="95"/>
      <c r="N425" s="14"/>
      <c r="O425" s="94">
        <v>3</v>
      </c>
      <c r="P425" s="14" t="s">
        <v>586</v>
      </c>
      <c r="Q425" s="14" t="s">
        <v>872</v>
      </c>
      <c r="R425" s="14" t="s">
        <v>496</v>
      </c>
      <c r="S425" s="15">
        <v>7.85</v>
      </c>
      <c r="T425" s="15">
        <v>0</v>
      </c>
      <c r="U425" s="15">
        <v>0</v>
      </c>
      <c r="V425" s="14">
        <v>459</v>
      </c>
      <c r="W425" s="12">
        <v>0</v>
      </c>
      <c r="X425" s="12">
        <v>0</v>
      </c>
      <c r="Y425" s="12">
        <v>0</v>
      </c>
      <c r="Z425" s="12">
        <v>0.59</v>
      </c>
      <c r="AA425" s="12">
        <v>0</v>
      </c>
      <c r="AB425" s="13">
        <f t="shared" si="25"/>
        <v>0</v>
      </c>
      <c r="AE425" s="12">
        <v>0</v>
      </c>
      <c r="AF425" s="12">
        <v>0</v>
      </c>
      <c r="AG425" s="12">
        <v>0</v>
      </c>
      <c r="AH425" s="12">
        <v>0.59</v>
      </c>
      <c r="AI425" s="12">
        <v>0</v>
      </c>
      <c r="AJ425" s="13">
        <f t="shared" si="26"/>
        <v>0</v>
      </c>
      <c r="AN425" s="12">
        <f t="shared" si="27"/>
        <v>271</v>
      </c>
      <c r="AQ425" s="8" t="s">
        <v>416</v>
      </c>
      <c r="AR425" t="str">
        <f t="shared" si="28"/>
        <v>Leste - A03</v>
      </c>
    </row>
    <row r="426" spans="1:44" x14ac:dyDescent="0.2">
      <c r="A426" s="107" t="s">
        <v>5204</v>
      </c>
      <c r="B426" s="106" t="s">
        <v>5203</v>
      </c>
      <c r="C426" s="106" t="s">
        <v>5058</v>
      </c>
      <c r="D426" s="106" t="s">
        <v>519</v>
      </c>
      <c r="E426" s="106" t="s">
        <v>5056</v>
      </c>
      <c r="F426" s="106" t="s">
        <v>490</v>
      </c>
      <c r="G426" s="106" t="s">
        <v>5202</v>
      </c>
      <c r="H426" s="105" t="s">
        <v>5201</v>
      </c>
      <c r="I426" s="105" t="s">
        <v>5197</v>
      </c>
      <c r="J426" s="104">
        <v>3.88</v>
      </c>
      <c r="K426" s="103" t="s">
        <v>423</v>
      </c>
      <c r="L426" s="102" t="s">
        <v>801</v>
      </c>
      <c r="M426" s="95"/>
      <c r="N426" s="14"/>
      <c r="O426" s="94">
        <v>3</v>
      </c>
      <c r="P426" s="14" t="s">
        <v>485</v>
      </c>
      <c r="Q426" s="14" t="s">
        <v>872</v>
      </c>
      <c r="R426" s="14" t="s">
        <v>496</v>
      </c>
      <c r="S426" s="15">
        <v>7.1205744845360828</v>
      </c>
      <c r="T426" s="15">
        <v>1.5</v>
      </c>
      <c r="U426" s="15">
        <v>0</v>
      </c>
      <c r="V426" s="14">
        <v>2470</v>
      </c>
      <c r="W426" s="12">
        <v>0</v>
      </c>
      <c r="X426" s="12">
        <v>0</v>
      </c>
      <c r="Y426" s="12">
        <v>0</v>
      </c>
      <c r="Z426" s="12">
        <v>3.88</v>
      </c>
      <c r="AA426" s="12">
        <v>0</v>
      </c>
      <c r="AB426" s="13">
        <f t="shared" si="25"/>
        <v>0</v>
      </c>
      <c r="AE426" s="12">
        <v>0</v>
      </c>
      <c r="AF426" s="12">
        <v>0</v>
      </c>
      <c r="AG426" s="12">
        <v>0</v>
      </c>
      <c r="AH426" s="12">
        <v>3.88</v>
      </c>
      <c r="AI426" s="12">
        <v>0</v>
      </c>
      <c r="AJ426" s="13">
        <f t="shared" si="26"/>
        <v>0</v>
      </c>
      <c r="AN426" s="12">
        <f t="shared" si="27"/>
        <v>9584</v>
      </c>
      <c r="AQ426" s="8" t="s">
        <v>416</v>
      </c>
      <c r="AR426" t="str">
        <f t="shared" si="28"/>
        <v>Leste - A03</v>
      </c>
    </row>
    <row r="427" spans="1:44" x14ac:dyDescent="0.2">
      <c r="A427" s="107" t="s">
        <v>5200</v>
      </c>
      <c r="B427" s="106" t="s">
        <v>5199</v>
      </c>
      <c r="C427" s="106" t="s">
        <v>5058</v>
      </c>
      <c r="D427" s="106" t="s">
        <v>513</v>
      </c>
      <c r="E427" s="106" t="s">
        <v>5056</v>
      </c>
      <c r="F427" s="106" t="s">
        <v>490</v>
      </c>
      <c r="G427" s="106" t="s">
        <v>5198</v>
      </c>
      <c r="H427" s="105" t="s">
        <v>5197</v>
      </c>
      <c r="I427" s="105" t="s">
        <v>5193</v>
      </c>
      <c r="J427" s="104">
        <v>14.93</v>
      </c>
      <c r="K427" s="103" t="s">
        <v>423</v>
      </c>
      <c r="L427" s="102" t="s">
        <v>801</v>
      </c>
      <c r="M427" s="95"/>
      <c r="N427" s="14"/>
      <c r="O427" s="94">
        <v>3</v>
      </c>
      <c r="P427" s="14" t="s">
        <v>485</v>
      </c>
      <c r="Q427" s="14" t="s">
        <v>872</v>
      </c>
      <c r="R427" s="14" t="s">
        <v>496</v>
      </c>
      <c r="S427" s="15">
        <v>8.1784546550569317</v>
      </c>
      <c r="T427" s="15">
        <v>1.5</v>
      </c>
      <c r="U427" s="15">
        <v>0</v>
      </c>
      <c r="V427" s="14">
        <v>906</v>
      </c>
      <c r="W427" s="12">
        <v>0</v>
      </c>
      <c r="X427" s="12">
        <v>2</v>
      </c>
      <c r="Y427" s="12">
        <v>6.93</v>
      </c>
      <c r="Z427" s="12">
        <v>6</v>
      </c>
      <c r="AA427" s="12">
        <v>0</v>
      </c>
      <c r="AB427" s="13">
        <f t="shared" si="25"/>
        <v>0</v>
      </c>
      <c r="AE427" s="12">
        <v>0</v>
      </c>
      <c r="AF427" s="12">
        <v>2</v>
      </c>
      <c r="AG427" s="12">
        <v>6.93</v>
      </c>
      <c r="AH427" s="12">
        <v>6</v>
      </c>
      <c r="AI427" s="12">
        <v>0</v>
      </c>
      <c r="AJ427" s="13">
        <f t="shared" si="26"/>
        <v>0</v>
      </c>
      <c r="AN427" s="12">
        <f t="shared" si="27"/>
        <v>13527</v>
      </c>
      <c r="AQ427" s="8" t="s">
        <v>416</v>
      </c>
      <c r="AR427" t="str">
        <f t="shared" si="28"/>
        <v>Leste - A03</v>
      </c>
    </row>
    <row r="428" spans="1:44" x14ac:dyDescent="0.2">
      <c r="A428" s="107" t="s">
        <v>5196</v>
      </c>
      <c r="B428" s="106" t="s">
        <v>5195</v>
      </c>
      <c r="C428" s="106" t="s">
        <v>5058</v>
      </c>
      <c r="D428" s="106" t="s">
        <v>1324</v>
      </c>
      <c r="E428" s="106" t="s">
        <v>5056</v>
      </c>
      <c r="F428" s="106" t="s">
        <v>490</v>
      </c>
      <c r="G428" s="106" t="s">
        <v>5194</v>
      </c>
      <c r="H428" s="105" t="s">
        <v>5193</v>
      </c>
      <c r="I428" s="105" t="s">
        <v>5189</v>
      </c>
      <c r="J428" s="104">
        <v>0.81</v>
      </c>
      <c r="K428" s="103" t="s">
        <v>423</v>
      </c>
      <c r="L428" s="102" t="s">
        <v>801</v>
      </c>
      <c r="M428" s="95"/>
      <c r="N428" s="14"/>
      <c r="O428" s="94">
        <v>3</v>
      </c>
      <c r="P428" s="14" t="s">
        <v>485</v>
      </c>
      <c r="Q428" s="14" t="s">
        <v>872</v>
      </c>
      <c r="R428" s="14" t="s">
        <v>496</v>
      </c>
      <c r="S428" s="15">
        <v>9.7173580246913556</v>
      </c>
      <c r="T428" s="15">
        <v>1</v>
      </c>
      <c r="U428" s="15">
        <v>0</v>
      </c>
      <c r="V428" s="14">
        <v>3755</v>
      </c>
      <c r="W428" s="12">
        <v>0</v>
      </c>
      <c r="X428" s="12">
        <v>0</v>
      </c>
      <c r="Y428" s="12">
        <v>0.81</v>
      </c>
      <c r="Z428" s="12">
        <v>0</v>
      </c>
      <c r="AA428" s="12">
        <v>0</v>
      </c>
      <c r="AB428" s="13">
        <f t="shared" si="25"/>
        <v>0</v>
      </c>
      <c r="AE428" s="12">
        <v>0</v>
      </c>
      <c r="AF428" s="12">
        <v>0</v>
      </c>
      <c r="AG428" s="12">
        <v>0.81</v>
      </c>
      <c r="AH428" s="12">
        <v>0</v>
      </c>
      <c r="AI428" s="12">
        <v>0</v>
      </c>
      <c r="AJ428" s="13">
        <f t="shared" si="26"/>
        <v>0</v>
      </c>
      <c r="AN428" s="12">
        <f t="shared" si="27"/>
        <v>3042</v>
      </c>
      <c r="AQ428" s="8" t="s">
        <v>416</v>
      </c>
      <c r="AR428" t="str">
        <f t="shared" si="28"/>
        <v>Leste - A03</v>
      </c>
    </row>
    <row r="429" spans="1:44" x14ac:dyDescent="0.2">
      <c r="A429" s="107" t="s">
        <v>5192</v>
      </c>
      <c r="B429" s="106" t="s">
        <v>5191</v>
      </c>
      <c r="C429" s="106" t="s">
        <v>5058</v>
      </c>
      <c r="D429" s="106" t="s">
        <v>989</v>
      </c>
      <c r="E429" s="106" t="s">
        <v>5056</v>
      </c>
      <c r="F429" s="106" t="s">
        <v>490</v>
      </c>
      <c r="G429" s="106" t="s">
        <v>5190</v>
      </c>
      <c r="H429" s="105" t="s">
        <v>5189</v>
      </c>
      <c r="I429" s="105" t="s">
        <v>5185</v>
      </c>
      <c r="J429" s="104">
        <v>0.21</v>
      </c>
      <c r="K429" s="103" t="s">
        <v>423</v>
      </c>
      <c r="L429" s="102" t="s">
        <v>801</v>
      </c>
      <c r="M429" s="95"/>
      <c r="N429" s="14"/>
      <c r="O429" s="94">
        <v>3</v>
      </c>
      <c r="P429" s="14" t="s">
        <v>485</v>
      </c>
      <c r="Q429" s="14" t="s">
        <v>872</v>
      </c>
      <c r="R429" s="14" t="s">
        <v>496</v>
      </c>
      <c r="S429" s="15">
        <v>21.911000000000001</v>
      </c>
      <c r="T429" s="15">
        <v>1</v>
      </c>
      <c r="U429" s="15">
        <v>0</v>
      </c>
      <c r="V429" s="14">
        <v>5975</v>
      </c>
      <c r="W429" s="12">
        <v>0</v>
      </c>
      <c r="X429" s="12">
        <v>0</v>
      </c>
      <c r="Y429" s="12">
        <v>0.21</v>
      </c>
      <c r="Z429" s="12">
        <v>0</v>
      </c>
      <c r="AA429" s="12">
        <v>0</v>
      </c>
      <c r="AB429" s="13">
        <f t="shared" si="25"/>
        <v>0</v>
      </c>
      <c r="AE429" s="12">
        <v>0</v>
      </c>
      <c r="AF429" s="12">
        <v>0</v>
      </c>
      <c r="AG429" s="12">
        <v>0.21</v>
      </c>
      <c r="AH429" s="12">
        <v>0</v>
      </c>
      <c r="AI429" s="12">
        <v>0</v>
      </c>
      <c r="AJ429" s="13">
        <f t="shared" si="26"/>
        <v>0</v>
      </c>
      <c r="AN429" s="12">
        <f t="shared" si="27"/>
        <v>1255</v>
      </c>
      <c r="AQ429" s="8" t="s">
        <v>416</v>
      </c>
      <c r="AR429" t="str">
        <f t="shared" si="28"/>
        <v>Leste - A03</v>
      </c>
    </row>
    <row r="430" spans="1:44" x14ac:dyDescent="0.2">
      <c r="A430" s="107" t="s">
        <v>5188</v>
      </c>
      <c r="B430" s="106" t="s">
        <v>5187</v>
      </c>
      <c r="C430" s="106" t="s">
        <v>5058</v>
      </c>
      <c r="D430" s="106" t="s">
        <v>981</v>
      </c>
      <c r="E430" s="106" t="s">
        <v>5056</v>
      </c>
      <c r="F430" s="106" t="s">
        <v>490</v>
      </c>
      <c r="G430" s="106" t="s">
        <v>5186</v>
      </c>
      <c r="H430" s="105" t="s">
        <v>5185</v>
      </c>
      <c r="I430" s="105" t="s">
        <v>5181</v>
      </c>
      <c r="J430" s="104">
        <v>1.22</v>
      </c>
      <c r="K430" s="103" t="s">
        <v>423</v>
      </c>
      <c r="L430" s="102" t="s">
        <v>801</v>
      </c>
      <c r="M430" s="95"/>
      <c r="N430" s="14"/>
      <c r="O430" s="94">
        <v>3</v>
      </c>
      <c r="P430" s="14" t="s">
        <v>485</v>
      </c>
      <c r="Q430" s="14" t="s">
        <v>872</v>
      </c>
      <c r="R430" s="14" t="s">
        <v>496</v>
      </c>
      <c r="S430" s="15">
        <v>9.3191065573770508</v>
      </c>
      <c r="T430" s="15">
        <v>1</v>
      </c>
      <c r="U430" s="15">
        <v>0</v>
      </c>
      <c r="V430" s="14">
        <v>3606</v>
      </c>
      <c r="W430" s="12">
        <v>0</v>
      </c>
      <c r="X430" s="12">
        <v>1</v>
      </c>
      <c r="Y430" s="12">
        <v>0.21999999999999997</v>
      </c>
      <c r="Z430" s="12">
        <v>0</v>
      </c>
      <c r="AA430" s="12">
        <v>0</v>
      </c>
      <c r="AB430" s="13">
        <f t="shared" si="25"/>
        <v>0</v>
      </c>
      <c r="AE430" s="12">
        <v>0</v>
      </c>
      <c r="AF430" s="12">
        <v>1</v>
      </c>
      <c r="AG430" s="12">
        <v>0.21999999999999997</v>
      </c>
      <c r="AH430" s="12">
        <v>0</v>
      </c>
      <c r="AI430" s="12">
        <v>0</v>
      </c>
      <c r="AJ430" s="13">
        <f t="shared" si="26"/>
        <v>0</v>
      </c>
      <c r="AN430" s="12">
        <f t="shared" si="27"/>
        <v>4400</v>
      </c>
      <c r="AQ430" s="8" t="s">
        <v>416</v>
      </c>
      <c r="AR430" t="str">
        <f t="shared" si="28"/>
        <v>Leste - A03</v>
      </c>
    </row>
    <row r="431" spans="1:44" x14ac:dyDescent="0.2">
      <c r="A431" s="107" t="s">
        <v>5184</v>
      </c>
      <c r="B431" s="106" t="s">
        <v>5183</v>
      </c>
      <c r="C431" s="106" t="s">
        <v>5058</v>
      </c>
      <c r="D431" s="106" t="s">
        <v>1304</v>
      </c>
      <c r="E431" s="106" t="s">
        <v>5056</v>
      </c>
      <c r="F431" s="106" t="s">
        <v>490</v>
      </c>
      <c r="G431" s="106" t="s">
        <v>5182</v>
      </c>
      <c r="H431" s="105" t="s">
        <v>5181</v>
      </c>
      <c r="I431" s="105" t="s">
        <v>5177</v>
      </c>
      <c r="J431" s="104">
        <v>15.16</v>
      </c>
      <c r="K431" s="103" t="s">
        <v>423</v>
      </c>
      <c r="L431" s="102" t="s">
        <v>801</v>
      </c>
      <c r="M431" s="95"/>
      <c r="N431" s="14"/>
      <c r="O431" s="94">
        <v>3</v>
      </c>
      <c r="P431" s="14" t="s">
        <v>485</v>
      </c>
      <c r="Q431" s="14" t="s">
        <v>872</v>
      </c>
      <c r="R431" s="14" t="s">
        <v>496</v>
      </c>
      <c r="S431" s="15">
        <v>7.2</v>
      </c>
      <c r="T431" s="15">
        <v>1</v>
      </c>
      <c r="U431" s="15">
        <v>0</v>
      </c>
      <c r="V431" s="14">
        <v>3606</v>
      </c>
      <c r="W431" s="12">
        <v>0</v>
      </c>
      <c r="X431" s="12">
        <v>3</v>
      </c>
      <c r="Y431" s="12">
        <v>12.16</v>
      </c>
      <c r="Z431" s="12">
        <v>0</v>
      </c>
      <c r="AA431" s="12">
        <v>0</v>
      </c>
      <c r="AB431" s="13">
        <f t="shared" si="25"/>
        <v>0</v>
      </c>
      <c r="AE431" s="12">
        <v>0</v>
      </c>
      <c r="AF431" s="12">
        <v>3</v>
      </c>
      <c r="AG431" s="12">
        <v>12.16</v>
      </c>
      <c r="AH431" s="12">
        <v>0</v>
      </c>
      <c r="AI431" s="12">
        <v>0</v>
      </c>
      <c r="AJ431" s="13">
        <f t="shared" si="26"/>
        <v>0</v>
      </c>
      <c r="AN431" s="12">
        <f t="shared" si="27"/>
        <v>54667</v>
      </c>
      <c r="AQ431" s="8" t="s">
        <v>416</v>
      </c>
      <c r="AR431" t="str">
        <f t="shared" si="28"/>
        <v>Leste - A03</v>
      </c>
    </row>
    <row r="432" spans="1:44" x14ac:dyDescent="0.2">
      <c r="A432" s="107" t="s">
        <v>5180</v>
      </c>
      <c r="B432" s="106" t="s">
        <v>5179</v>
      </c>
      <c r="C432" s="106" t="s">
        <v>5058</v>
      </c>
      <c r="D432" s="106" t="s">
        <v>975</v>
      </c>
      <c r="E432" s="106" t="s">
        <v>5056</v>
      </c>
      <c r="F432" s="106" t="s">
        <v>490</v>
      </c>
      <c r="G432" s="106" t="s">
        <v>5178</v>
      </c>
      <c r="H432" s="105" t="s">
        <v>5177</v>
      </c>
      <c r="I432" s="105" t="s">
        <v>5176</v>
      </c>
      <c r="J432" s="104">
        <v>1.08</v>
      </c>
      <c r="K432" s="103" t="s">
        <v>423</v>
      </c>
      <c r="L432" s="102" t="s">
        <v>801</v>
      </c>
      <c r="M432" s="95"/>
      <c r="N432" s="14"/>
      <c r="O432" s="94">
        <v>3</v>
      </c>
      <c r="P432" s="14" t="s">
        <v>485</v>
      </c>
      <c r="Q432" s="14" t="s">
        <v>872</v>
      </c>
      <c r="R432" s="14" t="s">
        <v>496</v>
      </c>
      <c r="S432" s="15">
        <v>12.588518518518525</v>
      </c>
      <c r="T432" s="15">
        <v>1</v>
      </c>
      <c r="U432" s="15">
        <v>0</v>
      </c>
      <c r="V432" s="14">
        <v>4826</v>
      </c>
      <c r="W432" s="12">
        <v>0</v>
      </c>
      <c r="X432" s="12">
        <v>0</v>
      </c>
      <c r="Y432" s="12">
        <v>1.08</v>
      </c>
      <c r="Z432" s="12">
        <v>0</v>
      </c>
      <c r="AA432" s="12">
        <v>0</v>
      </c>
      <c r="AB432" s="13">
        <f t="shared" si="25"/>
        <v>0</v>
      </c>
      <c r="AE432" s="12">
        <v>0</v>
      </c>
      <c r="AF432" s="12">
        <v>0</v>
      </c>
      <c r="AG432" s="12">
        <v>1.08</v>
      </c>
      <c r="AH432" s="12">
        <v>0</v>
      </c>
      <c r="AI432" s="12">
        <v>0</v>
      </c>
      <c r="AJ432" s="13">
        <f t="shared" si="26"/>
        <v>0</v>
      </c>
      <c r="AN432" s="12">
        <f t="shared" si="27"/>
        <v>5213</v>
      </c>
      <c r="AQ432" s="8" t="s">
        <v>416</v>
      </c>
      <c r="AR432" t="str">
        <f t="shared" si="28"/>
        <v>Leste - A03</v>
      </c>
    </row>
    <row r="433" spans="1:44" x14ac:dyDescent="0.2">
      <c r="A433" s="107" t="s">
        <v>5175</v>
      </c>
      <c r="B433" s="106" t="s">
        <v>5174</v>
      </c>
      <c r="C433" s="106" t="s">
        <v>5058</v>
      </c>
      <c r="D433" s="106" t="s">
        <v>965</v>
      </c>
      <c r="E433" s="106" t="s">
        <v>5056</v>
      </c>
      <c r="F433" s="106" t="s">
        <v>490</v>
      </c>
      <c r="G433" s="106" t="s">
        <v>5173</v>
      </c>
      <c r="H433" s="105" t="s">
        <v>5172</v>
      </c>
      <c r="I433" s="105" t="s">
        <v>5171</v>
      </c>
      <c r="J433" s="104">
        <v>11.15</v>
      </c>
      <c r="K433" s="103" t="s">
        <v>424</v>
      </c>
      <c r="L433" s="102" t="s">
        <v>801</v>
      </c>
      <c r="M433" s="95"/>
      <c r="N433" s="14"/>
      <c r="O433" s="94">
        <v>4</v>
      </c>
      <c r="P433" s="14" t="s">
        <v>485</v>
      </c>
      <c r="Q433" s="14" t="s">
        <v>497</v>
      </c>
      <c r="R433" s="14" t="s">
        <v>496</v>
      </c>
      <c r="S433" s="15">
        <v>6.6</v>
      </c>
      <c r="T433" s="15">
        <v>1.2</v>
      </c>
      <c r="U433" s="15">
        <v>0</v>
      </c>
      <c r="V433" s="14">
        <v>1129</v>
      </c>
      <c r="W433" s="12">
        <v>0</v>
      </c>
      <c r="X433" s="12">
        <v>0</v>
      </c>
      <c r="Y433" s="12">
        <v>5</v>
      </c>
      <c r="Z433" s="12">
        <v>6.15</v>
      </c>
      <c r="AA433" s="12">
        <v>0</v>
      </c>
      <c r="AB433" s="13">
        <f t="shared" si="25"/>
        <v>0</v>
      </c>
      <c r="AE433" s="12">
        <v>0</v>
      </c>
      <c r="AF433" s="12">
        <v>0</v>
      </c>
      <c r="AG433" s="12">
        <v>5</v>
      </c>
      <c r="AH433" s="12">
        <v>6.15</v>
      </c>
      <c r="AI433" s="12">
        <v>0</v>
      </c>
      <c r="AJ433" s="13">
        <f t="shared" si="26"/>
        <v>0</v>
      </c>
      <c r="AN433" s="12">
        <f t="shared" si="27"/>
        <v>12589</v>
      </c>
      <c r="AQ433" s="8" t="s">
        <v>416</v>
      </c>
      <c r="AR433" t="str">
        <f t="shared" si="28"/>
        <v>Leste - A04</v>
      </c>
    </row>
    <row r="434" spans="1:44" x14ac:dyDescent="0.2">
      <c r="A434" s="107" t="s">
        <v>5170</v>
      </c>
      <c r="B434" s="106" t="s">
        <v>5169</v>
      </c>
      <c r="C434" s="106" t="s">
        <v>5058</v>
      </c>
      <c r="D434" s="106" t="s">
        <v>2671</v>
      </c>
      <c r="E434" s="106" t="s">
        <v>5056</v>
      </c>
      <c r="F434" s="106" t="s">
        <v>490</v>
      </c>
      <c r="G434" s="106" t="s">
        <v>5168</v>
      </c>
      <c r="H434" s="105" t="s">
        <v>5167</v>
      </c>
      <c r="I434" s="105" t="s">
        <v>5163</v>
      </c>
      <c r="J434" s="104">
        <v>2.5</v>
      </c>
      <c r="K434" s="103" t="s">
        <v>428</v>
      </c>
      <c r="L434" s="102" t="s">
        <v>507</v>
      </c>
      <c r="M434" s="95"/>
      <c r="N434" s="14"/>
      <c r="O434" s="94">
        <v>40</v>
      </c>
      <c r="P434" s="14" t="s">
        <v>485</v>
      </c>
      <c r="Q434" s="14" t="s">
        <v>497</v>
      </c>
      <c r="R434" s="14" t="s">
        <v>496</v>
      </c>
      <c r="S434" s="15">
        <v>6.83</v>
      </c>
      <c r="T434" s="15">
        <v>0.95</v>
      </c>
      <c r="U434" s="15">
        <v>0</v>
      </c>
      <c r="V434" s="14">
        <v>3626</v>
      </c>
      <c r="W434" s="12">
        <v>0</v>
      </c>
      <c r="X434" s="12">
        <v>0</v>
      </c>
      <c r="Y434" s="12">
        <v>0</v>
      </c>
      <c r="Z434" s="12">
        <v>2.5</v>
      </c>
      <c r="AA434" s="12">
        <v>0</v>
      </c>
      <c r="AB434" s="13">
        <f t="shared" si="25"/>
        <v>0</v>
      </c>
      <c r="AE434" s="12">
        <v>0</v>
      </c>
      <c r="AF434" s="12">
        <v>0</v>
      </c>
      <c r="AG434" s="12">
        <v>0</v>
      </c>
      <c r="AH434" s="12">
        <v>2.5</v>
      </c>
      <c r="AI434" s="12">
        <v>0</v>
      </c>
      <c r="AJ434" s="13">
        <f t="shared" si="26"/>
        <v>0</v>
      </c>
      <c r="AN434" s="12">
        <f t="shared" si="27"/>
        <v>9065</v>
      </c>
      <c r="AQ434" s="8" t="s">
        <v>417</v>
      </c>
      <c r="AR434" t="str">
        <f t="shared" si="28"/>
        <v>Oeste - A08</v>
      </c>
    </row>
    <row r="435" spans="1:44" x14ac:dyDescent="0.2">
      <c r="A435" s="107" t="s">
        <v>5166</v>
      </c>
      <c r="B435" s="106" t="s">
        <v>5165</v>
      </c>
      <c r="C435" s="106" t="s">
        <v>5058</v>
      </c>
      <c r="D435" s="106" t="s">
        <v>2651</v>
      </c>
      <c r="E435" s="106" t="s">
        <v>5056</v>
      </c>
      <c r="F435" s="106" t="s">
        <v>490</v>
      </c>
      <c r="G435" s="106" t="s">
        <v>5164</v>
      </c>
      <c r="H435" s="105" t="s">
        <v>5163</v>
      </c>
      <c r="I435" s="105" t="s">
        <v>5162</v>
      </c>
      <c r="J435" s="104">
        <v>22.15</v>
      </c>
      <c r="K435" s="103" t="s">
        <v>428</v>
      </c>
      <c r="L435" s="102" t="s">
        <v>507</v>
      </c>
      <c r="M435" s="95"/>
      <c r="N435" s="14"/>
      <c r="O435" s="94">
        <v>40</v>
      </c>
      <c r="P435" s="14" t="s">
        <v>485</v>
      </c>
      <c r="Q435" s="14" t="s">
        <v>497</v>
      </c>
      <c r="R435" s="14" t="s">
        <v>496</v>
      </c>
      <c r="S435" s="15">
        <v>6.73</v>
      </c>
      <c r="T435" s="15">
        <v>0</v>
      </c>
      <c r="U435" s="15">
        <v>0</v>
      </c>
      <c r="V435" s="14">
        <v>954</v>
      </c>
      <c r="W435" s="12">
        <v>0</v>
      </c>
      <c r="X435" s="12">
        <v>2</v>
      </c>
      <c r="Y435" s="12">
        <v>3</v>
      </c>
      <c r="Z435" s="12">
        <v>17.149999999999999</v>
      </c>
      <c r="AA435" s="12">
        <v>0</v>
      </c>
      <c r="AB435" s="13">
        <f t="shared" si="25"/>
        <v>0</v>
      </c>
      <c r="AE435" s="12">
        <v>0</v>
      </c>
      <c r="AF435" s="12">
        <v>2</v>
      </c>
      <c r="AG435" s="12">
        <v>3</v>
      </c>
      <c r="AH435" s="12">
        <v>17.149999999999999</v>
      </c>
      <c r="AI435" s="12">
        <v>0</v>
      </c>
      <c r="AJ435" s="13">
        <f t="shared" si="26"/>
        <v>0</v>
      </c>
      <c r="AN435" s="12">
        <f t="shared" si="27"/>
        <v>21132</v>
      </c>
      <c r="AQ435" s="8" t="s">
        <v>417</v>
      </c>
      <c r="AR435" t="str">
        <f t="shared" si="28"/>
        <v>Oeste - A08</v>
      </c>
    </row>
    <row r="436" spans="1:44" x14ac:dyDescent="0.2">
      <c r="A436" s="107" t="s">
        <v>5161</v>
      </c>
      <c r="B436" s="106" t="s">
        <v>5160</v>
      </c>
      <c r="C436" s="106" t="s">
        <v>5058</v>
      </c>
      <c r="D436" s="106" t="s">
        <v>2620</v>
      </c>
      <c r="E436" s="106" t="s">
        <v>5056</v>
      </c>
      <c r="F436" s="106" t="s">
        <v>490</v>
      </c>
      <c r="G436" s="106" t="s">
        <v>5159</v>
      </c>
      <c r="H436" s="105" t="s">
        <v>5158</v>
      </c>
      <c r="I436" s="105" t="s">
        <v>5157</v>
      </c>
      <c r="J436" s="104">
        <v>16.13</v>
      </c>
      <c r="K436" s="103" t="s">
        <v>427</v>
      </c>
      <c r="L436" s="102" t="s">
        <v>507</v>
      </c>
      <c r="M436" s="95"/>
      <c r="N436" s="14"/>
      <c r="O436" s="94">
        <v>39</v>
      </c>
      <c r="P436" s="14" t="s">
        <v>485</v>
      </c>
      <c r="Q436" s="14" t="s">
        <v>497</v>
      </c>
      <c r="R436" s="14" t="s">
        <v>496</v>
      </c>
      <c r="S436" s="15">
        <v>6.8</v>
      </c>
      <c r="T436" s="15">
        <v>0</v>
      </c>
      <c r="U436" s="15">
        <v>0</v>
      </c>
      <c r="V436" s="14">
        <v>1900</v>
      </c>
      <c r="W436" s="12">
        <v>0</v>
      </c>
      <c r="X436" s="12">
        <v>0</v>
      </c>
      <c r="Y436" s="12">
        <v>1</v>
      </c>
      <c r="Z436" s="12">
        <v>15.129999999999999</v>
      </c>
      <c r="AA436" s="12">
        <v>0</v>
      </c>
      <c r="AB436" s="13">
        <f t="shared" si="25"/>
        <v>0</v>
      </c>
      <c r="AE436" s="12">
        <v>0</v>
      </c>
      <c r="AF436" s="12">
        <v>0</v>
      </c>
      <c r="AG436" s="12">
        <v>1</v>
      </c>
      <c r="AH436" s="12">
        <v>15.129999999999999</v>
      </c>
      <c r="AI436" s="12">
        <v>0</v>
      </c>
      <c r="AJ436" s="13">
        <f t="shared" si="26"/>
        <v>0</v>
      </c>
      <c r="AN436" s="12">
        <f t="shared" si="27"/>
        <v>30647</v>
      </c>
      <c r="AQ436" s="8" t="s">
        <v>417</v>
      </c>
      <c r="AR436" t="str">
        <f t="shared" si="28"/>
        <v>Oeste - A07</v>
      </c>
    </row>
    <row r="437" spans="1:44" x14ac:dyDescent="0.2">
      <c r="A437" s="107" t="s">
        <v>5156</v>
      </c>
      <c r="B437" s="106" t="s">
        <v>5155</v>
      </c>
      <c r="C437" s="106" t="s">
        <v>5058</v>
      </c>
      <c r="D437" s="106" t="s">
        <v>5154</v>
      </c>
      <c r="E437" s="106" t="s">
        <v>5056</v>
      </c>
      <c r="F437" s="106" t="s">
        <v>490</v>
      </c>
      <c r="G437" s="106" t="s">
        <v>5153</v>
      </c>
      <c r="H437" s="105" t="s">
        <v>5152</v>
      </c>
      <c r="I437" s="105" t="s">
        <v>5148</v>
      </c>
      <c r="J437" s="104">
        <v>10.47</v>
      </c>
      <c r="K437" s="103" t="s">
        <v>427</v>
      </c>
      <c r="L437" s="102" t="s">
        <v>507</v>
      </c>
      <c r="M437" s="95"/>
      <c r="N437" s="14"/>
      <c r="O437" s="94">
        <v>39</v>
      </c>
      <c r="P437" s="14" t="s">
        <v>485</v>
      </c>
      <c r="Q437" s="14" t="s">
        <v>497</v>
      </c>
      <c r="R437" s="14" t="s">
        <v>496</v>
      </c>
      <c r="S437" s="15">
        <v>6.55</v>
      </c>
      <c r="T437" s="15">
        <v>0</v>
      </c>
      <c r="U437" s="15">
        <v>0</v>
      </c>
      <c r="V437" s="14">
        <v>2002</v>
      </c>
      <c r="W437" s="12">
        <v>0</v>
      </c>
      <c r="X437" s="12">
        <v>0</v>
      </c>
      <c r="Y437" s="12">
        <v>2</v>
      </c>
      <c r="Z437" s="12">
        <v>8.4700000000000006</v>
      </c>
      <c r="AA437" s="12">
        <v>0</v>
      </c>
      <c r="AB437" s="13">
        <f t="shared" si="25"/>
        <v>0</v>
      </c>
      <c r="AE437" s="12">
        <v>0</v>
      </c>
      <c r="AF437" s="12">
        <v>0</v>
      </c>
      <c r="AG437" s="12">
        <v>2</v>
      </c>
      <c r="AH437" s="12">
        <v>8.4700000000000006</v>
      </c>
      <c r="AI437" s="12">
        <v>0</v>
      </c>
      <c r="AJ437" s="13">
        <f t="shared" si="26"/>
        <v>0</v>
      </c>
      <c r="AN437" s="12">
        <f t="shared" si="27"/>
        <v>20961</v>
      </c>
      <c r="AQ437" s="8" t="s">
        <v>417</v>
      </c>
      <c r="AR437" t="str">
        <f t="shared" si="28"/>
        <v>Oeste - A07</v>
      </c>
    </row>
    <row r="438" spans="1:44" x14ac:dyDescent="0.2">
      <c r="A438" s="107" t="s">
        <v>5151</v>
      </c>
      <c r="B438" s="106" t="s">
        <v>5150</v>
      </c>
      <c r="C438" s="106" t="s">
        <v>5058</v>
      </c>
      <c r="D438" s="106" t="s">
        <v>2586</v>
      </c>
      <c r="E438" s="106" t="s">
        <v>5056</v>
      </c>
      <c r="F438" s="106" t="s">
        <v>490</v>
      </c>
      <c r="G438" s="106" t="s">
        <v>5149</v>
      </c>
      <c r="H438" s="105" t="s">
        <v>5148</v>
      </c>
      <c r="I438" s="105" t="s">
        <v>5144</v>
      </c>
      <c r="J438" s="104">
        <v>2.66</v>
      </c>
      <c r="K438" s="103" t="s">
        <v>427</v>
      </c>
      <c r="L438" s="102" t="s">
        <v>507</v>
      </c>
      <c r="M438" s="95"/>
      <c r="N438" s="14"/>
      <c r="O438" s="94">
        <v>39</v>
      </c>
      <c r="P438" s="14" t="s">
        <v>485</v>
      </c>
      <c r="Q438" s="14" t="s">
        <v>497</v>
      </c>
      <c r="R438" s="16" t="s">
        <v>496</v>
      </c>
      <c r="S438" s="15">
        <v>6.7</v>
      </c>
      <c r="T438" s="15">
        <v>1.2</v>
      </c>
      <c r="U438" s="15">
        <v>0</v>
      </c>
      <c r="V438" s="14">
        <v>2002</v>
      </c>
      <c r="W438" s="12">
        <v>0</v>
      </c>
      <c r="X438" s="12">
        <v>0</v>
      </c>
      <c r="Y438" s="12">
        <v>0</v>
      </c>
      <c r="Z438" s="12">
        <v>2.66</v>
      </c>
      <c r="AA438" s="12">
        <v>0</v>
      </c>
      <c r="AB438" s="13">
        <f t="shared" si="25"/>
        <v>0</v>
      </c>
      <c r="AE438" s="12">
        <v>0</v>
      </c>
      <c r="AF438" s="12">
        <v>0</v>
      </c>
      <c r="AG438" s="12">
        <v>0</v>
      </c>
      <c r="AH438" s="12">
        <v>2.66</v>
      </c>
      <c r="AI438" s="12">
        <v>0</v>
      </c>
      <c r="AJ438" s="13">
        <f t="shared" si="26"/>
        <v>0</v>
      </c>
      <c r="AN438" s="12">
        <f t="shared" si="27"/>
        <v>5326</v>
      </c>
      <c r="AQ438" s="8" t="s">
        <v>417</v>
      </c>
      <c r="AR438" t="str">
        <f t="shared" si="28"/>
        <v>Oeste - A07</v>
      </c>
    </row>
    <row r="439" spans="1:44" x14ac:dyDescent="0.2">
      <c r="A439" s="107" t="s">
        <v>5147</v>
      </c>
      <c r="B439" s="106" t="s">
        <v>5146</v>
      </c>
      <c r="C439" s="106" t="s">
        <v>5058</v>
      </c>
      <c r="D439" s="106" t="s">
        <v>2567</v>
      </c>
      <c r="E439" s="106" t="s">
        <v>5056</v>
      </c>
      <c r="F439" s="106" t="s">
        <v>490</v>
      </c>
      <c r="G439" s="106" t="s">
        <v>5145</v>
      </c>
      <c r="H439" s="105" t="s">
        <v>5144</v>
      </c>
      <c r="I439" s="105" t="s">
        <v>5139</v>
      </c>
      <c r="J439" s="104">
        <v>7.24</v>
      </c>
      <c r="K439" s="103" t="s">
        <v>427</v>
      </c>
      <c r="L439" s="102" t="s">
        <v>507</v>
      </c>
      <c r="M439" s="95"/>
      <c r="N439" s="14"/>
      <c r="O439" s="94">
        <v>39</v>
      </c>
      <c r="P439" s="14" t="s">
        <v>485</v>
      </c>
      <c r="Q439" s="14" t="s">
        <v>497</v>
      </c>
      <c r="R439" s="16" t="s">
        <v>496</v>
      </c>
      <c r="S439" s="15">
        <v>6.7</v>
      </c>
      <c r="T439" s="15">
        <v>1</v>
      </c>
      <c r="U439" s="15">
        <v>0</v>
      </c>
      <c r="V439" s="14">
        <v>2002</v>
      </c>
      <c r="W439" s="12">
        <v>0</v>
      </c>
      <c r="X439" s="12">
        <v>0</v>
      </c>
      <c r="Y439" s="12">
        <v>3</v>
      </c>
      <c r="Z439" s="12">
        <v>4.24</v>
      </c>
      <c r="AA439" s="12">
        <v>0</v>
      </c>
      <c r="AB439" s="13">
        <f t="shared" si="25"/>
        <v>0</v>
      </c>
      <c r="AE439" s="12">
        <v>0</v>
      </c>
      <c r="AF439" s="12">
        <v>0</v>
      </c>
      <c r="AG439" s="12">
        <v>3</v>
      </c>
      <c r="AH439" s="12">
        <v>4.24</v>
      </c>
      <c r="AI439" s="12">
        <v>0</v>
      </c>
      <c r="AJ439" s="13">
        <f t="shared" si="26"/>
        <v>0</v>
      </c>
      <c r="AN439" s="12">
        <f t="shared" si="27"/>
        <v>14495</v>
      </c>
      <c r="AQ439" s="8" t="s">
        <v>417</v>
      </c>
      <c r="AR439" t="str">
        <f t="shared" si="28"/>
        <v>Oeste - A07</v>
      </c>
    </row>
    <row r="440" spans="1:44" x14ac:dyDescent="0.2">
      <c r="A440" s="107" t="s">
        <v>5143</v>
      </c>
      <c r="B440" s="106" t="s">
        <v>5142</v>
      </c>
      <c r="C440" s="106" t="s">
        <v>5058</v>
      </c>
      <c r="D440" s="106" t="s">
        <v>5141</v>
      </c>
      <c r="E440" s="106" t="s">
        <v>5056</v>
      </c>
      <c r="F440" s="106" t="s">
        <v>490</v>
      </c>
      <c r="G440" s="106" t="s">
        <v>5140</v>
      </c>
      <c r="H440" s="105" t="s">
        <v>5139</v>
      </c>
      <c r="I440" s="105" t="s">
        <v>5134</v>
      </c>
      <c r="J440" s="104">
        <v>8.27</v>
      </c>
      <c r="K440" s="103" t="s">
        <v>427</v>
      </c>
      <c r="L440" s="102" t="s">
        <v>507</v>
      </c>
      <c r="M440" s="95"/>
      <c r="N440" s="14"/>
      <c r="O440" s="94">
        <v>39</v>
      </c>
      <c r="P440" s="14" t="s">
        <v>485</v>
      </c>
      <c r="Q440" s="14" t="s">
        <v>497</v>
      </c>
      <c r="R440" s="16" t="s">
        <v>496</v>
      </c>
      <c r="S440" s="15">
        <v>6.7</v>
      </c>
      <c r="T440" s="15">
        <v>1</v>
      </c>
      <c r="U440" s="15">
        <v>0</v>
      </c>
      <c r="V440" s="14">
        <v>2002</v>
      </c>
      <c r="W440" s="12">
        <v>0</v>
      </c>
      <c r="X440" s="12">
        <v>0</v>
      </c>
      <c r="Y440" s="12">
        <v>5</v>
      </c>
      <c r="Z440" s="12">
        <v>3.2699999999999996</v>
      </c>
      <c r="AA440" s="12">
        <v>0</v>
      </c>
      <c r="AB440" s="13">
        <f t="shared" si="25"/>
        <v>0</v>
      </c>
      <c r="AE440" s="12">
        <v>0</v>
      </c>
      <c r="AF440" s="12">
        <v>0</v>
      </c>
      <c r="AG440" s="12">
        <v>5</v>
      </c>
      <c r="AH440" s="12">
        <v>3.2699999999999996</v>
      </c>
      <c r="AI440" s="12">
        <v>0</v>
      </c>
      <c r="AJ440" s="13">
        <f t="shared" si="26"/>
        <v>0</v>
      </c>
      <c r="AN440" s="12">
        <f t="shared" si="27"/>
        <v>16557</v>
      </c>
      <c r="AQ440" s="8" t="s">
        <v>417</v>
      </c>
      <c r="AR440" t="str">
        <f t="shared" si="28"/>
        <v>Oeste - A07</v>
      </c>
    </row>
    <row r="441" spans="1:44" x14ac:dyDescent="0.2">
      <c r="A441" s="107" t="s">
        <v>5138</v>
      </c>
      <c r="B441" s="106" t="s">
        <v>5137</v>
      </c>
      <c r="C441" s="106" t="s">
        <v>5058</v>
      </c>
      <c r="D441" s="106" t="s">
        <v>5136</v>
      </c>
      <c r="E441" s="106" t="s">
        <v>5056</v>
      </c>
      <c r="F441" s="106" t="s">
        <v>490</v>
      </c>
      <c r="G441" s="106" t="s">
        <v>5135</v>
      </c>
      <c r="H441" s="105" t="s">
        <v>5134</v>
      </c>
      <c r="I441" s="105" t="s">
        <v>5130</v>
      </c>
      <c r="J441" s="104">
        <v>10.87</v>
      </c>
      <c r="K441" s="103" t="s">
        <v>427</v>
      </c>
      <c r="L441" s="102" t="s">
        <v>507</v>
      </c>
      <c r="M441" s="95"/>
      <c r="N441" s="14"/>
      <c r="O441" s="94">
        <v>39</v>
      </c>
      <c r="P441" s="14" t="s">
        <v>485</v>
      </c>
      <c r="Q441" s="14" t="s">
        <v>497</v>
      </c>
      <c r="R441" s="16" t="s">
        <v>496</v>
      </c>
      <c r="S441" s="15">
        <v>6.7</v>
      </c>
      <c r="T441" s="15">
        <v>1</v>
      </c>
      <c r="U441" s="15">
        <v>0</v>
      </c>
      <c r="V441" s="14">
        <v>2002</v>
      </c>
      <c r="W441" s="12">
        <v>0</v>
      </c>
      <c r="X441" s="12">
        <v>2.8699999999999992</v>
      </c>
      <c r="Y441" s="12">
        <v>5</v>
      </c>
      <c r="Z441" s="12">
        <v>3</v>
      </c>
      <c r="AA441" s="12">
        <v>0</v>
      </c>
      <c r="AB441" s="13">
        <f t="shared" si="25"/>
        <v>0</v>
      </c>
      <c r="AE441" s="12">
        <v>0</v>
      </c>
      <c r="AF441" s="12">
        <v>2.8699999999999992</v>
      </c>
      <c r="AG441" s="12">
        <v>5</v>
      </c>
      <c r="AH441" s="12">
        <v>3</v>
      </c>
      <c r="AI441" s="12">
        <v>0</v>
      </c>
      <c r="AJ441" s="13">
        <f t="shared" si="26"/>
        <v>0</v>
      </c>
      <c r="AN441" s="12">
        <f t="shared" si="27"/>
        <v>21762</v>
      </c>
      <c r="AQ441" s="8" t="s">
        <v>417</v>
      </c>
      <c r="AR441" t="str">
        <f t="shared" si="28"/>
        <v>Oeste - A07</v>
      </c>
    </row>
    <row r="442" spans="1:44" x14ac:dyDescent="0.2">
      <c r="A442" s="107" t="s">
        <v>5133</v>
      </c>
      <c r="B442" s="106" t="s">
        <v>5132</v>
      </c>
      <c r="C442" s="106" t="s">
        <v>5058</v>
      </c>
      <c r="D442" s="106" t="s">
        <v>2560</v>
      </c>
      <c r="E442" s="106" t="s">
        <v>5056</v>
      </c>
      <c r="F442" s="106" t="s">
        <v>490</v>
      </c>
      <c r="G442" s="106" t="s">
        <v>5131</v>
      </c>
      <c r="H442" s="105" t="s">
        <v>5130</v>
      </c>
      <c r="I442" s="105" t="s">
        <v>5126</v>
      </c>
      <c r="J442" s="104">
        <v>13.63</v>
      </c>
      <c r="K442" s="103" t="s">
        <v>427</v>
      </c>
      <c r="L442" s="102" t="s">
        <v>507</v>
      </c>
      <c r="M442" s="95"/>
      <c r="N442" s="14"/>
      <c r="O442" s="94">
        <v>39</v>
      </c>
      <c r="P442" s="14" t="s">
        <v>485</v>
      </c>
      <c r="Q442" s="14" t="s">
        <v>497</v>
      </c>
      <c r="R442" s="16" t="s">
        <v>496</v>
      </c>
      <c r="S442" s="15">
        <v>6.7</v>
      </c>
      <c r="T442" s="15">
        <v>1</v>
      </c>
      <c r="U442" s="15">
        <v>5.9999999999999991</v>
      </c>
      <c r="V442" s="14">
        <v>3313</v>
      </c>
      <c r="W442" s="12">
        <v>0</v>
      </c>
      <c r="X442" s="12">
        <v>0</v>
      </c>
      <c r="Y442" s="12">
        <v>4</v>
      </c>
      <c r="Z442" s="12">
        <v>9.6300000000000008</v>
      </c>
      <c r="AA442" s="12">
        <v>0</v>
      </c>
      <c r="AB442" s="13">
        <f t="shared" si="25"/>
        <v>0</v>
      </c>
      <c r="AE442" s="12">
        <v>0</v>
      </c>
      <c r="AF442" s="12">
        <v>0</v>
      </c>
      <c r="AG442" s="12">
        <v>4</v>
      </c>
      <c r="AH442" s="12">
        <v>9.6300000000000008</v>
      </c>
      <c r="AI442" s="12">
        <v>0</v>
      </c>
      <c r="AJ442" s="13">
        <f t="shared" si="26"/>
        <v>0</v>
      </c>
      <c r="AN442" s="12">
        <f t="shared" si="27"/>
        <v>45157</v>
      </c>
      <c r="AQ442" s="8" t="s">
        <v>417</v>
      </c>
      <c r="AR442" t="str">
        <f t="shared" si="28"/>
        <v>Oeste - A07</v>
      </c>
    </row>
    <row r="443" spans="1:44" x14ac:dyDescent="0.2">
      <c r="A443" s="107" t="s">
        <v>5129</v>
      </c>
      <c r="B443" s="106" t="s">
        <v>5128</v>
      </c>
      <c r="C443" s="106" t="s">
        <v>5058</v>
      </c>
      <c r="D443" s="106" t="s">
        <v>4967</v>
      </c>
      <c r="E443" s="106" t="s">
        <v>5056</v>
      </c>
      <c r="F443" s="106" t="s">
        <v>490</v>
      </c>
      <c r="G443" s="106" t="s">
        <v>5127</v>
      </c>
      <c r="H443" s="105" t="s">
        <v>5126</v>
      </c>
      <c r="I443" s="105" t="s">
        <v>5122</v>
      </c>
      <c r="J443" s="104">
        <v>3.56</v>
      </c>
      <c r="K443" s="103" t="s">
        <v>427</v>
      </c>
      <c r="L443" s="102" t="s">
        <v>507</v>
      </c>
      <c r="M443" s="95"/>
      <c r="N443" s="14"/>
      <c r="O443" s="94">
        <v>39</v>
      </c>
      <c r="P443" s="14" t="s">
        <v>485</v>
      </c>
      <c r="Q443" s="14" t="s">
        <v>497</v>
      </c>
      <c r="R443" s="16" t="s">
        <v>496</v>
      </c>
      <c r="S443" s="15">
        <v>6.7</v>
      </c>
      <c r="T443" s="15">
        <v>1</v>
      </c>
      <c r="U443" s="15">
        <v>2.2000000000000002</v>
      </c>
      <c r="V443" s="14">
        <v>2002</v>
      </c>
      <c r="W443" s="12">
        <v>0</v>
      </c>
      <c r="X443" s="12">
        <v>0</v>
      </c>
      <c r="Y443" s="12">
        <v>1.56</v>
      </c>
      <c r="Z443" s="12">
        <v>2</v>
      </c>
      <c r="AA443" s="12">
        <v>0</v>
      </c>
      <c r="AB443" s="13">
        <f t="shared" si="25"/>
        <v>0</v>
      </c>
      <c r="AE443" s="12">
        <v>0</v>
      </c>
      <c r="AF443" s="12">
        <v>0</v>
      </c>
      <c r="AG443" s="12">
        <v>1.56</v>
      </c>
      <c r="AH443" s="12">
        <v>2</v>
      </c>
      <c r="AI443" s="12">
        <v>0</v>
      </c>
      <c r="AJ443" s="13">
        <f t="shared" si="26"/>
        <v>0</v>
      </c>
      <c r="AN443" s="12">
        <f t="shared" si="27"/>
        <v>7128</v>
      </c>
      <c r="AQ443" s="8" t="s">
        <v>417</v>
      </c>
      <c r="AR443" t="str">
        <f t="shared" si="28"/>
        <v>Oeste - A07</v>
      </c>
    </row>
    <row r="444" spans="1:44" x14ac:dyDescent="0.2">
      <c r="A444" s="107" t="s">
        <v>5125</v>
      </c>
      <c r="B444" s="106" t="s">
        <v>5124</v>
      </c>
      <c r="C444" s="106" t="s">
        <v>5058</v>
      </c>
      <c r="D444" s="106" t="s">
        <v>4963</v>
      </c>
      <c r="E444" s="106" t="s">
        <v>5094</v>
      </c>
      <c r="F444" s="106" t="s">
        <v>590</v>
      </c>
      <c r="G444" s="106" t="s">
        <v>5123</v>
      </c>
      <c r="H444" s="105" t="s">
        <v>5122</v>
      </c>
      <c r="I444" s="105" t="s">
        <v>5118</v>
      </c>
      <c r="J444" s="104">
        <v>2.0099999999999998</v>
      </c>
      <c r="K444" s="103" t="s">
        <v>425</v>
      </c>
      <c r="L444" s="102" t="s">
        <v>507</v>
      </c>
      <c r="M444" s="95"/>
      <c r="N444" s="14"/>
      <c r="O444" s="94">
        <v>37</v>
      </c>
      <c r="P444" s="14" t="s">
        <v>586</v>
      </c>
      <c r="Q444" s="14" t="s">
        <v>497</v>
      </c>
      <c r="R444" s="14" t="s">
        <v>496</v>
      </c>
      <c r="S444" s="15">
        <v>8.4</v>
      </c>
      <c r="T444" s="15">
        <v>2</v>
      </c>
      <c r="U444" s="15">
        <v>0</v>
      </c>
      <c r="V444" s="14">
        <v>1051</v>
      </c>
      <c r="W444" s="12">
        <v>0</v>
      </c>
      <c r="X444" s="12">
        <v>0</v>
      </c>
      <c r="Y444" s="12">
        <v>1</v>
      </c>
      <c r="Z444" s="12">
        <v>1.0099999999999998</v>
      </c>
      <c r="AA444" s="12">
        <v>0</v>
      </c>
      <c r="AB444" s="13">
        <f t="shared" si="25"/>
        <v>0</v>
      </c>
      <c r="AE444" s="12">
        <v>0</v>
      </c>
      <c r="AF444" s="12">
        <v>0</v>
      </c>
      <c r="AG444" s="12">
        <v>1</v>
      </c>
      <c r="AH444" s="12">
        <v>1.0099999999999998</v>
      </c>
      <c r="AI444" s="12">
        <v>0</v>
      </c>
      <c r="AJ444" s="13">
        <f t="shared" si="26"/>
        <v>0</v>
      </c>
      <c r="AN444" s="12">
        <f t="shared" si="27"/>
        <v>2113</v>
      </c>
      <c r="AQ444" s="8" t="s">
        <v>417</v>
      </c>
      <c r="AR444" t="str">
        <f t="shared" si="28"/>
        <v>Oeste - A05</v>
      </c>
    </row>
    <row r="445" spans="1:44" x14ac:dyDescent="0.2">
      <c r="A445" s="107" t="s">
        <v>5121</v>
      </c>
      <c r="B445" s="106" t="s">
        <v>5120</v>
      </c>
      <c r="C445" s="106" t="s">
        <v>5058</v>
      </c>
      <c r="D445" s="106" t="s">
        <v>4754</v>
      </c>
      <c r="E445" s="106" t="s">
        <v>5056</v>
      </c>
      <c r="F445" s="106" t="s">
        <v>490</v>
      </c>
      <c r="G445" s="106" t="s">
        <v>5119</v>
      </c>
      <c r="H445" s="105" t="s">
        <v>5118</v>
      </c>
      <c r="I445" s="105" t="s">
        <v>5114</v>
      </c>
      <c r="J445" s="104">
        <v>3.56</v>
      </c>
      <c r="K445" s="103" t="s">
        <v>425</v>
      </c>
      <c r="L445" s="102" t="s">
        <v>507</v>
      </c>
      <c r="M445" s="95"/>
      <c r="N445" s="17">
        <f>O445</f>
        <v>37</v>
      </c>
      <c r="O445" s="94">
        <v>37</v>
      </c>
      <c r="P445" s="14" t="s">
        <v>485</v>
      </c>
      <c r="Q445" s="14" t="s">
        <v>497</v>
      </c>
      <c r="R445" s="14" t="s">
        <v>496</v>
      </c>
      <c r="S445" s="15">
        <v>6.8</v>
      </c>
      <c r="T445" s="15">
        <v>0</v>
      </c>
      <c r="U445" s="15">
        <v>0.8</v>
      </c>
      <c r="V445" s="14">
        <v>4823</v>
      </c>
      <c r="W445" s="12">
        <v>0</v>
      </c>
      <c r="X445" s="12">
        <v>0</v>
      </c>
      <c r="Y445" s="12">
        <v>2</v>
      </c>
      <c r="Z445" s="12">
        <v>1.56</v>
      </c>
      <c r="AA445" s="12">
        <v>0</v>
      </c>
      <c r="AB445" s="13">
        <f t="shared" si="25"/>
        <v>0</v>
      </c>
      <c r="AE445" s="12">
        <v>0</v>
      </c>
      <c r="AF445" s="12">
        <v>0</v>
      </c>
      <c r="AG445" s="12">
        <v>2</v>
      </c>
      <c r="AH445" s="12">
        <v>1.56</v>
      </c>
      <c r="AI445" s="12">
        <v>0</v>
      </c>
      <c r="AJ445" s="13">
        <f t="shared" si="26"/>
        <v>0</v>
      </c>
      <c r="AN445" s="12">
        <f t="shared" si="27"/>
        <v>17170</v>
      </c>
      <c r="AQ445" s="8" t="s">
        <v>417</v>
      </c>
      <c r="AR445" t="str">
        <f t="shared" si="28"/>
        <v>Oeste - A05</v>
      </c>
    </row>
    <row r="446" spans="1:44" x14ac:dyDescent="0.2">
      <c r="A446" s="107" t="s">
        <v>5117</v>
      </c>
      <c r="B446" s="106" t="s">
        <v>5116</v>
      </c>
      <c r="C446" s="106" t="s">
        <v>5058</v>
      </c>
      <c r="D446" s="106" t="s">
        <v>4749</v>
      </c>
      <c r="E446" s="106" t="s">
        <v>5056</v>
      </c>
      <c r="F446" s="106" t="s">
        <v>490</v>
      </c>
      <c r="G446" s="106" t="s">
        <v>5115</v>
      </c>
      <c r="H446" s="105" t="s">
        <v>5114</v>
      </c>
      <c r="I446" s="105" t="s">
        <v>5110</v>
      </c>
      <c r="J446" s="104">
        <v>7.33</v>
      </c>
      <c r="K446" s="103" t="s">
        <v>425</v>
      </c>
      <c r="L446" s="102" t="s">
        <v>507</v>
      </c>
      <c r="M446" s="95"/>
      <c r="N446" s="17">
        <f>O446</f>
        <v>37</v>
      </c>
      <c r="O446" s="94">
        <v>37</v>
      </c>
      <c r="P446" s="14" t="s">
        <v>485</v>
      </c>
      <c r="Q446" s="14" t="s">
        <v>497</v>
      </c>
      <c r="R446" s="14" t="s">
        <v>496</v>
      </c>
      <c r="S446" s="15">
        <v>6.8</v>
      </c>
      <c r="T446" s="15">
        <v>0</v>
      </c>
      <c r="U446" s="15">
        <v>0</v>
      </c>
      <c r="V446" s="14">
        <v>5667</v>
      </c>
      <c r="W446" s="12">
        <v>0</v>
      </c>
      <c r="X446" s="12">
        <v>0</v>
      </c>
      <c r="Y446" s="12">
        <v>3</v>
      </c>
      <c r="Z446" s="12">
        <v>4.33</v>
      </c>
      <c r="AA446" s="12">
        <v>0</v>
      </c>
      <c r="AB446" s="13">
        <f t="shared" si="25"/>
        <v>0</v>
      </c>
      <c r="AE446" s="12">
        <v>0</v>
      </c>
      <c r="AF446" s="12">
        <v>0</v>
      </c>
      <c r="AG446" s="12">
        <v>3</v>
      </c>
      <c r="AH446" s="12">
        <v>4.33</v>
      </c>
      <c r="AI446" s="12">
        <v>0</v>
      </c>
      <c r="AJ446" s="13">
        <f t="shared" si="26"/>
        <v>0</v>
      </c>
      <c r="AN446" s="12">
        <f t="shared" si="27"/>
        <v>41540</v>
      </c>
      <c r="AQ446" s="8" t="s">
        <v>417</v>
      </c>
      <c r="AR446" t="str">
        <f t="shared" si="28"/>
        <v>Oeste - A05</v>
      </c>
    </row>
    <row r="447" spans="1:44" x14ac:dyDescent="0.2">
      <c r="A447" s="107" t="s">
        <v>5113</v>
      </c>
      <c r="B447" s="106" t="s">
        <v>5112</v>
      </c>
      <c r="C447" s="106" t="s">
        <v>5058</v>
      </c>
      <c r="D447" s="106" t="s">
        <v>4735</v>
      </c>
      <c r="E447" s="106" t="s">
        <v>5056</v>
      </c>
      <c r="F447" s="106" t="s">
        <v>490</v>
      </c>
      <c r="G447" s="106" t="s">
        <v>5111</v>
      </c>
      <c r="H447" s="105" t="s">
        <v>5110</v>
      </c>
      <c r="I447" s="105" t="s">
        <v>3177</v>
      </c>
      <c r="J447" s="104">
        <v>19.2</v>
      </c>
      <c r="K447" s="103" t="s">
        <v>425</v>
      </c>
      <c r="L447" s="102" t="s">
        <v>507</v>
      </c>
      <c r="M447" s="95"/>
      <c r="N447" s="17">
        <f>O447</f>
        <v>37</v>
      </c>
      <c r="O447" s="94">
        <v>37</v>
      </c>
      <c r="P447" s="14" t="s">
        <v>485</v>
      </c>
      <c r="Q447" s="14" t="s">
        <v>497</v>
      </c>
      <c r="R447" s="14" t="s">
        <v>496</v>
      </c>
      <c r="S447" s="15">
        <v>7</v>
      </c>
      <c r="T447" s="15">
        <v>0</v>
      </c>
      <c r="U447" s="15">
        <v>1.5999999999999979</v>
      </c>
      <c r="V447" s="14">
        <v>3365</v>
      </c>
      <c r="W447" s="12">
        <v>0</v>
      </c>
      <c r="X447" s="12">
        <v>2</v>
      </c>
      <c r="Y447" s="12">
        <v>7.1999999999999993</v>
      </c>
      <c r="Z447" s="12">
        <v>10</v>
      </c>
      <c r="AA447" s="12">
        <v>0</v>
      </c>
      <c r="AB447" s="13">
        <f t="shared" si="25"/>
        <v>0</v>
      </c>
      <c r="AE447" s="12">
        <v>0</v>
      </c>
      <c r="AF447" s="12">
        <v>2</v>
      </c>
      <c r="AG447" s="12">
        <v>7.1999999999999993</v>
      </c>
      <c r="AH447" s="12">
        <v>10</v>
      </c>
      <c r="AI447" s="12">
        <v>0</v>
      </c>
      <c r="AJ447" s="13">
        <f t="shared" si="26"/>
        <v>0</v>
      </c>
      <c r="AN447" s="12">
        <f t="shared" si="27"/>
        <v>64608</v>
      </c>
      <c r="AQ447" s="8" t="s">
        <v>417</v>
      </c>
      <c r="AR447" t="str">
        <f t="shared" si="28"/>
        <v>Oeste - A05</v>
      </c>
    </row>
    <row r="448" spans="1:44" x14ac:dyDescent="0.2">
      <c r="A448" s="107" t="s">
        <v>5109</v>
      </c>
      <c r="B448" s="106" t="s">
        <v>5108</v>
      </c>
      <c r="C448" s="106" t="s">
        <v>5058</v>
      </c>
      <c r="D448" s="106" t="s">
        <v>5107</v>
      </c>
      <c r="E448" s="106" t="s">
        <v>5094</v>
      </c>
      <c r="F448" s="106" t="s">
        <v>590</v>
      </c>
      <c r="G448" s="106" t="s">
        <v>5106</v>
      </c>
      <c r="H448" s="105" t="s">
        <v>3177</v>
      </c>
      <c r="I448" s="105" t="s">
        <v>5105</v>
      </c>
      <c r="J448" s="104">
        <v>0.37</v>
      </c>
      <c r="K448" s="103" t="s">
        <v>425</v>
      </c>
      <c r="L448" s="102" t="s">
        <v>507</v>
      </c>
      <c r="M448" s="95"/>
      <c r="N448" s="14"/>
      <c r="O448" s="94">
        <v>37</v>
      </c>
      <c r="P448" s="14" t="s">
        <v>586</v>
      </c>
      <c r="Q448" s="14" t="s">
        <v>691</v>
      </c>
      <c r="R448" s="14" t="s">
        <v>496</v>
      </c>
      <c r="S448" s="15">
        <v>7.6</v>
      </c>
      <c r="T448" s="15">
        <v>6</v>
      </c>
      <c r="U448" s="15">
        <v>0</v>
      </c>
      <c r="V448" s="14">
        <v>2074</v>
      </c>
      <c r="W448" s="12">
        <v>0</v>
      </c>
      <c r="X448" s="12">
        <v>0.37</v>
      </c>
      <c r="Y448" s="12">
        <v>0</v>
      </c>
      <c r="Z448" s="12">
        <v>0</v>
      </c>
      <c r="AA448" s="12">
        <v>0</v>
      </c>
      <c r="AB448" s="13">
        <f t="shared" si="25"/>
        <v>0</v>
      </c>
      <c r="AE448" s="12">
        <v>0</v>
      </c>
      <c r="AF448" s="12">
        <v>0.37</v>
      </c>
      <c r="AG448" s="12">
        <v>0</v>
      </c>
      <c r="AH448" s="12">
        <v>0</v>
      </c>
      <c r="AI448" s="12">
        <v>0</v>
      </c>
      <c r="AJ448" s="13">
        <f t="shared" si="26"/>
        <v>0</v>
      </c>
      <c r="AN448" s="12">
        <f t="shared" si="27"/>
        <v>768</v>
      </c>
      <c r="AQ448" s="8" t="s">
        <v>417</v>
      </c>
      <c r="AR448" t="str">
        <f t="shared" si="28"/>
        <v>Oeste - A05</v>
      </c>
    </row>
    <row r="449" spans="1:44" x14ac:dyDescent="0.2">
      <c r="A449" s="107" t="s">
        <v>5104</v>
      </c>
      <c r="B449" s="106" t="s">
        <v>5103</v>
      </c>
      <c r="C449" s="106" t="s">
        <v>5058</v>
      </c>
      <c r="D449" s="106" t="s">
        <v>4726</v>
      </c>
      <c r="E449" s="106" t="s">
        <v>5056</v>
      </c>
      <c r="F449" s="106" t="s">
        <v>490</v>
      </c>
      <c r="G449" s="106" t="s">
        <v>5102</v>
      </c>
      <c r="H449" s="105" t="s">
        <v>5101</v>
      </c>
      <c r="I449" s="105" t="s">
        <v>5097</v>
      </c>
      <c r="J449" s="104">
        <v>1.85</v>
      </c>
      <c r="K449" s="103" t="s">
        <v>426</v>
      </c>
      <c r="L449" s="102" t="s">
        <v>507</v>
      </c>
      <c r="M449" s="95"/>
      <c r="N449" s="14"/>
      <c r="O449" s="94">
        <v>38</v>
      </c>
      <c r="P449" s="14" t="s">
        <v>485</v>
      </c>
      <c r="Q449" s="14" t="s">
        <v>497</v>
      </c>
      <c r="R449" s="14" t="s">
        <v>496</v>
      </c>
      <c r="S449" s="15">
        <v>6.8</v>
      </c>
      <c r="T449" s="15">
        <v>1.5</v>
      </c>
      <c r="U449" s="15">
        <v>0</v>
      </c>
      <c r="V449" s="14">
        <v>3393</v>
      </c>
      <c r="W449" s="12">
        <v>0</v>
      </c>
      <c r="X449" s="12">
        <v>0</v>
      </c>
      <c r="Y449" s="12">
        <v>0.85000000000000009</v>
      </c>
      <c r="Z449" s="12">
        <v>1</v>
      </c>
      <c r="AA449" s="12">
        <v>0</v>
      </c>
      <c r="AB449" s="13">
        <f t="shared" si="25"/>
        <v>0</v>
      </c>
      <c r="AE449" s="12">
        <v>0</v>
      </c>
      <c r="AF449" s="12">
        <v>0</v>
      </c>
      <c r="AG449" s="12">
        <v>0.85000000000000009</v>
      </c>
      <c r="AH449" s="12">
        <v>1</v>
      </c>
      <c r="AI449" s="12">
        <v>0</v>
      </c>
      <c r="AJ449" s="13">
        <f t="shared" si="26"/>
        <v>0</v>
      </c>
      <c r="AN449" s="12">
        <f t="shared" si="27"/>
        <v>6278</v>
      </c>
      <c r="AQ449" s="8" t="s">
        <v>417</v>
      </c>
      <c r="AR449" t="str">
        <f t="shared" si="28"/>
        <v>Oeste - A06</v>
      </c>
    </row>
    <row r="450" spans="1:44" x14ac:dyDescent="0.2">
      <c r="A450" s="107" t="s">
        <v>5100</v>
      </c>
      <c r="B450" s="106" t="s">
        <v>5099</v>
      </c>
      <c r="C450" s="106" t="s">
        <v>5058</v>
      </c>
      <c r="D450" s="106" t="s">
        <v>4715</v>
      </c>
      <c r="E450" s="106" t="s">
        <v>5056</v>
      </c>
      <c r="F450" s="106" t="s">
        <v>490</v>
      </c>
      <c r="G450" s="106" t="s">
        <v>5098</v>
      </c>
      <c r="H450" s="105" t="s">
        <v>5097</v>
      </c>
      <c r="I450" s="105" t="s">
        <v>5092</v>
      </c>
      <c r="J450" s="104">
        <v>17.47</v>
      </c>
      <c r="K450" s="103" t="s">
        <v>426</v>
      </c>
      <c r="L450" s="102" t="s">
        <v>507</v>
      </c>
      <c r="M450" s="95"/>
      <c r="N450" s="14"/>
      <c r="O450" s="94">
        <v>38</v>
      </c>
      <c r="P450" s="14" t="s">
        <v>485</v>
      </c>
      <c r="Q450" s="14" t="s">
        <v>497</v>
      </c>
      <c r="R450" s="14" t="s">
        <v>496</v>
      </c>
      <c r="S450" s="15">
        <v>6.8</v>
      </c>
      <c r="T450" s="15">
        <v>0</v>
      </c>
      <c r="U450" s="15">
        <v>0</v>
      </c>
      <c r="V450" s="14">
        <v>2174</v>
      </c>
      <c r="W450" s="12">
        <v>0</v>
      </c>
      <c r="X450" s="12">
        <v>0</v>
      </c>
      <c r="Y450" s="12">
        <v>15</v>
      </c>
      <c r="Z450" s="12">
        <v>2.4699999999999989</v>
      </c>
      <c r="AA450" s="12">
        <v>0</v>
      </c>
      <c r="AB450" s="13">
        <f t="shared" si="25"/>
        <v>0</v>
      </c>
      <c r="AE450" s="12">
        <v>0</v>
      </c>
      <c r="AF450" s="12">
        <v>0</v>
      </c>
      <c r="AG450" s="12">
        <v>15</v>
      </c>
      <c r="AH450" s="12">
        <v>2.4699999999999989</v>
      </c>
      <c r="AI450" s="12">
        <v>0</v>
      </c>
      <c r="AJ450" s="13">
        <f t="shared" si="26"/>
        <v>0</v>
      </c>
      <c r="AN450" s="12">
        <f t="shared" si="27"/>
        <v>37980</v>
      </c>
      <c r="AQ450" s="8" t="s">
        <v>417</v>
      </c>
      <c r="AR450" t="str">
        <f t="shared" si="28"/>
        <v>Oeste - A06</v>
      </c>
    </row>
    <row r="451" spans="1:44" x14ac:dyDescent="0.2">
      <c r="A451" s="107" t="s">
        <v>5096</v>
      </c>
      <c r="B451" s="106" t="s">
        <v>5095</v>
      </c>
      <c r="C451" s="106" t="s">
        <v>5058</v>
      </c>
      <c r="D451" s="106" t="s">
        <v>3524</v>
      </c>
      <c r="E451" s="106" t="s">
        <v>5094</v>
      </c>
      <c r="F451" s="106" t="s">
        <v>590</v>
      </c>
      <c r="G451" s="106" t="s">
        <v>5093</v>
      </c>
      <c r="H451" s="105" t="s">
        <v>5092</v>
      </c>
      <c r="I451" s="105" t="s">
        <v>5088</v>
      </c>
      <c r="J451" s="104">
        <v>3.64</v>
      </c>
      <c r="K451" s="103" t="s">
        <v>426</v>
      </c>
      <c r="L451" s="102" t="s">
        <v>507</v>
      </c>
      <c r="M451" s="95"/>
      <c r="N451" s="14"/>
      <c r="O451" s="94">
        <v>38</v>
      </c>
      <c r="P451" s="14" t="s">
        <v>586</v>
      </c>
      <c r="Q451" s="14" t="s">
        <v>497</v>
      </c>
      <c r="R451" s="14" t="s">
        <v>496</v>
      </c>
      <c r="S451" s="15">
        <v>7.6</v>
      </c>
      <c r="T451" s="15">
        <v>4.5</v>
      </c>
      <c r="U451" s="15">
        <v>0</v>
      </c>
      <c r="V451" s="14">
        <v>2074</v>
      </c>
      <c r="W451" s="12">
        <v>0</v>
      </c>
      <c r="X451" s="12">
        <v>0</v>
      </c>
      <c r="Y451" s="12">
        <v>0</v>
      </c>
      <c r="Z451" s="12">
        <v>3.64</v>
      </c>
      <c r="AA451" s="12">
        <v>0</v>
      </c>
      <c r="AB451" s="13">
        <f t="shared" si="25"/>
        <v>0</v>
      </c>
      <c r="AE451" s="12">
        <v>0</v>
      </c>
      <c r="AF451" s="12">
        <v>0</v>
      </c>
      <c r="AG451" s="12">
        <v>0</v>
      </c>
      <c r="AH451" s="12">
        <v>3.64</v>
      </c>
      <c r="AI451" s="12">
        <v>0</v>
      </c>
      <c r="AJ451" s="13">
        <f t="shared" si="26"/>
        <v>0</v>
      </c>
      <c r="AN451" s="12">
        <f t="shared" si="27"/>
        <v>7550</v>
      </c>
      <c r="AQ451" s="8" t="s">
        <v>417</v>
      </c>
      <c r="AR451" t="str">
        <f t="shared" si="28"/>
        <v>Oeste - A06</v>
      </c>
    </row>
    <row r="452" spans="1:44" x14ac:dyDescent="0.2">
      <c r="A452" s="107" t="s">
        <v>5091</v>
      </c>
      <c r="B452" s="106" t="s">
        <v>5090</v>
      </c>
      <c r="C452" s="106" t="s">
        <v>5058</v>
      </c>
      <c r="D452" s="106" t="s">
        <v>4705</v>
      </c>
      <c r="E452" s="106" t="s">
        <v>5056</v>
      </c>
      <c r="F452" s="106" t="s">
        <v>490</v>
      </c>
      <c r="G452" s="106" t="s">
        <v>5089</v>
      </c>
      <c r="H452" s="105" t="s">
        <v>5088</v>
      </c>
      <c r="I452" s="105" t="s">
        <v>5084</v>
      </c>
      <c r="J452" s="104">
        <v>1.46</v>
      </c>
      <c r="K452" s="103" t="s">
        <v>426</v>
      </c>
      <c r="L452" s="102" t="s">
        <v>507</v>
      </c>
      <c r="M452" s="95"/>
      <c r="N452" s="14"/>
      <c r="O452" s="94">
        <v>38</v>
      </c>
      <c r="P452" s="14" t="s">
        <v>485</v>
      </c>
      <c r="Q452" s="14" t="s">
        <v>497</v>
      </c>
      <c r="R452" s="14" t="s">
        <v>496</v>
      </c>
      <c r="S452" s="15">
        <v>6.8</v>
      </c>
      <c r="T452" s="15">
        <v>0</v>
      </c>
      <c r="U452" s="15">
        <v>0</v>
      </c>
      <c r="V452" s="14">
        <v>3585</v>
      </c>
      <c r="W452" s="12">
        <v>0</v>
      </c>
      <c r="X452" s="12">
        <v>0</v>
      </c>
      <c r="Y452" s="12">
        <v>0</v>
      </c>
      <c r="Z452" s="12">
        <v>1.46</v>
      </c>
      <c r="AA452" s="12">
        <v>0</v>
      </c>
      <c r="AB452" s="13">
        <f t="shared" si="25"/>
        <v>0</v>
      </c>
      <c r="AE452" s="12">
        <v>0</v>
      </c>
      <c r="AF452" s="12">
        <v>0</v>
      </c>
      <c r="AG452" s="12">
        <v>0</v>
      </c>
      <c r="AH452" s="12">
        <v>1.46</v>
      </c>
      <c r="AI452" s="12">
        <v>0</v>
      </c>
      <c r="AJ452" s="13">
        <f t="shared" si="26"/>
        <v>0</v>
      </c>
      <c r="AN452" s="12">
        <f t="shared" si="27"/>
        <v>5235</v>
      </c>
      <c r="AQ452" s="8" t="s">
        <v>417</v>
      </c>
      <c r="AR452" t="str">
        <f t="shared" si="28"/>
        <v>Oeste - A06</v>
      </c>
    </row>
    <row r="453" spans="1:44" x14ac:dyDescent="0.2">
      <c r="A453" s="107" t="s">
        <v>5087</v>
      </c>
      <c r="B453" s="106" t="s">
        <v>5086</v>
      </c>
      <c r="C453" s="106" t="s">
        <v>5058</v>
      </c>
      <c r="D453" s="106" t="s">
        <v>4685</v>
      </c>
      <c r="E453" s="106" t="s">
        <v>5056</v>
      </c>
      <c r="F453" s="106" t="s">
        <v>490</v>
      </c>
      <c r="G453" s="106" t="s">
        <v>5085</v>
      </c>
      <c r="H453" s="105" t="s">
        <v>5084</v>
      </c>
      <c r="I453" s="105" t="s">
        <v>5083</v>
      </c>
      <c r="J453" s="104">
        <v>2.0499999999999998</v>
      </c>
      <c r="K453" s="103" t="s">
        <v>426</v>
      </c>
      <c r="L453" s="102" t="s">
        <v>507</v>
      </c>
      <c r="M453" s="95"/>
      <c r="N453" s="14"/>
      <c r="O453" s="94">
        <v>38</v>
      </c>
      <c r="P453" s="14" t="s">
        <v>485</v>
      </c>
      <c r="Q453" s="14" t="s">
        <v>497</v>
      </c>
      <c r="R453" s="14" t="s">
        <v>496</v>
      </c>
      <c r="S453" s="15">
        <v>6.7</v>
      </c>
      <c r="T453" s="15">
        <v>0</v>
      </c>
      <c r="U453" s="15">
        <v>0</v>
      </c>
      <c r="V453" s="14">
        <v>1218</v>
      </c>
      <c r="W453" s="12">
        <v>0</v>
      </c>
      <c r="X453" s="12">
        <v>0</v>
      </c>
      <c r="Y453" s="12">
        <v>0</v>
      </c>
      <c r="Z453" s="12">
        <v>2.0499999999999998</v>
      </c>
      <c r="AA453" s="12">
        <v>0</v>
      </c>
      <c r="AB453" s="13">
        <f t="shared" si="25"/>
        <v>0</v>
      </c>
      <c r="AE453" s="12">
        <v>0</v>
      </c>
      <c r="AF453" s="12">
        <v>0</v>
      </c>
      <c r="AG453" s="12">
        <v>0</v>
      </c>
      <c r="AH453" s="12">
        <v>2.0499999999999998</v>
      </c>
      <c r="AI453" s="12">
        <v>0</v>
      </c>
      <c r="AJ453" s="13">
        <f t="shared" si="26"/>
        <v>0</v>
      </c>
      <c r="AN453" s="12">
        <f t="shared" si="27"/>
        <v>2497</v>
      </c>
      <c r="AQ453" s="8" t="s">
        <v>417</v>
      </c>
      <c r="AR453" t="str">
        <f t="shared" si="28"/>
        <v>Oeste - A06</v>
      </c>
    </row>
    <row r="454" spans="1:44" x14ac:dyDescent="0.2">
      <c r="A454" s="107" t="s">
        <v>5082</v>
      </c>
      <c r="B454" s="106" t="s">
        <v>5081</v>
      </c>
      <c r="C454" s="106" t="s">
        <v>5058</v>
      </c>
      <c r="D454" s="106" t="s">
        <v>3514</v>
      </c>
      <c r="E454" s="106" t="s">
        <v>5056</v>
      </c>
      <c r="F454" s="106" t="s">
        <v>490</v>
      </c>
      <c r="G454" s="106" t="s">
        <v>5080</v>
      </c>
      <c r="H454" s="105" t="s">
        <v>5079</v>
      </c>
      <c r="I454" s="105" t="s">
        <v>5075</v>
      </c>
      <c r="J454" s="104">
        <v>12.58</v>
      </c>
      <c r="K454" s="103" t="s">
        <v>426</v>
      </c>
      <c r="L454" s="102" t="s">
        <v>507</v>
      </c>
      <c r="M454" s="95"/>
      <c r="N454" s="14"/>
      <c r="O454" s="94">
        <v>38</v>
      </c>
      <c r="P454" s="14" t="s">
        <v>485</v>
      </c>
      <c r="Q454" s="14" t="s">
        <v>497</v>
      </c>
      <c r="R454" s="14" t="s">
        <v>496</v>
      </c>
      <c r="S454" s="15">
        <v>6.7</v>
      </c>
      <c r="T454" s="15">
        <v>0</v>
      </c>
      <c r="U454" s="15">
        <v>3.7</v>
      </c>
      <c r="V454" s="14">
        <v>2706</v>
      </c>
      <c r="W454" s="12">
        <v>0</v>
      </c>
      <c r="X454" s="12">
        <v>0</v>
      </c>
      <c r="Y454" s="12">
        <v>2</v>
      </c>
      <c r="Z454" s="12">
        <v>10.58</v>
      </c>
      <c r="AA454" s="12">
        <v>0</v>
      </c>
      <c r="AB454" s="13">
        <f t="shared" ref="AB454:AB517" si="29">SUM(W454:AA454)-J454</f>
        <v>0</v>
      </c>
      <c r="AE454" s="12">
        <v>0</v>
      </c>
      <c r="AF454" s="12">
        <v>0</v>
      </c>
      <c r="AG454" s="12">
        <v>2</v>
      </c>
      <c r="AH454" s="12">
        <v>10.58</v>
      </c>
      <c r="AI454" s="12">
        <v>0</v>
      </c>
      <c r="AJ454" s="13">
        <f t="shared" ref="AJ454:AJ517" si="30">SUM(AE454:AI454)-J454</f>
        <v>0</v>
      </c>
      <c r="AN454" s="12">
        <f t="shared" ref="AN454:AN517" si="31">ROUNDUP(V454*J454,0)</f>
        <v>34042</v>
      </c>
      <c r="AQ454" s="8" t="s">
        <v>417</v>
      </c>
      <c r="AR454" t="str">
        <f t="shared" ref="AR454:AR517" si="32">AQ454&amp;" - "&amp;K454</f>
        <v>Oeste - A06</v>
      </c>
    </row>
    <row r="455" spans="1:44" x14ac:dyDescent="0.2">
      <c r="A455" s="107" t="s">
        <v>5078</v>
      </c>
      <c r="B455" s="106" t="s">
        <v>5077</v>
      </c>
      <c r="C455" s="106" t="s">
        <v>5058</v>
      </c>
      <c r="D455" s="106" t="s">
        <v>3509</v>
      </c>
      <c r="E455" s="106" t="s">
        <v>5056</v>
      </c>
      <c r="F455" s="106" t="s">
        <v>490</v>
      </c>
      <c r="G455" s="106" t="s">
        <v>5076</v>
      </c>
      <c r="H455" s="105" t="s">
        <v>5075</v>
      </c>
      <c r="I455" s="105" t="s">
        <v>5071</v>
      </c>
      <c r="J455" s="104">
        <v>12.75</v>
      </c>
      <c r="K455" s="103" t="s">
        <v>426</v>
      </c>
      <c r="L455" s="102" t="s">
        <v>507</v>
      </c>
      <c r="M455" s="95"/>
      <c r="N455" s="14"/>
      <c r="O455" s="94">
        <v>38</v>
      </c>
      <c r="P455" s="14" t="s">
        <v>485</v>
      </c>
      <c r="Q455" s="14" t="s">
        <v>497</v>
      </c>
      <c r="R455" s="14" t="s">
        <v>496</v>
      </c>
      <c r="S455" s="15">
        <v>6.8</v>
      </c>
      <c r="T455" s="15">
        <v>2.8</v>
      </c>
      <c r="U455" s="15">
        <v>0</v>
      </c>
      <c r="V455" s="14">
        <v>1272</v>
      </c>
      <c r="W455" s="12">
        <v>0</v>
      </c>
      <c r="X455" s="12">
        <v>0</v>
      </c>
      <c r="Y455" s="12">
        <v>2</v>
      </c>
      <c r="Z455" s="12">
        <v>10.75</v>
      </c>
      <c r="AA455" s="12">
        <v>0</v>
      </c>
      <c r="AB455" s="13">
        <f t="shared" si="29"/>
        <v>0</v>
      </c>
      <c r="AE455" s="12">
        <v>0</v>
      </c>
      <c r="AF455" s="12">
        <v>0</v>
      </c>
      <c r="AG455" s="12">
        <v>2</v>
      </c>
      <c r="AH455" s="12">
        <v>10.75</v>
      </c>
      <c r="AI455" s="12">
        <v>0</v>
      </c>
      <c r="AJ455" s="13">
        <f t="shared" si="30"/>
        <v>0</v>
      </c>
      <c r="AN455" s="12">
        <f t="shared" si="31"/>
        <v>16218</v>
      </c>
      <c r="AQ455" s="8" t="s">
        <v>417</v>
      </c>
      <c r="AR455" t="str">
        <f t="shared" si="32"/>
        <v>Oeste - A06</v>
      </c>
    </row>
    <row r="456" spans="1:44" x14ac:dyDescent="0.2">
      <c r="A456" s="107" t="s">
        <v>5074</v>
      </c>
      <c r="B456" s="106" t="s">
        <v>5073</v>
      </c>
      <c r="C456" s="106" t="s">
        <v>5058</v>
      </c>
      <c r="D456" s="106" t="s">
        <v>3504</v>
      </c>
      <c r="E456" s="106" t="s">
        <v>5056</v>
      </c>
      <c r="F456" s="106" t="s">
        <v>490</v>
      </c>
      <c r="G456" s="106" t="s">
        <v>5072</v>
      </c>
      <c r="H456" s="105" t="s">
        <v>5071</v>
      </c>
      <c r="I456" s="105" t="s">
        <v>5070</v>
      </c>
      <c r="J456" s="104">
        <v>1.31</v>
      </c>
      <c r="K456" s="103" t="s">
        <v>426</v>
      </c>
      <c r="L456" s="102" t="s">
        <v>507</v>
      </c>
      <c r="M456" s="95"/>
      <c r="N456" s="14"/>
      <c r="O456" s="94">
        <v>38</v>
      </c>
      <c r="P456" s="14" t="s">
        <v>485</v>
      </c>
      <c r="Q456" s="14" t="s">
        <v>497</v>
      </c>
      <c r="R456" s="14" t="s">
        <v>496</v>
      </c>
      <c r="S456" s="15">
        <v>6.8</v>
      </c>
      <c r="T456" s="15">
        <v>2.8</v>
      </c>
      <c r="U456" s="15">
        <v>0</v>
      </c>
      <c r="V456" s="14">
        <v>1272</v>
      </c>
      <c r="W456" s="12">
        <v>0</v>
      </c>
      <c r="X456" s="12">
        <v>0</v>
      </c>
      <c r="Y456" s="12">
        <v>0</v>
      </c>
      <c r="Z456" s="12">
        <v>1.31</v>
      </c>
      <c r="AA456" s="12">
        <v>0</v>
      </c>
      <c r="AB456" s="13">
        <f t="shared" si="29"/>
        <v>0</v>
      </c>
      <c r="AE456" s="12">
        <v>0</v>
      </c>
      <c r="AF456" s="12">
        <v>0</v>
      </c>
      <c r="AG456" s="12">
        <v>0</v>
      </c>
      <c r="AH456" s="12">
        <v>1.31</v>
      </c>
      <c r="AI456" s="12">
        <v>0</v>
      </c>
      <c r="AJ456" s="13">
        <f t="shared" si="30"/>
        <v>0</v>
      </c>
      <c r="AN456" s="12">
        <f t="shared" si="31"/>
        <v>1667</v>
      </c>
      <c r="AQ456" s="8" t="s">
        <v>417</v>
      </c>
      <c r="AR456" t="str">
        <f t="shared" si="32"/>
        <v>Oeste - A06</v>
      </c>
    </row>
    <row r="457" spans="1:44" x14ac:dyDescent="0.2">
      <c r="A457" s="107" t="s">
        <v>5069</v>
      </c>
      <c r="B457" s="106" t="s">
        <v>5068</v>
      </c>
      <c r="C457" s="106" t="s">
        <v>5058</v>
      </c>
      <c r="D457" s="106" t="s">
        <v>4521</v>
      </c>
      <c r="E457" s="106" t="s">
        <v>5056</v>
      </c>
      <c r="F457" s="106" t="s">
        <v>490</v>
      </c>
      <c r="G457" s="106" t="s">
        <v>5067</v>
      </c>
      <c r="H457" s="105" t="s">
        <v>5066</v>
      </c>
      <c r="I457" s="105" t="s">
        <v>5061</v>
      </c>
      <c r="J457" s="104">
        <v>6.31</v>
      </c>
      <c r="K457" s="103" t="s">
        <v>426</v>
      </c>
      <c r="L457" s="102" t="s">
        <v>507</v>
      </c>
      <c r="M457" s="95"/>
      <c r="N457" s="14"/>
      <c r="O457" s="94">
        <v>38</v>
      </c>
      <c r="P457" s="14" t="s">
        <v>485</v>
      </c>
      <c r="Q457" s="14" t="s">
        <v>497</v>
      </c>
      <c r="R457" s="14" t="s">
        <v>496</v>
      </c>
      <c r="S457" s="15">
        <v>7.6</v>
      </c>
      <c r="T457" s="15">
        <v>0</v>
      </c>
      <c r="U457" s="15">
        <v>1</v>
      </c>
      <c r="V457" s="14">
        <v>578</v>
      </c>
      <c r="W457" s="12">
        <v>0</v>
      </c>
      <c r="X457" s="12">
        <v>0</v>
      </c>
      <c r="Y457" s="12">
        <v>0</v>
      </c>
      <c r="Z457" s="12">
        <v>6.31</v>
      </c>
      <c r="AA457" s="12">
        <v>0</v>
      </c>
      <c r="AB457" s="13">
        <f t="shared" si="29"/>
        <v>0</v>
      </c>
      <c r="AE457" s="12">
        <v>0</v>
      </c>
      <c r="AF457" s="12">
        <v>0</v>
      </c>
      <c r="AG457" s="12">
        <v>0</v>
      </c>
      <c r="AH457" s="12">
        <v>6.31</v>
      </c>
      <c r="AI457" s="12">
        <v>0</v>
      </c>
      <c r="AJ457" s="13">
        <f t="shared" si="30"/>
        <v>0</v>
      </c>
      <c r="AN457" s="12">
        <f t="shared" si="31"/>
        <v>3648</v>
      </c>
      <c r="AQ457" s="8" t="s">
        <v>417</v>
      </c>
      <c r="AR457" t="str">
        <f t="shared" si="32"/>
        <v>Oeste - A06</v>
      </c>
    </row>
    <row r="458" spans="1:44" x14ac:dyDescent="0.2">
      <c r="A458" s="107" t="s">
        <v>5065</v>
      </c>
      <c r="B458" s="106" t="s">
        <v>5064</v>
      </c>
      <c r="C458" s="106" t="s">
        <v>5058</v>
      </c>
      <c r="D458" s="106" t="s">
        <v>5063</v>
      </c>
      <c r="E458" s="106" t="s">
        <v>5056</v>
      </c>
      <c r="F458" s="106" t="s">
        <v>490</v>
      </c>
      <c r="G458" s="106" t="s">
        <v>5062</v>
      </c>
      <c r="H458" s="105" t="s">
        <v>5061</v>
      </c>
      <c r="I458" s="105" t="s">
        <v>5054</v>
      </c>
      <c r="J458" s="104">
        <v>12.87</v>
      </c>
      <c r="K458" s="103" t="s">
        <v>426</v>
      </c>
      <c r="L458" s="102" t="s">
        <v>507</v>
      </c>
      <c r="M458" s="95"/>
      <c r="N458" s="14"/>
      <c r="O458" s="94">
        <v>38</v>
      </c>
      <c r="P458" s="14" t="s">
        <v>485</v>
      </c>
      <c r="Q458" s="14" t="s">
        <v>497</v>
      </c>
      <c r="R458" s="14" t="s">
        <v>496</v>
      </c>
      <c r="S458" s="15">
        <v>7.4</v>
      </c>
      <c r="T458" s="15">
        <v>0</v>
      </c>
      <c r="U458" s="15">
        <v>1.47</v>
      </c>
      <c r="V458" s="14">
        <v>934</v>
      </c>
      <c r="W458" s="12">
        <v>0</v>
      </c>
      <c r="X458" s="12">
        <v>0</v>
      </c>
      <c r="Y458" s="12">
        <v>0</v>
      </c>
      <c r="Z458" s="12">
        <v>12.87</v>
      </c>
      <c r="AA458" s="12">
        <v>0</v>
      </c>
      <c r="AB458" s="13">
        <f t="shared" si="29"/>
        <v>0</v>
      </c>
      <c r="AE458" s="12">
        <v>0</v>
      </c>
      <c r="AF458" s="12">
        <v>0</v>
      </c>
      <c r="AG458" s="12">
        <v>0</v>
      </c>
      <c r="AH458" s="12">
        <v>12.87</v>
      </c>
      <c r="AI458" s="12">
        <v>0</v>
      </c>
      <c r="AJ458" s="13">
        <f t="shared" si="30"/>
        <v>0</v>
      </c>
      <c r="AN458" s="12">
        <f t="shared" si="31"/>
        <v>12021</v>
      </c>
      <c r="AQ458" s="8" t="s">
        <v>417</v>
      </c>
      <c r="AR458" t="str">
        <f t="shared" si="32"/>
        <v>Oeste - A06</v>
      </c>
    </row>
    <row r="459" spans="1:44" x14ac:dyDescent="0.2">
      <c r="A459" s="107" t="s">
        <v>5060</v>
      </c>
      <c r="B459" s="106" t="s">
        <v>5059</v>
      </c>
      <c r="C459" s="106" t="s">
        <v>5058</v>
      </c>
      <c r="D459" s="106" t="s">
        <v>5057</v>
      </c>
      <c r="E459" s="106" t="s">
        <v>5056</v>
      </c>
      <c r="F459" s="106" t="s">
        <v>490</v>
      </c>
      <c r="G459" s="106" t="s">
        <v>5055</v>
      </c>
      <c r="H459" s="105" t="s">
        <v>5054</v>
      </c>
      <c r="I459" s="105" t="s">
        <v>5053</v>
      </c>
      <c r="J459" s="104">
        <v>1.83</v>
      </c>
      <c r="K459" s="103" t="s">
        <v>426</v>
      </c>
      <c r="L459" s="102" t="s">
        <v>507</v>
      </c>
      <c r="M459" s="95"/>
      <c r="N459" s="14"/>
      <c r="O459" s="94">
        <v>38</v>
      </c>
      <c r="P459" s="14" t="s">
        <v>485</v>
      </c>
      <c r="Q459" s="14" t="s">
        <v>497</v>
      </c>
      <c r="R459" s="14" t="s">
        <v>496</v>
      </c>
      <c r="S459" s="15">
        <v>7.15</v>
      </c>
      <c r="T459" s="15">
        <v>0</v>
      </c>
      <c r="U459" s="15">
        <v>0</v>
      </c>
      <c r="V459" s="14">
        <v>259</v>
      </c>
      <c r="W459" s="12">
        <v>0</v>
      </c>
      <c r="X459" s="12">
        <v>0</v>
      </c>
      <c r="Y459" s="12">
        <v>0</v>
      </c>
      <c r="Z459" s="12">
        <v>1.83</v>
      </c>
      <c r="AA459" s="12">
        <v>0</v>
      </c>
      <c r="AB459" s="13">
        <f t="shared" si="29"/>
        <v>0</v>
      </c>
      <c r="AE459" s="12">
        <v>0</v>
      </c>
      <c r="AF459" s="12">
        <v>0</v>
      </c>
      <c r="AG459" s="12">
        <v>0</v>
      </c>
      <c r="AH459" s="12">
        <v>1.83</v>
      </c>
      <c r="AI459" s="12">
        <v>0</v>
      </c>
      <c r="AJ459" s="13">
        <f t="shared" si="30"/>
        <v>0</v>
      </c>
      <c r="AN459" s="12">
        <f t="shared" si="31"/>
        <v>474</v>
      </c>
      <c r="AQ459" s="8" t="s">
        <v>417</v>
      </c>
      <c r="AR459" t="str">
        <f t="shared" si="32"/>
        <v>Oeste - A06</v>
      </c>
    </row>
    <row r="460" spans="1:44" x14ac:dyDescent="0.2">
      <c r="A460" s="107" t="s">
        <v>5052</v>
      </c>
      <c r="B460" s="106" t="s">
        <v>5051</v>
      </c>
      <c r="C460" s="106" t="s">
        <v>4876</v>
      </c>
      <c r="D460" s="106" t="s">
        <v>1637</v>
      </c>
      <c r="E460" s="106" t="s">
        <v>4875</v>
      </c>
      <c r="F460" s="106" t="s">
        <v>490</v>
      </c>
      <c r="G460" s="106" t="s">
        <v>5050</v>
      </c>
      <c r="H460" s="105" t="s">
        <v>5049</v>
      </c>
      <c r="I460" s="105" t="s">
        <v>5045</v>
      </c>
      <c r="J460" s="104">
        <v>7.16</v>
      </c>
      <c r="K460" s="103" t="s">
        <v>421</v>
      </c>
      <c r="L460" s="102" t="s">
        <v>533</v>
      </c>
      <c r="M460" s="95"/>
      <c r="N460" s="14"/>
      <c r="O460" s="94">
        <v>23</v>
      </c>
      <c r="P460" s="14" t="s">
        <v>485</v>
      </c>
      <c r="Q460" s="14" t="s">
        <v>561</v>
      </c>
      <c r="R460" s="14" t="s">
        <v>496</v>
      </c>
      <c r="S460" s="15">
        <v>7.2</v>
      </c>
      <c r="T460" s="15">
        <v>4.9000000000000004</v>
      </c>
      <c r="U460" s="15">
        <v>0</v>
      </c>
      <c r="V460" s="14">
        <v>4158</v>
      </c>
      <c r="W460" s="12">
        <v>0</v>
      </c>
      <c r="X460" s="12">
        <v>2</v>
      </c>
      <c r="Y460" s="12">
        <v>3</v>
      </c>
      <c r="Z460" s="12">
        <v>2.16</v>
      </c>
      <c r="AA460" s="12">
        <v>0</v>
      </c>
      <c r="AB460" s="13">
        <f t="shared" si="29"/>
        <v>0</v>
      </c>
      <c r="AE460" s="12">
        <v>0</v>
      </c>
      <c r="AF460" s="12">
        <v>2</v>
      </c>
      <c r="AG460" s="12">
        <v>3</v>
      </c>
      <c r="AH460" s="12">
        <v>2.16</v>
      </c>
      <c r="AI460" s="12">
        <v>0</v>
      </c>
      <c r="AJ460" s="13">
        <f t="shared" si="30"/>
        <v>0</v>
      </c>
      <c r="AN460" s="12">
        <f t="shared" si="31"/>
        <v>29772</v>
      </c>
      <c r="AQ460" s="8" t="s">
        <v>418</v>
      </c>
      <c r="AR460" t="str">
        <f t="shared" si="32"/>
        <v>Noroeste - A01</v>
      </c>
    </row>
    <row r="461" spans="1:44" x14ac:dyDescent="0.2">
      <c r="A461" s="107" t="s">
        <v>5048</v>
      </c>
      <c r="B461" s="106" t="s">
        <v>5047</v>
      </c>
      <c r="C461" s="106" t="s">
        <v>4876</v>
      </c>
      <c r="D461" s="106" t="s">
        <v>592</v>
      </c>
      <c r="E461" s="106" t="s">
        <v>4875</v>
      </c>
      <c r="F461" s="106" t="s">
        <v>490</v>
      </c>
      <c r="G461" s="106" t="s">
        <v>5046</v>
      </c>
      <c r="H461" s="105" t="s">
        <v>5045</v>
      </c>
      <c r="I461" s="105" t="s">
        <v>5041</v>
      </c>
      <c r="J461" s="104">
        <v>2.98</v>
      </c>
      <c r="K461" s="103" t="s">
        <v>421</v>
      </c>
      <c r="L461" s="102" t="s">
        <v>533</v>
      </c>
      <c r="M461" s="95"/>
      <c r="N461" s="14"/>
      <c r="O461" s="94">
        <v>23</v>
      </c>
      <c r="P461" s="14" t="s">
        <v>485</v>
      </c>
      <c r="Q461" s="14" t="s">
        <v>561</v>
      </c>
      <c r="R461" s="14" t="s">
        <v>496</v>
      </c>
      <c r="S461" s="15">
        <v>7.25</v>
      </c>
      <c r="T461" s="15">
        <v>4.8</v>
      </c>
      <c r="U461" s="15">
        <v>0</v>
      </c>
      <c r="V461" s="14">
        <v>4158</v>
      </c>
      <c r="W461" s="12">
        <v>0</v>
      </c>
      <c r="X461" s="12">
        <v>0</v>
      </c>
      <c r="Y461" s="12">
        <v>0</v>
      </c>
      <c r="Z461" s="12">
        <v>2.98</v>
      </c>
      <c r="AA461" s="12">
        <v>0</v>
      </c>
      <c r="AB461" s="13">
        <f t="shared" si="29"/>
        <v>0</v>
      </c>
      <c r="AE461" s="12">
        <v>0</v>
      </c>
      <c r="AF461" s="12">
        <v>0</v>
      </c>
      <c r="AG461" s="12">
        <v>0</v>
      </c>
      <c r="AH461" s="12">
        <v>2.98</v>
      </c>
      <c r="AI461" s="12">
        <v>0</v>
      </c>
      <c r="AJ461" s="13">
        <f t="shared" si="30"/>
        <v>0</v>
      </c>
      <c r="AN461" s="12">
        <f t="shared" si="31"/>
        <v>12391</v>
      </c>
      <c r="AQ461" s="8" t="s">
        <v>418</v>
      </c>
      <c r="AR461" t="str">
        <f t="shared" si="32"/>
        <v>Noroeste - A01</v>
      </c>
    </row>
    <row r="462" spans="1:44" x14ac:dyDescent="0.2">
      <c r="A462" s="107" t="s">
        <v>5044</v>
      </c>
      <c r="B462" s="106" t="s">
        <v>5043</v>
      </c>
      <c r="C462" s="106" t="s">
        <v>4876</v>
      </c>
      <c r="D462" s="106" t="s">
        <v>519</v>
      </c>
      <c r="E462" s="106" t="s">
        <v>4875</v>
      </c>
      <c r="F462" s="106" t="s">
        <v>490</v>
      </c>
      <c r="G462" s="106" t="s">
        <v>5042</v>
      </c>
      <c r="H462" s="105" t="s">
        <v>5041</v>
      </c>
      <c r="I462" s="105" t="s">
        <v>5037</v>
      </c>
      <c r="J462" s="104">
        <v>2.16</v>
      </c>
      <c r="K462" s="103" t="s">
        <v>421</v>
      </c>
      <c r="L462" s="102" t="s">
        <v>533</v>
      </c>
      <c r="M462" s="95"/>
      <c r="N462" s="14"/>
      <c r="O462" s="94">
        <v>23</v>
      </c>
      <c r="P462" s="14" t="s">
        <v>485</v>
      </c>
      <c r="Q462" s="14" t="s">
        <v>561</v>
      </c>
      <c r="R462" s="14" t="s">
        <v>496</v>
      </c>
      <c r="S462" s="15">
        <v>7.25</v>
      </c>
      <c r="T462" s="15">
        <v>4.8</v>
      </c>
      <c r="U462" s="15">
        <v>0</v>
      </c>
      <c r="V462" s="14">
        <v>2398</v>
      </c>
      <c r="W462" s="12">
        <v>0</v>
      </c>
      <c r="X462" s="12">
        <v>0</v>
      </c>
      <c r="Y462" s="12">
        <v>0.16000000000000014</v>
      </c>
      <c r="Z462" s="12">
        <v>2</v>
      </c>
      <c r="AA462" s="12">
        <v>0</v>
      </c>
      <c r="AB462" s="13">
        <f t="shared" si="29"/>
        <v>0</v>
      </c>
      <c r="AE462" s="12">
        <v>0</v>
      </c>
      <c r="AF462" s="12">
        <v>0</v>
      </c>
      <c r="AG462" s="12">
        <v>0.16000000000000014</v>
      </c>
      <c r="AH462" s="12">
        <v>2</v>
      </c>
      <c r="AI462" s="12">
        <v>0</v>
      </c>
      <c r="AJ462" s="13">
        <f t="shared" si="30"/>
        <v>0</v>
      </c>
      <c r="AN462" s="12">
        <f t="shared" si="31"/>
        <v>5180</v>
      </c>
      <c r="AQ462" s="8" t="s">
        <v>418</v>
      </c>
      <c r="AR462" t="str">
        <f t="shared" si="32"/>
        <v>Noroeste - A01</v>
      </c>
    </row>
    <row r="463" spans="1:44" x14ac:dyDescent="0.2">
      <c r="A463" s="107" t="s">
        <v>5040</v>
      </c>
      <c r="B463" s="106" t="s">
        <v>5039</v>
      </c>
      <c r="C463" s="106" t="s">
        <v>4876</v>
      </c>
      <c r="D463" s="106" t="s">
        <v>513</v>
      </c>
      <c r="E463" s="106" t="s">
        <v>4875</v>
      </c>
      <c r="F463" s="106" t="s">
        <v>490</v>
      </c>
      <c r="G463" s="106" t="s">
        <v>5038</v>
      </c>
      <c r="H463" s="105" t="s">
        <v>5037</v>
      </c>
      <c r="I463" s="105" t="s">
        <v>5033</v>
      </c>
      <c r="J463" s="104">
        <v>21.94</v>
      </c>
      <c r="K463" s="103" t="s">
        <v>421</v>
      </c>
      <c r="L463" s="102" t="s">
        <v>533</v>
      </c>
      <c r="M463" s="95"/>
      <c r="N463" s="14"/>
      <c r="O463" s="94">
        <v>23</v>
      </c>
      <c r="P463" s="14" t="s">
        <v>485</v>
      </c>
      <c r="Q463" s="14" t="s">
        <v>561</v>
      </c>
      <c r="R463" s="14" t="s">
        <v>585</v>
      </c>
      <c r="S463" s="15">
        <v>7.1</v>
      </c>
      <c r="T463" s="15">
        <v>1</v>
      </c>
      <c r="U463" s="15">
        <v>0</v>
      </c>
      <c r="V463" s="14">
        <v>1524</v>
      </c>
      <c r="W463" s="12">
        <v>0</v>
      </c>
      <c r="X463" s="12">
        <v>0</v>
      </c>
      <c r="Y463" s="12">
        <v>1</v>
      </c>
      <c r="Z463" s="12">
        <v>20.94</v>
      </c>
      <c r="AA463" s="12">
        <v>0</v>
      </c>
      <c r="AB463" s="13">
        <f t="shared" si="29"/>
        <v>0</v>
      </c>
      <c r="AE463" s="12">
        <v>0</v>
      </c>
      <c r="AF463" s="12">
        <v>0</v>
      </c>
      <c r="AG463" s="12">
        <v>1</v>
      </c>
      <c r="AH463" s="12">
        <v>20.94</v>
      </c>
      <c r="AI463" s="12">
        <v>0</v>
      </c>
      <c r="AJ463" s="13">
        <f t="shared" si="30"/>
        <v>0</v>
      </c>
      <c r="AN463" s="12">
        <f t="shared" si="31"/>
        <v>33437</v>
      </c>
      <c r="AQ463" s="8" t="s">
        <v>418</v>
      </c>
      <c r="AR463" t="str">
        <f t="shared" si="32"/>
        <v>Noroeste - A01</v>
      </c>
    </row>
    <row r="464" spans="1:44" x14ac:dyDescent="0.2">
      <c r="A464" s="107" t="s">
        <v>5036</v>
      </c>
      <c r="B464" s="106" t="s">
        <v>5035</v>
      </c>
      <c r="C464" s="106" t="s">
        <v>4876</v>
      </c>
      <c r="D464" s="106" t="s">
        <v>1319</v>
      </c>
      <c r="E464" s="106" t="s">
        <v>4875</v>
      </c>
      <c r="F464" s="106" t="s">
        <v>490</v>
      </c>
      <c r="G464" s="106" t="s">
        <v>5034</v>
      </c>
      <c r="H464" s="105" t="s">
        <v>5033</v>
      </c>
      <c r="I464" s="105" t="s">
        <v>5029</v>
      </c>
      <c r="J464" s="104">
        <v>13.95</v>
      </c>
      <c r="K464" s="103" t="s">
        <v>421</v>
      </c>
      <c r="L464" s="102" t="s">
        <v>533</v>
      </c>
      <c r="M464" s="95"/>
      <c r="N464" s="14"/>
      <c r="O464" s="94">
        <v>23</v>
      </c>
      <c r="P464" s="14" t="s">
        <v>485</v>
      </c>
      <c r="Q464" s="14" t="s">
        <v>561</v>
      </c>
      <c r="R464" s="14" t="s">
        <v>496</v>
      </c>
      <c r="S464" s="15">
        <v>6.9285714285714288</v>
      </c>
      <c r="T464" s="15">
        <v>1</v>
      </c>
      <c r="U464" s="15">
        <v>0</v>
      </c>
      <c r="V464" s="14">
        <v>3444</v>
      </c>
      <c r="W464" s="12">
        <v>0</v>
      </c>
      <c r="X464" s="12">
        <v>0</v>
      </c>
      <c r="Y464" s="12">
        <v>0</v>
      </c>
      <c r="Z464" s="12">
        <v>13.95</v>
      </c>
      <c r="AA464" s="12">
        <v>0</v>
      </c>
      <c r="AB464" s="13">
        <f t="shared" si="29"/>
        <v>0</v>
      </c>
      <c r="AE464" s="12">
        <v>0</v>
      </c>
      <c r="AF464" s="12">
        <v>0</v>
      </c>
      <c r="AG464" s="12">
        <v>0</v>
      </c>
      <c r="AH464" s="12">
        <v>13.95</v>
      </c>
      <c r="AI464" s="12">
        <v>0</v>
      </c>
      <c r="AJ464" s="13">
        <f t="shared" si="30"/>
        <v>0</v>
      </c>
      <c r="AN464" s="12">
        <f t="shared" si="31"/>
        <v>48044</v>
      </c>
      <c r="AQ464" s="8" t="s">
        <v>418</v>
      </c>
      <c r="AR464" t="str">
        <f t="shared" si="32"/>
        <v>Noroeste - A01</v>
      </c>
    </row>
    <row r="465" spans="1:44" x14ac:dyDescent="0.2">
      <c r="A465" s="107" t="s">
        <v>5032</v>
      </c>
      <c r="B465" s="106" t="s">
        <v>5031</v>
      </c>
      <c r="C465" s="106" t="s">
        <v>4876</v>
      </c>
      <c r="D465" s="106" t="s">
        <v>1314</v>
      </c>
      <c r="E465" s="106" t="s">
        <v>4875</v>
      </c>
      <c r="F465" s="106" t="s">
        <v>490</v>
      </c>
      <c r="G465" s="106" t="s">
        <v>5030</v>
      </c>
      <c r="H465" s="105" t="s">
        <v>5029</v>
      </c>
      <c r="I465" s="105" t="s">
        <v>5024</v>
      </c>
      <c r="J465" s="104">
        <v>2.41</v>
      </c>
      <c r="K465" s="103" t="s">
        <v>421</v>
      </c>
      <c r="L465" s="102" t="s">
        <v>533</v>
      </c>
      <c r="M465" s="95"/>
      <c r="N465" s="14"/>
      <c r="O465" s="94">
        <v>23</v>
      </c>
      <c r="P465" s="14" t="s">
        <v>485</v>
      </c>
      <c r="Q465" s="14" t="s">
        <v>561</v>
      </c>
      <c r="R465" s="14" t="s">
        <v>496</v>
      </c>
      <c r="S465" s="15">
        <v>7.2</v>
      </c>
      <c r="T465" s="15">
        <v>1.8</v>
      </c>
      <c r="U465" s="15">
        <v>0</v>
      </c>
      <c r="V465" s="14">
        <v>4972</v>
      </c>
      <c r="W465" s="12">
        <v>0</v>
      </c>
      <c r="X465" s="12">
        <v>1</v>
      </c>
      <c r="Y465" s="12">
        <v>1.4100000000000001</v>
      </c>
      <c r="Z465" s="12">
        <v>0</v>
      </c>
      <c r="AA465" s="12">
        <v>0</v>
      </c>
      <c r="AB465" s="13">
        <f t="shared" si="29"/>
        <v>0</v>
      </c>
      <c r="AE465" s="12">
        <v>0</v>
      </c>
      <c r="AF465" s="12">
        <v>1</v>
      </c>
      <c r="AG465" s="12">
        <v>1.4100000000000001</v>
      </c>
      <c r="AH465" s="12">
        <v>0</v>
      </c>
      <c r="AI465" s="12">
        <v>0</v>
      </c>
      <c r="AJ465" s="13">
        <f t="shared" si="30"/>
        <v>0</v>
      </c>
      <c r="AN465" s="12">
        <f t="shared" si="31"/>
        <v>11983</v>
      </c>
      <c r="AQ465" s="8" t="s">
        <v>418</v>
      </c>
      <c r="AR465" t="str">
        <f t="shared" si="32"/>
        <v>Noroeste - A01</v>
      </c>
    </row>
    <row r="466" spans="1:44" x14ac:dyDescent="0.2">
      <c r="A466" s="107" t="s">
        <v>5028</v>
      </c>
      <c r="B466" s="106" t="s">
        <v>5027</v>
      </c>
      <c r="C466" s="106" t="s">
        <v>4876</v>
      </c>
      <c r="D466" s="106" t="s">
        <v>5026</v>
      </c>
      <c r="E466" s="106" t="s">
        <v>4875</v>
      </c>
      <c r="F466" s="106" t="s">
        <v>490</v>
      </c>
      <c r="G466" s="106" t="s">
        <v>5025</v>
      </c>
      <c r="H466" s="105" t="s">
        <v>5024</v>
      </c>
      <c r="I466" s="105" t="s">
        <v>5019</v>
      </c>
      <c r="J466" s="104">
        <v>10.82</v>
      </c>
      <c r="K466" s="103" t="s">
        <v>421</v>
      </c>
      <c r="L466" s="102" t="s">
        <v>533</v>
      </c>
      <c r="M466" s="95"/>
      <c r="N466" s="14"/>
      <c r="O466" s="94">
        <v>23</v>
      </c>
      <c r="P466" s="14" t="s">
        <v>485</v>
      </c>
      <c r="Q466" s="14" t="s">
        <v>561</v>
      </c>
      <c r="R466" s="14" t="s">
        <v>496</v>
      </c>
      <c r="S466" s="15">
        <v>7.2</v>
      </c>
      <c r="T466" s="15">
        <v>4.8</v>
      </c>
      <c r="U466" s="15">
        <v>0</v>
      </c>
      <c r="V466" s="14">
        <v>5408</v>
      </c>
      <c r="W466" s="12">
        <v>0</v>
      </c>
      <c r="X466" s="12">
        <v>0</v>
      </c>
      <c r="Y466" s="12">
        <v>2</v>
      </c>
      <c r="Z466" s="12">
        <v>8.82</v>
      </c>
      <c r="AA466" s="12">
        <v>0</v>
      </c>
      <c r="AB466" s="13">
        <f t="shared" si="29"/>
        <v>0</v>
      </c>
      <c r="AE466" s="12">
        <v>0</v>
      </c>
      <c r="AF466" s="12">
        <v>0</v>
      </c>
      <c r="AG466" s="12">
        <v>2</v>
      </c>
      <c r="AH466" s="12">
        <v>8.82</v>
      </c>
      <c r="AI466" s="12">
        <v>0</v>
      </c>
      <c r="AJ466" s="13">
        <f t="shared" si="30"/>
        <v>0</v>
      </c>
      <c r="AN466" s="12">
        <f t="shared" si="31"/>
        <v>58515</v>
      </c>
      <c r="AQ466" s="8" t="s">
        <v>418</v>
      </c>
      <c r="AR466" t="str">
        <f t="shared" si="32"/>
        <v>Noroeste - A01</v>
      </c>
    </row>
    <row r="467" spans="1:44" x14ac:dyDescent="0.2">
      <c r="A467" s="107" t="s">
        <v>5023</v>
      </c>
      <c r="B467" s="106" t="s">
        <v>5022</v>
      </c>
      <c r="C467" s="106" t="s">
        <v>4876</v>
      </c>
      <c r="D467" s="106" t="s">
        <v>5021</v>
      </c>
      <c r="E467" s="106" t="s">
        <v>4875</v>
      </c>
      <c r="F467" s="106" t="s">
        <v>490</v>
      </c>
      <c r="G467" s="106" t="s">
        <v>5020</v>
      </c>
      <c r="H467" s="105" t="s">
        <v>5019</v>
      </c>
      <c r="I467" s="105" t="s">
        <v>5015</v>
      </c>
      <c r="J467" s="104">
        <v>8.7100000000000009</v>
      </c>
      <c r="K467" s="103" t="s">
        <v>421</v>
      </c>
      <c r="L467" s="102" t="s">
        <v>533</v>
      </c>
      <c r="M467" s="95"/>
      <c r="N467" s="14"/>
      <c r="O467" s="94">
        <v>23</v>
      </c>
      <c r="P467" s="14" t="s">
        <v>485</v>
      </c>
      <c r="Q467" s="14" t="s">
        <v>887</v>
      </c>
      <c r="R467" s="14" t="s">
        <v>496</v>
      </c>
      <c r="S467" s="15">
        <v>7.2</v>
      </c>
      <c r="T467" s="15">
        <v>4.8</v>
      </c>
      <c r="U467" s="15">
        <v>0</v>
      </c>
      <c r="V467" s="14">
        <v>5408</v>
      </c>
      <c r="W467" s="12">
        <v>0</v>
      </c>
      <c r="X467" s="12">
        <v>0.71000000000000085</v>
      </c>
      <c r="Y467" s="12">
        <v>0</v>
      </c>
      <c r="Z467" s="12">
        <v>8</v>
      </c>
      <c r="AA467" s="12">
        <v>0</v>
      </c>
      <c r="AB467" s="13">
        <f t="shared" si="29"/>
        <v>0</v>
      </c>
      <c r="AE467" s="12">
        <v>0</v>
      </c>
      <c r="AF467" s="12">
        <v>0.71000000000000085</v>
      </c>
      <c r="AG467" s="12">
        <v>0</v>
      </c>
      <c r="AH467" s="12">
        <v>8</v>
      </c>
      <c r="AI467" s="12">
        <v>0</v>
      </c>
      <c r="AJ467" s="13">
        <f t="shared" si="30"/>
        <v>0</v>
      </c>
      <c r="AN467" s="12">
        <f t="shared" si="31"/>
        <v>47104</v>
      </c>
      <c r="AQ467" s="8" t="s">
        <v>418</v>
      </c>
      <c r="AR467" t="str">
        <f t="shared" si="32"/>
        <v>Noroeste - A01</v>
      </c>
    </row>
    <row r="468" spans="1:44" x14ac:dyDescent="0.2">
      <c r="A468" s="107" t="s">
        <v>5018</v>
      </c>
      <c r="B468" s="106" t="s">
        <v>5017</v>
      </c>
      <c r="C468" s="106" t="s">
        <v>4876</v>
      </c>
      <c r="D468" s="106" t="s">
        <v>965</v>
      </c>
      <c r="E468" s="106" t="s">
        <v>5012</v>
      </c>
      <c r="F468" s="106" t="s">
        <v>511</v>
      </c>
      <c r="G468" s="106" t="s">
        <v>5016</v>
      </c>
      <c r="H468" s="105" t="s">
        <v>5015</v>
      </c>
      <c r="I468" s="105" t="s">
        <v>5010</v>
      </c>
      <c r="J468" s="104">
        <v>20.45</v>
      </c>
      <c r="K468" s="103" t="s">
        <v>421</v>
      </c>
      <c r="L468" s="102" t="s">
        <v>533</v>
      </c>
      <c r="M468" s="95"/>
      <c r="N468" s="14"/>
      <c r="O468" s="94">
        <v>23</v>
      </c>
      <c r="P468" s="14" t="s">
        <v>4440</v>
      </c>
      <c r="Q468" s="14" t="s">
        <v>887</v>
      </c>
      <c r="R468" s="14" t="s">
        <v>496</v>
      </c>
      <c r="S468" s="15">
        <v>7.3</v>
      </c>
      <c r="T468" s="15">
        <v>4.7</v>
      </c>
      <c r="U468" s="15">
        <v>0</v>
      </c>
      <c r="V468" s="14">
        <v>6260</v>
      </c>
      <c r="W468" s="12">
        <v>0</v>
      </c>
      <c r="X468" s="12">
        <v>6.4499999999999993</v>
      </c>
      <c r="Y468" s="12">
        <v>12</v>
      </c>
      <c r="Z468" s="12">
        <v>2</v>
      </c>
      <c r="AA468" s="12">
        <v>0</v>
      </c>
      <c r="AB468" s="13">
        <f t="shared" si="29"/>
        <v>0</v>
      </c>
      <c r="AE468" s="12">
        <v>0</v>
      </c>
      <c r="AF468" s="12">
        <v>6.4499999999999993</v>
      </c>
      <c r="AG468" s="12">
        <v>12</v>
      </c>
      <c r="AH468" s="12">
        <v>2</v>
      </c>
      <c r="AI468" s="12">
        <v>0</v>
      </c>
      <c r="AJ468" s="13">
        <f t="shared" si="30"/>
        <v>0</v>
      </c>
      <c r="AN468" s="12">
        <f t="shared" si="31"/>
        <v>128017</v>
      </c>
      <c r="AQ468" s="8" t="s">
        <v>418</v>
      </c>
      <c r="AR468" t="str">
        <f t="shared" si="32"/>
        <v>Noroeste - A01</v>
      </c>
    </row>
    <row r="469" spans="1:44" x14ac:dyDescent="0.2">
      <c r="A469" s="107" t="s">
        <v>5014</v>
      </c>
      <c r="B469" s="106" t="s">
        <v>5013</v>
      </c>
      <c r="C469" s="106" t="s">
        <v>4876</v>
      </c>
      <c r="D469" s="106" t="s">
        <v>633</v>
      </c>
      <c r="E469" s="106" t="s">
        <v>5012</v>
      </c>
      <c r="F469" s="106" t="s">
        <v>511</v>
      </c>
      <c r="G469" s="106" t="s">
        <v>5011</v>
      </c>
      <c r="H469" s="105" t="s">
        <v>5010</v>
      </c>
      <c r="I469" s="105" t="s">
        <v>5009</v>
      </c>
      <c r="J469" s="104">
        <v>0.32</v>
      </c>
      <c r="K469" s="103" t="s">
        <v>421</v>
      </c>
      <c r="L469" s="102" t="s">
        <v>533</v>
      </c>
      <c r="M469" s="95"/>
      <c r="N469" s="14"/>
      <c r="O469" s="94">
        <v>23</v>
      </c>
      <c r="P469" s="14" t="s">
        <v>4440</v>
      </c>
      <c r="Q469" s="14" t="s">
        <v>887</v>
      </c>
      <c r="R469" s="14" t="s">
        <v>496</v>
      </c>
      <c r="S469" s="15">
        <v>7.2</v>
      </c>
      <c r="T469" s="15">
        <v>2.9</v>
      </c>
      <c r="U469" s="15">
        <v>0</v>
      </c>
      <c r="V469" s="14">
        <v>9674</v>
      </c>
      <c r="W469" s="12">
        <v>0</v>
      </c>
      <c r="X469" s="12">
        <v>0.32</v>
      </c>
      <c r="Y469" s="12">
        <v>0</v>
      </c>
      <c r="Z469" s="12">
        <v>0</v>
      </c>
      <c r="AA469" s="12">
        <v>0</v>
      </c>
      <c r="AB469" s="13">
        <f t="shared" si="29"/>
        <v>0</v>
      </c>
      <c r="AE469" s="12">
        <v>0</v>
      </c>
      <c r="AF469" s="12">
        <v>0.32</v>
      </c>
      <c r="AG469" s="12">
        <v>0</v>
      </c>
      <c r="AH469" s="12">
        <v>0</v>
      </c>
      <c r="AI469" s="12">
        <v>0</v>
      </c>
      <c r="AJ469" s="13">
        <f t="shared" si="30"/>
        <v>0</v>
      </c>
      <c r="AN469" s="12">
        <f t="shared" si="31"/>
        <v>3096</v>
      </c>
      <c r="AQ469" s="8" t="s">
        <v>418</v>
      </c>
      <c r="AR469" t="str">
        <f t="shared" si="32"/>
        <v>Noroeste - A01</v>
      </c>
    </row>
    <row r="470" spans="1:44" x14ac:dyDescent="0.2">
      <c r="A470" s="107" t="s">
        <v>5008</v>
      </c>
      <c r="B470" s="106" t="s">
        <v>5007</v>
      </c>
      <c r="C470" s="106" t="s">
        <v>4876</v>
      </c>
      <c r="D470" s="106" t="s">
        <v>5003</v>
      </c>
      <c r="E470" s="106" t="s">
        <v>4886</v>
      </c>
      <c r="F470" s="106" t="s">
        <v>606</v>
      </c>
      <c r="G470" s="106" t="s">
        <v>5006</v>
      </c>
      <c r="H470" s="105" t="s">
        <v>5001</v>
      </c>
      <c r="I470" s="105" t="s">
        <v>1483</v>
      </c>
      <c r="J470" s="104">
        <v>0.65</v>
      </c>
      <c r="K470" s="103" t="s">
        <v>426</v>
      </c>
      <c r="L470" s="102" t="s">
        <v>533</v>
      </c>
      <c r="M470" s="95"/>
      <c r="N470" s="14"/>
      <c r="O470" s="94">
        <v>28</v>
      </c>
      <c r="P470" s="14" t="s">
        <v>596</v>
      </c>
      <c r="Q470" s="14" t="s">
        <v>497</v>
      </c>
      <c r="R470" s="14" t="s">
        <v>496</v>
      </c>
      <c r="S470" s="15">
        <v>7.2</v>
      </c>
      <c r="T470" s="15">
        <v>5</v>
      </c>
      <c r="U470" s="15">
        <v>0</v>
      </c>
      <c r="V470" s="14">
        <v>2000</v>
      </c>
      <c r="W470" s="12">
        <v>0</v>
      </c>
      <c r="X470" s="12">
        <v>0</v>
      </c>
      <c r="Y470" s="12">
        <v>0</v>
      </c>
      <c r="Z470" s="12">
        <v>0.65</v>
      </c>
      <c r="AA470" s="12">
        <v>0</v>
      </c>
      <c r="AB470" s="13">
        <f t="shared" si="29"/>
        <v>0</v>
      </c>
      <c r="AE470" s="12">
        <v>0</v>
      </c>
      <c r="AF470" s="12">
        <v>0</v>
      </c>
      <c r="AG470" s="12">
        <v>0</v>
      </c>
      <c r="AH470" s="12">
        <v>0.65</v>
      </c>
      <c r="AI470" s="12">
        <v>0</v>
      </c>
      <c r="AJ470" s="13">
        <f t="shared" si="30"/>
        <v>0</v>
      </c>
      <c r="AN470" s="12">
        <f t="shared" si="31"/>
        <v>1300</v>
      </c>
      <c r="AQ470" s="8" t="s">
        <v>418</v>
      </c>
      <c r="AR470" t="str">
        <f t="shared" si="32"/>
        <v>Noroeste - A06</v>
      </c>
    </row>
    <row r="471" spans="1:44" x14ac:dyDescent="0.2">
      <c r="A471" s="107" t="s">
        <v>5005</v>
      </c>
      <c r="B471" s="106" t="s">
        <v>5004</v>
      </c>
      <c r="C471" s="106" t="s">
        <v>4876</v>
      </c>
      <c r="D471" s="106" t="s">
        <v>5003</v>
      </c>
      <c r="E471" s="106" t="s">
        <v>4881</v>
      </c>
      <c r="F471" s="106" t="s">
        <v>600</v>
      </c>
      <c r="G471" s="106" t="s">
        <v>5002</v>
      </c>
      <c r="H471" s="105" t="s">
        <v>5001</v>
      </c>
      <c r="I471" s="105" t="s">
        <v>1483</v>
      </c>
      <c r="J471" s="104">
        <v>0.65</v>
      </c>
      <c r="K471" s="103" t="s">
        <v>426</v>
      </c>
      <c r="L471" s="102" t="s">
        <v>533</v>
      </c>
      <c r="M471" s="95"/>
      <c r="N471" s="14"/>
      <c r="O471" s="94">
        <v>28</v>
      </c>
      <c r="P471" s="14" t="s">
        <v>596</v>
      </c>
      <c r="Q471" s="14" t="s">
        <v>497</v>
      </c>
      <c r="R471" s="14" t="s">
        <v>496</v>
      </c>
      <c r="S471" s="15">
        <v>7.2</v>
      </c>
      <c r="T471" s="15">
        <v>5</v>
      </c>
      <c r="U471" s="15">
        <v>0</v>
      </c>
      <c r="V471" s="14">
        <v>2000</v>
      </c>
      <c r="W471" s="12">
        <v>0</v>
      </c>
      <c r="X471" s="12">
        <v>0</v>
      </c>
      <c r="Y471" s="12">
        <v>0</v>
      </c>
      <c r="Z471" s="12">
        <v>0.65</v>
      </c>
      <c r="AA471" s="12">
        <v>0</v>
      </c>
      <c r="AB471" s="13">
        <f t="shared" si="29"/>
        <v>0</v>
      </c>
      <c r="AE471" s="12">
        <v>0</v>
      </c>
      <c r="AF471" s="12">
        <v>0</v>
      </c>
      <c r="AG471" s="12">
        <v>0</v>
      </c>
      <c r="AH471" s="12">
        <v>0.65</v>
      </c>
      <c r="AI471" s="12">
        <v>0</v>
      </c>
      <c r="AJ471" s="13">
        <f t="shared" si="30"/>
        <v>0</v>
      </c>
      <c r="AN471" s="12">
        <f t="shared" si="31"/>
        <v>1300</v>
      </c>
      <c r="AQ471" s="8" t="s">
        <v>418</v>
      </c>
      <c r="AR471" t="str">
        <f t="shared" si="32"/>
        <v>Noroeste - A06</v>
      </c>
    </row>
    <row r="472" spans="1:44" x14ac:dyDescent="0.2">
      <c r="A472" s="107" t="s">
        <v>5000</v>
      </c>
      <c r="B472" s="106" t="s">
        <v>4999</v>
      </c>
      <c r="C472" s="106" t="s">
        <v>4876</v>
      </c>
      <c r="D472" s="106" t="s">
        <v>4998</v>
      </c>
      <c r="E472" s="106" t="s">
        <v>4875</v>
      </c>
      <c r="F472" s="106" t="s">
        <v>490</v>
      </c>
      <c r="G472" s="106" t="s">
        <v>4997</v>
      </c>
      <c r="H472" s="105" t="s">
        <v>1483</v>
      </c>
      <c r="I472" s="105" t="s">
        <v>4996</v>
      </c>
      <c r="J472" s="104">
        <v>2.8</v>
      </c>
      <c r="K472" s="103" t="s">
        <v>426</v>
      </c>
      <c r="L472" s="102" t="s">
        <v>533</v>
      </c>
      <c r="M472" s="95"/>
      <c r="N472" s="14"/>
      <c r="O472" s="94">
        <v>28</v>
      </c>
      <c r="P472" s="14" t="s">
        <v>485</v>
      </c>
      <c r="Q472" s="14" t="s">
        <v>497</v>
      </c>
      <c r="R472" s="14" t="s">
        <v>496</v>
      </c>
      <c r="S472" s="15">
        <v>7.2</v>
      </c>
      <c r="T472" s="15">
        <v>5</v>
      </c>
      <c r="U472" s="15">
        <v>0.7</v>
      </c>
      <c r="V472" s="14">
        <v>2576</v>
      </c>
      <c r="W472" s="12">
        <v>0</v>
      </c>
      <c r="X472" s="12">
        <v>0</v>
      </c>
      <c r="Y472" s="12">
        <v>0</v>
      </c>
      <c r="Z472" s="12">
        <v>2.8</v>
      </c>
      <c r="AA472" s="12">
        <v>0</v>
      </c>
      <c r="AB472" s="13">
        <f t="shared" si="29"/>
        <v>0</v>
      </c>
      <c r="AE472" s="12">
        <v>0</v>
      </c>
      <c r="AF472" s="12">
        <v>0</v>
      </c>
      <c r="AG472" s="12">
        <v>0</v>
      </c>
      <c r="AH472" s="12">
        <v>2.8</v>
      </c>
      <c r="AI472" s="12">
        <v>0</v>
      </c>
      <c r="AJ472" s="13">
        <f t="shared" si="30"/>
        <v>0</v>
      </c>
      <c r="AN472" s="12">
        <f t="shared" si="31"/>
        <v>7213</v>
      </c>
      <c r="AQ472" s="8" t="s">
        <v>418</v>
      </c>
      <c r="AR472" t="str">
        <f t="shared" si="32"/>
        <v>Noroeste - A06</v>
      </c>
    </row>
    <row r="473" spans="1:44" x14ac:dyDescent="0.2">
      <c r="A473" s="107" t="s">
        <v>4995</v>
      </c>
      <c r="B473" s="106" t="s">
        <v>4994</v>
      </c>
      <c r="C473" s="106" t="s">
        <v>4876</v>
      </c>
      <c r="D473" s="106" t="s">
        <v>2602</v>
      </c>
      <c r="E473" s="106" t="s">
        <v>4886</v>
      </c>
      <c r="F473" s="106" t="s">
        <v>606</v>
      </c>
      <c r="G473" s="106" t="s">
        <v>4993</v>
      </c>
      <c r="H473" s="105" t="s">
        <v>4989</v>
      </c>
      <c r="I473" s="105" t="s">
        <v>4988</v>
      </c>
      <c r="J473" s="104">
        <v>3.11</v>
      </c>
      <c r="K473" s="103" t="s">
        <v>426</v>
      </c>
      <c r="L473" s="102" t="s">
        <v>533</v>
      </c>
      <c r="M473" s="95"/>
      <c r="N473" s="14"/>
      <c r="O473" s="94">
        <v>28</v>
      </c>
      <c r="P473" s="14" t="s">
        <v>596</v>
      </c>
      <c r="Q473" s="14" t="s">
        <v>865</v>
      </c>
      <c r="R473" s="14" t="s">
        <v>496</v>
      </c>
      <c r="S473" s="15">
        <v>7</v>
      </c>
      <c r="T473" s="15">
        <v>2.5</v>
      </c>
      <c r="U473" s="15">
        <v>0</v>
      </c>
      <c r="V473" s="14">
        <v>1000</v>
      </c>
      <c r="W473" s="12">
        <v>0</v>
      </c>
      <c r="X473" s="12">
        <v>0</v>
      </c>
      <c r="Y473" s="12">
        <v>0</v>
      </c>
      <c r="Z473" s="12">
        <v>3.11</v>
      </c>
      <c r="AA473" s="12">
        <v>0</v>
      </c>
      <c r="AB473" s="13">
        <f t="shared" si="29"/>
        <v>0</v>
      </c>
      <c r="AE473" s="12">
        <v>0</v>
      </c>
      <c r="AF473" s="12">
        <v>0</v>
      </c>
      <c r="AG473" s="12">
        <v>0</v>
      </c>
      <c r="AH473" s="12">
        <v>3.11</v>
      </c>
      <c r="AI473" s="12">
        <v>0</v>
      </c>
      <c r="AJ473" s="13">
        <f t="shared" si="30"/>
        <v>0</v>
      </c>
      <c r="AN473" s="12">
        <f t="shared" si="31"/>
        <v>3110</v>
      </c>
      <c r="AQ473" s="8" t="s">
        <v>418</v>
      </c>
      <c r="AR473" t="str">
        <f t="shared" si="32"/>
        <v>Noroeste - A06</v>
      </c>
    </row>
    <row r="474" spans="1:44" x14ac:dyDescent="0.2">
      <c r="A474" s="107" t="s">
        <v>4992</v>
      </c>
      <c r="B474" s="106" t="s">
        <v>4991</v>
      </c>
      <c r="C474" s="106" t="s">
        <v>4876</v>
      </c>
      <c r="D474" s="106" t="s">
        <v>2602</v>
      </c>
      <c r="E474" s="106" t="s">
        <v>4881</v>
      </c>
      <c r="F474" s="106" t="s">
        <v>600</v>
      </c>
      <c r="G474" s="106" t="s">
        <v>4990</v>
      </c>
      <c r="H474" s="105" t="s">
        <v>4989</v>
      </c>
      <c r="I474" s="105" t="s">
        <v>4988</v>
      </c>
      <c r="J474" s="104">
        <v>3.11</v>
      </c>
      <c r="K474" s="103" t="s">
        <v>426</v>
      </c>
      <c r="L474" s="102" t="s">
        <v>533</v>
      </c>
      <c r="M474" s="95"/>
      <c r="N474" s="14"/>
      <c r="O474" s="94">
        <v>28</v>
      </c>
      <c r="P474" s="14" t="s">
        <v>596</v>
      </c>
      <c r="Q474" s="14" t="s">
        <v>865</v>
      </c>
      <c r="R474" s="14" t="s">
        <v>496</v>
      </c>
      <c r="S474" s="15">
        <v>7</v>
      </c>
      <c r="T474" s="15">
        <v>2.5</v>
      </c>
      <c r="U474" s="15">
        <v>0</v>
      </c>
      <c r="V474" s="14">
        <v>1000</v>
      </c>
      <c r="W474" s="12">
        <v>0</v>
      </c>
      <c r="X474" s="12">
        <v>0</v>
      </c>
      <c r="Y474" s="12">
        <v>1</v>
      </c>
      <c r="Z474" s="12">
        <v>2.11</v>
      </c>
      <c r="AA474" s="12">
        <v>0</v>
      </c>
      <c r="AB474" s="13">
        <f t="shared" si="29"/>
        <v>0</v>
      </c>
      <c r="AE474" s="12">
        <v>0</v>
      </c>
      <c r="AF474" s="12">
        <v>0</v>
      </c>
      <c r="AG474" s="12">
        <v>1</v>
      </c>
      <c r="AH474" s="12">
        <v>2.11</v>
      </c>
      <c r="AI474" s="12">
        <v>0</v>
      </c>
      <c r="AJ474" s="13">
        <f t="shared" si="30"/>
        <v>0</v>
      </c>
      <c r="AN474" s="12">
        <f t="shared" si="31"/>
        <v>3110</v>
      </c>
      <c r="AQ474" s="8" t="s">
        <v>418</v>
      </c>
      <c r="AR474" t="str">
        <f t="shared" si="32"/>
        <v>Noroeste - A06</v>
      </c>
    </row>
    <row r="475" spans="1:44" x14ac:dyDescent="0.2">
      <c r="A475" s="107" t="s">
        <v>4987</v>
      </c>
      <c r="B475" s="106" t="s">
        <v>4986</v>
      </c>
      <c r="C475" s="106" t="s">
        <v>4876</v>
      </c>
      <c r="D475" s="106" t="s">
        <v>4982</v>
      </c>
      <c r="E475" s="106" t="s">
        <v>4886</v>
      </c>
      <c r="F475" s="106" t="s">
        <v>606</v>
      </c>
      <c r="G475" s="106" t="s">
        <v>4985</v>
      </c>
      <c r="H475" s="105" t="s">
        <v>4980</v>
      </c>
      <c r="I475" s="105" t="s">
        <v>4979</v>
      </c>
      <c r="J475" s="104">
        <v>1.25</v>
      </c>
      <c r="K475" s="103" t="s">
        <v>426</v>
      </c>
      <c r="L475" s="102" t="s">
        <v>533</v>
      </c>
      <c r="M475" s="95"/>
      <c r="N475" s="14"/>
      <c r="O475" s="94">
        <v>28</v>
      </c>
      <c r="P475" s="14" t="s">
        <v>596</v>
      </c>
      <c r="Q475" s="14" t="s">
        <v>865</v>
      </c>
      <c r="R475" s="14" t="s">
        <v>496</v>
      </c>
      <c r="S475" s="15">
        <v>7</v>
      </c>
      <c r="T475" s="15">
        <v>2.5</v>
      </c>
      <c r="U475" s="15">
        <v>0</v>
      </c>
      <c r="V475" s="14">
        <v>1000</v>
      </c>
      <c r="W475" s="12">
        <v>0</v>
      </c>
      <c r="X475" s="12">
        <v>0</v>
      </c>
      <c r="Y475" s="12">
        <v>0</v>
      </c>
      <c r="Z475" s="12">
        <v>1.25</v>
      </c>
      <c r="AA475" s="12">
        <v>0</v>
      </c>
      <c r="AB475" s="13">
        <f t="shared" si="29"/>
        <v>0</v>
      </c>
      <c r="AE475" s="12">
        <v>0</v>
      </c>
      <c r="AF475" s="12">
        <v>0</v>
      </c>
      <c r="AG475" s="12">
        <v>0</v>
      </c>
      <c r="AH475" s="12">
        <v>1.25</v>
      </c>
      <c r="AI475" s="12">
        <v>0</v>
      </c>
      <c r="AJ475" s="13">
        <f t="shared" si="30"/>
        <v>0</v>
      </c>
      <c r="AN475" s="12">
        <f t="shared" si="31"/>
        <v>1250</v>
      </c>
      <c r="AQ475" s="8" t="s">
        <v>418</v>
      </c>
      <c r="AR475" t="str">
        <f t="shared" si="32"/>
        <v>Noroeste - A06</v>
      </c>
    </row>
    <row r="476" spans="1:44" x14ac:dyDescent="0.2">
      <c r="A476" s="107" t="s">
        <v>4984</v>
      </c>
      <c r="B476" s="106" t="s">
        <v>4983</v>
      </c>
      <c r="C476" s="106" t="s">
        <v>4876</v>
      </c>
      <c r="D476" s="106" t="s">
        <v>4982</v>
      </c>
      <c r="E476" s="106" t="s">
        <v>4881</v>
      </c>
      <c r="F476" s="106" t="s">
        <v>600</v>
      </c>
      <c r="G476" s="106" t="s">
        <v>4981</v>
      </c>
      <c r="H476" s="105" t="s">
        <v>4980</v>
      </c>
      <c r="I476" s="105" t="s">
        <v>4979</v>
      </c>
      <c r="J476" s="104">
        <v>1.25</v>
      </c>
      <c r="K476" s="103" t="s">
        <v>426</v>
      </c>
      <c r="L476" s="102" t="s">
        <v>533</v>
      </c>
      <c r="M476" s="95"/>
      <c r="N476" s="14"/>
      <c r="O476" s="94">
        <v>28</v>
      </c>
      <c r="P476" s="14" t="s">
        <v>596</v>
      </c>
      <c r="Q476" s="14" t="s">
        <v>865</v>
      </c>
      <c r="R476" s="14" t="s">
        <v>496</v>
      </c>
      <c r="S476" s="15">
        <v>7</v>
      </c>
      <c r="T476" s="15">
        <v>2.5</v>
      </c>
      <c r="U476" s="15">
        <v>0</v>
      </c>
      <c r="V476" s="14">
        <v>1000</v>
      </c>
      <c r="W476" s="12">
        <v>0</v>
      </c>
      <c r="X476" s="12">
        <v>0</v>
      </c>
      <c r="Y476" s="12">
        <v>0</v>
      </c>
      <c r="Z476" s="12">
        <v>1.25</v>
      </c>
      <c r="AA476" s="12">
        <v>0</v>
      </c>
      <c r="AB476" s="13">
        <f t="shared" si="29"/>
        <v>0</v>
      </c>
      <c r="AE476" s="12">
        <v>0</v>
      </c>
      <c r="AF476" s="12">
        <v>0</v>
      </c>
      <c r="AG476" s="12">
        <v>0</v>
      </c>
      <c r="AH476" s="12">
        <v>1.25</v>
      </c>
      <c r="AI476" s="12">
        <v>0</v>
      </c>
      <c r="AJ476" s="13">
        <f t="shared" si="30"/>
        <v>0</v>
      </c>
      <c r="AN476" s="12">
        <f t="shared" si="31"/>
        <v>1250</v>
      </c>
      <c r="AQ476" s="8" t="s">
        <v>418</v>
      </c>
      <c r="AR476" t="str">
        <f t="shared" si="32"/>
        <v>Noroeste - A06</v>
      </c>
    </row>
    <row r="477" spans="1:44" x14ac:dyDescent="0.2">
      <c r="A477" s="107" t="s">
        <v>4978</v>
      </c>
      <c r="B477" s="106" t="s">
        <v>4977</v>
      </c>
      <c r="C477" s="106" t="s">
        <v>4876</v>
      </c>
      <c r="D477" s="106" t="s">
        <v>2560</v>
      </c>
      <c r="E477" s="106" t="s">
        <v>4875</v>
      </c>
      <c r="F477" s="106" t="s">
        <v>490</v>
      </c>
      <c r="G477" s="106" t="s">
        <v>4976</v>
      </c>
      <c r="H477" s="105" t="s">
        <v>4975</v>
      </c>
      <c r="I477" s="105" t="s">
        <v>4970</v>
      </c>
      <c r="J477" s="104">
        <v>13.59</v>
      </c>
      <c r="K477" s="103" t="s">
        <v>425</v>
      </c>
      <c r="L477" s="102" t="s">
        <v>533</v>
      </c>
      <c r="M477" s="95"/>
      <c r="N477" s="14"/>
      <c r="O477" s="94">
        <v>27</v>
      </c>
      <c r="P477" s="14" t="s">
        <v>485</v>
      </c>
      <c r="Q477" s="14" t="s">
        <v>561</v>
      </c>
      <c r="R477" s="14" t="s">
        <v>496</v>
      </c>
      <c r="S477" s="15">
        <v>7</v>
      </c>
      <c r="T477" s="15">
        <v>1</v>
      </c>
      <c r="U477" s="15">
        <v>0</v>
      </c>
      <c r="V477" s="14">
        <v>1176</v>
      </c>
      <c r="W477" s="12">
        <v>0</v>
      </c>
      <c r="X477" s="12">
        <v>0</v>
      </c>
      <c r="Y477" s="12">
        <v>0</v>
      </c>
      <c r="Z477" s="12">
        <v>13.59</v>
      </c>
      <c r="AA477" s="12">
        <v>0</v>
      </c>
      <c r="AB477" s="13">
        <f t="shared" si="29"/>
        <v>0</v>
      </c>
      <c r="AE477" s="12">
        <v>0</v>
      </c>
      <c r="AF477" s="12">
        <v>0</v>
      </c>
      <c r="AG477" s="12">
        <v>0</v>
      </c>
      <c r="AH477" s="12">
        <v>13.59</v>
      </c>
      <c r="AI477" s="12">
        <v>0</v>
      </c>
      <c r="AJ477" s="13">
        <f t="shared" si="30"/>
        <v>0</v>
      </c>
      <c r="AN477" s="12">
        <f t="shared" si="31"/>
        <v>15982</v>
      </c>
      <c r="AQ477" s="8" t="s">
        <v>418</v>
      </c>
      <c r="AR477" t="str">
        <f t="shared" si="32"/>
        <v>Noroeste - A05</v>
      </c>
    </row>
    <row r="478" spans="1:44" x14ac:dyDescent="0.2">
      <c r="A478" s="107" t="s">
        <v>4974</v>
      </c>
      <c r="B478" s="106" t="s">
        <v>4973</v>
      </c>
      <c r="C478" s="106" t="s">
        <v>4876</v>
      </c>
      <c r="D478" s="106" t="s">
        <v>4972</v>
      </c>
      <c r="E478" s="106" t="s">
        <v>4875</v>
      </c>
      <c r="F478" s="106" t="s">
        <v>490</v>
      </c>
      <c r="G478" s="106" t="s">
        <v>4971</v>
      </c>
      <c r="H478" s="105" t="s">
        <v>4970</v>
      </c>
      <c r="I478" s="105" t="s">
        <v>2705</v>
      </c>
      <c r="J478" s="104">
        <v>8.5</v>
      </c>
      <c r="K478" s="103" t="s">
        <v>425</v>
      </c>
      <c r="L478" s="102" t="s">
        <v>533</v>
      </c>
      <c r="M478" s="95"/>
      <c r="N478" s="14"/>
      <c r="O478" s="94">
        <v>27</v>
      </c>
      <c r="P478" s="14" t="s">
        <v>485</v>
      </c>
      <c r="Q478" s="14" t="s">
        <v>561</v>
      </c>
      <c r="R478" s="14" t="s">
        <v>496</v>
      </c>
      <c r="S478" s="15">
        <v>7</v>
      </c>
      <c r="T478" s="15">
        <v>1</v>
      </c>
      <c r="U478" s="15">
        <v>0</v>
      </c>
      <c r="V478" s="14">
        <v>1176</v>
      </c>
      <c r="W478" s="12">
        <v>0</v>
      </c>
      <c r="X478" s="12">
        <v>0</v>
      </c>
      <c r="Y478" s="12">
        <v>1</v>
      </c>
      <c r="Z478" s="12">
        <v>7.5</v>
      </c>
      <c r="AA478" s="12">
        <v>0</v>
      </c>
      <c r="AB478" s="13">
        <f t="shared" si="29"/>
        <v>0</v>
      </c>
      <c r="AE478" s="12">
        <v>0</v>
      </c>
      <c r="AF478" s="12">
        <v>0</v>
      </c>
      <c r="AG478" s="12">
        <v>1</v>
      </c>
      <c r="AH478" s="12">
        <v>7.5</v>
      </c>
      <c r="AI478" s="12">
        <v>0</v>
      </c>
      <c r="AJ478" s="13">
        <f t="shared" si="30"/>
        <v>0</v>
      </c>
      <c r="AN478" s="12">
        <f t="shared" si="31"/>
        <v>9996</v>
      </c>
      <c r="AQ478" s="8" t="s">
        <v>418</v>
      </c>
      <c r="AR478" t="str">
        <f t="shared" si="32"/>
        <v>Noroeste - A05</v>
      </c>
    </row>
    <row r="479" spans="1:44" x14ac:dyDescent="0.2">
      <c r="A479" s="107" t="s">
        <v>4969</v>
      </c>
      <c r="B479" s="106" t="s">
        <v>4968</v>
      </c>
      <c r="C479" s="106" t="s">
        <v>4876</v>
      </c>
      <c r="D479" s="106" t="s">
        <v>4967</v>
      </c>
      <c r="E479" s="106" t="s">
        <v>4875</v>
      </c>
      <c r="F479" s="106" t="s">
        <v>490</v>
      </c>
      <c r="G479" s="106" t="s">
        <v>4966</v>
      </c>
      <c r="H479" s="105" t="s">
        <v>2705</v>
      </c>
      <c r="I479" s="105" t="s">
        <v>4961</v>
      </c>
      <c r="J479" s="104">
        <v>2.83</v>
      </c>
      <c r="K479" s="103" t="s">
        <v>423</v>
      </c>
      <c r="L479" s="102" t="s">
        <v>507</v>
      </c>
      <c r="M479" s="95"/>
      <c r="N479" s="14"/>
      <c r="O479" s="94">
        <v>35</v>
      </c>
      <c r="P479" s="14" t="s">
        <v>485</v>
      </c>
      <c r="Q479" s="14" t="s">
        <v>561</v>
      </c>
      <c r="R479" s="14" t="s">
        <v>496</v>
      </c>
      <c r="S479" s="15">
        <v>7</v>
      </c>
      <c r="T479" s="15">
        <v>0</v>
      </c>
      <c r="U479" s="15">
        <v>0</v>
      </c>
      <c r="V479" s="14">
        <v>3054</v>
      </c>
      <c r="W479" s="12">
        <v>0</v>
      </c>
      <c r="X479" s="12">
        <v>0</v>
      </c>
      <c r="Y479" s="12">
        <v>1</v>
      </c>
      <c r="Z479" s="12">
        <v>1.83</v>
      </c>
      <c r="AA479" s="12">
        <v>0</v>
      </c>
      <c r="AB479" s="13">
        <f t="shared" si="29"/>
        <v>0</v>
      </c>
      <c r="AE479" s="12">
        <v>0</v>
      </c>
      <c r="AF479" s="12">
        <v>0</v>
      </c>
      <c r="AG479" s="12">
        <v>1</v>
      </c>
      <c r="AH479" s="12">
        <v>1.83</v>
      </c>
      <c r="AI479" s="12">
        <v>0</v>
      </c>
      <c r="AJ479" s="13">
        <f t="shared" si="30"/>
        <v>0</v>
      </c>
      <c r="AN479" s="12">
        <f t="shared" si="31"/>
        <v>8643</v>
      </c>
      <c r="AQ479" s="8" t="s">
        <v>417</v>
      </c>
      <c r="AR479" t="str">
        <f t="shared" si="32"/>
        <v>Oeste - A03</v>
      </c>
    </row>
    <row r="480" spans="1:44" x14ac:dyDescent="0.2">
      <c r="A480" s="107" t="s">
        <v>4965</v>
      </c>
      <c r="B480" s="106" t="s">
        <v>4964</v>
      </c>
      <c r="C480" s="106" t="s">
        <v>4876</v>
      </c>
      <c r="D480" s="106" t="s">
        <v>4963</v>
      </c>
      <c r="E480" s="106" t="s">
        <v>4875</v>
      </c>
      <c r="F480" s="106" t="s">
        <v>490</v>
      </c>
      <c r="G480" s="106" t="s">
        <v>4962</v>
      </c>
      <c r="H480" s="105" t="s">
        <v>4961</v>
      </c>
      <c r="I480" s="105" t="s">
        <v>4956</v>
      </c>
      <c r="J480" s="104">
        <v>1.18</v>
      </c>
      <c r="K480" s="103" t="s">
        <v>423</v>
      </c>
      <c r="L480" s="102" t="s">
        <v>507</v>
      </c>
      <c r="M480" s="95"/>
      <c r="N480" s="14"/>
      <c r="O480" s="94">
        <v>35</v>
      </c>
      <c r="P480" s="14" t="s">
        <v>485</v>
      </c>
      <c r="Q480" s="14" t="s">
        <v>561</v>
      </c>
      <c r="R480" s="14" t="s">
        <v>496</v>
      </c>
      <c r="S480" s="15">
        <v>7</v>
      </c>
      <c r="T480" s="15">
        <v>0.6</v>
      </c>
      <c r="U480" s="15">
        <v>0</v>
      </c>
      <c r="V480" s="14">
        <v>3054</v>
      </c>
      <c r="W480" s="12">
        <v>0</v>
      </c>
      <c r="X480" s="12">
        <v>0</v>
      </c>
      <c r="Y480" s="12">
        <v>0</v>
      </c>
      <c r="Z480" s="12">
        <v>1.18</v>
      </c>
      <c r="AA480" s="12">
        <v>0</v>
      </c>
      <c r="AB480" s="13">
        <f t="shared" si="29"/>
        <v>0</v>
      </c>
      <c r="AE480" s="12">
        <v>0</v>
      </c>
      <c r="AF480" s="12">
        <v>0</v>
      </c>
      <c r="AG480" s="12">
        <v>0</v>
      </c>
      <c r="AH480" s="12">
        <v>1.18</v>
      </c>
      <c r="AI480" s="12">
        <v>0</v>
      </c>
      <c r="AJ480" s="13">
        <f t="shared" si="30"/>
        <v>0</v>
      </c>
      <c r="AN480" s="12">
        <f t="shared" si="31"/>
        <v>3604</v>
      </c>
      <c r="AQ480" s="8" t="s">
        <v>417</v>
      </c>
      <c r="AR480" t="str">
        <f t="shared" si="32"/>
        <v>Oeste - A03</v>
      </c>
    </row>
    <row r="481" spans="1:44" x14ac:dyDescent="0.2">
      <c r="A481" s="107" t="s">
        <v>4960</v>
      </c>
      <c r="B481" s="106" t="s">
        <v>4959</v>
      </c>
      <c r="C481" s="106" t="s">
        <v>4876</v>
      </c>
      <c r="D481" s="106" t="s">
        <v>4958</v>
      </c>
      <c r="E481" s="106" t="s">
        <v>4875</v>
      </c>
      <c r="F481" s="106" t="s">
        <v>490</v>
      </c>
      <c r="G481" s="106" t="s">
        <v>4957</v>
      </c>
      <c r="H481" s="105" t="s">
        <v>4956</v>
      </c>
      <c r="I481" s="105" t="s">
        <v>4952</v>
      </c>
      <c r="J481" s="104">
        <v>0.94</v>
      </c>
      <c r="K481" s="103" t="s">
        <v>423</v>
      </c>
      <c r="L481" s="102" t="s">
        <v>507</v>
      </c>
      <c r="M481" s="95"/>
      <c r="N481" s="14"/>
      <c r="O481" s="94">
        <v>35</v>
      </c>
      <c r="P481" s="14" t="s">
        <v>485</v>
      </c>
      <c r="Q481" s="14" t="s">
        <v>561</v>
      </c>
      <c r="R481" s="14" t="s">
        <v>496</v>
      </c>
      <c r="S481" s="15">
        <v>7</v>
      </c>
      <c r="T481" s="15">
        <v>0.6</v>
      </c>
      <c r="U481" s="15">
        <v>0</v>
      </c>
      <c r="V481" s="14">
        <v>3054</v>
      </c>
      <c r="W481" s="12">
        <v>0</v>
      </c>
      <c r="X481" s="12">
        <v>0</v>
      </c>
      <c r="Y481" s="12">
        <v>0.94</v>
      </c>
      <c r="Z481" s="12">
        <v>0</v>
      </c>
      <c r="AA481" s="12">
        <v>0</v>
      </c>
      <c r="AB481" s="13">
        <f t="shared" si="29"/>
        <v>0</v>
      </c>
      <c r="AE481" s="12">
        <v>0</v>
      </c>
      <c r="AF481" s="12">
        <v>0</v>
      </c>
      <c r="AG481" s="12">
        <v>0.94</v>
      </c>
      <c r="AH481" s="12">
        <v>0</v>
      </c>
      <c r="AI481" s="12">
        <v>0</v>
      </c>
      <c r="AJ481" s="13">
        <f t="shared" si="30"/>
        <v>0</v>
      </c>
      <c r="AN481" s="12">
        <f t="shared" si="31"/>
        <v>2871</v>
      </c>
      <c r="AQ481" s="8" t="s">
        <v>417</v>
      </c>
      <c r="AR481" t="str">
        <f t="shared" si="32"/>
        <v>Oeste - A03</v>
      </c>
    </row>
    <row r="482" spans="1:44" x14ac:dyDescent="0.2">
      <c r="A482" s="107" t="s">
        <v>4955</v>
      </c>
      <c r="B482" s="106" t="s">
        <v>4954</v>
      </c>
      <c r="C482" s="106" t="s">
        <v>4876</v>
      </c>
      <c r="D482" s="106" t="s">
        <v>4754</v>
      </c>
      <c r="E482" s="106" t="s">
        <v>4875</v>
      </c>
      <c r="F482" s="106" t="s">
        <v>490</v>
      </c>
      <c r="G482" s="106" t="s">
        <v>4953</v>
      </c>
      <c r="H482" s="105" t="s">
        <v>4952</v>
      </c>
      <c r="I482" s="105" t="s">
        <v>4947</v>
      </c>
      <c r="J482" s="104">
        <v>11.65</v>
      </c>
      <c r="K482" s="103" t="s">
        <v>423</v>
      </c>
      <c r="L482" s="102" t="s">
        <v>507</v>
      </c>
      <c r="M482" s="95"/>
      <c r="N482" s="14"/>
      <c r="O482" s="94">
        <v>35</v>
      </c>
      <c r="P482" s="14" t="s">
        <v>485</v>
      </c>
      <c r="Q482" s="14" t="s">
        <v>561</v>
      </c>
      <c r="R482" s="14" t="s">
        <v>496</v>
      </c>
      <c r="S482" s="15">
        <v>7</v>
      </c>
      <c r="T482" s="15">
        <v>0</v>
      </c>
      <c r="U482" s="15">
        <v>0</v>
      </c>
      <c r="V482" s="14">
        <v>3142</v>
      </c>
      <c r="W482" s="12">
        <v>0</v>
      </c>
      <c r="X482" s="12">
        <v>0</v>
      </c>
      <c r="Y482" s="12">
        <v>4.6500000000000004</v>
      </c>
      <c r="Z482" s="12">
        <v>7</v>
      </c>
      <c r="AA482" s="12">
        <v>0</v>
      </c>
      <c r="AB482" s="13">
        <f t="shared" si="29"/>
        <v>0</v>
      </c>
      <c r="AE482" s="12">
        <v>0</v>
      </c>
      <c r="AF482" s="12">
        <v>0</v>
      </c>
      <c r="AG482" s="12">
        <v>4.6500000000000004</v>
      </c>
      <c r="AH482" s="12">
        <v>7</v>
      </c>
      <c r="AI482" s="12">
        <v>0</v>
      </c>
      <c r="AJ482" s="13">
        <f t="shared" si="30"/>
        <v>0</v>
      </c>
      <c r="AN482" s="12">
        <f t="shared" si="31"/>
        <v>36605</v>
      </c>
      <c r="AQ482" s="8" t="s">
        <v>417</v>
      </c>
      <c r="AR482" t="str">
        <f t="shared" si="32"/>
        <v>Oeste - A03</v>
      </c>
    </row>
    <row r="483" spans="1:44" x14ac:dyDescent="0.2">
      <c r="A483" s="107" t="s">
        <v>4951</v>
      </c>
      <c r="B483" s="106" t="s">
        <v>4950</v>
      </c>
      <c r="C483" s="106" t="s">
        <v>4876</v>
      </c>
      <c r="D483" s="106" t="s">
        <v>4949</v>
      </c>
      <c r="E483" s="106" t="s">
        <v>4899</v>
      </c>
      <c r="F483" s="106" t="s">
        <v>590</v>
      </c>
      <c r="G483" s="106" t="s">
        <v>4948</v>
      </c>
      <c r="H483" s="105" t="s">
        <v>4947</v>
      </c>
      <c r="I483" s="105" t="s">
        <v>4946</v>
      </c>
      <c r="J483" s="104">
        <v>1.94</v>
      </c>
      <c r="K483" s="103" t="s">
        <v>423</v>
      </c>
      <c r="L483" s="102" t="s">
        <v>507</v>
      </c>
      <c r="M483" s="95"/>
      <c r="N483" s="14"/>
      <c r="O483" s="94">
        <v>35</v>
      </c>
      <c r="P483" s="14" t="s">
        <v>586</v>
      </c>
      <c r="Q483" s="14" t="s">
        <v>561</v>
      </c>
      <c r="R483" s="14" t="s">
        <v>496</v>
      </c>
      <c r="S483" s="15">
        <v>8</v>
      </c>
      <c r="T483" s="15">
        <v>0</v>
      </c>
      <c r="U483" s="15">
        <v>0</v>
      </c>
      <c r="V483" s="14">
        <v>792</v>
      </c>
      <c r="W483" s="12">
        <v>0</v>
      </c>
      <c r="X483" s="12">
        <v>0</v>
      </c>
      <c r="Y483" s="12">
        <v>1.94</v>
      </c>
      <c r="Z483" s="12">
        <v>0</v>
      </c>
      <c r="AA483" s="12">
        <v>0</v>
      </c>
      <c r="AB483" s="13">
        <f t="shared" si="29"/>
        <v>0</v>
      </c>
      <c r="AE483" s="12">
        <v>0</v>
      </c>
      <c r="AF483" s="12">
        <v>0</v>
      </c>
      <c r="AG483" s="12">
        <v>1.94</v>
      </c>
      <c r="AH483" s="12">
        <v>0</v>
      </c>
      <c r="AI483" s="12">
        <v>0</v>
      </c>
      <c r="AJ483" s="13">
        <f t="shared" si="30"/>
        <v>0</v>
      </c>
      <c r="AN483" s="12">
        <f t="shared" si="31"/>
        <v>1537</v>
      </c>
      <c r="AQ483" s="8" t="s">
        <v>417</v>
      </c>
      <c r="AR483" t="str">
        <f t="shared" si="32"/>
        <v>Oeste - A03</v>
      </c>
    </row>
    <row r="484" spans="1:44" x14ac:dyDescent="0.2">
      <c r="A484" s="107" t="s">
        <v>4945</v>
      </c>
      <c r="B484" s="106" t="s">
        <v>4944</v>
      </c>
      <c r="C484" s="106" t="s">
        <v>4876</v>
      </c>
      <c r="D484" s="106" t="s">
        <v>4735</v>
      </c>
      <c r="E484" s="106" t="s">
        <v>4875</v>
      </c>
      <c r="F484" s="106" t="s">
        <v>490</v>
      </c>
      <c r="G484" s="106" t="s">
        <v>4943</v>
      </c>
      <c r="H484" s="105" t="s">
        <v>4942</v>
      </c>
      <c r="I484" s="105" t="s">
        <v>4941</v>
      </c>
      <c r="J484" s="104">
        <v>15.65</v>
      </c>
      <c r="K484" s="103" t="s">
        <v>422</v>
      </c>
      <c r="L484" s="102" t="s">
        <v>507</v>
      </c>
      <c r="M484" s="95"/>
      <c r="N484" s="14"/>
      <c r="O484" s="94">
        <v>34</v>
      </c>
      <c r="P484" s="14" t="s">
        <v>485</v>
      </c>
      <c r="Q484" s="14" t="s">
        <v>497</v>
      </c>
      <c r="R484" s="14" t="s">
        <v>496</v>
      </c>
      <c r="S484" s="15">
        <v>7</v>
      </c>
      <c r="T484" s="15">
        <v>2.2000000000000002</v>
      </c>
      <c r="U484" s="15">
        <v>5.7</v>
      </c>
      <c r="V484" s="14">
        <v>5605</v>
      </c>
      <c r="W484" s="12">
        <v>0</v>
      </c>
      <c r="X484" s="12">
        <v>0</v>
      </c>
      <c r="Y484" s="12">
        <v>0</v>
      </c>
      <c r="Z484" s="12">
        <v>15.65</v>
      </c>
      <c r="AA484" s="12">
        <v>0</v>
      </c>
      <c r="AB484" s="13">
        <f t="shared" si="29"/>
        <v>0</v>
      </c>
      <c r="AE484" s="12">
        <v>0</v>
      </c>
      <c r="AF484" s="12">
        <v>0</v>
      </c>
      <c r="AG484" s="12">
        <v>0</v>
      </c>
      <c r="AH484" s="12">
        <v>15.65</v>
      </c>
      <c r="AI484" s="12">
        <v>0</v>
      </c>
      <c r="AJ484" s="13">
        <f t="shared" si="30"/>
        <v>0</v>
      </c>
      <c r="AN484" s="12">
        <f t="shared" si="31"/>
        <v>87719</v>
      </c>
      <c r="AQ484" s="8" t="s">
        <v>417</v>
      </c>
      <c r="AR484" t="str">
        <f t="shared" si="32"/>
        <v>Oeste - A02</v>
      </c>
    </row>
    <row r="485" spans="1:44" x14ac:dyDescent="0.2">
      <c r="A485" s="107" t="s">
        <v>4940</v>
      </c>
      <c r="B485" s="106" t="s">
        <v>4939</v>
      </c>
      <c r="C485" s="106" t="s">
        <v>4876</v>
      </c>
      <c r="D485" s="106" t="s">
        <v>4938</v>
      </c>
      <c r="E485" s="106" t="s">
        <v>4875</v>
      </c>
      <c r="F485" s="106" t="s">
        <v>490</v>
      </c>
      <c r="G485" s="106" t="s">
        <v>4937</v>
      </c>
      <c r="H485" s="105" t="s">
        <v>4936</v>
      </c>
      <c r="I485" s="105" t="s">
        <v>4928</v>
      </c>
      <c r="J485" s="104">
        <v>3.29</v>
      </c>
      <c r="K485" s="103" t="s">
        <v>422</v>
      </c>
      <c r="L485" s="102" t="s">
        <v>507</v>
      </c>
      <c r="M485" s="95"/>
      <c r="N485" s="14"/>
      <c r="O485" s="94">
        <v>34</v>
      </c>
      <c r="P485" s="14" t="s">
        <v>485</v>
      </c>
      <c r="Q485" s="14" t="s">
        <v>497</v>
      </c>
      <c r="R485" s="14" t="s">
        <v>496</v>
      </c>
      <c r="S485" s="15">
        <v>7</v>
      </c>
      <c r="T485" s="15">
        <v>0</v>
      </c>
      <c r="U485" s="15">
        <v>0</v>
      </c>
      <c r="V485" s="14">
        <v>4823</v>
      </c>
      <c r="W485" s="12">
        <v>0</v>
      </c>
      <c r="X485" s="12">
        <v>0</v>
      </c>
      <c r="Y485" s="12">
        <v>0</v>
      </c>
      <c r="Z485" s="12">
        <v>3.29</v>
      </c>
      <c r="AA485" s="12">
        <v>0</v>
      </c>
      <c r="AB485" s="13">
        <f t="shared" si="29"/>
        <v>0</v>
      </c>
      <c r="AE485" s="12">
        <v>0</v>
      </c>
      <c r="AF485" s="12">
        <v>0</v>
      </c>
      <c r="AG485" s="12">
        <v>0</v>
      </c>
      <c r="AH485" s="12">
        <v>3.29</v>
      </c>
      <c r="AI485" s="12">
        <v>0</v>
      </c>
      <c r="AJ485" s="13">
        <f t="shared" si="30"/>
        <v>0</v>
      </c>
      <c r="AN485" s="12">
        <f t="shared" si="31"/>
        <v>15868</v>
      </c>
      <c r="AQ485" s="8" t="s">
        <v>417</v>
      </c>
      <c r="AR485" t="str">
        <f t="shared" si="32"/>
        <v>Oeste - A02</v>
      </c>
    </row>
    <row r="486" spans="1:44" x14ac:dyDescent="0.2">
      <c r="A486" s="107" t="s">
        <v>4935</v>
      </c>
      <c r="B486" s="106" t="s">
        <v>4934</v>
      </c>
      <c r="C486" s="106" t="s">
        <v>4876</v>
      </c>
      <c r="D486" s="106" t="s">
        <v>4930</v>
      </c>
      <c r="E486" s="106" t="s">
        <v>4886</v>
      </c>
      <c r="F486" s="106" t="s">
        <v>606</v>
      </c>
      <c r="G486" s="106" t="s">
        <v>4933</v>
      </c>
      <c r="H486" s="105" t="s">
        <v>4928</v>
      </c>
      <c r="I486" s="105" t="s">
        <v>4923</v>
      </c>
      <c r="J486" s="104">
        <v>1.0900000000000001</v>
      </c>
      <c r="K486" s="103" t="s">
        <v>422</v>
      </c>
      <c r="L486" s="102" t="s">
        <v>507</v>
      </c>
      <c r="M486" s="95"/>
      <c r="N486" s="14"/>
      <c r="O486" s="94">
        <v>34</v>
      </c>
      <c r="P486" s="14" t="s">
        <v>596</v>
      </c>
      <c r="Q486" s="14" t="s">
        <v>497</v>
      </c>
      <c r="R486" s="14" t="s">
        <v>496</v>
      </c>
      <c r="S486" s="15">
        <v>6.6</v>
      </c>
      <c r="T486" s="15">
        <v>0</v>
      </c>
      <c r="U486" s="15">
        <v>0</v>
      </c>
      <c r="V486" s="14">
        <v>3745</v>
      </c>
      <c r="W486" s="12">
        <v>0</v>
      </c>
      <c r="X486" s="12">
        <v>0</v>
      </c>
      <c r="Y486" s="12">
        <v>0</v>
      </c>
      <c r="Z486" s="12">
        <v>1.0900000000000001</v>
      </c>
      <c r="AA486" s="12">
        <v>0</v>
      </c>
      <c r="AB486" s="13">
        <f t="shared" si="29"/>
        <v>0</v>
      </c>
      <c r="AE486" s="12">
        <v>0</v>
      </c>
      <c r="AF486" s="12">
        <v>0</v>
      </c>
      <c r="AG486" s="12">
        <v>0</v>
      </c>
      <c r="AH486" s="12">
        <v>1.0900000000000001</v>
      </c>
      <c r="AI486" s="12">
        <v>0</v>
      </c>
      <c r="AJ486" s="13">
        <f t="shared" si="30"/>
        <v>0</v>
      </c>
      <c r="AN486" s="12">
        <f t="shared" si="31"/>
        <v>4083</v>
      </c>
      <c r="AQ486" s="8" t="s">
        <v>417</v>
      </c>
      <c r="AR486" t="str">
        <f t="shared" si="32"/>
        <v>Oeste - A02</v>
      </c>
    </row>
    <row r="487" spans="1:44" x14ac:dyDescent="0.2">
      <c r="A487" s="107" t="s">
        <v>4932</v>
      </c>
      <c r="B487" s="106" t="s">
        <v>4931</v>
      </c>
      <c r="C487" s="106" t="s">
        <v>4876</v>
      </c>
      <c r="D487" s="106" t="s">
        <v>4930</v>
      </c>
      <c r="E487" s="106" t="s">
        <v>4881</v>
      </c>
      <c r="F487" s="106" t="s">
        <v>600</v>
      </c>
      <c r="G487" s="106" t="s">
        <v>4929</v>
      </c>
      <c r="H487" s="105" t="s">
        <v>4928</v>
      </c>
      <c r="I487" s="105" t="s">
        <v>4923</v>
      </c>
      <c r="J487" s="104">
        <v>1.0900000000000001</v>
      </c>
      <c r="K487" s="103" t="s">
        <v>422</v>
      </c>
      <c r="L487" s="102" t="s">
        <v>507</v>
      </c>
      <c r="M487" s="95"/>
      <c r="N487" s="14"/>
      <c r="O487" s="94">
        <v>34</v>
      </c>
      <c r="P487" s="14" t="s">
        <v>596</v>
      </c>
      <c r="Q487" s="14" t="s">
        <v>497</v>
      </c>
      <c r="R487" s="14" t="s">
        <v>496</v>
      </c>
      <c r="S487" s="15">
        <v>6.6</v>
      </c>
      <c r="T487" s="15">
        <v>0</v>
      </c>
      <c r="U487" s="15">
        <v>0</v>
      </c>
      <c r="V487" s="14">
        <v>3745</v>
      </c>
      <c r="W487" s="12">
        <v>0</v>
      </c>
      <c r="X487" s="12">
        <v>0</v>
      </c>
      <c r="Y487" s="12">
        <v>1</v>
      </c>
      <c r="Z487" s="12">
        <v>9.000000000000008E-2</v>
      </c>
      <c r="AA487" s="12">
        <v>0</v>
      </c>
      <c r="AB487" s="13">
        <f t="shared" si="29"/>
        <v>0</v>
      </c>
      <c r="AE487" s="12">
        <v>0</v>
      </c>
      <c r="AF487" s="12">
        <v>0</v>
      </c>
      <c r="AG487" s="12">
        <v>1</v>
      </c>
      <c r="AH487" s="12">
        <v>9.000000000000008E-2</v>
      </c>
      <c r="AI487" s="12">
        <v>0</v>
      </c>
      <c r="AJ487" s="13">
        <f t="shared" si="30"/>
        <v>0</v>
      </c>
      <c r="AN487" s="12">
        <f t="shared" si="31"/>
        <v>4083</v>
      </c>
      <c r="AQ487" s="8" t="s">
        <v>417</v>
      </c>
      <c r="AR487" t="str">
        <f t="shared" si="32"/>
        <v>Oeste - A02</v>
      </c>
    </row>
    <row r="488" spans="1:44" x14ac:dyDescent="0.2">
      <c r="A488" s="107" t="s">
        <v>4927</v>
      </c>
      <c r="B488" s="106" t="s">
        <v>4926</v>
      </c>
      <c r="C488" s="106" t="s">
        <v>4876</v>
      </c>
      <c r="D488" s="106" t="s">
        <v>4925</v>
      </c>
      <c r="E488" s="106" t="s">
        <v>4875</v>
      </c>
      <c r="F488" s="106" t="s">
        <v>490</v>
      </c>
      <c r="G488" s="106" t="s">
        <v>4924</v>
      </c>
      <c r="H488" s="105" t="s">
        <v>4923</v>
      </c>
      <c r="I488" s="105" t="s">
        <v>4919</v>
      </c>
      <c r="J488" s="104">
        <v>1.23</v>
      </c>
      <c r="K488" s="103" t="s">
        <v>422</v>
      </c>
      <c r="L488" s="102" t="s">
        <v>507</v>
      </c>
      <c r="M488" s="95"/>
      <c r="N488" s="14"/>
      <c r="O488" s="94">
        <v>34</v>
      </c>
      <c r="P488" s="14" t="s">
        <v>485</v>
      </c>
      <c r="Q488" s="14" t="s">
        <v>497</v>
      </c>
      <c r="R488" s="14" t="s">
        <v>496</v>
      </c>
      <c r="S488" s="15">
        <v>7</v>
      </c>
      <c r="T488" s="15">
        <v>0</v>
      </c>
      <c r="U488" s="15">
        <v>0</v>
      </c>
      <c r="V488" s="14">
        <v>4823</v>
      </c>
      <c r="W488" s="12">
        <v>0</v>
      </c>
      <c r="X488" s="12">
        <v>0</v>
      </c>
      <c r="Y488" s="12">
        <v>0</v>
      </c>
      <c r="Z488" s="12">
        <v>1.23</v>
      </c>
      <c r="AA488" s="12">
        <v>0</v>
      </c>
      <c r="AB488" s="13">
        <f t="shared" si="29"/>
        <v>0</v>
      </c>
      <c r="AE488" s="12">
        <v>0</v>
      </c>
      <c r="AF488" s="12">
        <v>0</v>
      </c>
      <c r="AG488" s="12">
        <v>0</v>
      </c>
      <c r="AH488" s="12">
        <v>1.23</v>
      </c>
      <c r="AI488" s="12">
        <v>0</v>
      </c>
      <c r="AJ488" s="13">
        <f t="shared" si="30"/>
        <v>0</v>
      </c>
      <c r="AN488" s="12">
        <f t="shared" si="31"/>
        <v>5933</v>
      </c>
      <c r="AQ488" s="8" t="s">
        <v>417</v>
      </c>
      <c r="AR488" t="str">
        <f t="shared" si="32"/>
        <v>Oeste - A02</v>
      </c>
    </row>
    <row r="489" spans="1:44" x14ac:dyDescent="0.2">
      <c r="A489" s="107" t="s">
        <v>4922</v>
      </c>
      <c r="B489" s="106" t="s">
        <v>4921</v>
      </c>
      <c r="C489" s="106" t="s">
        <v>4876</v>
      </c>
      <c r="D489" s="106" t="s">
        <v>4715</v>
      </c>
      <c r="E489" s="106" t="s">
        <v>4875</v>
      </c>
      <c r="F489" s="106" t="s">
        <v>490</v>
      </c>
      <c r="G489" s="106" t="s">
        <v>4920</v>
      </c>
      <c r="H489" s="105" t="s">
        <v>4919</v>
      </c>
      <c r="I489" s="105" t="s">
        <v>4915</v>
      </c>
      <c r="J489" s="104">
        <v>1.93</v>
      </c>
      <c r="K489" s="103" t="s">
        <v>421</v>
      </c>
      <c r="L489" s="102" t="s">
        <v>507</v>
      </c>
      <c r="M489" s="95"/>
      <c r="N489" s="14"/>
      <c r="O489" s="94">
        <v>33</v>
      </c>
      <c r="P489" s="14" t="s">
        <v>485</v>
      </c>
      <c r="Q489" s="14" t="s">
        <v>497</v>
      </c>
      <c r="R489" s="14" t="s">
        <v>496</v>
      </c>
      <c r="S489" s="15">
        <v>7.2</v>
      </c>
      <c r="T489" s="15">
        <v>0</v>
      </c>
      <c r="U489" s="15">
        <v>0</v>
      </c>
      <c r="V489" s="14">
        <v>2635</v>
      </c>
      <c r="W489" s="12">
        <v>0</v>
      </c>
      <c r="X489" s="12">
        <v>0</v>
      </c>
      <c r="Y489" s="12">
        <v>0</v>
      </c>
      <c r="Z489" s="12">
        <v>1.93</v>
      </c>
      <c r="AA489" s="12">
        <v>0</v>
      </c>
      <c r="AB489" s="13">
        <f t="shared" si="29"/>
        <v>0</v>
      </c>
      <c r="AE489" s="12">
        <v>0</v>
      </c>
      <c r="AF489" s="12">
        <v>0</v>
      </c>
      <c r="AG489" s="12">
        <v>0</v>
      </c>
      <c r="AH489" s="12">
        <v>1.93</v>
      </c>
      <c r="AI489" s="12">
        <v>0</v>
      </c>
      <c r="AJ489" s="13">
        <f t="shared" si="30"/>
        <v>0</v>
      </c>
      <c r="AN489" s="12">
        <f t="shared" si="31"/>
        <v>5086</v>
      </c>
      <c r="AQ489" s="8" t="s">
        <v>417</v>
      </c>
      <c r="AR489" t="str">
        <f t="shared" si="32"/>
        <v>Oeste - A01</v>
      </c>
    </row>
    <row r="490" spans="1:44" x14ac:dyDescent="0.2">
      <c r="A490" s="107" t="s">
        <v>4918</v>
      </c>
      <c r="B490" s="106" t="s">
        <v>4917</v>
      </c>
      <c r="C490" s="106" t="s">
        <v>4876</v>
      </c>
      <c r="D490" s="106" t="s">
        <v>4710</v>
      </c>
      <c r="E490" s="106" t="s">
        <v>4875</v>
      </c>
      <c r="F490" s="106" t="s">
        <v>490</v>
      </c>
      <c r="G490" s="106" t="s">
        <v>4916</v>
      </c>
      <c r="H490" s="105" t="s">
        <v>4915</v>
      </c>
      <c r="I490" s="105" t="s">
        <v>4908</v>
      </c>
      <c r="J490" s="104">
        <v>17.09</v>
      </c>
      <c r="K490" s="103" t="s">
        <v>421</v>
      </c>
      <c r="L490" s="102" t="s">
        <v>507</v>
      </c>
      <c r="M490" s="95"/>
      <c r="N490" s="14"/>
      <c r="O490" s="94">
        <v>33</v>
      </c>
      <c r="P490" s="14" t="s">
        <v>485</v>
      </c>
      <c r="Q490" s="14" t="s">
        <v>497</v>
      </c>
      <c r="R490" s="14" t="s">
        <v>496</v>
      </c>
      <c r="S490" s="15">
        <v>6.6</v>
      </c>
      <c r="T490" s="15">
        <v>0</v>
      </c>
      <c r="U490" s="15">
        <v>0</v>
      </c>
      <c r="V490" s="14">
        <v>2635</v>
      </c>
      <c r="W490" s="12">
        <v>0</v>
      </c>
      <c r="X490" s="12">
        <v>0</v>
      </c>
      <c r="Y490" s="12">
        <v>0</v>
      </c>
      <c r="Z490" s="12">
        <v>17.09</v>
      </c>
      <c r="AA490" s="12">
        <v>0</v>
      </c>
      <c r="AB490" s="13">
        <f t="shared" si="29"/>
        <v>0</v>
      </c>
      <c r="AE490" s="12">
        <v>0</v>
      </c>
      <c r="AF490" s="12">
        <v>0</v>
      </c>
      <c r="AG490" s="12">
        <v>0</v>
      </c>
      <c r="AH490" s="12">
        <v>17.09</v>
      </c>
      <c r="AI490" s="12">
        <v>0</v>
      </c>
      <c r="AJ490" s="13">
        <f t="shared" si="30"/>
        <v>0</v>
      </c>
      <c r="AN490" s="12">
        <f t="shared" si="31"/>
        <v>45033</v>
      </c>
      <c r="AQ490" s="8" t="s">
        <v>417</v>
      </c>
      <c r="AR490" t="str">
        <f t="shared" si="32"/>
        <v>Oeste - A01</v>
      </c>
    </row>
    <row r="491" spans="1:44" x14ac:dyDescent="0.2">
      <c r="A491" s="107" t="s">
        <v>4914</v>
      </c>
      <c r="B491" s="106" t="s">
        <v>4913</v>
      </c>
      <c r="C491" s="106" t="s">
        <v>4876</v>
      </c>
      <c r="D491" s="106" t="s">
        <v>3524</v>
      </c>
      <c r="E491" s="106" t="s">
        <v>4886</v>
      </c>
      <c r="F491" s="106" t="s">
        <v>606</v>
      </c>
      <c r="G491" s="106" t="s">
        <v>4912</v>
      </c>
      <c r="H491" s="105" t="s">
        <v>4908</v>
      </c>
      <c r="I491" s="105" t="s">
        <v>1483</v>
      </c>
      <c r="J491" s="104">
        <v>0.74</v>
      </c>
      <c r="K491" s="103" t="s">
        <v>421</v>
      </c>
      <c r="L491" s="102" t="s">
        <v>507</v>
      </c>
      <c r="M491" s="95"/>
      <c r="N491" s="14"/>
      <c r="O491" s="94">
        <v>33</v>
      </c>
      <c r="P491" s="14" t="s">
        <v>596</v>
      </c>
      <c r="Q491" s="14" t="s">
        <v>497</v>
      </c>
      <c r="R491" s="14" t="s">
        <v>496</v>
      </c>
      <c r="S491" s="15">
        <v>6.6</v>
      </c>
      <c r="T491" s="15">
        <v>0</v>
      </c>
      <c r="U491" s="15">
        <v>0</v>
      </c>
      <c r="V491" s="14">
        <v>2029</v>
      </c>
      <c r="W491" s="12">
        <v>0</v>
      </c>
      <c r="X491" s="12">
        <v>0</v>
      </c>
      <c r="Y491" s="12">
        <v>0</v>
      </c>
      <c r="Z491" s="12">
        <v>0.74</v>
      </c>
      <c r="AA491" s="12">
        <v>0</v>
      </c>
      <c r="AB491" s="13">
        <f t="shared" si="29"/>
        <v>0</v>
      </c>
      <c r="AE491" s="12">
        <v>0</v>
      </c>
      <c r="AF491" s="12">
        <v>0</v>
      </c>
      <c r="AG491" s="12">
        <v>0</v>
      </c>
      <c r="AH491" s="12">
        <v>0.74</v>
      </c>
      <c r="AI491" s="12">
        <v>0</v>
      </c>
      <c r="AJ491" s="13">
        <f t="shared" si="30"/>
        <v>0</v>
      </c>
      <c r="AN491" s="12">
        <f t="shared" si="31"/>
        <v>1502</v>
      </c>
      <c r="AQ491" s="8" t="s">
        <v>417</v>
      </c>
      <c r="AR491" t="str">
        <f t="shared" si="32"/>
        <v>Oeste - A01</v>
      </c>
    </row>
    <row r="492" spans="1:44" x14ac:dyDescent="0.2">
      <c r="A492" s="107" t="s">
        <v>4911</v>
      </c>
      <c r="B492" s="106" t="s">
        <v>4910</v>
      </c>
      <c r="C492" s="106" t="s">
        <v>4876</v>
      </c>
      <c r="D492" s="106" t="s">
        <v>3524</v>
      </c>
      <c r="E492" s="106" t="s">
        <v>4881</v>
      </c>
      <c r="F492" s="106" t="s">
        <v>600</v>
      </c>
      <c r="G492" s="106" t="s">
        <v>4909</v>
      </c>
      <c r="H492" s="105" t="s">
        <v>4908</v>
      </c>
      <c r="I492" s="105" t="s">
        <v>1483</v>
      </c>
      <c r="J492" s="104">
        <v>0.74</v>
      </c>
      <c r="K492" s="103" t="s">
        <v>421</v>
      </c>
      <c r="L492" s="102" t="s">
        <v>507</v>
      </c>
      <c r="M492" s="95"/>
      <c r="N492" s="14"/>
      <c r="O492" s="94">
        <v>33</v>
      </c>
      <c r="P492" s="14" t="s">
        <v>596</v>
      </c>
      <c r="Q492" s="14" t="s">
        <v>497</v>
      </c>
      <c r="R492" s="14" t="s">
        <v>496</v>
      </c>
      <c r="S492" s="15">
        <v>6.6</v>
      </c>
      <c r="T492" s="15">
        <v>0</v>
      </c>
      <c r="U492" s="15">
        <v>0</v>
      </c>
      <c r="V492" s="14">
        <v>2029</v>
      </c>
      <c r="W492" s="12">
        <v>0</v>
      </c>
      <c r="X492" s="12">
        <v>0</v>
      </c>
      <c r="Y492" s="12">
        <v>0</v>
      </c>
      <c r="Z492" s="12">
        <v>0.74</v>
      </c>
      <c r="AA492" s="12">
        <v>0</v>
      </c>
      <c r="AB492" s="13">
        <f t="shared" si="29"/>
        <v>0</v>
      </c>
      <c r="AE492" s="12">
        <v>0</v>
      </c>
      <c r="AF492" s="12">
        <v>0</v>
      </c>
      <c r="AG492" s="12">
        <v>0</v>
      </c>
      <c r="AH492" s="12">
        <v>0.74</v>
      </c>
      <c r="AI492" s="12">
        <v>0</v>
      </c>
      <c r="AJ492" s="13">
        <f t="shared" si="30"/>
        <v>0</v>
      </c>
      <c r="AN492" s="12">
        <f t="shared" si="31"/>
        <v>1502</v>
      </c>
      <c r="AQ492" s="8" t="s">
        <v>417</v>
      </c>
      <c r="AR492" t="str">
        <f t="shared" si="32"/>
        <v>Oeste - A01</v>
      </c>
    </row>
    <row r="493" spans="1:44" x14ac:dyDescent="0.2">
      <c r="A493" s="107" t="s">
        <v>4907</v>
      </c>
      <c r="B493" s="106" t="s">
        <v>4906</v>
      </c>
      <c r="C493" s="106" t="s">
        <v>4876</v>
      </c>
      <c r="D493" s="106" t="s">
        <v>4905</v>
      </c>
      <c r="E493" s="106" t="s">
        <v>4875</v>
      </c>
      <c r="F493" s="106" t="s">
        <v>490</v>
      </c>
      <c r="G493" s="106" t="s">
        <v>4904</v>
      </c>
      <c r="H493" s="105" t="s">
        <v>4903</v>
      </c>
      <c r="I493" s="105" t="s">
        <v>4897</v>
      </c>
      <c r="J493" s="104">
        <v>23.94</v>
      </c>
      <c r="K493" s="103" t="s">
        <v>421</v>
      </c>
      <c r="L493" s="102" t="s">
        <v>507</v>
      </c>
      <c r="M493" s="95"/>
      <c r="N493" s="14"/>
      <c r="O493" s="94">
        <v>33</v>
      </c>
      <c r="P493" s="14" t="s">
        <v>485</v>
      </c>
      <c r="Q493" s="14" t="s">
        <v>497</v>
      </c>
      <c r="R493" s="14" t="s">
        <v>496</v>
      </c>
      <c r="S493" s="15">
        <v>6.6</v>
      </c>
      <c r="T493" s="15">
        <v>0</v>
      </c>
      <c r="U493" s="15">
        <v>0</v>
      </c>
      <c r="V493" s="14">
        <v>1671</v>
      </c>
      <c r="W493" s="12">
        <v>0</v>
      </c>
      <c r="X493" s="12">
        <v>0</v>
      </c>
      <c r="Y493" s="12">
        <v>2.9400000000000013</v>
      </c>
      <c r="Z493" s="12">
        <v>21</v>
      </c>
      <c r="AA493" s="12">
        <v>0</v>
      </c>
      <c r="AB493" s="13">
        <f t="shared" si="29"/>
        <v>0</v>
      </c>
      <c r="AE493" s="12">
        <v>0</v>
      </c>
      <c r="AF493" s="12">
        <v>0</v>
      </c>
      <c r="AG493" s="12">
        <v>2.9400000000000013</v>
      </c>
      <c r="AH493" s="12">
        <v>21</v>
      </c>
      <c r="AI493" s="12">
        <v>0</v>
      </c>
      <c r="AJ493" s="13">
        <f t="shared" si="30"/>
        <v>0</v>
      </c>
      <c r="AN493" s="12">
        <f t="shared" si="31"/>
        <v>40004</v>
      </c>
      <c r="AQ493" s="8" t="s">
        <v>417</v>
      </c>
      <c r="AR493" t="str">
        <f t="shared" si="32"/>
        <v>Oeste - A01</v>
      </c>
    </row>
    <row r="494" spans="1:44" x14ac:dyDescent="0.2">
      <c r="A494" s="107" t="s">
        <v>4902</v>
      </c>
      <c r="B494" s="106" t="s">
        <v>4901</v>
      </c>
      <c r="C494" s="106" t="s">
        <v>4876</v>
      </c>
      <c r="D494" s="106" t="s">
        <v>4900</v>
      </c>
      <c r="E494" s="106" t="s">
        <v>4899</v>
      </c>
      <c r="F494" s="106" t="s">
        <v>590</v>
      </c>
      <c r="G494" s="106" t="s">
        <v>4898</v>
      </c>
      <c r="H494" s="105" t="s">
        <v>4897</v>
      </c>
      <c r="I494" s="105" t="s">
        <v>4893</v>
      </c>
      <c r="J494" s="104">
        <v>1.33</v>
      </c>
      <c r="K494" s="103" t="s">
        <v>421</v>
      </c>
      <c r="L494" s="102" t="s">
        <v>507</v>
      </c>
      <c r="M494" s="95"/>
      <c r="N494" s="14"/>
      <c r="O494" s="94">
        <v>33</v>
      </c>
      <c r="P494" s="14" t="s">
        <v>586</v>
      </c>
      <c r="Q494" s="14" t="s">
        <v>497</v>
      </c>
      <c r="R494" s="14" t="s">
        <v>496</v>
      </c>
      <c r="S494" s="15">
        <v>14</v>
      </c>
      <c r="T494" s="15">
        <v>0</v>
      </c>
      <c r="U494" s="15">
        <v>0</v>
      </c>
      <c r="V494" s="14">
        <v>788</v>
      </c>
      <c r="W494" s="12">
        <v>0</v>
      </c>
      <c r="X494" s="12">
        <v>1</v>
      </c>
      <c r="Y494" s="12">
        <v>0.33000000000000007</v>
      </c>
      <c r="Z494" s="12">
        <v>0</v>
      </c>
      <c r="AA494" s="12">
        <v>0</v>
      </c>
      <c r="AB494" s="13">
        <f t="shared" si="29"/>
        <v>0</v>
      </c>
      <c r="AE494" s="12">
        <v>0</v>
      </c>
      <c r="AF494" s="12">
        <v>1</v>
      </c>
      <c r="AG494" s="12">
        <v>0.33000000000000007</v>
      </c>
      <c r="AH494" s="12">
        <v>0</v>
      </c>
      <c r="AI494" s="12">
        <v>0</v>
      </c>
      <c r="AJ494" s="13">
        <f t="shared" si="30"/>
        <v>0</v>
      </c>
      <c r="AN494" s="12">
        <f t="shared" si="31"/>
        <v>1049</v>
      </c>
      <c r="AQ494" s="8" t="s">
        <v>417</v>
      </c>
      <c r="AR494" t="str">
        <f t="shared" si="32"/>
        <v>Oeste - A01</v>
      </c>
    </row>
    <row r="495" spans="1:44" x14ac:dyDescent="0.2">
      <c r="A495" s="107" t="s">
        <v>4896</v>
      </c>
      <c r="B495" s="106" t="s">
        <v>4895</v>
      </c>
      <c r="C495" s="106" t="s">
        <v>4876</v>
      </c>
      <c r="D495" s="106" t="s">
        <v>4705</v>
      </c>
      <c r="E495" s="106" t="s">
        <v>4875</v>
      </c>
      <c r="F495" s="106" t="s">
        <v>490</v>
      </c>
      <c r="G495" s="106" t="s">
        <v>4894</v>
      </c>
      <c r="H495" s="105" t="s">
        <v>4893</v>
      </c>
      <c r="I495" s="105" t="s">
        <v>4889</v>
      </c>
      <c r="J495" s="104">
        <v>20.260000000000002</v>
      </c>
      <c r="K495" s="103" t="s">
        <v>421</v>
      </c>
      <c r="L495" s="102" t="s">
        <v>507</v>
      </c>
      <c r="M495" s="95"/>
      <c r="N495" s="14"/>
      <c r="O495" s="94">
        <v>33</v>
      </c>
      <c r="P495" s="14" t="s">
        <v>485</v>
      </c>
      <c r="Q495" s="14" t="s">
        <v>497</v>
      </c>
      <c r="R495" s="14" t="s">
        <v>496</v>
      </c>
      <c r="S495" s="15">
        <v>6.6</v>
      </c>
      <c r="T495" s="15">
        <v>0</v>
      </c>
      <c r="U495" s="15">
        <v>0</v>
      </c>
      <c r="V495" s="14">
        <v>928</v>
      </c>
      <c r="W495" s="12">
        <v>0</v>
      </c>
      <c r="X495" s="12">
        <v>2</v>
      </c>
      <c r="Y495" s="12">
        <v>16</v>
      </c>
      <c r="Z495" s="12">
        <v>2.2600000000000016</v>
      </c>
      <c r="AA495" s="12">
        <v>0</v>
      </c>
      <c r="AB495" s="13">
        <f t="shared" si="29"/>
        <v>0</v>
      </c>
      <c r="AE495" s="12">
        <v>0</v>
      </c>
      <c r="AF495" s="12">
        <v>2</v>
      </c>
      <c r="AG495" s="12">
        <v>16</v>
      </c>
      <c r="AH495" s="12">
        <v>2.2600000000000016</v>
      </c>
      <c r="AI495" s="12">
        <v>0</v>
      </c>
      <c r="AJ495" s="13">
        <f t="shared" si="30"/>
        <v>0</v>
      </c>
      <c r="AN495" s="12">
        <f t="shared" si="31"/>
        <v>18802</v>
      </c>
      <c r="AQ495" s="8" t="s">
        <v>417</v>
      </c>
      <c r="AR495" t="str">
        <f t="shared" si="32"/>
        <v>Oeste - A01</v>
      </c>
    </row>
    <row r="496" spans="1:44" x14ac:dyDescent="0.2">
      <c r="A496" s="107" t="s">
        <v>4892</v>
      </c>
      <c r="B496" s="106" t="s">
        <v>4891</v>
      </c>
      <c r="C496" s="106" t="s">
        <v>4876</v>
      </c>
      <c r="D496" s="106" t="s">
        <v>4685</v>
      </c>
      <c r="E496" s="106" t="s">
        <v>4875</v>
      </c>
      <c r="F496" s="106" t="s">
        <v>490</v>
      </c>
      <c r="G496" s="106" t="s">
        <v>4890</v>
      </c>
      <c r="H496" s="105" t="s">
        <v>4889</v>
      </c>
      <c r="I496" s="105" t="s">
        <v>4879</v>
      </c>
      <c r="J496" s="104">
        <v>6.24</v>
      </c>
      <c r="K496" s="103" t="s">
        <v>421</v>
      </c>
      <c r="L496" s="102" t="s">
        <v>507</v>
      </c>
      <c r="M496" s="95"/>
      <c r="N496" s="14"/>
      <c r="O496" s="94">
        <v>33</v>
      </c>
      <c r="P496" s="14" t="s">
        <v>485</v>
      </c>
      <c r="Q496" s="14" t="s">
        <v>497</v>
      </c>
      <c r="R496" s="14" t="s">
        <v>496</v>
      </c>
      <c r="S496" s="15">
        <v>7.2</v>
      </c>
      <c r="T496" s="15">
        <v>0</v>
      </c>
      <c r="U496" s="15">
        <v>0</v>
      </c>
      <c r="V496" s="14">
        <v>3680</v>
      </c>
      <c r="W496" s="12">
        <v>0</v>
      </c>
      <c r="X496" s="12">
        <v>0</v>
      </c>
      <c r="Y496" s="12">
        <v>3</v>
      </c>
      <c r="Z496" s="12">
        <v>3.24</v>
      </c>
      <c r="AA496" s="12">
        <v>0</v>
      </c>
      <c r="AB496" s="13">
        <f t="shared" si="29"/>
        <v>0</v>
      </c>
      <c r="AE496" s="12">
        <v>0</v>
      </c>
      <c r="AF496" s="12">
        <v>0</v>
      </c>
      <c r="AG496" s="12">
        <v>3</v>
      </c>
      <c r="AH496" s="12">
        <v>3.24</v>
      </c>
      <c r="AI496" s="12">
        <v>0</v>
      </c>
      <c r="AJ496" s="13">
        <f t="shared" si="30"/>
        <v>0</v>
      </c>
      <c r="AN496" s="12">
        <f t="shared" si="31"/>
        <v>22964</v>
      </c>
      <c r="AQ496" s="8" t="s">
        <v>417</v>
      </c>
      <c r="AR496" t="str">
        <f t="shared" si="32"/>
        <v>Oeste - A01</v>
      </c>
    </row>
    <row r="497" spans="1:44" x14ac:dyDescent="0.2">
      <c r="A497" s="107" t="s">
        <v>4888</v>
      </c>
      <c r="B497" s="106" t="s">
        <v>4887</v>
      </c>
      <c r="C497" s="106" t="s">
        <v>4876</v>
      </c>
      <c r="D497" s="106" t="s">
        <v>4882</v>
      </c>
      <c r="E497" s="106" t="s">
        <v>4886</v>
      </c>
      <c r="F497" s="106" t="s">
        <v>606</v>
      </c>
      <c r="G497" s="106" t="s">
        <v>4885</v>
      </c>
      <c r="H497" s="105" t="s">
        <v>4879</v>
      </c>
      <c r="I497" s="105" t="s">
        <v>4873</v>
      </c>
      <c r="J497" s="104">
        <v>1.7</v>
      </c>
      <c r="K497" s="103" t="s">
        <v>421</v>
      </c>
      <c r="L497" s="102" t="s">
        <v>507</v>
      </c>
      <c r="M497" s="95"/>
      <c r="N497" s="14"/>
      <c r="O497" s="94">
        <v>33</v>
      </c>
      <c r="P497" s="14" t="s">
        <v>596</v>
      </c>
      <c r="Q497" s="14" t="s">
        <v>497</v>
      </c>
      <c r="R497" s="14" t="s">
        <v>496</v>
      </c>
      <c r="S497" s="15">
        <v>7.2</v>
      </c>
      <c r="T497" s="15">
        <v>0</v>
      </c>
      <c r="U497" s="15">
        <v>0</v>
      </c>
      <c r="V497" s="14">
        <v>2855</v>
      </c>
      <c r="W497" s="12">
        <v>0</v>
      </c>
      <c r="X497" s="12">
        <v>0</v>
      </c>
      <c r="Y497" s="12">
        <v>0</v>
      </c>
      <c r="Z497" s="12">
        <v>1.7</v>
      </c>
      <c r="AA497" s="12">
        <v>0</v>
      </c>
      <c r="AB497" s="13">
        <f t="shared" si="29"/>
        <v>0</v>
      </c>
      <c r="AE497" s="12">
        <v>0</v>
      </c>
      <c r="AF497" s="12">
        <v>0</v>
      </c>
      <c r="AG497" s="12">
        <v>0</v>
      </c>
      <c r="AH497" s="12">
        <v>1.7</v>
      </c>
      <c r="AI497" s="12">
        <v>0</v>
      </c>
      <c r="AJ497" s="13">
        <f t="shared" si="30"/>
        <v>0</v>
      </c>
      <c r="AN497" s="12">
        <f t="shared" si="31"/>
        <v>4854</v>
      </c>
      <c r="AQ497" s="8" t="s">
        <v>417</v>
      </c>
      <c r="AR497" t="str">
        <f t="shared" si="32"/>
        <v>Oeste - A01</v>
      </c>
    </row>
    <row r="498" spans="1:44" x14ac:dyDescent="0.2">
      <c r="A498" s="107" t="s">
        <v>4884</v>
      </c>
      <c r="B498" s="106" t="s">
        <v>4883</v>
      </c>
      <c r="C498" s="106" t="s">
        <v>4876</v>
      </c>
      <c r="D498" s="106" t="s">
        <v>4882</v>
      </c>
      <c r="E498" s="106" t="s">
        <v>4881</v>
      </c>
      <c r="F498" s="106" t="s">
        <v>600</v>
      </c>
      <c r="G498" s="106" t="s">
        <v>4880</v>
      </c>
      <c r="H498" s="105" t="s">
        <v>4879</v>
      </c>
      <c r="I498" s="105" t="s">
        <v>4873</v>
      </c>
      <c r="J498" s="104">
        <v>1.7</v>
      </c>
      <c r="K498" s="103" t="s">
        <v>421</v>
      </c>
      <c r="L498" s="102" t="s">
        <v>507</v>
      </c>
      <c r="M498" s="95"/>
      <c r="N498" s="14"/>
      <c r="O498" s="94">
        <v>33</v>
      </c>
      <c r="P498" s="14" t="s">
        <v>596</v>
      </c>
      <c r="Q498" s="14" t="s">
        <v>497</v>
      </c>
      <c r="R498" s="14" t="s">
        <v>496</v>
      </c>
      <c r="S498" s="15">
        <v>7.2</v>
      </c>
      <c r="T498" s="15">
        <v>0</v>
      </c>
      <c r="U498" s="15">
        <v>0</v>
      </c>
      <c r="V498" s="14">
        <v>2855</v>
      </c>
      <c r="W498" s="12">
        <v>0</v>
      </c>
      <c r="X498" s="12">
        <v>0</v>
      </c>
      <c r="Y498" s="12">
        <v>0</v>
      </c>
      <c r="Z498" s="12">
        <v>1.7</v>
      </c>
      <c r="AA498" s="12">
        <v>0</v>
      </c>
      <c r="AB498" s="13">
        <f t="shared" si="29"/>
        <v>0</v>
      </c>
      <c r="AE498" s="12">
        <v>0</v>
      </c>
      <c r="AF498" s="12">
        <v>0</v>
      </c>
      <c r="AG498" s="12">
        <v>0</v>
      </c>
      <c r="AH498" s="12">
        <v>1.7</v>
      </c>
      <c r="AI498" s="12">
        <v>0</v>
      </c>
      <c r="AJ498" s="13">
        <f t="shared" si="30"/>
        <v>0</v>
      </c>
      <c r="AN498" s="12">
        <f t="shared" si="31"/>
        <v>4854</v>
      </c>
      <c r="AQ498" s="8" t="s">
        <v>417</v>
      </c>
      <c r="AR498" t="str">
        <f t="shared" si="32"/>
        <v>Oeste - A01</v>
      </c>
    </row>
    <row r="499" spans="1:44" x14ac:dyDescent="0.2">
      <c r="A499" s="107" t="s">
        <v>4878</v>
      </c>
      <c r="B499" s="106" t="s">
        <v>4877</v>
      </c>
      <c r="C499" s="106" t="s">
        <v>4876</v>
      </c>
      <c r="D499" s="106" t="s">
        <v>3519</v>
      </c>
      <c r="E499" s="106" t="s">
        <v>4875</v>
      </c>
      <c r="F499" s="106" t="s">
        <v>490</v>
      </c>
      <c r="G499" s="106" t="s">
        <v>4874</v>
      </c>
      <c r="H499" s="105" t="s">
        <v>4873</v>
      </c>
      <c r="I499" s="105" t="s">
        <v>4872</v>
      </c>
      <c r="J499" s="104">
        <v>9.7200000000000006</v>
      </c>
      <c r="K499" s="103" t="s">
        <v>421</v>
      </c>
      <c r="L499" s="102" t="s">
        <v>507</v>
      </c>
      <c r="M499" s="95"/>
      <c r="N499" s="14"/>
      <c r="O499" s="94">
        <v>33</v>
      </c>
      <c r="P499" s="14" t="s">
        <v>485</v>
      </c>
      <c r="Q499" s="14" t="s">
        <v>497</v>
      </c>
      <c r="R499" s="14" t="s">
        <v>496</v>
      </c>
      <c r="S499" s="15">
        <v>7.2</v>
      </c>
      <c r="T499" s="15">
        <v>0</v>
      </c>
      <c r="U499" s="15">
        <v>0</v>
      </c>
      <c r="V499" s="14">
        <v>3680</v>
      </c>
      <c r="W499" s="12">
        <v>0</v>
      </c>
      <c r="X499" s="12">
        <v>0</v>
      </c>
      <c r="Y499" s="12">
        <v>7.7200000000000006</v>
      </c>
      <c r="Z499" s="12">
        <v>2</v>
      </c>
      <c r="AA499" s="12">
        <v>0</v>
      </c>
      <c r="AB499" s="13">
        <f t="shared" si="29"/>
        <v>0</v>
      </c>
      <c r="AE499" s="12">
        <v>0</v>
      </c>
      <c r="AF499" s="12">
        <v>0</v>
      </c>
      <c r="AG499" s="12">
        <v>7.7200000000000006</v>
      </c>
      <c r="AH499" s="12">
        <v>2</v>
      </c>
      <c r="AI499" s="12">
        <v>0</v>
      </c>
      <c r="AJ499" s="13">
        <f t="shared" si="30"/>
        <v>0</v>
      </c>
      <c r="AN499" s="12">
        <f t="shared" si="31"/>
        <v>35770</v>
      </c>
      <c r="AQ499" s="8" t="s">
        <v>417</v>
      </c>
      <c r="AR499" t="str">
        <f t="shared" si="32"/>
        <v>Oeste - A01</v>
      </c>
    </row>
    <row r="500" spans="1:44" x14ac:dyDescent="0.2">
      <c r="A500" s="107" t="s">
        <v>4871</v>
      </c>
      <c r="B500" s="106" t="s">
        <v>4870</v>
      </c>
      <c r="C500" s="106" t="s">
        <v>4869</v>
      </c>
      <c r="D500" s="106" t="s">
        <v>633</v>
      </c>
      <c r="E500" s="106" t="s">
        <v>4868</v>
      </c>
      <c r="F500" s="106" t="s">
        <v>490</v>
      </c>
      <c r="G500" s="106" t="s">
        <v>4867</v>
      </c>
      <c r="H500" s="105" t="s">
        <v>4866</v>
      </c>
      <c r="I500" s="105" t="s">
        <v>4865</v>
      </c>
      <c r="J500" s="104">
        <v>4.97</v>
      </c>
      <c r="K500" s="103" t="s">
        <v>421</v>
      </c>
      <c r="L500" s="102" t="s">
        <v>486</v>
      </c>
      <c r="M500" s="95"/>
      <c r="N500" s="17"/>
      <c r="O500" s="94">
        <v>13</v>
      </c>
      <c r="P500" s="14" t="s">
        <v>485</v>
      </c>
      <c r="Q500" s="14" t="s">
        <v>872</v>
      </c>
      <c r="R500" s="14" t="s">
        <v>496</v>
      </c>
      <c r="S500" s="15">
        <v>6.6</v>
      </c>
      <c r="T500" s="15">
        <v>2.5</v>
      </c>
      <c r="U500" s="15">
        <v>0</v>
      </c>
      <c r="V500" s="14">
        <v>11412</v>
      </c>
      <c r="W500" s="12">
        <v>0</v>
      </c>
      <c r="X500" s="12">
        <v>0</v>
      </c>
      <c r="Y500" s="12">
        <v>0</v>
      </c>
      <c r="Z500" s="12">
        <v>4.97</v>
      </c>
      <c r="AA500" s="12">
        <v>0</v>
      </c>
      <c r="AB500" s="13">
        <f t="shared" si="29"/>
        <v>0</v>
      </c>
      <c r="AE500" s="12">
        <v>0</v>
      </c>
      <c r="AF500" s="12">
        <v>0</v>
      </c>
      <c r="AG500" s="12">
        <v>0</v>
      </c>
      <c r="AH500" s="12">
        <v>4.97</v>
      </c>
      <c r="AI500" s="12">
        <v>0</v>
      </c>
      <c r="AJ500" s="13">
        <f t="shared" si="30"/>
        <v>0</v>
      </c>
      <c r="AN500" s="12">
        <f t="shared" si="31"/>
        <v>56718</v>
      </c>
      <c r="AQ500" s="8" t="s">
        <v>419</v>
      </c>
      <c r="AR500" t="str">
        <f t="shared" si="32"/>
        <v>Norte - A01</v>
      </c>
    </row>
    <row r="501" spans="1:44" x14ac:dyDescent="0.2">
      <c r="A501" s="107" t="s">
        <v>4864</v>
      </c>
      <c r="B501" s="106" t="s">
        <v>4863</v>
      </c>
      <c r="C501" s="106" t="s">
        <v>4681</v>
      </c>
      <c r="D501" s="106" t="s">
        <v>513</v>
      </c>
      <c r="E501" s="106" t="s">
        <v>4680</v>
      </c>
      <c r="F501" s="106" t="s">
        <v>490</v>
      </c>
      <c r="G501" s="106" t="s">
        <v>4862</v>
      </c>
      <c r="H501" s="105" t="s">
        <v>4861</v>
      </c>
      <c r="I501" s="105" t="s">
        <v>4860</v>
      </c>
      <c r="J501" s="104">
        <v>16.72</v>
      </c>
      <c r="K501" s="103" t="s">
        <v>421</v>
      </c>
      <c r="L501" s="102" t="s">
        <v>801</v>
      </c>
      <c r="M501" s="95"/>
      <c r="N501" s="14"/>
      <c r="O501" s="94">
        <v>1</v>
      </c>
      <c r="P501" s="14" t="s">
        <v>485</v>
      </c>
      <c r="Q501" s="14" t="s">
        <v>872</v>
      </c>
      <c r="R501" s="14" t="s">
        <v>496</v>
      </c>
      <c r="S501" s="15">
        <v>6.1204000000000001</v>
      </c>
      <c r="T501" s="15">
        <v>0</v>
      </c>
      <c r="U501" s="15">
        <v>0</v>
      </c>
      <c r="V501" s="14">
        <v>2093</v>
      </c>
      <c r="W501" s="12">
        <v>0</v>
      </c>
      <c r="X501" s="12">
        <v>0</v>
      </c>
      <c r="Y501" s="12">
        <v>4.7199999999999989</v>
      </c>
      <c r="Z501" s="12">
        <v>12</v>
      </c>
      <c r="AA501" s="12">
        <v>0</v>
      </c>
      <c r="AB501" s="13">
        <f t="shared" si="29"/>
        <v>0</v>
      </c>
      <c r="AE501" s="12">
        <v>0</v>
      </c>
      <c r="AF501" s="12">
        <v>0</v>
      </c>
      <c r="AG501" s="12">
        <v>4.7199999999999989</v>
      </c>
      <c r="AH501" s="12">
        <v>12</v>
      </c>
      <c r="AI501" s="12">
        <v>0</v>
      </c>
      <c r="AJ501" s="13">
        <f t="shared" si="30"/>
        <v>0</v>
      </c>
      <c r="AN501" s="12">
        <f t="shared" si="31"/>
        <v>34995</v>
      </c>
      <c r="AQ501" s="8" t="s">
        <v>416</v>
      </c>
      <c r="AR501" t="str">
        <f t="shared" si="32"/>
        <v>Leste - A01</v>
      </c>
    </row>
    <row r="502" spans="1:44" x14ac:dyDescent="0.2">
      <c r="A502" s="107" t="s">
        <v>4859</v>
      </c>
      <c r="B502" s="106" t="s">
        <v>4858</v>
      </c>
      <c r="C502" s="106" t="s">
        <v>4681</v>
      </c>
      <c r="D502" s="106" t="s">
        <v>981</v>
      </c>
      <c r="E502" s="106" t="s">
        <v>4680</v>
      </c>
      <c r="F502" s="106" t="s">
        <v>490</v>
      </c>
      <c r="G502" s="106" t="s">
        <v>4857</v>
      </c>
      <c r="H502" s="105" t="s">
        <v>4856</v>
      </c>
      <c r="I502" s="105" t="s">
        <v>4852</v>
      </c>
      <c r="J502" s="104">
        <v>8.43</v>
      </c>
      <c r="K502" s="103" t="s">
        <v>421</v>
      </c>
      <c r="L502" s="102" t="s">
        <v>801</v>
      </c>
      <c r="M502" s="95"/>
      <c r="N502" s="14"/>
      <c r="O502" s="94">
        <v>1</v>
      </c>
      <c r="P502" s="14" t="s">
        <v>485</v>
      </c>
      <c r="Q502" s="14" t="s">
        <v>872</v>
      </c>
      <c r="R502" s="14" t="s">
        <v>496</v>
      </c>
      <c r="S502" s="15">
        <v>6.1</v>
      </c>
      <c r="T502" s="15">
        <v>0</v>
      </c>
      <c r="U502" s="15">
        <v>0</v>
      </c>
      <c r="V502" s="14">
        <v>512</v>
      </c>
      <c r="W502" s="12">
        <v>0</v>
      </c>
      <c r="X502" s="12">
        <v>0</v>
      </c>
      <c r="Y502" s="12">
        <v>2.4299999999999997</v>
      </c>
      <c r="Z502" s="12">
        <v>6</v>
      </c>
      <c r="AA502" s="12">
        <v>0</v>
      </c>
      <c r="AB502" s="13">
        <f t="shared" si="29"/>
        <v>0</v>
      </c>
      <c r="AE502" s="12">
        <v>0</v>
      </c>
      <c r="AF502" s="12">
        <v>0</v>
      </c>
      <c r="AG502" s="12">
        <v>2.4299999999999997</v>
      </c>
      <c r="AH502" s="12">
        <v>6</v>
      </c>
      <c r="AI502" s="12">
        <v>0</v>
      </c>
      <c r="AJ502" s="13">
        <f t="shared" si="30"/>
        <v>0</v>
      </c>
      <c r="AN502" s="12">
        <f t="shared" si="31"/>
        <v>4317</v>
      </c>
      <c r="AQ502" s="8" t="s">
        <v>416</v>
      </c>
      <c r="AR502" t="str">
        <f t="shared" si="32"/>
        <v>Leste - A01</v>
      </c>
    </row>
    <row r="503" spans="1:44" x14ac:dyDescent="0.2">
      <c r="A503" s="107" t="s">
        <v>4855</v>
      </c>
      <c r="B503" s="106" t="s">
        <v>4854</v>
      </c>
      <c r="C503" s="106" t="s">
        <v>4681</v>
      </c>
      <c r="D503" s="106" t="s">
        <v>3707</v>
      </c>
      <c r="E503" s="106" t="s">
        <v>4680</v>
      </c>
      <c r="F503" s="106" t="s">
        <v>490</v>
      </c>
      <c r="G503" s="106" t="s">
        <v>4853</v>
      </c>
      <c r="H503" s="105" t="s">
        <v>4852</v>
      </c>
      <c r="I503" s="105" t="s">
        <v>4851</v>
      </c>
      <c r="J503" s="104">
        <v>1.63</v>
      </c>
      <c r="K503" s="103" t="s">
        <v>421</v>
      </c>
      <c r="L503" s="102" t="s">
        <v>801</v>
      </c>
      <c r="M503" s="95"/>
      <c r="N503" s="14"/>
      <c r="O503" s="94">
        <v>1</v>
      </c>
      <c r="P503" s="14" t="s">
        <v>485</v>
      </c>
      <c r="Q503" s="14" t="s">
        <v>872</v>
      </c>
      <c r="R503" s="14" t="s">
        <v>496</v>
      </c>
      <c r="S503" s="15">
        <v>6.1</v>
      </c>
      <c r="T503" s="15">
        <v>0</v>
      </c>
      <c r="U503" s="15">
        <v>0</v>
      </c>
      <c r="V503" s="14">
        <v>512</v>
      </c>
      <c r="W503" s="12">
        <v>0</v>
      </c>
      <c r="X503" s="12">
        <v>0</v>
      </c>
      <c r="Y503" s="12">
        <v>1.63</v>
      </c>
      <c r="Z503" s="12">
        <v>0</v>
      </c>
      <c r="AA503" s="12">
        <v>0</v>
      </c>
      <c r="AB503" s="13">
        <f t="shared" si="29"/>
        <v>0</v>
      </c>
      <c r="AE503" s="12">
        <v>0</v>
      </c>
      <c r="AF503" s="12">
        <v>0</v>
      </c>
      <c r="AG503" s="12">
        <v>1.63</v>
      </c>
      <c r="AH503" s="12">
        <v>0</v>
      </c>
      <c r="AI503" s="12">
        <v>0</v>
      </c>
      <c r="AJ503" s="13">
        <f t="shared" si="30"/>
        <v>0</v>
      </c>
      <c r="AN503" s="12">
        <f t="shared" si="31"/>
        <v>835</v>
      </c>
      <c r="AQ503" s="8" t="s">
        <v>416</v>
      </c>
      <c r="AR503" t="str">
        <f t="shared" si="32"/>
        <v>Leste - A01</v>
      </c>
    </row>
    <row r="504" spans="1:44" x14ac:dyDescent="0.2">
      <c r="A504" s="107" t="s">
        <v>4850</v>
      </c>
      <c r="B504" s="106" t="s">
        <v>4849</v>
      </c>
      <c r="C504" s="106" t="s">
        <v>4681</v>
      </c>
      <c r="D504" s="106" t="s">
        <v>965</v>
      </c>
      <c r="E504" s="106" t="s">
        <v>4680</v>
      </c>
      <c r="F504" s="106" t="s">
        <v>490</v>
      </c>
      <c r="G504" s="106" t="s">
        <v>4848</v>
      </c>
      <c r="H504" s="105" t="s">
        <v>4847</v>
      </c>
      <c r="I504" s="105" t="s">
        <v>4843</v>
      </c>
      <c r="J504" s="104">
        <v>8.7799999999999994</v>
      </c>
      <c r="K504" s="103" t="s">
        <v>422</v>
      </c>
      <c r="L504" s="102" t="s">
        <v>577</v>
      </c>
      <c r="M504" s="95"/>
      <c r="N504" s="14"/>
      <c r="O504" s="94">
        <v>7</v>
      </c>
      <c r="P504" s="14" t="s">
        <v>485</v>
      </c>
      <c r="Q504" s="14" t="s">
        <v>497</v>
      </c>
      <c r="R504" s="14" t="s">
        <v>496</v>
      </c>
      <c r="S504" s="15">
        <v>8</v>
      </c>
      <c r="T504" s="15">
        <v>1.5</v>
      </c>
      <c r="U504" s="15">
        <v>0</v>
      </c>
      <c r="V504" s="14">
        <v>1602</v>
      </c>
      <c r="W504" s="12">
        <v>0</v>
      </c>
      <c r="X504" s="12">
        <v>2.7799999999999994</v>
      </c>
      <c r="Y504" s="12">
        <v>0</v>
      </c>
      <c r="Z504" s="12">
        <v>6</v>
      </c>
      <c r="AA504" s="12">
        <v>0</v>
      </c>
      <c r="AB504" s="13">
        <f t="shared" si="29"/>
        <v>0</v>
      </c>
      <c r="AE504" s="12">
        <v>0</v>
      </c>
      <c r="AF504" s="12">
        <v>2.7799999999999994</v>
      </c>
      <c r="AG504" s="12">
        <v>0</v>
      </c>
      <c r="AH504" s="12">
        <v>6</v>
      </c>
      <c r="AI504" s="12">
        <v>0</v>
      </c>
      <c r="AJ504" s="13">
        <f t="shared" si="30"/>
        <v>0</v>
      </c>
      <c r="AN504" s="12">
        <f t="shared" si="31"/>
        <v>14066</v>
      </c>
      <c r="AQ504" s="8" t="s">
        <v>420</v>
      </c>
      <c r="AR504" t="str">
        <f t="shared" si="32"/>
        <v>Campos Gerais - A02</v>
      </c>
    </row>
    <row r="505" spans="1:44" x14ac:dyDescent="0.2">
      <c r="A505" s="107" t="s">
        <v>4846</v>
      </c>
      <c r="B505" s="106" t="s">
        <v>4845</v>
      </c>
      <c r="C505" s="106" t="s">
        <v>4681</v>
      </c>
      <c r="D505" s="106" t="s">
        <v>2145</v>
      </c>
      <c r="E505" s="106" t="s">
        <v>4680</v>
      </c>
      <c r="F505" s="106" t="s">
        <v>490</v>
      </c>
      <c r="G505" s="106" t="s">
        <v>4844</v>
      </c>
      <c r="H505" s="105" t="s">
        <v>4843</v>
      </c>
      <c r="I505" s="105" t="s">
        <v>979</v>
      </c>
      <c r="J505" s="104">
        <v>5.72</v>
      </c>
      <c r="K505" s="103" t="s">
        <v>422</v>
      </c>
      <c r="L505" s="102" t="s">
        <v>577</v>
      </c>
      <c r="M505" s="95"/>
      <c r="N505" s="14"/>
      <c r="O505" s="94">
        <v>7</v>
      </c>
      <c r="P505" s="14" t="s">
        <v>485</v>
      </c>
      <c r="Q505" s="14" t="s">
        <v>561</v>
      </c>
      <c r="R505" s="14" t="s">
        <v>496</v>
      </c>
      <c r="S505" s="15">
        <v>7</v>
      </c>
      <c r="T505" s="15">
        <v>0.7</v>
      </c>
      <c r="U505" s="15">
        <v>0</v>
      </c>
      <c r="V505" s="14">
        <v>6412</v>
      </c>
      <c r="W505" s="12">
        <v>0</v>
      </c>
      <c r="X505" s="12">
        <v>0</v>
      </c>
      <c r="Y505" s="12">
        <v>3</v>
      </c>
      <c r="Z505" s="12">
        <v>2.7199999999999998</v>
      </c>
      <c r="AA505" s="12">
        <v>0</v>
      </c>
      <c r="AB505" s="13">
        <f t="shared" si="29"/>
        <v>0</v>
      </c>
      <c r="AE505" s="12">
        <v>0</v>
      </c>
      <c r="AF505" s="12">
        <v>0</v>
      </c>
      <c r="AG505" s="12">
        <v>3</v>
      </c>
      <c r="AH505" s="12">
        <v>2.7199999999999998</v>
      </c>
      <c r="AI505" s="12">
        <v>0</v>
      </c>
      <c r="AJ505" s="13">
        <f t="shared" si="30"/>
        <v>0</v>
      </c>
      <c r="AN505" s="12">
        <f t="shared" si="31"/>
        <v>36677</v>
      </c>
      <c r="AQ505" s="8" t="s">
        <v>420</v>
      </c>
      <c r="AR505" t="str">
        <f t="shared" si="32"/>
        <v>Campos Gerais - A02</v>
      </c>
    </row>
    <row r="506" spans="1:44" x14ac:dyDescent="0.2">
      <c r="A506" s="107" t="s">
        <v>4842</v>
      </c>
      <c r="B506" s="106" t="s">
        <v>4841</v>
      </c>
      <c r="C506" s="106" t="s">
        <v>4681</v>
      </c>
      <c r="D506" s="106" t="s">
        <v>4036</v>
      </c>
      <c r="E506" s="106" t="s">
        <v>4730</v>
      </c>
      <c r="F506" s="106" t="s">
        <v>606</v>
      </c>
      <c r="G506" s="106" t="s">
        <v>4840</v>
      </c>
      <c r="H506" s="105" t="s">
        <v>979</v>
      </c>
      <c r="I506" s="105" t="s">
        <v>4833</v>
      </c>
      <c r="J506" s="104">
        <v>0.63</v>
      </c>
      <c r="K506" s="103" t="s">
        <v>422</v>
      </c>
      <c r="L506" s="102" t="s">
        <v>577</v>
      </c>
      <c r="M506" s="95"/>
      <c r="N506" s="14"/>
      <c r="O506" s="94">
        <v>7</v>
      </c>
      <c r="P506" s="14" t="s">
        <v>596</v>
      </c>
      <c r="Q506" s="14" t="s">
        <v>561</v>
      </c>
      <c r="R506" s="14" t="s">
        <v>496</v>
      </c>
      <c r="S506" s="15">
        <v>6.6</v>
      </c>
      <c r="T506" s="15">
        <v>0.7</v>
      </c>
      <c r="U506" s="15">
        <v>0</v>
      </c>
      <c r="V506" s="14">
        <v>5010</v>
      </c>
      <c r="W506" s="12">
        <v>0</v>
      </c>
      <c r="X506" s="12">
        <v>0</v>
      </c>
      <c r="Y506" s="12">
        <v>0.63</v>
      </c>
      <c r="Z506" s="12">
        <v>0</v>
      </c>
      <c r="AA506" s="12">
        <v>0</v>
      </c>
      <c r="AB506" s="13">
        <f t="shared" si="29"/>
        <v>0</v>
      </c>
      <c r="AE506" s="12">
        <v>0</v>
      </c>
      <c r="AF506" s="12">
        <v>0</v>
      </c>
      <c r="AG506" s="12">
        <v>0.63</v>
      </c>
      <c r="AH506" s="12">
        <v>0</v>
      </c>
      <c r="AI506" s="12">
        <v>0</v>
      </c>
      <c r="AJ506" s="13">
        <f t="shared" si="30"/>
        <v>0</v>
      </c>
      <c r="AN506" s="12">
        <f t="shared" si="31"/>
        <v>3157</v>
      </c>
      <c r="AQ506" s="8" t="s">
        <v>420</v>
      </c>
      <c r="AR506" t="str">
        <f t="shared" si="32"/>
        <v>Campos Gerais - A02</v>
      </c>
    </row>
    <row r="507" spans="1:44" x14ac:dyDescent="0.2">
      <c r="A507" s="107" t="s">
        <v>4839</v>
      </c>
      <c r="B507" s="106" t="s">
        <v>4838</v>
      </c>
      <c r="C507" s="106" t="s">
        <v>4681</v>
      </c>
      <c r="D507" s="106" t="s">
        <v>4036</v>
      </c>
      <c r="E507" s="106" t="s">
        <v>4725</v>
      </c>
      <c r="F507" s="106" t="s">
        <v>600</v>
      </c>
      <c r="G507" s="106" t="s">
        <v>4837</v>
      </c>
      <c r="H507" s="105" t="s">
        <v>979</v>
      </c>
      <c r="I507" s="105" t="s">
        <v>4833</v>
      </c>
      <c r="J507" s="104">
        <v>0.63</v>
      </c>
      <c r="K507" s="103" t="s">
        <v>422</v>
      </c>
      <c r="L507" s="102" t="s">
        <v>577</v>
      </c>
      <c r="M507" s="95"/>
      <c r="N507" s="14"/>
      <c r="O507" s="94">
        <v>7</v>
      </c>
      <c r="P507" s="14" t="s">
        <v>596</v>
      </c>
      <c r="Q507" s="14" t="s">
        <v>561</v>
      </c>
      <c r="R507" s="14" t="s">
        <v>496</v>
      </c>
      <c r="S507" s="15">
        <v>6.6</v>
      </c>
      <c r="T507" s="15">
        <v>0.7</v>
      </c>
      <c r="U507" s="15">
        <v>0</v>
      </c>
      <c r="V507" s="14">
        <v>5010</v>
      </c>
      <c r="W507" s="12">
        <v>0</v>
      </c>
      <c r="X507" s="12">
        <v>0</v>
      </c>
      <c r="Y507" s="12">
        <v>0.63</v>
      </c>
      <c r="Z507" s="12">
        <v>0</v>
      </c>
      <c r="AA507" s="12">
        <v>0</v>
      </c>
      <c r="AB507" s="13">
        <f t="shared" si="29"/>
        <v>0</v>
      </c>
      <c r="AE507" s="12">
        <v>0</v>
      </c>
      <c r="AF507" s="12">
        <v>0</v>
      </c>
      <c r="AG507" s="12">
        <v>0.63</v>
      </c>
      <c r="AH507" s="12">
        <v>0</v>
      </c>
      <c r="AI507" s="12">
        <v>0</v>
      </c>
      <c r="AJ507" s="13">
        <f t="shared" si="30"/>
        <v>0</v>
      </c>
      <c r="AN507" s="12">
        <f t="shared" si="31"/>
        <v>3157</v>
      </c>
      <c r="AQ507" s="8" t="s">
        <v>420</v>
      </c>
      <c r="AR507" t="str">
        <f t="shared" si="32"/>
        <v>Campos Gerais - A02</v>
      </c>
    </row>
    <row r="508" spans="1:44" x14ac:dyDescent="0.2">
      <c r="A508" s="107" t="s">
        <v>4836</v>
      </c>
      <c r="B508" s="106" t="s">
        <v>4835</v>
      </c>
      <c r="C508" s="106" t="s">
        <v>4681</v>
      </c>
      <c r="D508" s="106" t="s">
        <v>3025</v>
      </c>
      <c r="E508" s="106" t="s">
        <v>4680</v>
      </c>
      <c r="F508" s="106" t="s">
        <v>490</v>
      </c>
      <c r="G508" s="106" t="s">
        <v>4834</v>
      </c>
      <c r="H508" s="105" t="s">
        <v>4833</v>
      </c>
      <c r="I508" s="105" t="s">
        <v>4832</v>
      </c>
      <c r="J508" s="104">
        <v>1.49</v>
      </c>
      <c r="K508" s="103" t="s">
        <v>422</v>
      </c>
      <c r="L508" s="102" t="s">
        <v>577</v>
      </c>
      <c r="M508" s="95"/>
      <c r="N508" s="14"/>
      <c r="O508" s="94">
        <v>7</v>
      </c>
      <c r="P508" s="14" t="s">
        <v>485</v>
      </c>
      <c r="Q508" s="14" t="s">
        <v>561</v>
      </c>
      <c r="R508" s="14" t="s">
        <v>496</v>
      </c>
      <c r="S508" s="15">
        <v>6.6</v>
      </c>
      <c r="T508" s="15">
        <v>2.5</v>
      </c>
      <c r="U508" s="15">
        <v>0</v>
      </c>
      <c r="V508" s="14">
        <v>6412</v>
      </c>
      <c r="W508" s="12">
        <v>0</v>
      </c>
      <c r="X508" s="12">
        <v>0</v>
      </c>
      <c r="Y508" s="12">
        <v>1.49</v>
      </c>
      <c r="Z508" s="12">
        <v>0</v>
      </c>
      <c r="AA508" s="12">
        <v>0</v>
      </c>
      <c r="AB508" s="13">
        <f t="shared" si="29"/>
        <v>0</v>
      </c>
      <c r="AE508" s="12">
        <v>0</v>
      </c>
      <c r="AF508" s="12">
        <v>0</v>
      </c>
      <c r="AG508" s="12">
        <v>1.49</v>
      </c>
      <c r="AH508" s="12">
        <v>0</v>
      </c>
      <c r="AI508" s="12">
        <v>0</v>
      </c>
      <c r="AJ508" s="13">
        <f t="shared" si="30"/>
        <v>0</v>
      </c>
      <c r="AN508" s="12">
        <f t="shared" si="31"/>
        <v>9554</v>
      </c>
      <c r="AQ508" s="8" t="s">
        <v>420</v>
      </c>
      <c r="AR508" t="str">
        <f t="shared" si="32"/>
        <v>Campos Gerais - A02</v>
      </c>
    </row>
    <row r="509" spans="1:44" x14ac:dyDescent="0.2">
      <c r="A509" s="107" t="s">
        <v>4831</v>
      </c>
      <c r="B509" s="106" t="s">
        <v>4830</v>
      </c>
      <c r="C509" s="106" t="s">
        <v>4681</v>
      </c>
      <c r="D509" s="106" t="s">
        <v>4829</v>
      </c>
      <c r="E509" s="106" t="s">
        <v>4680</v>
      </c>
      <c r="F509" s="106" t="s">
        <v>490</v>
      </c>
      <c r="G509" s="106" t="s">
        <v>4828</v>
      </c>
      <c r="H509" s="105" t="s">
        <v>4827</v>
      </c>
      <c r="I509" s="105" t="s">
        <v>4823</v>
      </c>
      <c r="J509" s="104">
        <v>41.31</v>
      </c>
      <c r="K509" s="103" t="s">
        <v>422</v>
      </c>
      <c r="L509" s="102" t="s">
        <v>577</v>
      </c>
      <c r="M509" s="95"/>
      <c r="N509" s="14"/>
      <c r="O509" s="94">
        <v>7</v>
      </c>
      <c r="P509" s="14" t="s">
        <v>485</v>
      </c>
      <c r="Q509" s="14" t="s">
        <v>561</v>
      </c>
      <c r="R509" s="14" t="s">
        <v>585</v>
      </c>
      <c r="S509" s="15">
        <v>7</v>
      </c>
      <c r="T509" s="15">
        <v>0</v>
      </c>
      <c r="U509" s="15">
        <v>0.6</v>
      </c>
      <c r="V509" s="14">
        <v>1194</v>
      </c>
      <c r="W509" s="12">
        <v>0</v>
      </c>
      <c r="X509" s="12">
        <v>5.3100000000000023</v>
      </c>
      <c r="Y509" s="12">
        <v>17</v>
      </c>
      <c r="Z509" s="12">
        <v>19</v>
      </c>
      <c r="AA509" s="12">
        <v>0</v>
      </c>
      <c r="AB509" s="13">
        <f t="shared" si="29"/>
        <v>0</v>
      </c>
      <c r="AE509" s="12">
        <v>0</v>
      </c>
      <c r="AF509" s="12">
        <v>5.3100000000000023</v>
      </c>
      <c r="AG509" s="12">
        <v>17</v>
      </c>
      <c r="AH509" s="12">
        <v>19</v>
      </c>
      <c r="AI509" s="12">
        <v>0</v>
      </c>
      <c r="AJ509" s="13">
        <f t="shared" si="30"/>
        <v>0</v>
      </c>
      <c r="AN509" s="12">
        <f t="shared" si="31"/>
        <v>49325</v>
      </c>
      <c r="AQ509" s="8" t="s">
        <v>420</v>
      </c>
      <c r="AR509" t="str">
        <f t="shared" si="32"/>
        <v>Campos Gerais - A02</v>
      </c>
    </row>
    <row r="510" spans="1:44" x14ac:dyDescent="0.2">
      <c r="A510" s="107" t="s">
        <v>4826</v>
      </c>
      <c r="B510" s="106" t="s">
        <v>4825</v>
      </c>
      <c r="C510" s="106" t="s">
        <v>4681</v>
      </c>
      <c r="D510" s="106" t="s">
        <v>2837</v>
      </c>
      <c r="E510" s="106" t="s">
        <v>4680</v>
      </c>
      <c r="F510" s="106" t="s">
        <v>490</v>
      </c>
      <c r="G510" s="106" t="s">
        <v>4824</v>
      </c>
      <c r="H510" s="105" t="s">
        <v>4823</v>
      </c>
      <c r="I510" s="105" t="s">
        <v>4816</v>
      </c>
      <c r="J510" s="104">
        <v>17.72</v>
      </c>
      <c r="K510" s="103" t="s">
        <v>422</v>
      </c>
      <c r="L510" s="102" t="s">
        <v>577</v>
      </c>
      <c r="M510" s="95"/>
      <c r="N510" s="14"/>
      <c r="O510" s="94">
        <v>7</v>
      </c>
      <c r="P510" s="14" t="s">
        <v>485</v>
      </c>
      <c r="Q510" s="14" t="s">
        <v>561</v>
      </c>
      <c r="R510" s="14" t="s">
        <v>585</v>
      </c>
      <c r="S510" s="15">
        <v>7</v>
      </c>
      <c r="T510" s="15">
        <v>0</v>
      </c>
      <c r="U510" s="15">
        <v>0</v>
      </c>
      <c r="V510" s="14">
        <v>1306</v>
      </c>
      <c r="W510" s="12">
        <v>0</v>
      </c>
      <c r="X510" s="12">
        <v>1</v>
      </c>
      <c r="Y510" s="12">
        <v>6</v>
      </c>
      <c r="Z510" s="12">
        <v>10.719999999999999</v>
      </c>
      <c r="AA510" s="12">
        <v>0</v>
      </c>
      <c r="AB510" s="13">
        <f t="shared" si="29"/>
        <v>0</v>
      </c>
      <c r="AE510" s="12">
        <v>0</v>
      </c>
      <c r="AF510" s="12">
        <v>1</v>
      </c>
      <c r="AG510" s="12">
        <v>6</v>
      </c>
      <c r="AH510" s="12">
        <v>10.719999999999999</v>
      </c>
      <c r="AI510" s="12">
        <v>0</v>
      </c>
      <c r="AJ510" s="13">
        <f t="shared" si="30"/>
        <v>0</v>
      </c>
      <c r="AN510" s="12">
        <f t="shared" si="31"/>
        <v>23143</v>
      </c>
      <c r="AQ510" s="8" t="s">
        <v>420</v>
      </c>
      <c r="AR510" t="str">
        <f t="shared" si="32"/>
        <v>Campos Gerais - A02</v>
      </c>
    </row>
    <row r="511" spans="1:44" x14ac:dyDescent="0.2">
      <c r="A511" s="107" t="s">
        <v>4822</v>
      </c>
      <c r="B511" s="106" t="s">
        <v>4821</v>
      </c>
      <c r="C511" s="106" t="s">
        <v>4681</v>
      </c>
      <c r="D511" s="106" t="s">
        <v>3010</v>
      </c>
      <c r="E511" s="106" t="s">
        <v>4730</v>
      </c>
      <c r="F511" s="106" t="s">
        <v>606</v>
      </c>
      <c r="G511" s="106" t="s">
        <v>4820</v>
      </c>
      <c r="H511" s="105" t="s">
        <v>4816</v>
      </c>
      <c r="I511" s="105" t="s">
        <v>1483</v>
      </c>
      <c r="J511" s="104">
        <v>2.2999999999999998</v>
      </c>
      <c r="K511" s="103" t="s">
        <v>422</v>
      </c>
      <c r="L511" s="102" t="s">
        <v>577</v>
      </c>
      <c r="M511" s="95"/>
      <c r="N511" s="14"/>
      <c r="O511" s="94">
        <v>7</v>
      </c>
      <c r="P511" s="14" t="s">
        <v>596</v>
      </c>
      <c r="Q511" s="14" t="s">
        <v>561</v>
      </c>
      <c r="R511" s="14" t="s">
        <v>496</v>
      </c>
      <c r="S511" s="15">
        <v>8</v>
      </c>
      <c r="T511" s="15">
        <v>0</v>
      </c>
      <c r="U511" s="15">
        <v>0</v>
      </c>
      <c r="V511" s="14">
        <v>934</v>
      </c>
      <c r="W511" s="12">
        <v>0</v>
      </c>
      <c r="X511" s="12">
        <v>0.29999999999999982</v>
      </c>
      <c r="Y511" s="12">
        <v>1</v>
      </c>
      <c r="Z511" s="12">
        <v>1</v>
      </c>
      <c r="AA511" s="12">
        <v>0</v>
      </c>
      <c r="AB511" s="13">
        <f t="shared" si="29"/>
        <v>0</v>
      </c>
      <c r="AE511" s="12">
        <v>0</v>
      </c>
      <c r="AF511" s="12">
        <v>0.29999999999999982</v>
      </c>
      <c r="AG511" s="12">
        <v>1</v>
      </c>
      <c r="AH511" s="12">
        <v>1</v>
      </c>
      <c r="AI511" s="12">
        <v>0</v>
      </c>
      <c r="AJ511" s="13">
        <f t="shared" si="30"/>
        <v>0</v>
      </c>
      <c r="AN511" s="12">
        <f t="shared" si="31"/>
        <v>2149</v>
      </c>
      <c r="AQ511" s="8" t="s">
        <v>420</v>
      </c>
      <c r="AR511" t="str">
        <f t="shared" si="32"/>
        <v>Campos Gerais - A02</v>
      </c>
    </row>
    <row r="512" spans="1:44" x14ac:dyDescent="0.2">
      <c r="A512" s="107" t="s">
        <v>4819</v>
      </c>
      <c r="B512" s="106" t="s">
        <v>4818</v>
      </c>
      <c r="C512" s="106" t="s">
        <v>4681</v>
      </c>
      <c r="D512" s="106" t="s">
        <v>3010</v>
      </c>
      <c r="E512" s="106" t="s">
        <v>4725</v>
      </c>
      <c r="F512" s="106" t="s">
        <v>600</v>
      </c>
      <c r="G512" s="106" t="s">
        <v>4817</v>
      </c>
      <c r="H512" s="105" t="s">
        <v>4816</v>
      </c>
      <c r="I512" s="105" t="s">
        <v>1483</v>
      </c>
      <c r="J512" s="104">
        <v>2.2999999999999998</v>
      </c>
      <c r="K512" s="103" t="s">
        <v>422</v>
      </c>
      <c r="L512" s="102" t="s">
        <v>577</v>
      </c>
      <c r="M512" s="95"/>
      <c r="N512" s="14"/>
      <c r="O512" s="94">
        <v>7</v>
      </c>
      <c r="P512" s="14" t="s">
        <v>596</v>
      </c>
      <c r="Q512" s="14" t="s">
        <v>561</v>
      </c>
      <c r="R512" s="14" t="s">
        <v>496</v>
      </c>
      <c r="S512" s="15">
        <v>8</v>
      </c>
      <c r="T512" s="15">
        <v>0</v>
      </c>
      <c r="U512" s="15">
        <v>0</v>
      </c>
      <c r="V512" s="14">
        <v>934</v>
      </c>
      <c r="W512" s="12">
        <v>0</v>
      </c>
      <c r="X512" s="12">
        <v>0</v>
      </c>
      <c r="Y512" s="12">
        <v>1.2999999999999998</v>
      </c>
      <c r="Z512" s="12">
        <v>1</v>
      </c>
      <c r="AA512" s="12">
        <v>0</v>
      </c>
      <c r="AB512" s="13">
        <f t="shared" si="29"/>
        <v>0</v>
      </c>
      <c r="AE512" s="12">
        <v>0</v>
      </c>
      <c r="AF512" s="12">
        <v>0</v>
      </c>
      <c r="AG512" s="12">
        <v>1.2999999999999998</v>
      </c>
      <c r="AH512" s="12">
        <v>1</v>
      </c>
      <c r="AI512" s="12">
        <v>0</v>
      </c>
      <c r="AJ512" s="13">
        <f t="shared" si="30"/>
        <v>0</v>
      </c>
      <c r="AN512" s="12">
        <f t="shared" si="31"/>
        <v>2149</v>
      </c>
      <c r="AQ512" s="8" t="s">
        <v>420</v>
      </c>
      <c r="AR512" t="str">
        <f t="shared" si="32"/>
        <v>Campos Gerais - A02</v>
      </c>
    </row>
    <row r="513" spans="1:44" x14ac:dyDescent="0.2">
      <c r="A513" s="107" t="s">
        <v>4815</v>
      </c>
      <c r="B513" s="106" t="s">
        <v>4814</v>
      </c>
      <c r="C513" s="106" t="s">
        <v>4681</v>
      </c>
      <c r="D513" s="106" t="s">
        <v>2832</v>
      </c>
      <c r="E513" s="106" t="s">
        <v>4680</v>
      </c>
      <c r="F513" s="106" t="s">
        <v>490</v>
      </c>
      <c r="G513" s="106" t="s">
        <v>4813</v>
      </c>
      <c r="H513" s="105" t="s">
        <v>1483</v>
      </c>
      <c r="I513" s="105" t="s">
        <v>4809</v>
      </c>
      <c r="J513" s="104">
        <v>0.27</v>
      </c>
      <c r="K513" s="103" t="s">
        <v>422</v>
      </c>
      <c r="L513" s="102" t="s">
        <v>577</v>
      </c>
      <c r="M513" s="95"/>
      <c r="N513" s="14"/>
      <c r="O513" s="94">
        <v>7</v>
      </c>
      <c r="P513" s="14" t="s">
        <v>485</v>
      </c>
      <c r="Q513" s="14" t="s">
        <v>497</v>
      </c>
      <c r="R513" s="14" t="s">
        <v>1258</v>
      </c>
      <c r="S513" s="15">
        <v>7</v>
      </c>
      <c r="T513" s="15">
        <v>0</v>
      </c>
      <c r="U513" s="15">
        <v>0</v>
      </c>
      <c r="V513" s="14">
        <v>1068</v>
      </c>
      <c r="W513" s="12">
        <v>0</v>
      </c>
      <c r="X513" s="12">
        <v>0</v>
      </c>
      <c r="Y513" s="12">
        <v>0</v>
      </c>
      <c r="Z513" s="12">
        <v>0.27</v>
      </c>
      <c r="AA513" s="12">
        <v>0</v>
      </c>
      <c r="AB513" s="13">
        <f t="shared" si="29"/>
        <v>0</v>
      </c>
      <c r="AE513" s="12">
        <v>0</v>
      </c>
      <c r="AF513" s="12">
        <v>0</v>
      </c>
      <c r="AG513" s="12">
        <v>0</v>
      </c>
      <c r="AH513" s="12">
        <v>0.27</v>
      </c>
      <c r="AI513" s="12">
        <v>0</v>
      </c>
      <c r="AJ513" s="13">
        <f t="shared" si="30"/>
        <v>0</v>
      </c>
      <c r="AN513" s="12">
        <f t="shared" si="31"/>
        <v>289</v>
      </c>
      <c r="AQ513" s="8" t="s">
        <v>420</v>
      </c>
      <c r="AR513" t="str">
        <f t="shared" si="32"/>
        <v>Campos Gerais - A02</v>
      </c>
    </row>
    <row r="514" spans="1:44" x14ac:dyDescent="0.2">
      <c r="A514" s="107" t="s">
        <v>4812</v>
      </c>
      <c r="B514" s="106" t="s">
        <v>4811</v>
      </c>
      <c r="C514" s="106" t="s">
        <v>4681</v>
      </c>
      <c r="D514" s="106" t="s">
        <v>2825</v>
      </c>
      <c r="E514" s="106" t="s">
        <v>4680</v>
      </c>
      <c r="F514" s="106" t="s">
        <v>490</v>
      </c>
      <c r="G514" s="106" t="s">
        <v>4810</v>
      </c>
      <c r="H514" s="105" t="s">
        <v>4809</v>
      </c>
      <c r="I514" s="105" t="s">
        <v>563</v>
      </c>
      <c r="J514" s="104">
        <v>3.35</v>
      </c>
      <c r="K514" s="103" t="s">
        <v>423</v>
      </c>
      <c r="L514" s="102" t="s">
        <v>577</v>
      </c>
      <c r="M514" s="95"/>
      <c r="N514" s="14"/>
      <c r="O514" s="94">
        <v>8</v>
      </c>
      <c r="P514" s="14" t="s">
        <v>485</v>
      </c>
      <c r="Q514" s="14" t="s">
        <v>497</v>
      </c>
      <c r="R514" s="14" t="s">
        <v>1258</v>
      </c>
      <c r="S514" s="15">
        <v>10</v>
      </c>
      <c r="T514" s="15">
        <v>0.8</v>
      </c>
      <c r="U514" s="15">
        <v>1.7</v>
      </c>
      <c r="V514" s="14">
        <v>1158</v>
      </c>
      <c r="W514" s="12">
        <v>0</v>
      </c>
      <c r="X514" s="12">
        <v>0</v>
      </c>
      <c r="Y514" s="12">
        <v>3.35</v>
      </c>
      <c r="Z514" s="12">
        <v>0</v>
      </c>
      <c r="AA514" s="12">
        <v>0</v>
      </c>
      <c r="AB514" s="13">
        <f t="shared" si="29"/>
        <v>0</v>
      </c>
      <c r="AE514" s="12">
        <v>0</v>
      </c>
      <c r="AF514" s="12">
        <v>0</v>
      </c>
      <c r="AG514" s="12">
        <v>3.35</v>
      </c>
      <c r="AH514" s="12">
        <v>0</v>
      </c>
      <c r="AI514" s="12">
        <v>0</v>
      </c>
      <c r="AJ514" s="13">
        <f t="shared" si="30"/>
        <v>0</v>
      </c>
      <c r="AN514" s="12">
        <f t="shared" si="31"/>
        <v>3880</v>
      </c>
      <c r="AQ514" s="8" t="s">
        <v>420</v>
      </c>
      <c r="AR514" t="str">
        <f t="shared" si="32"/>
        <v>Campos Gerais - A03</v>
      </c>
    </row>
    <row r="515" spans="1:44" x14ac:dyDescent="0.2">
      <c r="A515" s="107" t="s">
        <v>4808</v>
      </c>
      <c r="B515" s="106" t="s">
        <v>4807</v>
      </c>
      <c r="C515" s="106" t="s">
        <v>4681</v>
      </c>
      <c r="D515" s="106" t="s">
        <v>2671</v>
      </c>
      <c r="E515" s="106" t="s">
        <v>4680</v>
      </c>
      <c r="F515" s="106" t="s">
        <v>490</v>
      </c>
      <c r="G515" s="106" t="s">
        <v>4806</v>
      </c>
      <c r="H515" s="105" t="s">
        <v>563</v>
      </c>
      <c r="I515" s="105" t="s">
        <v>4805</v>
      </c>
      <c r="J515" s="104">
        <v>31.25</v>
      </c>
      <c r="K515" s="103" t="s">
        <v>423</v>
      </c>
      <c r="L515" s="102" t="s">
        <v>577</v>
      </c>
      <c r="M515" s="95"/>
      <c r="N515" s="14"/>
      <c r="O515" s="94">
        <v>8</v>
      </c>
      <c r="P515" s="14" t="s">
        <v>485</v>
      </c>
      <c r="Q515" s="14" t="s">
        <v>497</v>
      </c>
      <c r="R515" s="14" t="s">
        <v>1258</v>
      </c>
      <c r="S515" s="15">
        <v>7</v>
      </c>
      <c r="T515" s="15">
        <v>0.7</v>
      </c>
      <c r="U515" s="15">
        <v>7.8999999999999995</v>
      </c>
      <c r="V515" s="14">
        <v>2342</v>
      </c>
      <c r="W515" s="12">
        <v>0</v>
      </c>
      <c r="X515" s="12">
        <v>4</v>
      </c>
      <c r="Y515" s="12">
        <v>18</v>
      </c>
      <c r="Z515" s="12">
        <v>9.25</v>
      </c>
      <c r="AA515" s="12">
        <v>0</v>
      </c>
      <c r="AB515" s="13">
        <f t="shared" si="29"/>
        <v>0</v>
      </c>
      <c r="AE515" s="12">
        <v>0</v>
      </c>
      <c r="AF515" s="12">
        <v>4</v>
      </c>
      <c r="AG515" s="12">
        <v>18</v>
      </c>
      <c r="AH515" s="12">
        <v>9.25</v>
      </c>
      <c r="AI515" s="12">
        <v>0</v>
      </c>
      <c r="AJ515" s="13">
        <f t="shared" si="30"/>
        <v>0</v>
      </c>
      <c r="AN515" s="12">
        <f t="shared" si="31"/>
        <v>73188</v>
      </c>
      <c r="AQ515" s="8" t="s">
        <v>420</v>
      </c>
      <c r="AR515" t="str">
        <f t="shared" si="32"/>
        <v>Campos Gerais - A03</v>
      </c>
    </row>
    <row r="516" spans="1:44" x14ac:dyDescent="0.2">
      <c r="A516" s="107" t="s">
        <v>4804</v>
      </c>
      <c r="B516" s="106" t="s">
        <v>4803</v>
      </c>
      <c r="C516" s="106" t="s">
        <v>4681</v>
      </c>
      <c r="D516" s="106" t="s">
        <v>2651</v>
      </c>
      <c r="E516" s="106" t="s">
        <v>4680</v>
      </c>
      <c r="F516" s="106" t="s">
        <v>490</v>
      </c>
      <c r="G516" s="106" t="s">
        <v>4802</v>
      </c>
      <c r="H516" s="105" t="s">
        <v>4801</v>
      </c>
      <c r="I516" s="105" t="s">
        <v>4797</v>
      </c>
      <c r="J516" s="104">
        <v>8.9700000000000006</v>
      </c>
      <c r="K516" s="103" t="s">
        <v>423</v>
      </c>
      <c r="L516" s="102" t="s">
        <v>577</v>
      </c>
      <c r="M516" s="95"/>
      <c r="N516" s="14"/>
      <c r="O516" s="94">
        <v>8</v>
      </c>
      <c r="P516" s="14" t="s">
        <v>485</v>
      </c>
      <c r="Q516" s="14" t="s">
        <v>497</v>
      </c>
      <c r="R516" s="14" t="s">
        <v>496</v>
      </c>
      <c r="S516" s="15">
        <v>7</v>
      </c>
      <c r="T516" s="15">
        <v>2.5</v>
      </c>
      <c r="U516" s="15">
        <v>0</v>
      </c>
      <c r="V516" s="14">
        <v>5221</v>
      </c>
      <c r="W516" s="12">
        <v>0</v>
      </c>
      <c r="X516" s="12">
        <v>0</v>
      </c>
      <c r="Y516" s="12">
        <v>1</v>
      </c>
      <c r="Z516" s="12">
        <v>7.9700000000000006</v>
      </c>
      <c r="AA516" s="12">
        <v>0</v>
      </c>
      <c r="AB516" s="13">
        <f t="shared" si="29"/>
        <v>0</v>
      </c>
      <c r="AE516" s="12">
        <v>0</v>
      </c>
      <c r="AF516" s="12">
        <v>0</v>
      </c>
      <c r="AG516" s="12">
        <v>1</v>
      </c>
      <c r="AH516" s="12">
        <v>7.9700000000000006</v>
      </c>
      <c r="AI516" s="12">
        <v>0</v>
      </c>
      <c r="AJ516" s="13">
        <f t="shared" si="30"/>
        <v>0</v>
      </c>
      <c r="AN516" s="12">
        <f t="shared" si="31"/>
        <v>46833</v>
      </c>
      <c r="AQ516" s="8" t="s">
        <v>420</v>
      </c>
      <c r="AR516" t="str">
        <f t="shared" si="32"/>
        <v>Campos Gerais - A03</v>
      </c>
    </row>
    <row r="517" spans="1:44" x14ac:dyDescent="0.2">
      <c r="A517" s="107" t="s">
        <v>4800</v>
      </c>
      <c r="B517" s="106" t="s">
        <v>4799</v>
      </c>
      <c r="C517" s="106" t="s">
        <v>4681</v>
      </c>
      <c r="D517" s="106" t="s">
        <v>2641</v>
      </c>
      <c r="E517" s="106" t="s">
        <v>4680</v>
      </c>
      <c r="F517" s="106" t="s">
        <v>490</v>
      </c>
      <c r="G517" s="106" t="s">
        <v>4798</v>
      </c>
      <c r="H517" s="105" t="s">
        <v>4797</v>
      </c>
      <c r="I517" s="105" t="s">
        <v>4793</v>
      </c>
      <c r="J517" s="104">
        <v>5.49</v>
      </c>
      <c r="K517" s="103" t="s">
        <v>430</v>
      </c>
      <c r="L517" s="102" t="s">
        <v>486</v>
      </c>
      <c r="M517" s="95"/>
      <c r="N517" s="14"/>
      <c r="O517" s="94">
        <v>22</v>
      </c>
      <c r="P517" s="14" t="s">
        <v>485</v>
      </c>
      <c r="Q517" s="14" t="s">
        <v>497</v>
      </c>
      <c r="R517" s="14" t="s">
        <v>496</v>
      </c>
      <c r="S517" s="15">
        <v>6.6</v>
      </c>
      <c r="T517" s="15">
        <v>1.2</v>
      </c>
      <c r="U517" s="15">
        <v>0</v>
      </c>
      <c r="V517" s="14">
        <v>1770</v>
      </c>
      <c r="W517" s="12">
        <v>0</v>
      </c>
      <c r="X517" s="12">
        <v>0</v>
      </c>
      <c r="Y517" s="12">
        <v>2</v>
      </c>
      <c r="Z517" s="12">
        <v>3.49</v>
      </c>
      <c r="AA517" s="12">
        <v>0</v>
      </c>
      <c r="AB517" s="13">
        <f t="shared" si="29"/>
        <v>0</v>
      </c>
      <c r="AE517" s="12">
        <v>0</v>
      </c>
      <c r="AF517" s="12">
        <v>0</v>
      </c>
      <c r="AG517" s="12">
        <v>2</v>
      </c>
      <c r="AH517" s="12">
        <v>3.49</v>
      </c>
      <c r="AI517" s="12">
        <v>0</v>
      </c>
      <c r="AJ517" s="13">
        <f t="shared" si="30"/>
        <v>0</v>
      </c>
      <c r="AN517" s="12">
        <f t="shared" si="31"/>
        <v>9718</v>
      </c>
      <c r="AQ517" s="8" t="s">
        <v>419</v>
      </c>
      <c r="AR517" t="str">
        <f t="shared" si="32"/>
        <v>Norte - A10</v>
      </c>
    </row>
    <row r="518" spans="1:44" x14ac:dyDescent="0.2">
      <c r="A518" s="107" t="s">
        <v>4796</v>
      </c>
      <c r="B518" s="106" t="s">
        <v>4795</v>
      </c>
      <c r="C518" s="106" t="s">
        <v>4681</v>
      </c>
      <c r="D518" s="106" t="s">
        <v>2636</v>
      </c>
      <c r="E518" s="106" t="s">
        <v>4680</v>
      </c>
      <c r="F518" s="106" t="s">
        <v>490</v>
      </c>
      <c r="G518" s="106" t="s">
        <v>4794</v>
      </c>
      <c r="H518" s="105" t="s">
        <v>4793</v>
      </c>
      <c r="I518" s="105" t="s">
        <v>4788</v>
      </c>
      <c r="J518" s="104">
        <v>3.49</v>
      </c>
      <c r="K518" s="103" t="s">
        <v>430</v>
      </c>
      <c r="L518" s="102" t="s">
        <v>486</v>
      </c>
      <c r="M518" s="95"/>
      <c r="N518" s="14"/>
      <c r="O518" s="94">
        <v>22</v>
      </c>
      <c r="P518" s="14" t="s">
        <v>485</v>
      </c>
      <c r="Q518" s="14" t="s">
        <v>497</v>
      </c>
      <c r="R518" s="14" t="s">
        <v>496</v>
      </c>
      <c r="S518" s="15">
        <v>6.6</v>
      </c>
      <c r="T518" s="15">
        <v>1.2</v>
      </c>
      <c r="U518" s="15">
        <v>0</v>
      </c>
      <c r="V518" s="14">
        <v>1770</v>
      </c>
      <c r="W518" s="12">
        <v>0</v>
      </c>
      <c r="X518" s="12">
        <v>0</v>
      </c>
      <c r="Y518" s="12">
        <v>0</v>
      </c>
      <c r="Z518" s="12">
        <v>3.49</v>
      </c>
      <c r="AA518" s="12">
        <v>0</v>
      </c>
      <c r="AB518" s="13">
        <f t="shared" ref="AB518:AB581" si="33">SUM(W518:AA518)-J518</f>
        <v>0</v>
      </c>
      <c r="AE518" s="12">
        <v>0</v>
      </c>
      <c r="AF518" s="12">
        <v>0</v>
      </c>
      <c r="AG518" s="12">
        <v>0</v>
      </c>
      <c r="AH518" s="12">
        <v>3.49</v>
      </c>
      <c r="AI518" s="12">
        <v>0</v>
      </c>
      <c r="AJ518" s="13">
        <f t="shared" ref="AJ518:AJ581" si="34">SUM(AE518:AI518)-J518</f>
        <v>0</v>
      </c>
      <c r="AN518" s="12">
        <f t="shared" ref="AN518:AN581" si="35">ROUNDUP(V518*J518,0)</f>
        <v>6178</v>
      </c>
      <c r="AQ518" s="8" t="s">
        <v>419</v>
      </c>
      <c r="AR518" t="str">
        <f t="shared" ref="AR518:AR581" si="36">AQ518&amp;" - "&amp;K518</f>
        <v>Norte - A10</v>
      </c>
    </row>
    <row r="519" spans="1:44" x14ac:dyDescent="0.2">
      <c r="A519" s="107" t="s">
        <v>4792</v>
      </c>
      <c r="B519" s="106" t="s">
        <v>4791</v>
      </c>
      <c r="C519" s="106" t="s">
        <v>4681</v>
      </c>
      <c r="D519" s="106" t="s">
        <v>4790</v>
      </c>
      <c r="E519" s="106" t="s">
        <v>4680</v>
      </c>
      <c r="F519" s="106" t="s">
        <v>490</v>
      </c>
      <c r="G519" s="106" t="s">
        <v>4789</v>
      </c>
      <c r="H519" s="105" t="s">
        <v>4788</v>
      </c>
      <c r="I519" s="105" t="s">
        <v>4783</v>
      </c>
      <c r="J519" s="104">
        <v>12.29</v>
      </c>
      <c r="K519" s="103" t="s">
        <v>430</v>
      </c>
      <c r="L519" s="102" t="s">
        <v>486</v>
      </c>
      <c r="M519" s="95"/>
      <c r="N519" s="14"/>
      <c r="O519" s="94">
        <v>22</v>
      </c>
      <c r="P519" s="14" t="s">
        <v>485</v>
      </c>
      <c r="Q519" s="14" t="s">
        <v>497</v>
      </c>
      <c r="R519" s="14" t="s">
        <v>496</v>
      </c>
      <c r="S519" s="15">
        <v>6.6</v>
      </c>
      <c r="T519" s="15">
        <v>1.2</v>
      </c>
      <c r="U519" s="15">
        <v>0</v>
      </c>
      <c r="V519" s="14">
        <v>1770</v>
      </c>
      <c r="W519" s="12">
        <v>0</v>
      </c>
      <c r="X519" s="12">
        <v>0</v>
      </c>
      <c r="Y519" s="12">
        <v>5</v>
      </c>
      <c r="Z519" s="12">
        <v>7.2899999999999991</v>
      </c>
      <c r="AA519" s="12">
        <v>0</v>
      </c>
      <c r="AB519" s="13">
        <f t="shared" si="33"/>
        <v>0</v>
      </c>
      <c r="AE519" s="12">
        <v>0</v>
      </c>
      <c r="AF519" s="12">
        <v>0</v>
      </c>
      <c r="AG519" s="12">
        <v>5</v>
      </c>
      <c r="AH519" s="12">
        <v>7.2899999999999991</v>
      </c>
      <c r="AI519" s="12">
        <v>0</v>
      </c>
      <c r="AJ519" s="13">
        <f t="shared" si="34"/>
        <v>0</v>
      </c>
      <c r="AN519" s="12">
        <f t="shared" si="35"/>
        <v>21754</v>
      </c>
      <c r="AQ519" s="8" t="s">
        <v>419</v>
      </c>
      <c r="AR519" t="str">
        <f t="shared" si="36"/>
        <v>Norte - A10</v>
      </c>
    </row>
    <row r="520" spans="1:44" x14ac:dyDescent="0.2">
      <c r="A520" s="107" t="s">
        <v>4787</v>
      </c>
      <c r="B520" s="106" t="s">
        <v>4786</v>
      </c>
      <c r="C520" s="106" t="s">
        <v>4681</v>
      </c>
      <c r="D520" s="106" t="s">
        <v>4785</v>
      </c>
      <c r="E520" s="106" t="s">
        <v>4680</v>
      </c>
      <c r="F520" s="106" t="s">
        <v>490</v>
      </c>
      <c r="G520" s="106" t="s">
        <v>4784</v>
      </c>
      <c r="H520" s="105" t="s">
        <v>4783</v>
      </c>
      <c r="I520" s="105" t="s">
        <v>4778</v>
      </c>
      <c r="J520" s="104">
        <v>1.83</v>
      </c>
      <c r="K520" s="103" t="s">
        <v>430</v>
      </c>
      <c r="L520" s="102" t="s">
        <v>486</v>
      </c>
      <c r="M520" s="95"/>
      <c r="N520" s="14"/>
      <c r="O520" s="94">
        <v>22</v>
      </c>
      <c r="P520" s="14" t="s">
        <v>485</v>
      </c>
      <c r="Q520" s="14" t="s">
        <v>497</v>
      </c>
      <c r="R520" s="14" t="s">
        <v>496</v>
      </c>
      <c r="S520" s="15">
        <v>6.6</v>
      </c>
      <c r="T520" s="15">
        <v>1.2</v>
      </c>
      <c r="U520" s="15">
        <v>0</v>
      </c>
      <c r="V520" s="14">
        <v>1770</v>
      </c>
      <c r="W520" s="12">
        <v>0</v>
      </c>
      <c r="X520" s="12">
        <v>0</v>
      </c>
      <c r="Y520" s="12">
        <v>0</v>
      </c>
      <c r="Z520" s="12">
        <v>1.83</v>
      </c>
      <c r="AA520" s="12">
        <v>0</v>
      </c>
      <c r="AB520" s="13">
        <f t="shared" si="33"/>
        <v>0</v>
      </c>
      <c r="AE520" s="12">
        <v>0</v>
      </c>
      <c r="AF520" s="12">
        <v>0</v>
      </c>
      <c r="AG520" s="12">
        <v>0</v>
      </c>
      <c r="AH520" s="12">
        <v>1.83</v>
      </c>
      <c r="AI520" s="12">
        <v>0</v>
      </c>
      <c r="AJ520" s="13">
        <f t="shared" si="34"/>
        <v>0</v>
      </c>
      <c r="AN520" s="12">
        <f t="shared" si="35"/>
        <v>3240</v>
      </c>
      <c r="AQ520" s="8" t="s">
        <v>419</v>
      </c>
      <c r="AR520" t="str">
        <f t="shared" si="36"/>
        <v>Norte - A10</v>
      </c>
    </row>
    <row r="521" spans="1:44" x14ac:dyDescent="0.2">
      <c r="A521" s="107" t="s">
        <v>4782</v>
      </c>
      <c r="B521" s="106" t="s">
        <v>4781</v>
      </c>
      <c r="C521" s="106" t="s">
        <v>4681</v>
      </c>
      <c r="D521" s="106" t="s">
        <v>4780</v>
      </c>
      <c r="E521" s="106" t="s">
        <v>4680</v>
      </c>
      <c r="F521" s="106" t="s">
        <v>490</v>
      </c>
      <c r="G521" s="106" t="s">
        <v>4779</v>
      </c>
      <c r="H521" s="105" t="s">
        <v>4778</v>
      </c>
      <c r="I521" s="105" t="s">
        <v>4777</v>
      </c>
      <c r="J521" s="104">
        <v>5.36</v>
      </c>
      <c r="K521" s="103" t="s">
        <v>430</v>
      </c>
      <c r="L521" s="102" t="s">
        <v>486</v>
      </c>
      <c r="M521" s="95"/>
      <c r="N521" s="14"/>
      <c r="O521" s="94">
        <v>22</v>
      </c>
      <c r="P521" s="14" t="s">
        <v>485</v>
      </c>
      <c r="Q521" s="14" t="s">
        <v>497</v>
      </c>
      <c r="R521" s="14" t="s">
        <v>496</v>
      </c>
      <c r="S521" s="15">
        <v>6.6</v>
      </c>
      <c r="T521" s="15">
        <v>1.2</v>
      </c>
      <c r="U521" s="15">
        <v>0</v>
      </c>
      <c r="V521" s="14">
        <v>1770</v>
      </c>
      <c r="W521" s="12">
        <v>0</v>
      </c>
      <c r="X521" s="12">
        <v>0</v>
      </c>
      <c r="Y521" s="12">
        <v>1.3600000000000003</v>
      </c>
      <c r="Z521" s="12">
        <v>4</v>
      </c>
      <c r="AA521" s="12">
        <v>0</v>
      </c>
      <c r="AB521" s="13">
        <f t="shared" si="33"/>
        <v>0</v>
      </c>
      <c r="AE521" s="12">
        <v>0</v>
      </c>
      <c r="AF521" s="12">
        <v>0</v>
      </c>
      <c r="AG521" s="12">
        <v>1.3600000000000003</v>
      </c>
      <c r="AH521" s="12">
        <v>4</v>
      </c>
      <c r="AI521" s="12">
        <v>0</v>
      </c>
      <c r="AJ521" s="13">
        <f t="shared" si="34"/>
        <v>0</v>
      </c>
      <c r="AN521" s="12">
        <f t="shared" si="35"/>
        <v>9488</v>
      </c>
      <c r="AQ521" s="8" t="s">
        <v>419</v>
      </c>
      <c r="AR521" t="str">
        <f t="shared" si="36"/>
        <v>Norte - A10</v>
      </c>
    </row>
    <row r="522" spans="1:44" x14ac:dyDescent="0.2">
      <c r="A522" s="107" t="s">
        <v>4776</v>
      </c>
      <c r="B522" s="106" t="s">
        <v>4775</v>
      </c>
      <c r="C522" s="106" t="s">
        <v>4681</v>
      </c>
      <c r="D522" s="106" t="s">
        <v>2586</v>
      </c>
      <c r="E522" s="106" t="s">
        <v>4680</v>
      </c>
      <c r="F522" s="106" t="s">
        <v>490</v>
      </c>
      <c r="G522" s="106" t="s">
        <v>4774</v>
      </c>
      <c r="H522" s="105" t="s">
        <v>4773</v>
      </c>
      <c r="I522" s="105" t="s">
        <v>4766</v>
      </c>
      <c r="J522" s="104">
        <v>4.0199999999999996</v>
      </c>
      <c r="K522" s="103" t="s">
        <v>421</v>
      </c>
      <c r="L522" s="102" t="s">
        <v>486</v>
      </c>
      <c r="M522" s="95"/>
      <c r="N522" s="14"/>
      <c r="O522" s="94">
        <v>13</v>
      </c>
      <c r="P522" s="14" t="s">
        <v>485</v>
      </c>
      <c r="Q522" s="14" t="s">
        <v>505</v>
      </c>
      <c r="R522" s="14" t="s">
        <v>496</v>
      </c>
      <c r="S522" s="15">
        <v>6.8</v>
      </c>
      <c r="T522" s="15">
        <v>1</v>
      </c>
      <c r="U522" s="15">
        <v>0</v>
      </c>
      <c r="V522" s="14">
        <v>2891</v>
      </c>
      <c r="W522" s="12">
        <v>0</v>
      </c>
      <c r="X522" s="12">
        <v>0</v>
      </c>
      <c r="Y522" s="12">
        <v>0</v>
      </c>
      <c r="Z522" s="12">
        <v>4.0199999999999996</v>
      </c>
      <c r="AA522" s="12">
        <v>0</v>
      </c>
      <c r="AB522" s="13">
        <f t="shared" si="33"/>
        <v>0</v>
      </c>
      <c r="AE522" s="12">
        <v>0</v>
      </c>
      <c r="AF522" s="12">
        <v>0</v>
      </c>
      <c r="AG522" s="12">
        <v>0</v>
      </c>
      <c r="AH522" s="12">
        <v>4.0199999999999996</v>
      </c>
      <c r="AI522" s="12">
        <v>0</v>
      </c>
      <c r="AJ522" s="13">
        <f t="shared" si="34"/>
        <v>0</v>
      </c>
      <c r="AN522" s="12">
        <f t="shared" si="35"/>
        <v>11622</v>
      </c>
      <c r="AQ522" s="8" t="s">
        <v>419</v>
      </c>
      <c r="AR522" t="str">
        <f t="shared" si="36"/>
        <v>Norte - A01</v>
      </c>
    </row>
    <row r="523" spans="1:44" x14ac:dyDescent="0.2">
      <c r="A523" s="107" t="s">
        <v>4772</v>
      </c>
      <c r="B523" s="106" t="s">
        <v>4771</v>
      </c>
      <c r="C523" s="106" t="s">
        <v>4681</v>
      </c>
      <c r="D523" s="106" t="s">
        <v>2567</v>
      </c>
      <c r="E523" s="106" t="s">
        <v>4730</v>
      </c>
      <c r="F523" s="106" t="s">
        <v>606</v>
      </c>
      <c r="G523" s="106" t="s">
        <v>4770</v>
      </c>
      <c r="H523" s="105" t="s">
        <v>4766</v>
      </c>
      <c r="I523" s="105" t="s">
        <v>4761</v>
      </c>
      <c r="J523" s="104">
        <v>0.75</v>
      </c>
      <c r="K523" s="103" t="s">
        <v>421</v>
      </c>
      <c r="L523" s="102" t="s">
        <v>486</v>
      </c>
      <c r="M523" s="95"/>
      <c r="N523" s="14"/>
      <c r="O523" s="94">
        <v>13</v>
      </c>
      <c r="P523" s="14" t="s">
        <v>596</v>
      </c>
      <c r="Q523" s="14" t="s">
        <v>505</v>
      </c>
      <c r="R523" s="14" t="s">
        <v>496</v>
      </c>
      <c r="S523" s="15">
        <v>6.7</v>
      </c>
      <c r="T523" s="15">
        <v>0</v>
      </c>
      <c r="U523" s="15">
        <v>0</v>
      </c>
      <c r="V523" s="14">
        <v>2230</v>
      </c>
      <c r="W523" s="12">
        <v>0</v>
      </c>
      <c r="X523" s="12">
        <v>0</v>
      </c>
      <c r="Y523" s="12">
        <v>0</v>
      </c>
      <c r="Z523" s="12">
        <v>0.75</v>
      </c>
      <c r="AA523" s="12">
        <v>0</v>
      </c>
      <c r="AB523" s="13">
        <f t="shared" si="33"/>
        <v>0</v>
      </c>
      <c r="AE523" s="12">
        <v>0</v>
      </c>
      <c r="AF523" s="12">
        <v>0</v>
      </c>
      <c r="AG523" s="12">
        <v>0</v>
      </c>
      <c r="AH523" s="12">
        <v>0.75</v>
      </c>
      <c r="AI523" s="12">
        <v>0</v>
      </c>
      <c r="AJ523" s="13">
        <f t="shared" si="34"/>
        <v>0</v>
      </c>
      <c r="AN523" s="12">
        <f t="shared" si="35"/>
        <v>1673</v>
      </c>
      <c r="AQ523" s="8" t="s">
        <v>419</v>
      </c>
      <c r="AR523" t="str">
        <f t="shared" si="36"/>
        <v>Norte - A01</v>
      </c>
    </row>
    <row r="524" spans="1:44" x14ac:dyDescent="0.2">
      <c r="A524" s="107" t="s">
        <v>4769</v>
      </c>
      <c r="B524" s="106" t="s">
        <v>4768</v>
      </c>
      <c r="C524" s="106" t="s">
        <v>4681</v>
      </c>
      <c r="D524" s="106" t="s">
        <v>2567</v>
      </c>
      <c r="E524" s="106" t="s">
        <v>4725</v>
      </c>
      <c r="F524" s="106" t="s">
        <v>600</v>
      </c>
      <c r="G524" s="106" t="s">
        <v>4767</v>
      </c>
      <c r="H524" s="105" t="s">
        <v>4766</v>
      </c>
      <c r="I524" s="105" t="s">
        <v>4761</v>
      </c>
      <c r="J524" s="104">
        <v>0.75</v>
      </c>
      <c r="K524" s="103" t="s">
        <v>421</v>
      </c>
      <c r="L524" s="102" t="s">
        <v>486</v>
      </c>
      <c r="M524" s="95"/>
      <c r="N524" s="14"/>
      <c r="O524" s="94">
        <v>13</v>
      </c>
      <c r="P524" s="14" t="s">
        <v>596</v>
      </c>
      <c r="Q524" s="14" t="s">
        <v>505</v>
      </c>
      <c r="R524" s="14" t="s">
        <v>496</v>
      </c>
      <c r="S524" s="15">
        <v>6.7</v>
      </c>
      <c r="T524" s="15">
        <v>0</v>
      </c>
      <c r="U524" s="15">
        <v>0</v>
      </c>
      <c r="V524" s="14">
        <v>2230</v>
      </c>
      <c r="W524" s="12">
        <v>0</v>
      </c>
      <c r="X524" s="12">
        <v>0</v>
      </c>
      <c r="Y524" s="12">
        <v>0</v>
      </c>
      <c r="Z524" s="12">
        <v>0.75</v>
      </c>
      <c r="AA524" s="12">
        <v>0</v>
      </c>
      <c r="AB524" s="13">
        <f t="shared" si="33"/>
        <v>0</v>
      </c>
      <c r="AE524" s="12">
        <v>0</v>
      </c>
      <c r="AF524" s="12">
        <v>0</v>
      </c>
      <c r="AG524" s="12">
        <v>0</v>
      </c>
      <c r="AH524" s="12">
        <v>0.75</v>
      </c>
      <c r="AI524" s="12">
        <v>0</v>
      </c>
      <c r="AJ524" s="13">
        <f t="shared" si="34"/>
        <v>0</v>
      </c>
      <c r="AN524" s="12">
        <f t="shared" si="35"/>
        <v>1673</v>
      </c>
      <c r="AQ524" s="8" t="s">
        <v>419</v>
      </c>
      <c r="AR524" t="str">
        <f t="shared" si="36"/>
        <v>Norte - A01</v>
      </c>
    </row>
    <row r="525" spans="1:44" x14ac:dyDescent="0.2">
      <c r="A525" s="107" t="s">
        <v>4765</v>
      </c>
      <c r="B525" s="106" t="s">
        <v>4764</v>
      </c>
      <c r="C525" s="106" t="s">
        <v>4681</v>
      </c>
      <c r="D525" s="106" t="s">
        <v>4763</v>
      </c>
      <c r="E525" s="106" t="s">
        <v>4690</v>
      </c>
      <c r="F525" s="106" t="s">
        <v>590</v>
      </c>
      <c r="G525" s="106" t="s">
        <v>4762</v>
      </c>
      <c r="H525" s="105" t="s">
        <v>4761</v>
      </c>
      <c r="I525" s="105" t="s">
        <v>4757</v>
      </c>
      <c r="J525" s="104">
        <v>0.73</v>
      </c>
      <c r="K525" s="103" t="s">
        <v>421</v>
      </c>
      <c r="L525" s="102" t="s">
        <v>486</v>
      </c>
      <c r="M525" s="95"/>
      <c r="N525" s="14"/>
      <c r="O525" s="94">
        <v>13</v>
      </c>
      <c r="P525" s="14" t="s">
        <v>586</v>
      </c>
      <c r="Q525" s="14" t="s">
        <v>505</v>
      </c>
      <c r="R525" s="14" t="s">
        <v>496</v>
      </c>
      <c r="S525" s="15">
        <v>8</v>
      </c>
      <c r="T525" s="15">
        <v>0</v>
      </c>
      <c r="U525" s="15">
        <v>0</v>
      </c>
      <c r="V525" s="14">
        <v>1701</v>
      </c>
      <c r="W525" s="12">
        <v>0</v>
      </c>
      <c r="X525" s="12">
        <v>0</v>
      </c>
      <c r="Y525" s="12">
        <v>0</v>
      </c>
      <c r="Z525" s="12">
        <v>0.73</v>
      </c>
      <c r="AA525" s="12">
        <v>0</v>
      </c>
      <c r="AB525" s="13">
        <f t="shared" si="33"/>
        <v>0</v>
      </c>
      <c r="AE525" s="12">
        <v>0</v>
      </c>
      <c r="AF525" s="12">
        <v>0</v>
      </c>
      <c r="AG525" s="12">
        <v>0</v>
      </c>
      <c r="AH525" s="12">
        <v>0.73</v>
      </c>
      <c r="AI525" s="12">
        <v>0</v>
      </c>
      <c r="AJ525" s="13">
        <f t="shared" si="34"/>
        <v>0</v>
      </c>
      <c r="AN525" s="12">
        <f t="shared" si="35"/>
        <v>1242</v>
      </c>
      <c r="AQ525" s="8" t="s">
        <v>419</v>
      </c>
      <c r="AR525" t="str">
        <f t="shared" si="36"/>
        <v>Norte - A01</v>
      </c>
    </row>
    <row r="526" spans="1:44" x14ac:dyDescent="0.2">
      <c r="A526" s="107" t="s">
        <v>4760</v>
      </c>
      <c r="B526" s="106" t="s">
        <v>4759</v>
      </c>
      <c r="C526" s="106" t="s">
        <v>4681</v>
      </c>
      <c r="D526" s="106" t="s">
        <v>2560</v>
      </c>
      <c r="E526" s="106" t="s">
        <v>4680</v>
      </c>
      <c r="F526" s="106" t="s">
        <v>490</v>
      </c>
      <c r="G526" s="106" t="s">
        <v>4758</v>
      </c>
      <c r="H526" s="105" t="s">
        <v>4757</v>
      </c>
      <c r="I526" s="105" t="s">
        <v>4752</v>
      </c>
      <c r="J526" s="104">
        <v>21.64</v>
      </c>
      <c r="K526" s="103" t="s">
        <v>421</v>
      </c>
      <c r="L526" s="102" t="s">
        <v>486</v>
      </c>
      <c r="M526" s="95"/>
      <c r="N526" s="14"/>
      <c r="O526" s="94">
        <v>13</v>
      </c>
      <c r="P526" s="14" t="s">
        <v>485</v>
      </c>
      <c r="Q526" s="14" t="s">
        <v>505</v>
      </c>
      <c r="R526" s="14" t="s">
        <v>496</v>
      </c>
      <c r="S526" s="15">
        <v>6.6</v>
      </c>
      <c r="T526" s="15">
        <v>0.8</v>
      </c>
      <c r="U526" s="15">
        <v>0</v>
      </c>
      <c r="V526" s="14">
        <v>2212</v>
      </c>
      <c r="W526" s="12">
        <v>0</v>
      </c>
      <c r="X526" s="12">
        <v>0</v>
      </c>
      <c r="Y526" s="12">
        <v>1</v>
      </c>
      <c r="Z526" s="12">
        <v>20.64</v>
      </c>
      <c r="AA526" s="12">
        <v>0</v>
      </c>
      <c r="AB526" s="13">
        <f t="shared" si="33"/>
        <v>0</v>
      </c>
      <c r="AE526" s="12">
        <v>0</v>
      </c>
      <c r="AF526" s="12">
        <v>0</v>
      </c>
      <c r="AG526" s="12">
        <v>1</v>
      </c>
      <c r="AH526" s="12">
        <v>20.64</v>
      </c>
      <c r="AI526" s="12">
        <v>0</v>
      </c>
      <c r="AJ526" s="13">
        <f t="shared" si="34"/>
        <v>0</v>
      </c>
      <c r="AN526" s="12">
        <f t="shared" si="35"/>
        <v>47868</v>
      </c>
      <c r="AQ526" s="8" t="s">
        <v>419</v>
      </c>
      <c r="AR526" t="str">
        <f t="shared" si="36"/>
        <v>Norte - A01</v>
      </c>
    </row>
    <row r="527" spans="1:44" x14ac:dyDescent="0.2">
      <c r="A527" s="107" t="s">
        <v>4756</v>
      </c>
      <c r="B527" s="106" t="s">
        <v>4755</v>
      </c>
      <c r="C527" s="106" t="s">
        <v>4681</v>
      </c>
      <c r="D527" s="106" t="s">
        <v>4754</v>
      </c>
      <c r="E527" s="106" t="s">
        <v>4680</v>
      </c>
      <c r="F527" s="106" t="s">
        <v>490</v>
      </c>
      <c r="G527" s="106" t="s">
        <v>4753</v>
      </c>
      <c r="H527" s="105" t="s">
        <v>4752</v>
      </c>
      <c r="I527" s="105" t="s">
        <v>4747</v>
      </c>
      <c r="J527" s="104">
        <v>1.92</v>
      </c>
      <c r="K527" s="103" t="s">
        <v>421</v>
      </c>
      <c r="L527" s="102" t="s">
        <v>486</v>
      </c>
      <c r="M527" s="95"/>
      <c r="N527" s="14"/>
      <c r="O527" s="94">
        <v>13</v>
      </c>
      <c r="P527" s="14" t="s">
        <v>485</v>
      </c>
      <c r="Q527" s="14" t="s">
        <v>505</v>
      </c>
      <c r="R527" s="14" t="s">
        <v>496</v>
      </c>
      <c r="S527" s="15">
        <v>6.6</v>
      </c>
      <c r="T527" s="15">
        <v>1</v>
      </c>
      <c r="U527" s="15">
        <v>0</v>
      </c>
      <c r="V527" s="14">
        <v>2212</v>
      </c>
      <c r="W527" s="12">
        <v>0</v>
      </c>
      <c r="X527" s="12">
        <v>0</v>
      </c>
      <c r="Y527" s="12">
        <v>0</v>
      </c>
      <c r="Z527" s="12">
        <v>1.92</v>
      </c>
      <c r="AA527" s="12">
        <v>0</v>
      </c>
      <c r="AB527" s="13">
        <f t="shared" si="33"/>
        <v>0</v>
      </c>
      <c r="AE527" s="12">
        <v>0</v>
      </c>
      <c r="AF527" s="12">
        <v>0</v>
      </c>
      <c r="AG527" s="12">
        <v>0</v>
      </c>
      <c r="AH527" s="12">
        <v>1.92</v>
      </c>
      <c r="AI527" s="12">
        <v>0</v>
      </c>
      <c r="AJ527" s="13">
        <f t="shared" si="34"/>
        <v>0</v>
      </c>
      <c r="AN527" s="12">
        <f t="shared" si="35"/>
        <v>4248</v>
      </c>
      <c r="AQ527" s="8" t="s">
        <v>419</v>
      </c>
      <c r="AR527" t="str">
        <f t="shared" si="36"/>
        <v>Norte - A01</v>
      </c>
    </row>
    <row r="528" spans="1:44" x14ac:dyDescent="0.2">
      <c r="A528" s="107" t="s">
        <v>4751</v>
      </c>
      <c r="B528" s="106" t="s">
        <v>4750</v>
      </c>
      <c r="C528" s="106" t="s">
        <v>4681</v>
      </c>
      <c r="D528" s="106" t="s">
        <v>4749</v>
      </c>
      <c r="E528" s="106" t="s">
        <v>4680</v>
      </c>
      <c r="F528" s="106" t="s">
        <v>490</v>
      </c>
      <c r="G528" s="106" t="s">
        <v>4748</v>
      </c>
      <c r="H528" s="105" t="s">
        <v>4747</v>
      </c>
      <c r="I528" s="105" t="s">
        <v>4743</v>
      </c>
      <c r="J528" s="104">
        <v>16.14</v>
      </c>
      <c r="K528" s="103" t="s">
        <v>421</v>
      </c>
      <c r="L528" s="102" t="s">
        <v>486</v>
      </c>
      <c r="M528" s="95"/>
      <c r="N528" s="14"/>
      <c r="O528" s="94">
        <v>13</v>
      </c>
      <c r="P528" s="14" t="s">
        <v>485</v>
      </c>
      <c r="Q528" s="14" t="s">
        <v>887</v>
      </c>
      <c r="R528" s="14" t="s">
        <v>496</v>
      </c>
      <c r="S528" s="15">
        <v>6.6</v>
      </c>
      <c r="T528" s="15">
        <v>0.5</v>
      </c>
      <c r="U528" s="15">
        <v>0</v>
      </c>
      <c r="V528" s="14">
        <v>1312</v>
      </c>
      <c r="W528" s="12">
        <v>0</v>
      </c>
      <c r="X528" s="12">
        <v>1</v>
      </c>
      <c r="Y528" s="12">
        <v>6.1400000000000006</v>
      </c>
      <c r="Z528" s="12">
        <v>9</v>
      </c>
      <c r="AA528" s="12">
        <v>0</v>
      </c>
      <c r="AB528" s="13">
        <f t="shared" si="33"/>
        <v>0</v>
      </c>
      <c r="AE528" s="12">
        <v>0</v>
      </c>
      <c r="AF528" s="12">
        <v>1</v>
      </c>
      <c r="AG528" s="12">
        <v>6.1400000000000006</v>
      </c>
      <c r="AH528" s="12">
        <v>9</v>
      </c>
      <c r="AI528" s="12">
        <v>0</v>
      </c>
      <c r="AJ528" s="13">
        <f t="shared" si="34"/>
        <v>0</v>
      </c>
      <c r="AN528" s="12">
        <f t="shared" si="35"/>
        <v>21176</v>
      </c>
      <c r="AQ528" s="8" t="s">
        <v>419</v>
      </c>
      <c r="AR528" t="str">
        <f t="shared" si="36"/>
        <v>Norte - A01</v>
      </c>
    </row>
    <row r="529" spans="1:44" x14ac:dyDescent="0.2">
      <c r="A529" s="107" t="s">
        <v>4746</v>
      </c>
      <c r="B529" s="106" t="s">
        <v>4745</v>
      </c>
      <c r="C529" s="106" t="s">
        <v>4681</v>
      </c>
      <c r="D529" s="106" t="s">
        <v>3529</v>
      </c>
      <c r="E529" s="106" t="s">
        <v>4680</v>
      </c>
      <c r="F529" s="106" t="s">
        <v>490</v>
      </c>
      <c r="G529" s="106" t="s">
        <v>4744</v>
      </c>
      <c r="H529" s="105" t="s">
        <v>4743</v>
      </c>
      <c r="I529" s="105" t="s">
        <v>4738</v>
      </c>
      <c r="J529" s="104">
        <v>7.45</v>
      </c>
      <c r="K529" s="103" t="s">
        <v>422</v>
      </c>
      <c r="L529" s="102" t="s">
        <v>486</v>
      </c>
      <c r="M529" s="95"/>
      <c r="N529" s="14"/>
      <c r="O529" s="94">
        <v>14</v>
      </c>
      <c r="P529" s="14" t="s">
        <v>485</v>
      </c>
      <c r="Q529" s="14" t="s">
        <v>887</v>
      </c>
      <c r="R529" s="14" t="s">
        <v>496</v>
      </c>
      <c r="S529" s="15">
        <v>6.8</v>
      </c>
      <c r="T529" s="15">
        <v>0</v>
      </c>
      <c r="U529" s="15">
        <v>0</v>
      </c>
      <c r="V529" s="14">
        <v>2260</v>
      </c>
      <c r="W529" s="12">
        <v>0</v>
      </c>
      <c r="X529" s="12">
        <v>1</v>
      </c>
      <c r="Y529" s="12">
        <v>6.45</v>
      </c>
      <c r="Z529" s="12">
        <v>0</v>
      </c>
      <c r="AA529" s="12">
        <v>0</v>
      </c>
      <c r="AB529" s="13">
        <f t="shared" si="33"/>
        <v>0</v>
      </c>
      <c r="AE529" s="12">
        <v>0</v>
      </c>
      <c r="AF529" s="12">
        <v>1</v>
      </c>
      <c r="AG529" s="12">
        <v>6.45</v>
      </c>
      <c r="AH529" s="12">
        <v>0</v>
      </c>
      <c r="AI529" s="12">
        <v>0</v>
      </c>
      <c r="AJ529" s="13">
        <f t="shared" si="34"/>
        <v>0</v>
      </c>
      <c r="AN529" s="12">
        <f t="shared" si="35"/>
        <v>16837</v>
      </c>
      <c r="AQ529" s="8" t="s">
        <v>419</v>
      </c>
      <c r="AR529" t="str">
        <f t="shared" si="36"/>
        <v>Norte - A02</v>
      </c>
    </row>
    <row r="530" spans="1:44" x14ac:dyDescent="0.2">
      <c r="A530" s="107" t="s">
        <v>4742</v>
      </c>
      <c r="B530" s="106" t="s">
        <v>4741</v>
      </c>
      <c r="C530" s="106" t="s">
        <v>4681</v>
      </c>
      <c r="D530" s="106" t="s">
        <v>4740</v>
      </c>
      <c r="E530" s="106" t="s">
        <v>4680</v>
      </c>
      <c r="F530" s="106" t="s">
        <v>490</v>
      </c>
      <c r="G530" s="106" t="s">
        <v>4739</v>
      </c>
      <c r="H530" s="105" t="s">
        <v>4738</v>
      </c>
      <c r="I530" s="105" t="s">
        <v>4733</v>
      </c>
      <c r="J530" s="104">
        <v>4.5199999999999996</v>
      </c>
      <c r="K530" s="103" t="s">
        <v>422</v>
      </c>
      <c r="L530" s="102" t="s">
        <v>486</v>
      </c>
      <c r="M530" s="95"/>
      <c r="N530" s="14"/>
      <c r="O530" s="94">
        <v>14</v>
      </c>
      <c r="P530" s="14" t="s">
        <v>485</v>
      </c>
      <c r="Q530" s="14" t="s">
        <v>887</v>
      </c>
      <c r="R530" s="14" t="s">
        <v>1258</v>
      </c>
      <c r="S530" s="15">
        <v>7</v>
      </c>
      <c r="T530" s="15">
        <v>0</v>
      </c>
      <c r="U530" s="15">
        <v>0</v>
      </c>
      <c r="V530" s="14">
        <v>1312</v>
      </c>
      <c r="W530" s="12">
        <v>0</v>
      </c>
      <c r="X530" s="12">
        <v>0</v>
      </c>
      <c r="Y530" s="12">
        <v>4.5199999999999996</v>
      </c>
      <c r="Z530" s="12">
        <v>0</v>
      </c>
      <c r="AA530" s="12">
        <v>0</v>
      </c>
      <c r="AB530" s="13">
        <f t="shared" si="33"/>
        <v>0</v>
      </c>
      <c r="AE530" s="12">
        <v>0</v>
      </c>
      <c r="AF530" s="12">
        <v>0</v>
      </c>
      <c r="AG530" s="12">
        <v>4.5199999999999996</v>
      </c>
      <c r="AH530" s="12">
        <v>0</v>
      </c>
      <c r="AI530" s="12">
        <v>0</v>
      </c>
      <c r="AJ530" s="13">
        <f t="shared" si="34"/>
        <v>0</v>
      </c>
      <c r="AN530" s="12">
        <f t="shared" si="35"/>
        <v>5931</v>
      </c>
      <c r="AQ530" s="8" t="s">
        <v>419</v>
      </c>
      <c r="AR530" t="str">
        <f t="shared" si="36"/>
        <v>Norte - A02</v>
      </c>
    </row>
    <row r="531" spans="1:44" x14ac:dyDescent="0.2">
      <c r="A531" s="107" t="s">
        <v>4737</v>
      </c>
      <c r="B531" s="106" t="s">
        <v>4736</v>
      </c>
      <c r="C531" s="106" t="s">
        <v>4681</v>
      </c>
      <c r="D531" s="106" t="s">
        <v>4735</v>
      </c>
      <c r="E531" s="106" t="s">
        <v>4680</v>
      </c>
      <c r="F531" s="106" t="s">
        <v>490</v>
      </c>
      <c r="G531" s="106" t="s">
        <v>4734</v>
      </c>
      <c r="H531" s="105" t="s">
        <v>4733</v>
      </c>
      <c r="I531" s="105" t="s">
        <v>4723</v>
      </c>
      <c r="J531" s="104">
        <v>10.94</v>
      </c>
      <c r="K531" s="103" t="s">
        <v>422</v>
      </c>
      <c r="L531" s="102" t="s">
        <v>486</v>
      </c>
      <c r="M531" s="95"/>
      <c r="N531" s="14"/>
      <c r="O531" s="94">
        <v>14</v>
      </c>
      <c r="P531" s="14" t="s">
        <v>485</v>
      </c>
      <c r="Q531" s="14" t="s">
        <v>887</v>
      </c>
      <c r="R531" s="14" t="s">
        <v>496</v>
      </c>
      <c r="S531" s="15">
        <v>6.5</v>
      </c>
      <c r="T531" s="15">
        <v>1.3</v>
      </c>
      <c r="U531" s="15">
        <v>0</v>
      </c>
      <c r="V531" s="14">
        <v>2066</v>
      </c>
      <c r="W531" s="12">
        <v>0</v>
      </c>
      <c r="X531" s="12">
        <v>0</v>
      </c>
      <c r="Y531" s="12">
        <v>4</v>
      </c>
      <c r="Z531" s="12">
        <v>6.9399999999999995</v>
      </c>
      <c r="AA531" s="12">
        <v>0</v>
      </c>
      <c r="AB531" s="13">
        <f t="shared" si="33"/>
        <v>0</v>
      </c>
      <c r="AE531" s="12">
        <v>0</v>
      </c>
      <c r="AF531" s="12">
        <v>0</v>
      </c>
      <c r="AG531" s="12">
        <v>4</v>
      </c>
      <c r="AH531" s="12">
        <v>6.9399999999999995</v>
      </c>
      <c r="AI531" s="12">
        <v>0</v>
      </c>
      <c r="AJ531" s="13">
        <f t="shared" si="34"/>
        <v>0</v>
      </c>
      <c r="AN531" s="12">
        <f t="shared" si="35"/>
        <v>22603</v>
      </c>
      <c r="AQ531" s="8" t="s">
        <v>419</v>
      </c>
      <c r="AR531" t="str">
        <f t="shared" si="36"/>
        <v>Norte - A02</v>
      </c>
    </row>
    <row r="532" spans="1:44" x14ac:dyDescent="0.2">
      <c r="A532" s="107" t="s">
        <v>4732</v>
      </c>
      <c r="B532" s="106" t="s">
        <v>4731</v>
      </c>
      <c r="C532" s="106" t="s">
        <v>4681</v>
      </c>
      <c r="D532" s="106" t="s">
        <v>4726</v>
      </c>
      <c r="E532" s="106" t="s">
        <v>4730</v>
      </c>
      <c r="F532" s="106" t="s">
        <v>606</v>
      </c>
      <c r="G532" s="106" t="s">
        <v>4729</v>
      </c>
      <c r="H532" s="105" t="s">
        <v>4723</v>
      </c>
      <c r="I532" s="105" t="s">
        <v>4718</v>
      </c>
      <c r="J532" s="104">
        <v>1.57</v>
      </c>
      <c r="K532" s="103" t="s">
        <v>421</v>
      </c>
      <c r="L532" s="102" t="s">
        <v>533</v>
      </c>
      <c r="M532" s="95"/>
      <c r="N532" s="14"/>
      <c r="O532" s="94">
        <v>23</v>
      </c>
      <c r="P532" s="14" t="s">
        <v>596</v>
      </c>
      <c r="Q532" s="14" t="s">
        <v>561</v>
      </c>
      <c r="R532" s="14" t="s">
        <v>496</v>
      </c>
      <c r="S532" s="15">
        <v>6.6571428571428575</v>
      </c>
      <c r="T532" s="15">
        <v>1</v>
      </c>
      <c r="U532" s="15">
        <v>0</v>
      </c>
      <c r="V532" s="14">
        <v>1698</v>
      </c>
      <c r="W532" s="12">
        <v>0</v>
      </c>
      <c r="X532" s="12">
        <v>0</v>
      </c>
      <c r="Y532" s="12">
        <v>0</v>
      </c>
      <c r="Z532" s="12">
        <v>1.57</v>
      </c>
      <c r="AA532" s="12">
        <v>0</v>
      </c>
      <c r="AB532" s="13">
        <f t="shared" si="33"/>
        <v>0</v>
      </c>
      <c r="AE532" s="12">
        <v>0</v>
      </c>
      <c r="AF532" s="12">
        <v>0</v>
      </c>
      <c r="AG532" s="12">
        <v>0</v>
      </c>
      <c r="AH532" s="12">
        <v>1.57</v>
      </c>
      <c r="AI532" s="12">
        <v>0</v>
      </c>
      <c r="AJ532" s="13">
        <f t="shared" si="34"/>
        <v>0</v>
      </c>
      <c r="AN532" s="12">
        <f t="shared" si="35"/>
        <v>2666</v>
      </c>
      <c r="AQ532" s="8" t="s">
        <v>418</v>
      </c>
      <c r="AR532" t="str">
        <f t="shared" si="36"/>
        <v>Noroeste - A01</v>
      </c>
    </row>
    <row r="533" spans="1:44" x14ac:dyDescent="0.2">
      <c r="A533" s="107" t="s">
        <v>4728</v>
      </c>
      <c r="B533" s="106" t="s">
        <v>4727</v>
      </c>
      <c r="C533" s="106" t="s">
        <v>4681</v>
      </c>
      <c r="D533" s="106" t="s">
        <v>4726</v>
      </c>
      <c r="E533" s="106" t="s">
        <v>4725</v>
      </c>
      <c r="F533" s="106" t="s">
        <v>600</v>
      </c>
      <c r="G533" s="106" t="s">
        <v>4724</v>
      </c>
      <c r="H533" s="105" t="s">
        <v>4723</v>
      </c>
      <c r="I533" s="105" t="s">
        <v>4718</v>
      </c>
      <c r="J533" s="104">
        <v>1.57</v>
      </c>
      <c r="K533" s="103" t="s">
        <v>421</v>
      </c>
      <c r="L533" s="102" t="s">
        <v>533</v>
      </c>
      <c r="M533" s="95"/>
      <c r="N533" s="14"/>
      <c r="O533" s="94">
        <v>23</v>
      </c>
      <c r="P533" s="14" t="s">
        <v>596</v>
      </c>
      <c r="Q533" s="14" t="s">
        <v>561</v>
      </c>
      <c r="R533" s="14" t="s">
        <v>496</v>
      </c>
      <c r="S533" s="15">
        <v>6.6714285714285717</v>
      </c>
      <c r="T533" s="15">
        <v>1</v>
      </c>
      <c r="U533" s="15">
        <v>0</v>
      </c>
      <c r="V533" s="14">
        <v>1698</v>
      </c>
      <c r="W533" s="12">
        <v>0</v>
      </c>
      <c r="X533" s="12">
        <v>0</v>
      </c>
      <c r="Y533" s="12">
        <v>0</v>
      </c>
      <c r="Z533" s="12">
        <v>1.57</v>
      </c>
      <c r="AA533" s="12">
        <v>0</v>
      </c>
      <c r="AB533" s="13">
        <f t="shared" si="33"/>
        <v>0</v>
      </c>
      <c r="AE533" s="12">
        <v>0</v>
      </c>
      <c r="AF533" s="12">
        <v>0</v>
      </c>
      <c r="AG533" s="12">
        <v>0</v>
      </c>
      <c r="AH533" s="12">
        <v>1.57</v>
      </c>
      <c r="AI533" s="12">
        <v>0</v>
      </c>
      <c r="AJ533" s="13">
        <f t="shared" si="34"/>
        <v>0</v>
      </c>
      <c r="AN533" s="12">
        <f t="shared" si="35"/>
        <v>2666</v>
      </c>
      <c r="AQ533" s="8" t="s">
        <v>418</v>
      </c>
      <c r="AR533" t="str">
        <f t="shared" si="36"/>
        <v>Noroeste - A01</v>
      </c>
    </row>
    <row r="534" spans="1:44" x14ac:dyDescent="0.2">
      <c r="A534" s="107" t="s">
        <v>4722</v>
      </c>
      <c r="B534" s="106" t="s">
        <v>4721</v>
      </c>
      <c r="C534" s="106" t="s">
        <v>4681</v>
      </c>
      <c r="D534" s="106" t="s">
        <v>4720</v>
      </c>
      <c r="E534" s="106" t="s">
        <v>4690</v>
      </c>
      <c r="F534" s="106" t="s">
        <v>590</v>
      </c>
      <c r="G534" s="106" t="s">
        <v>4719</v>
      </c>
      <c r="H534" s="105" t="s">
        <v>4718</v>
      </c>
      <c r="I534" s="105" t="s">
        <v>4713</v>
      </c>
      <c r="J534" s="104">
        <v>1.45</v>
      </c>
      <c r="K534" s="103" t="s">
        <v>421</v>
      </c>
      <c r="L534" s="102" t="s">
        <v>533</v>
      </c>
      <c r="M534" s="95"/>
      <c r="N534" s="14"/>
      <c r="O534" s="94">
        <v>23</v>
      </c>
      <c r="P534" s="14" t="s">
        <v>586</v>
      </c>
      <c r="Q534" s="14" t="s">
        <v>561</v>
      </c>
      <c r="R534" s="14" t="s">
        <v>496</v>
      </c>
      <c r="S534" s="15">
        <v>12.4</v>
      </c>
      <c r="T534" s="15">
        <v>0</v>
      </c>
      <c r="U534" s="15">
        <v>0</v>
      </c>
      <c r="V534" s="14">
        <v>1427</v>
      </c>
      <c r="W534" s="12">
        <v>0</v>
      </c>
      <c r="X534" s="12">
        <v>0</v>
      </c>
      <c r="Y534" s="12">
        <v>0</v>
      </c>
      <c r="Z534" s="12">
        <v>1.45</v>
      </c>
      <c r="AA534" s="12">
        <v>0</v>
      </c>
      <c r="AB534" s="13">
        <f t="shared" si="33"/>
        <v>0</v>
      </c>
      <c r="AE534" s="12">
        <v>0</v>
      </c>
      <c r="AF534" s="12">
        <v>0</v>
      </c>
      <c r="AG534" s="12">
        <v>0</v>
      </c>
      <c r="AH534" s="12">
        <v>1.45</v>
      </c>
      <c r="AI534" s="12">
        <v>0</v>
      </c>
      <c r="AJ534" s="13">
        <f t="shared" si="34"/>
        <v>0</v>
      </c>
      <c r="AN534" s="12">
        <f t="shared" si="35"/>
        <v>2070</v>
      </c>
      <c r="AQ534" s="8" t="s">
        <v>418</v>
      </c>
      <c r="AR534" t="str">
        <f t="shared" si="36"/>
        <v>Noroeste - A01</v>
      </c>
    </row>
    <row r="535" spans="1:44" x14ac:dyDescent="0.2">
      <c r="A535" s="107" t="s">
        <v>4717</v>
      </c>
      <c r="B535" s="106" t="s">
        <v>4716</v>
      </c>
      <c r="C535" s="106" t="s">
        <v>4681</v>
      </c>
      <c r="D535" s="106" t="s">
        <v>4715</v>
      </c>
      <c r="E535" s="106" t="s">
        <v>4680</v>
      </c>
      <c r="F535" s="106" t="s">
        <v>490</v>
      </c>
      <c r="G535" s="106" t="s">
        <v>4714</v>
      </c>
      <c r="H535" s="105" t="s">
        <v>4713</v>
      </c>
      <c r="I535" s="105" t="s">
        <v>4708</v>
      </c>
      <c r="J535" s="104">
        <v>12.76</v>
      </c>
      <c r="K535" s="103" t="s">
        <v>421</v>
      </c>
      <c r="L535" s="102" t="s">
        <v>533</v>
      </c>
      <c r="M535" s="95"/>
      <c r="N535" s="14"/>
      <c r="O535" s="94">
        <v>23</v>
      </c>
      <c r="P535" s="14" t="s">
        <v>485</v>
      </c>
      <c r="Q535" s="14" t="s">
        <v>561</v>
      </c>
      <c r="R535" s="14" t="s">
        <v>585</v>
      </c>
      <c r="S535" s="15">
        <v>7.2</v>
      </c>
      <c r="T535" s="15">
        <v>2.4</v>
      </c>
      <c r="U535" s="15">
        <v>0</v>
      </c>
      <c r="V535" s="14">
        <v>2398</v>
      </c>
      <c r="W535" s="12">
        <v>0</v>
      </c>
      <c r="X535" s="12">
        <v>0</v>
      </c>
      <c r="Y535" s="12">
        <v>5</v>
      </c>
      <c r="Z535" s="12">
        <v>7.76</v>
      </c>
      <c r="AA535" s="12">
        <v>0</v>
      </c>
      <c r="AB535" s="13">
        <f t="shared" si="33"/>
        <v>0</v>
      </c>
      <c r="AE535" s="12">
        <v>0</v>
      </c>
      <c r="AF535" s="12">
        <v>0</v>
      </c>
      <c r="AG535" s="12">
        <v>5</v>
      </c>
      <c r="AH535" s="12">
        <v>7.76</v>
      </c>
      <c r="AI535" s="12">
        <v>0</v>
      </c>
      <c r="AJ535" s="13">
        <f t="shared" si="34"/>
        <v>0</v>
      </c>
      <c r="AN535" s="12">
        <f t="shared" si="35"/>
        <v>30599</v>
      </c>
      <c r="AQ535" s="8" t="s">
        <v>418</v>
      </c>
      <c r="AR535" t="str">
        <f t="shared" si="36"/>
        <v>Noroeste - A01</v>
      </c>
    </row>
    <row r="536" spans="1:44" x14ac:dyDescent="0.2">
      <c r="A536" s="107" t="s">
        <v>4712</v>
      </c>
      <c r="B536" s="106" t="s">
        <v>4711</v>
      </c>
      <c r="C536" s="106" t="s">
        <v>4681</v>
      </c>
      <c r="D536" s="106" t="s">
        <v>4710</v>
      </c>
      <c r="E536" s="106" t="s">
        <v>4690</v>
      </c>
      <c r="F536" s="106" t="s">
        <v>590</v>
      </c>
      <c r="G536" s="106" t="s">
        <v>4709</v>
      </c>
      <c r="H536" s="105" t="s">
        <v>4708</v>
      </c>
      <c r="I536" s="105" t="s">
        <v>4703</v>
      </c>
      <c r="J536" s="104">
        <v>0.6</v>
      </c>
      <c r="K536" s="103" t="s">
        <v>421</v>
      </c>
      <c r="L536" s="102" t="s">
        <v>533</v>
      </c>
      <c r="M536" s="95"/>
      <c r="N536" s="14"/>
      <c r="O536" s="94">
        <v>23</v>
      </c>
      <c r="P536" s="14" t="s">
        <v>586</v>
      </c>
      <c r="Q536" s="14" t="s">
        <v>561</v>
      </c>
      <c r="R536" s="14" t="s">
        <v>496</v>
      </c>
      <c r="S536" s="15">
        <v>8.5</v>
      </c>
      <c r="T536" s="15">
        <v>0</v>
      </c>
      <c r="U536" s="15">
        <v>0</v>
      </c>
      <c r="V536" s="14">
        <v>867</v>
      </c>
      <c r="W536" s="12">
        <v>0</v>
      </c>
      <c r="X536" s="12">
        <v>0</v>
      </c>
      <c r="Y536" s="12">
        <v>0</v>
      </c>
      <c r="Z536" s="12">
        <v>0.6</v>
      </c>
      <c r="AA536" s="12">
        <v>0</v>
      </c>
      <c r="AB536" s="13">
        <f t="shared" si="33"/>
        <v>0</v>
      </c>
      <c r="AE536" s="12">
        <v>0</v>
      </c>
      <c r="AF536" s="12">
        <v>0</v>
      </c>
      <c r="AG536" s="12">
        <v>0</v>
      </c>
      <c r="AH536" s="12">
        <v>0.6</v>
      </c>
      <c r="AI536" s="12">
        <v>0</v>
      </c>
      <c r="AJ536" s="13">
        <f t="shared" si="34"/>
        <v>0</v>
      </c>
      <c r="AN536" s="12">
        <f t="shared" si="35"/>
        <v>521</v>
      </c>
      <c r="AQ536" s="8" t="s">
        <v>418</v>
      </c>
      <c r="AR536" t="str">
        <f t="shared" si="36"/>
        <v>Noroeste - A01</v>
      </c>
    </row>
    <row r="537" spans="1:44" x14ac:dyDescent="0.2">
      <c r="A537" s="107" t="s">
        <v>4707</v>
      </c>
      <c r="B537" s="106" t="s">
        <v>4706</v>
      </c>
      <c r="C537" s="106" t="s">
        <v>4681</v>
      </c>
      <c r="D537" s="106" t="s">
        <v>4705</v>
      </c>
      <c r="E537" s="106" t="s">
        <v>4680</v>
      </c>
      <c r="F537" s="106" t="s">
        <v>490</v>
      </c>
      <c r="G537" s="106" t="s">
        <v>4704</v>
      </c>
      <c r="H537" s="105" t="s">
        <v>4703</v>
      </c>
      <c r="I537" s="105" t="s">
        <v>1818</v>
      </c>
      <c r="J537" s="104">
        <v>7.68</v>
      </c>
      <c r="K537" s="103" t="s">
        <v>421</v>
      </c>
      <c r="L537" s="102" t="s">
        <v>533</v>
      </c>
      <c r="M537" s="95"/>
      <c r="N537" s="14"/>
      <c r="O537" s="94">
        <v>23</v>
      </c>
      <c r="P537" s="14" t="s">
        <v>485</v>
      </c>
      <c r="Q537" s="14" t="s">
        <v>561</v>
      </c>
      <c r="R537" s="14" t="s">
        <v>585</v>
      </c>
      <c r="S537" s="15">
        <v>6.95</v>
      </c>
      <c r="T537" s="15">
        <v>2.4</v>
      </c>
      <c r="U537" s="15">
        <v>0</v>
      </c>
      <c r="V537" s="14">
        <v>2398</v>
      </c>
      <c r="W537" s="12">
        <v>0</v>
      </c>
      <c r="X537" s="12">
        <v>1</v>
      </c>
      <c r="Y537" s="12">
        <v>2</v>
      </c>
      <c r="Z537" s="12">
        <v>4.68</v>
      </c>
      <c r="AA537" s="12">
        <v>0</v>
      </c>
      <c r="AB537" s="13">
        <f t="shared" si="33"/>
        <v>0</v>
      </c>
      <c r="AE537" s="12">
        <v>0</v>
      </c>
      <c r="AF537" s="12">
        <v>1</v>
      </c>
      <c r="AG537" s="12">
        <v>2</v>
      </c>
      <c r="AH537" s="12">
        <v>4.68</v>
      </c>
      <c r="AI537" s="12">
        <v>0</v>
      </c>
      <c r="AJ537" s="13">
        <f t="shared" si="34"/>
        <v>0</v>
      </c>
      <c r="AN537" s="12">
        <f t="shared" si="35"/>
        <v>18417</v>
      </c>
      <c r="AQ537" s="8" t="s">
        <v>418</v>
      </c>
      <c r="AR537" t="str">
        <f t="shared" si="36"/>
        <v>Noroeste - A01</v>
      </c>
    </row>
    <row r="538" spans="1:44" x14ac:dyDescent="0.2">
      <c r="A538" s="107" t="s">
        <v>4702</v>
      </c>
      <c r="B538" s="106" t="s">
        <v>4701</v>
      </c>
      <c r="C538" s="106" t="s">
        <v>4681</v>
      </c>
      <c r="D538" s="106" t="s">
        <v>4700</v>
      </c>
      <c r="E538" s="106" t="s">
        <v>4690</v>
      </c>
      <c r="F538" s="106" t="s">
        <v>590</v>
      </c>
      <c r="G538" s="106" t="s">
        <v>4699</v>
      </c>
      <c r="H538" s="105" t="s">
        <v>1818</v>
      </c>
      <c r="I538" s="105" t="s">
        <v>4694</v>
      </c>
      <c r="J538" s="104">
        <v>0.9</v>
      </c>
      <c r="K538" s="103" t="s">
        <v>421</v>
      </c>
      <c r="L538" s="102" t="s">
        <v>533</v>
      </c>
      <c r="M538" s="95"/>
      <c r="N538" s="14"/>
      <c r="O538" s="94">
        <v>23</v>
      </c>
      <c r="P538" s="14" t="s">
        <v>586</v>
      </c>
      <c r="Q538" s="14" t="s">
        <v>561</v>
      </c>
      <c r="R538" s="14" t="s">
        <v>496</v>
      </c>
      <c r="S538" s="15">
        <v>14</v>
      </c>
      <c r="T538" s="15">
        <v>0</v>
      </c>
      <c r="U538" s="15">
        <v>0</v>
      </c>
      <c r="V538" s="14">
        <v>237</v>
      </c>
      <c r="W538" s="12">
        <v>0</v>
      </c>
      <c r="X538" s="12">
        <v>0</v>
      </c>
      <c r="Y538" s="12">
        <v>0</v>
      </c>
      <c r="Z538" s="12">
        <v>0.9</v>
      </c>
      <c r="AA538" s="12">
        <v>0</v>
      </c>
      <c r="AB538" s="13">
        <f t="shared" si="33"/>
        <v>0</v>
      </c>
      <c r="AE538" s="12">
        <v>0</v>
      </c>
      <c r="AF538" s="12">
        <v>0</v>
      </c>
      <c r="AG538" s="12">
        <v>0</v>
      </c>
      <c r="AH538" s="12">
        <v>0.9</v>
      </c>
      <c r="AI538" s="12">
        <v>0</v>
      </c>
      <c r="AJ538" s="13">
        <f t="shared" si="34"/>
        <v>0</v>
      </c>
      <c r="AN538" s="12">
        <f t="shared" si="35"/>
        <v>214</v>
      </c>
      <c r="AQ538" s="8" t="s">
        <v>418</v>
      </c>
      <c r="AR538" t="str">
        <f t="shared" si="36"/>
        <v>Noroeste - A01</v>
      </c>
    </row>
    <row r="539" spans="1:44" x14ac:dyDescent="0.2">
      <c r="A539" s="107" t="s">
        <v>4698</v>
      </c>
      <c r="B539" s="106" t="s">
        <v>4697</v>
      </c>
      <c r="C539" s="106" t="s">
        <v>4681</v>
      </c>
      <c r="D539" s="106" t="s">
        <v>4696</v>
      </c>
      <c r="E539" s="106" t="s">
        <v>4690</v>
      </c>
      <c r="F539" s="106" t="s">
        <v>590</v>
      </c>
      <c r="G539" s="106" t="s">
        <v>4695</v>
      </c>
      <c r="H539" s="105" t="s">
        <v>4694</v>
      </c>
      <c r="I539" s="105" t="s">
        <v>4688</v>
      </c>
      <c r="J539" s="104">
        <v>0.26</v>
      </c>
      <c r="K539" s="103" t="s">
        <v>421</v>
      </c>
      <c r="L539" s="102" t="s">
        <v>533</v>
      </c>
      <c r="M539" s="95"/>
      <c r="N539" s="14"/>
      <c r="O539" s="94">
        <v>23</v>
      </c>
      <c r="P539" s="14" t="s">
        <v>586</v>
      </c>
      <c r="Q539" s="14" t="s">
        <v>561</v>
      </c>
      <c r="R539" s="14" t="s">
        <v>496</v>
      </c>
      <c r="S539" s="15">
        <v>13</v>
      </c>
      <c r="T539" s="15">
        <v>0</v>
      </c>
      <c r="U539" s="15">
        <v>0</v>
      </c>
      <c r="V539" s="14">
        <v>216</v>
      </c>
      <c r="W539" s="12">
        <v>0</v>
      </c>
      <c r="X539" s="12">
        <v>0</v>
      </c>
      <c r="Y539" s="12">
        <v>0.26</v>
      </c>
      <c r="Z539" s="12">
        <v>0</v>
      </c>
      <c r="AA539" s="12">
        <v>0</v>
      </c>
      <c r="AB539" s="13">
        <f t="shared" si="33"/>
        <v>0</v>
      </c>
      <c r="AE539" s="12">
        <v>0</v>
      </c>
      <c r="AF539" s="12">
        <v>0</v>
      </c>
      <c r="AG539" s="12">
        <v>0.26</v>
      </c>
      <c r="AH539" s="12">
        <v>0</v>
      </c>
      <c r="AI539" s="12">
        <v>0</v>
      </c>
      <c r="AJ539" s="13">
        <f t="shared" si="34"/>
        <v>0</v>
      </c>
      <c r="AN539" s="12">
        <f t="shared" si="35"/>
        <v>57</v>
      </c>
      <c r="AQ539" s="8" t="s">
        <v>418</v>
      </c>
      <c r="AR539" t="str">
        <f t="shared" si="36"/>
        <v>Noroeste - A01</v>
      </c>
    </row>
    <row r="540" spans="1:44" x14ac:dyDescent="0.2">
      <c r="A540" s="107" t="s">
        <v>4693</v>
      </c>
      <c r="B540" s="106" t="s">
        <v>4692</v>
      </c>
      <c r="C540" s="106" t="s">
        <v>4681</v>
      </c>
      <c r="D540" s="106" t="s">
        <v>4691</v>
      </c>
      <c r="E540" s="106" t="s">
        <v>4690</v>
      </c>
      <c r="F540" s="106" t="s">
        <v>590</v>
      </c>
      <c r="G540" s="106" t="s">
        <v>4689</v>
      </c>
      <c r="H540" s="105" t="s">
        <v>4688</v>
      </c>
      <c r="I540" s="105" t="s">
        <v>1806</v>
      </c>
      <c r="J540" s="104">
        <v>0.12</v>
      </c>
      <c r="K540" s="103" t="s">
        <v>424</v>
      </c>
      <c r="L540" s="102" t="s">
        <v>533</v>
      </c>
      <c r="M540" s="95"/>
      <c r="N540" s="14"/>
      <c r="O540" s="94">
        <v>26</v>
      </c>
      <c r="P540" s="14" t="s">
        <v>586</v>
      </c>
      <c r="Q540" s="14" t="s">
        <v>561</v>
      </c>
      <c r="R540" s="14" t="s">
        <v>496</v>
      </c>
      <c r="S540" s="15">
        <v>14.5</v>
      </c>
      <c r="T540" s="15">
        <v>0</v>
      </c>
      <c r="U540" s="15">
        <v>0</v>
      </c>
      <c r="V540" s="14">
        <v>216</v>
      </c>
      <c r="W540" s="12">
        <v>0</v>
      </c>
      <c r="X540" s="12">
        <v>0.12</v>
      </c>
      <c r="Y540" s="12">
        <v>0</v>
      </c>
      <c r="Z540" s="12">
        <v>0</v>
      </c>
      <c r="AA540" s="12">
        <v>0</v>
      </c>
      <c r="AB540" s="13">
        <f t="shared" si="33"/>
        <v>0</v>
      </c>
      <c r="AE540" s="12">
        <v>0</v>
      </c>
      <c r="AF540" s="12">
        <v>0.12</v>
      </c>
      <c r="AG540" s="12">
        <v>0</v>
      </c>
      <c r="AH540" s="12">
        <v>0</v>
      </c>
      <c r="AI540" s="12">
        <v>0</v>
      </c>
      <c r="AJ540" s="13">
        <f t="shared" si="34"/>
        <v>0</v>
      </c>
      <c r="AN540" s="12">
        <f t="shared" si="35"/>
        <v>26</v>
      </c>
      <c r="AQ540" s="8" t="s">
        <v>418</v>
      </c>
      <c r="AR540" t="str">
        <f t="shared" si="36"/>
        <v>Noroeste - A04</v>
      </c>
    </row>
    <row r="541" spans="1:44" x14ac:dyDescent="0.2">
      <c r="A541" s="107" t="s">
        <v>4687</v>
      </c>
      <c r="B541" s="106" t="s">
        <v>4686</v>
      </c>
      <c r="C541" s="106" t="s">
        <v>4681</v>
      </c>
      <c r="D541" s="106" t="s">
        <v>4685</v>
      </c>
      <c r="E541" s="106" t="s">
        <v>4680</v>
      </c>
      <c r="F541" s="106" t="s">
        <v>490</v>
      </c>
      <c r="G541" s="106" t="s">
        <v>4684</v>
      </c>
      <c r="H541" s="105" t="s">
        <v>1806</v>
      </c>
      <c r="I541" s="105" t="s">
        <v>4678</v>
      </c>
      <c r="J541" s="104">
        <v>10.08</v>
      </c>
      <c r="K541" s="103" t="s">
        <v>424</v>
      </c>
      <c r="L541" s="102" t="s">
        <v>533</v>
      </c>
      <c r="M541" s="95"/>
      <c r="N541" s="14"/>
      <c r="O541" s="94">
        <v>26</v>
      </c>
      <c r="P541" s="14" t="s">
        <v>485</v>
      </c>
      <c r="Q541" s="14" t="s">
        <v>561</v>
      </c>
      <c r="R541" s="14" t="s">
        <v>585</v>
      </c>
      <c r="S541" s="15">
        <v>6.6</v>
      </c>
      <c r="T541" s="15">
        <v>0</v>
      </c>
      <c r="U541" s="15">
        <v>0</v>
      </c>
      <c r="V541" s="14">
        <v>1020</v>
      </c>
      <c r="W541" s="12">
        <v>0</v>
      </c>
      <c r="X541" s="12">
        <v>0</v>
      </c>
      <c r="Y541" s="12">
        <v>0</v>
      </c>
      <c r="Z541" s="12">
        <v>10.08</v>
      </c>
      <c r="AA541" s="12">
        <v>0</v>
      </c>
      <c r="AB541" s="13">
        <f t="shared" si="33"/>
        <v>0</v>
      </c>
      <c r="AE541" s="12">
        <v>0</v>
      </c>
      <c r="AF541" s="12">
        <v>0</v>
      </c>
      <c r="AG541" s="12">
        <v>0</v>
      </c>
      <c r="AH541" s="12">
        <v>10.08</v>
      </c>
      <c r="AI541" s="12">
        <v>0</v>
      </c>
      <c r="AJ541" s="13">
        <f t="shared" si="34"/>
        <v>0</v>
      </c>
      <c r="AN541" s="12">
        <f t="shared" si="35"/>
        <v>10282</v>
      </c>
      <c r="AQ541" s="8" t="s">
        <v>418</v>
      </c>
      <c r="AR541" t="str">
        <f t="shared" si="36"/>
        <v>Noroeste - A04</v>
      </c>
    </row>
    <row r="542" spans="1:44" x14ac:dyDescent="0.2">
      <c r="A542" s="107" t="s">
        <v>4683</v>
      </c>
      <c r="B542" s="106" t="s">
        <v>4682</v>
      </c>
      <c r="C542" s="106" t="s">
        <v>4681</v>
      </c>
      <c r="D542" s="106" t="s">
        <v>3519</v>
      </c>
      <c r="E542" s="106" t="s">
        <v>4680</v>
      </c>
      <c r="F542" s="106" t="s">
        <v>490</v>
      </c>
      <c r="G542" s="106" t="s">
        <v>4679</v>
      </c>
      <c r="H542" s="105" t="s">
        <v>4678</v>
      </c>
      <c r="I542" s="105" t="s">
        <v>4677</v>
      </c>
      <c r="J542" s="104">
        <v>7.48</v>
      </c>
      <c r="K542" s="103" t="s">
        <v>424</v>
      </c>
      <c r="L542" s="102" t="s">
        <v>533</v>
      </c>
      <c r="M542" s="95"/>
      <c r="N542" s="14"/>
      <c r="O542" s="94">
        <v>26</v>
      </c>
      <c r="P542" s="14" t="s">
        <v>485</v>
      </c>
      <c r="Q542" s="14" t="s">
        <v>887</v>
      </c>
      <c r="R542" s="14" t="s">
        <v>585</v>
      </c>
      <c r="S542" s="15">
        <v>6.6</v>
      </c>
      <c r="T542" s="15">
        <v>0</v>
      </c>
      <c r="U542" s="15">
        <v>0</v>
      </c>
      <c r="V542" s="14">
        <v>764</v>
      </c>
      <c r="W542" s="12">
        <v>0</v>
      </c>
      <c r="X542" s="12">
        <v>0</v>
      </c>
      <c r="Y542" s="12">
        <v>0</v>
      </c>
      <c r="Z542" s="12">
        <v>7.48</v>
      </c>
      <c r="AA542" s="12">
        <v>0</v>
      </c>
      <c r="AB542" s="13">
        <f t="shared" si="33"/>
        <v>0</v>
      </c>
      <c r="AE542" s="12">
        <v>0</v>
      </c>
      <c r="AF542" s="12">
        <v>0</v>
      </c>
      <c r="AG542" s="12">
        <v>0</v>
      </c>
      <c r="AH542" s="12">
        <v>7.48</v>
      </c>
      <c r="AI542" s="12">
        <v>0</v>
      </c>
      <c r="AJ542" s="13">
        <f t="shared" si="34"/>
        <v>0</v>
      </c>
      <c r="AN542" s="12">
        <f t="shared" si="35"/>
        <v>5715</v>
      </c>
      <c r="AQ542" s="8" t="s">
        <v>418</v>
      </c>
      <c r="AR542" t="str">
        <f t="shared" si="36"/>
        <v>Noroeste - A04</v>
      </c>
    </row>
    <row r="543" spans="1:44" x14ac:dyDescent="0.2">
      <c r="A543" s="107" t="s">
        <v>4676</v>
      </c>
      <c r="B543" s="106" t="s">
        <v>4675</v>
      </c>
      <c r="C543" s="106" t="s">
        <v>4538</v>
      </c>
      <c r="D543" s="106" t="s">
        <v>1032</v>
      </c>
      <c r="E543" s="106" t="s">
        <v>4658</v>
      </c>
      <c r="F543" s="106" t="s">
        <v>511</v>
      </c>
      <c r="G543" s="106" t="s">
        <v>4674</v>
      </c>
      <c r="H543" s="105" t="s">
        <v>4673</v>
      </c>
      <c r="I543" s="105" t="s">
        <v>4669</v>
      </c>
      <c r="J543" s="104">
        <v>2.99</v>
      </c>
      <c r="K543" s="103" t="s">
        <v>424</v>
      </c>
      <c r="L543" s="102" t="s">
        <v>801</v>
      </c>
      <c r="M543" s="95"/>
      <c r="N543" s="14"/>
      <c r="O543" s="94">
        <v>4</v>
      </c>
      <c r="P543" s="14" t="s">
        <v>506</v>
      </c>
      <c r="Q543" s="14" t="s">
        <v>497</v>
      </c>
      <c r="R543" s="14" t="s">
        <v>496</v>
      </c>
      <c r="S543" s="15">
        <v>6.6</v>
      </c>
      <c r="T543" s="15">
        <v>1.2</v>
      </c>
      <c r="U543" s="15">
        <v>0</v>
      </c>
      <c r="V543" s="14">
        <v>2091</v>
      </c>
      <c r="W543" s="12">
        <v>0</v>
      </c>
      <c r="X543" s="12">
        <v>0</v>
      </c>
      <c r="Y543" s="12">
        <v>1</v>
      </c>
      <c r="Z543" s="12">
        <v>1.9900000000000002</v>
      </c>
      <c r="AA543" s="12">
        <v>0</v>
      </c>
      <c r="AB543" s="13">
        <f t="shared" si="33"/>
        <v>0</v>
      </c>
      <c r="AE543" s="12">
        <v>0</v>
      </c>
      <c r="AF543" s="12">
        <v>0</v>
      </c>
      <c r="AG543" s="12">
        <v>1</v>
      </c>
      <c r="AH543" s="12">
        <v>1.9900000000000002</v>
      </c>
      <c r="AI543" s="12">
        <v>0</v>
      </c>
      <c r="AJ543" s="13">
        <f t="shared" si="34"/>
        <v>0</v>
      </c>
      <c r="AN543" s="12">
        <f t="shared" si="35"/>
        <v>6253</v>
      </c>
      <c r="AQ543" s="8" t="s">
        <v>416</v>
      </c>
      <c r="AR543" t="str">
        <f t="shared" si="36"/>
        <v>Leste - A04</v>
      </c>
    </row>
    <row r="544" spans="1:44" x14ac:dyDescent="0.2">
      <c r="A544" s="107" t="s">
        <v>4672</v>
      </c>
      <c r="B544" s="106" t="s">
        <v>4671</v>
      </c>
      <c r="C544" s="106" t="s">
        <v>4538</v>
      </c>
      <c r="D544" s="106" t="s">
        <v>513</v>
      </c>
      <c r="E544" s="106" t="s">
        <v>4658</v>
      </c>
      <c r="F544" s="106" t="s">
        <v>511</v>
      </c>
      <c r="G544" s="106" t="s">
        <v>4670</v>
      </c>
      <c r="H544" s="105" t="s">
        <v>4669</v>
      </c>
      <c r="I544" s="105" t="s">
        <v>4665</v>
      </c>
      <c r="J544" s="104">
        <v>16.260000000000002</v>
      </c>
      <c r="K544" s="103" t="s">
        <v>424</v>
      </c>
      <c r="L544" s="102" t="s">
        <v>801</v>
      </c>
      <c r="M544" s="95"/>
      <c r="N544" s="14"/>
      <c r="O544" s="94">
        <v>4</v>
      </c>
      <c r="P544" s="14" t="s">
        <v>506</v>
      </c>
      <c r="Q544" s="14" t="s">
        <v>497</v>
      </c>
      <c r="R544" s="14" t="s">
        <v>496</v>
      </c>
      <c r="S544" s="15">
        <v>7</v>
      </c>
      <c r="T544" s="15">
        <v>1.5</v>
      </c>
      <c r="U544" s="15">
        <v>0</v>
      </c>
      <c r="V544" s="14">
        <v>2091</v>
      </c>
      <c r="W544" s="12">
        <v>0</v>
      </c>
      <c r="X544" s="12">
        <v>0</v>
      </c>
      <c r="Y544" s="12">
        <v>0</v>
      </c>
      <c r="Z544" s="12">
        <v>16.260000000000002</v>
      </c>
      <c r="AA544" s="12">
        <v>0</v>
      </c>
      <c r="AB544" s="13">
        <f t="shared" si="33"/>
        <v>0</v>
      </c>
      <c r="AE544" s="12">
        <v>0</v>
      </c>
      <c r="AF544" s="12">
        <v>0</v>
      </c>
      <c r="AG544" s="12">
        <v>0</v>
      </c>
      <c r="AH544" s="12">
        <v>16.260000000000002</v>
      </c>
      <c r="AI544" s="12">
        <v>0</v>
      </c>
      <c r="AJ544" s="13">
        <f t="shared" si="34"/>
        <v>0</v>
      </c>
      <c r="AN544" s="12">
        <f t="shared" si="35"/>
        <v>34000</v>
      </c>
      <c r="AQ544" s="8" t="s">
        <v>416</v>
      </c>
      <c r="AR544" t="str">
        <f t="shared" si="36"/>
        <v>Leste - A04</v>
      </c>
    </row>
    <row r="545" spans="1:44" x14ac:dyDescent="0.2">
      <c r="A545" s="107" t="s">
        <v>4668</v>
      </c>
      <c r="B545" s="106" t="s">
        <v>4667</v>
      </c>
      <c r="C545" s="106" t="s">
        <v>4538</v>
      </c>
      <c r="D545" s="106" t="s">
        <v>989</v>
      </c>
      <c r="E545" s="106" t="s">
        <v>4537</v>
      </c>
      <c r="F545" s="106" t="s">
        <v>490</v>
      </c>
      <c r="G545" s="106" t="s">
        <v>4666</v>
      </c>
      <c r="H545" s="105" t="s">
        <v>4665</v>
      </c>
      <c r="I545" s="105" t="s">
        <v>4661</v>
      </c>
      <c r="J545" s="104">
        <v>11</v>
      </c>
      <c r="K545" s="103" t="s">
        <v>424</v>
      </c>
      <c r="L545" s="102" t="s">
        <v>577</v>
      </c>
      <c r="M545" s="95"/>
      <c r="N545" s="14"/>
      <c r="O545" s="94">
        <v>9</v>
      </c>
      <c r="P545" s="14" t="s">
        <v>485</v>
      </c>
      <c r="Q545" s="14" t="s">
        <v>497</v>
      </c>
      <c r="R545" s="14" t="s">
        <v>496</v>
      </c>
      <c r="S545" s="15">
        <v>7</v>
      </c>
      <c r="T545" s="15">
        <v>0</v>
      </c>
      <c r="U545" s="15">
        <v>0</v>
      </c>
      <c r="V545" s="14">
        <v>3668</v>
      </c>
      <c r="W545" s="12">
        <v>0</v>
      </c>
      <c r="X545" s="12">
        <v>0</v>
      </c>
      <c r="Y545" s="12">
        <v>0</v>
      </c>
      <c r="Z545" s="12">
        <v>11</v>
      </c>
      <c r="AA545" s="12">
        <v>0</v>
      </c>
      <c r="AB545" s="13">
        <f t="shared" si="33"/>
        <v>0</v>
      </c>
      <c r="AE545" s="12">
        <v>0</v>
      </c>
      <c r="AF545" s="12">
        <v>0</v>
      </c>
      <c r="AG545" s="12">
        <v>0</v>
      </c>
      <c r="AH545" s="12">
        <v>11</v>
      </c>
      <c r="AI545" s="12">
        <v>0</v>
      </c>
      <c r="AJ545" s="13">
        <f t="shared" si="34"/>
        <v>0</v>
      </c>
      <c r="AN545" s="12">
        <f t="shared" si="35"/>
        <v>40348</v>
      </c>
      <c r="AQ545" s="8" t="s">
        <v>420</v>
      </c>
      <c r="AR545" t="str">
        <f t="shared" si="36"/>
        <v>Campos Gerais - A04</v>
      </c>
    </row>
    <row r="546" spans="1:44" x14ac:dyDescent="0.2">
      <c r="A546" s="107" t="s">
        <v>4664</v>
      </c>
      <c r="B546" s="106" t="s">
        <v>4663</v>
      </c>
      <c r="C546" s="106" t="s">
        <v>4538</v>
      </c>
      <c r="D546" s="106" t="s">
        <v>981</v>
      </c>
      <c r="E546" s="106" t="s">
        <v>4537</v>
      </c>
      <c r="F546" s="106" t="s">
        <v>490</v>
      </c>
      <c r="G546" s="106" t="s">
        <v>4662</v>
      </c>
      <c r="H546" s="105" t="s">
        <v>4661</v>
      </c>
      <c r="I546" s="105" t="s">
        <v>4656</v>
      </c>
      <c r="J546" s="104">
        <v>18.45</v>
      </c>
      <c r="K546" s="103" t="s">
        <v>424</v>
      </c>
      <c r="L546" s="102" t="s">
        <v>577</v>
      </c>
      <c r="M546" s="95"/>
      <c r="N546" s="14"/>
      <c r="O546" s="94">
        <v>9</v>
      </c>
      <c r="P546" s="14" t="s">
        <v>485</v>
      </c>
      <c r="Q546" s="14" t="s">
        <v>497</v>
      </c>
      <c r="R546" s="14" t="s">
        <v>496</v>
      </c>
      <c r="S546" s="15">
        <v>7</v>
      </c>
      <c r="T546" s="15">
        <v>0</v>
      </c>
      <c r="U546" s="15">
        <v>0</v>
      </c>
      <c r="V546" s="14">
        <v>3668</v>
      </c>
      <c r="W546" s="12">
        <v>1.4499999999999993</v>
      </c>
      <c r="X546" s="12">
        <v>0</v>
      </c>
      <c r="Y546" s="12">
        <v>0</v>
      </c>
      <c r="Z546" s="12">
        <v>17</v>
      </c>
      <c r="AA546" s="12">
        <v>0</v>
      </c>
      <c r="AB546" s="13">
        <f t="shared" si="33"/>
        <v>0</v>
      </c>
      <c r="AE546" s="12">
        <v>1.4499999999999993</v>
      </c>
      <c r="AF546" s="12">
        <v>0</v>
      </c>
      <c r="AG546" s="12">
        <v>0</v>
      </c>
      <c r="AH546" s="12">
        <v>17</v>
      </c>
      <c r="AI546" s="12">
        <v>0</v>
      </c>
      <c r="AJ546" s="13">
        <f t="shared" si="34"/>
        <v>0</v>
      </c>
      <c r="AN546" s="12">
        <f t="shared" si="35"/>
        <v>67675</v>
      </c>
      <c r="AQ546" s="8" t="s">
        <v>420</v>
      </c>
      <c r="AR546" t="str">
        <f t="shared" si="36"/>
        <v>Campos Gerais - A04</v>
      </c>
    </row>
    <row r="547" spans="1:44" x14ac:dyDescent="0.2">
      <c r="A547" s="107" t="s">
        <v>4660</v>
      </c>
      <c r="B547" s="106" t="s">
        <v>4659</v>
      </c>
      <c r="C547" s="106" t="s">
        <v>4538</v>
      </c>
      <c r="D547" s="106" t="s">
        <v>1314</v>
      </c>
      <c r="E547" s="106" t="s">
        <v>4658</v>
      </c>
      <c r="F547" s="106" t="s">
        <v>511</v>
      </c>
      <c r="G547" s="106" t="s">
        <v>4657</v>
      </c>
      <c r="H547" s="105" t="s">
        <v>4656</v>
      </c>
      <c r="I547" s="105" t="s">
        <v>4112</v>
      </c>
      <c r="J547" s="104">
        <v>0.42</v>
      </c>
      <c r="K547" s="103" t="s">
        <v>424</v>
      </c>
      <c r="L547" s="102" t="s">
        <v>577</v>
      </c>
      <c r="M547" s="95"/>
      <c r="N547" s="14"/>
      <c r="O547" s="94">
        <v>9</v>
      </c>
      <c r="P547" s="14" t="s">
        <v>506</v>
      </c>
      <c r="Q547" s="14" t="s">
        <v>4655</v>
      </c>
      <c r="R547" s="14" t="s">
        <v>4655</v>
      </c>
      <c r="S547" s="15" t="s">
        <v>4655</v>
      </c>
      <c r="T547" s="15" t="s">
        <v>4655</v>
      </c>
      <c r="U547" s="15" t="s">
        <v>4655</v>
      </c>
      <c r="V547" s="14">
        <v>2091</v>
      </c>
      <c r="W547" s="12">
        <v>0</v>
      </c>
      <c r="X547" s="12">
        <v>0</v>
      </c>
      <c r="Y547" s="12">
        <v>0.42</v>
      </c>
      <c r="Z547" s="12">
        <v>0</v>
      </c>
      <c r="AA547" s="12">
        <v>0</v>
      </c>
      <c r="AB547" s="13">
        <f t="shared" si="33"/>
        <v>0</v>
      </c>
      <c r="AE547" s="12">
        <v>0</v>
      </c>
      <c r="AF547" s="12">
        <v>0</v>
      </c>
      <c r="AG547" s="12">
        <v>0.42</v>
      </c>
      <c r="AH547" s="12">
        <v>0</v>
      </c>
      <c r="AI547" s="12">
        <v>0</v>
      </c>
      <c r="AJ547" s="13">
        <f t="shared" si="34"/>
        <v>0</v>
      </c>
      <c r="AN547" s="12">
        <f t="shared" si="35"/>
        <v>879</v>
      </c>
      <c r="AQ547" s="8" t="s">
        <v>420</v>
      </c>
      <c r="AR547" t="str">
        <f t="shared" si="36"/>
        <v>Campos Gerais - A04</v>
      </c>
    </row>
    <row r="548" spans="1:44" x14ac:dyDescent="0.2">
      <c r="A548" s="107" t="s">
        <v>4654</v>
      </c>
      <c r="B548" s="106" t="s">
        <v>4653</v>
      </c>
      <c r="C548" s="106" t="s">
        <v>4538</v>
      </c>
      <c r="D548" s="106" t="s">
        <v>975</v>
      </c>
      <c r="E548" s="106" t="s">
        <v>4552</v>
      </c>
      <c r="F548" s="106" t="s">
        <v>590</v>
      </c>
      <c r="G548" s="106" t="s">
        <v>4652</v>
      </c>
      <c r="H548" s="105" t="s">
        <v>4651</v>
      </c>
      <c r="I548" s="105" t="s">
        <v>4647</v>
      </c>
      <c r="J548" s="104">
        <v>4.0999999999999996</v>
      </c>
      <c r="K548" s="103" t="s">
        <v>424</v>
      </c>
      <c r="L548" s="102" t="s">
        <v>577</v>
      </c>
      <c r="M548" s="95"/>
      <c r="N548" s="14"/>
      <c r="O548" s="94">
        <v>9</v>
      </c>
      <c r="P548" s="14" t="s">
        <v>586</v>
      </c>
      <c r="Q548" s="14" t="s">
        <v>497</v>
      </c>
      <c r="R548" s="14" t="s">
        <v>496</v>
      </c>
      <c r="S548" s="15">
        <v>10.6</v>
      </c>
      <c r="T548" s="15">
        <v>0</v>
      </c>
      <c r="U548" s="15">
        <v>0</v>
      </c>
      <c r="V548" s="14">
        <v>392</v>
      </c>
      <c r="W548" s="12">
        <v>0</v>
      </c>
      <c r="X548" s="12">
        <v>0</v>
      </c>
      <c r="Y548" s="12">
        <v>4.0999999999999996</v>
      </c>
      <c r="Z548" s="12">
        <v>0</v>
      </c>
      <c r="AA548" s="12">
        <v>0</v>
      </c>
      <c r="AB548" s="13">
        <f t="shared" si="33"/>
        <v>0</v>
      </c>
      <c r="AE548" s="12">
        <v>0</v>
      </c>
      <c r="AF548" s="12">
        <v>0</v>
      </c>
      <c r="AG548" s="12">
        <v>4.0999999999999996</v>
      </c>
      <c r="AH548" s="12">
        <v>0</v>
      </c>
      <c r="AI548" s="12">
        <v>0</v>
      </c>
      <c r="AJ548" s="13">
        <f t="shared" si="34"/>
        <v>0</v>
      </c>
      <c r="AN548" s="12">
        <f t="shared" si="35"/>
        <v>1608</v>
      </c>
      <c r="AQ548" s="8" t="s">
        <v>420</v>
      </c>
      <c r="AR548" t="str">
        <f t="shared" si="36"/>
        <v>Campos Gerais - A04</v>
      </c>
    </row>
    <row r="549" spans="1:44" x14ac:dyDescent="0.2">
      <c r="A549" s="107" t="s">
        <v>4650</v>
      </c>
      <c r="B549" s="106" t="s">
        <v>4649</v>
      </c>
      <c r="C549" s="106" t="s">
        <v>4538</v>
      </c>
      <c r="D549" s="106" t="s">
        <v>1269</v>
      </c>
      <c r="E549" s="106" t="s">
        <v>4537</v>
      </c>
      <c r="F549" s="106" t="s">
        <v>490</v>
      </c>
      <c r="G549" s="106" t="s">
        <v>4648</v>
      </c>
      <c r="H549" s="105" t="s">
        <v>4647</v>
      </c>
      <c r="I549" s="105" t="s">
        <v>4646</v>
      </c>
      <c r="J549" s="104">
        <v>21.54</v>
      </c>
      <c r="K549" s="103" t="s">
        <v>424</v>
      </c>
      <c r="L549" s="102" t="s">
        <v>577</v>
      </c>
      <c r="M549" s="95"/>
      <c r="N549" s="14"/>
      <c r="O549" s="94">
        <v>9</v>
      </c>
      <c r="P549" s="14" t="s">
        <v>485</v>
      </c>
      <c r="Q549" s="14" t="s">
        <v>497</v>
      </c>
      <c r="R549" s="14" t="s">
        <v>496</v>
      </c>
      <c r="S549" s="15">
        <v>7</v>
      </c>
      <c r="T549" s="15">
        <v>0</v>
      </c>
      <c r="U549" s="15">
        <v>0</v>
      </c>
      <c r="V549" s="14">
        <v>2190</v>
      </c>
      <c r="W549" s="12">
        <v>0</v>
      </c>
      <c r="X549" s="12">
        <v>0</v>
      </c>
      <c r="Y549" s="12">
        <v>4</v>
      </c>
      <c r="Z549" s="12">
        <v>17.54</v>
      </c>
      <c r="AA549" s="12">
        <v>0</v>
      </c>
      <c r="AB549" s="13">
        <f t="shared" si="33"/>
        <v>0</v>
      </c>
      <c r="AE549" s="12">
        <v>0</v>
      </c>
      <c r="AF549" s="12">
        <v>0</v>
      </c>
      <c r="AG549" s="12">
        <v>4</v>
      </c>
      <c r="AH549" s="12">
        <v>17.54</v>
      </c>
      <c r="AI549" s="12">
        <v>0</v>
      </c>
      <c r="AJ549" s="13">
        <f t="shared" si="34"/>
        <v>0</v>
      </c>
      <c r="AN549" s="12">
        <f t="shared" si="35"/>
        <v>47173</v>
      </c>
      <c r="AQ549" s="8" t="s">
        <v>420</v>
      </c>
      <c r="AR549" t="str">
        <f t="shared" si="36"/>
        <v>Campos Gerais - A04</v>
      </c>
    </row>
    <row r="550" spans="1:44" x14ac:dyDescent="0.2">
      <c r="A550" s="107" t="s">
        <v>4645</v>
      </c>
      <c r="B550" s="106" t="s">
        <v>4644</v>
      </c>
      <c r="C550" s="106" t="s">
        <v>4538</v>
      </c>
      <c r="D550" s="106" t="s">
        <v>965</v>
      </c>
      <c r="E550" s="106" t="s">
        <v>4575</v>
      </c>
      <c r="F550" s="106" t="s">
        <v>606</v>
      </c>
      <c r="G550" s="106" t="s">
        <v>4643</v>
      </c>
      <c r="H550" s="105" t="s">
        <v>4639</v>
      </c>
      <c r="I550" s="105" t="s">
        <v>4634</v>
      </c>
      <c r="J550" s="104">
        <v>1.18</v>
      </c>
      <c r="K550" s="103" t="s">
        <v>424</v>
      </c>
      <c r="L550" s="102" t="s">
        <v>577</v>
      </c>
      <c r="M550" s="95"/>
      <c r="N550" s="14"/>
      <c r="O550" s="94">
        <v>9</v>
      </c>
      <c r="P550" s="14" t="s">
        <v>596</v>
      </c>
      <c r="Q550" s="14" t="s">
        <v>497</v>
      </c>
      <c r="R550" s="14" t="s">
        <v>576</v>
      </c>
      <c r="S550" s="15">
        <v>7</v>
      </c>
      <c r="T550" s="15">
        <v>0</v>
      </c>
      <c r="U550" s="15">
        <v>0</v>
      </c>
      <c r="V550" s="14">
        <v>670</v>
      </c>
      <c r="W550" s="12">
        <v>0</v>
      </c>
      <c r="X550" s="12">
        <v>0</v>
      </c>
      <c r="Y550" s="12">
        <v>0</v>
      </c>
      <c r="Z550" s="12">
        <v>1.18</v>
      </c>
      <c r="AA550" s="12">
        <v>0</v>
      </c>
      <c r="AB550" s="13">
        <f t="shared" si="33"/>
        <v>0</v>
      </c>
      <c r="AE550" s="12">
        <v>0</v>
      </c>
      <c r="AF550" s="12">
        <v>0</v>
      </c>
      <c r="AG550" s="12">
        <v>0</v>
      </c>
      <c r="AH550" s="12">
        <v>1.18</v>
      </c>
      <c r="AI550" s="12">
        <v>0</v>
      </c>
      <c r="AJ550" s="13">
        <f t="shared" si="34"/>
        <v>0</v>
      </c>
      <c r="AN550" s="12">
        <f t="shared" si="35"/>
        <v>791</v>
      </c>
      <c r="AQ550" s="8" t="s">
        <v>420</v>
      </c>
      <c r="AR550" t="str">
        <f t="shared" si="36"/>
        <v>Campos Gerais - A04</v>
      </c>
    </row>
    <row r="551" spans="1:44" x14ac:dyDescent="0.2">
      <c r="A551" s="107" t="s">
        <v>4642</v>
      </c>
      <c r="B551" s="106" t="s">
        <v>4641</v>
      </c>
      <c r="C551" s="106" t="s">
        <v>4538</v>
      </c>
      <c r="D551" s="106" t="s">
        <v>965</v>
      </c>
      <c r="E551" s="106" t="s">
        <v>4571</v>
      </c>
      <c r="F551" s="106" t="s">
        <v>600</v>
      </c>
      <c r="G551" s="106" t="s">
        <v>4640</v>
      </c>
      <c r="H551" s="105" t="s">
        <v>4639</v>
      </c>
      <c r="I551" s="105" t="s">
        <v>4634</v>
      </c>
      <c r="J551" s="104">
        <v>1.18</v>
      </c>
      <c r="K551" s="103" t="s">
        <v>424</v>
      </c>
      <c r="L551" s="102" t="s">
        <v>577</v>
      </c>
      <c r="M551" s="95"/>
      <c r="N551" s="14"/>
      <c r="O551" s="94">
        <v>9</v>
      </c>
      <c r="P551" s="14" t="s">
        <v>596</v>
      </c>
      <c r="Q551" s="14" t="s">
        <v>497</v>
      </c>
      <c r="R551" s="14" t="s">
        <v>576</v>
      </c>
      <c r="S551" s="15">
        <v>7</v>
      </c>
      <c r="T551" s="15">
        <v>0</v>
      </c>
      <c r="U551" s="15">
        <v>0</v>
      </c>
      <c r="V551" s="14">
        <v>670</v>
      </c>
      <c r="W551" s="12">
        <v>0</v>
      </c>
      <c r="X551" s="12">
        <v>0</v>
      </c>
      <c r="Y551" s="12">
        <v>0.17999999999999994</v>
      </c>
      <c r="Z551" s="12">
        <v>1</v>
      </c>
      <c r="AA551" s="12">
        <v>0</v>
      </c>
      <c r="AB551" s="13">
        <f t="shared" si="33"/>
        <v>0</v>
      </c>
      <c r="AE551" s="12">
        <v>0</v>
      </c>
      <c r="AF551" s="12">
        <v>0</v>
      </c>
      <c r="AG551" s="12">
        <v>0.17999999999999994</v>
      </c>
      <c r="AH551" s="12">
        <v>1</v>
      </c>
      <c r="AI551" s="12">
        <v>0</v>
      </c>
      <c r="AJ551" s="13">
        <f t="shared" si="34"/>
        <v>0</v>
      </c>
      <c r="AN551" s="12">
        <f t="shared" si="35"/>
        <v>791</v>
      </c>
      <c r="AQ551" s="8" t="s">
        <v>420</v>
      </c>
      <c r="AR551" t="str">
        <f t="shared" si="36"/>
        <v>Campos Gerais - A04</v>
      </c>
    </row>
    <row r="552" spans="1:44" x14ac:dyDescent="0.2">
      <c r="A552" s="107" t="s">
        <v>4638</v>
      </c>
      <c r="B552" s="106" t="s">
        <v>4637</v>
      </c>
      <c r="C552" s="106" t="s">
        <v>4538</v>
      </c>
      <c r="D552" s="106" t="s">
        <v>4636</v>
      </c>
      <c r="E552" s="106" t="s">
        <v>4537</v>
      </c>
      <c r="F552" s="106" t="s">
        <v>490</v>
      </c>
      <c r="G552" s="106" t="s">
        <v>4635</v>
      </c>
      <c r="H552" s="105" t="s">
        <v>4634</v>
      </c>
      <c r="I552" s="105" t="s">
        <v>4630</v>
      </c>
      <c r="J552" s="104">
        <v>25.26</v>
      </c>
      <c r="K552" s="103" t="s">
        <v>424</v>
      </c>
      <c r="L552" s="102" t="s">
        <v>577</v>
      </c>
      <c r="M552" s="95"/>
      <c r="N552" s="14"/>
      <c r="O552" s="94">
        <v>9</v>
      </c>
      <c r="P552" s="14" t="s">
        <v>485</v>
      </c>
      <c r="Q552" s="14" t="s">
        <v>497</v>
      </c>
      <c r="R552" s="14" t="s">
        <v>496</v>
      </c>
      <c r="S552" s="15">
        <v>7</v>
      </c>
      <c r="T552" s="15">
        <v>0</v>
      </c>
      <c r="U552" s="15">
        <v>0</v>
      </c>
      <c r="V552" s="14">
        <v>832</v>
      </c>
      <c r="W552" s="12">
        <v>0</v>
      </c>
      <c r="X552" s="12">
        <v>0</v>
      </c>
      <c r="Y552" s="12">
        <v>5</v>
      </c>
      <c r="Z552" s="12">
        <v>20.260000000000002</v>
      </c>
      <c r="AA552" s="12">
        <v>0</v>
      </c>
      <c r="AB552" s="13">
        <f t="shared" si="33"/>
        <v>0</v>
      </c>
      <c r="AE552" s="12">
        <v>0</v>
      </c>
      <c r="AF552" s="12">
        <v>0</v>
      </c>
      <c r="AG552" s="12">
        <v>5</v>
      </c>
      <c r="AH552" s="12">
        <v>20.260000000000002</v>
      </c>
      <c r="AI552" s="12">
        <v>0</v>
      </c>
      <c r="AJ552" s="13">
        <f t="shared" si="34"/>
        <v>0</v>
      </c>
      <c r="AN552" s="12">
        <f t="shared" si="35"/>
        <v>21017</v>
      </c>
      <c r="AQ552" s="8" t="s">
        <v>420</v>
      </c>
      <c r="AR552" t="str">
        <f t="shared" si="36"/>
        <v>Campos Gerais - A04</v>
      </c>
    </row>
    <row r="553" spans="1:44" x14ac:dyDescent="0.2">
      <c r="A553" s="107" t="s">
        <v>4633</v>
      </c>
      <c r="B553" s="106" t="s">
        <v>4632</v>
      </c>
      <c r="C553" s="106" t="s">
        <v>4538</v>
      </c>
      <c r="D553" s="106" t="s">
        <v>2152</v>
      </c>
      <c r="E553" s="106" t="s">
        <v>4552</v>
      </c>
      <c r="F553" s="106" t="s">
        <v>590</v>
      </c>
      <c r="G553" s="106" t="s">
        <v>4631</v>
      </c>
      <c r="H553" s="105" t="s">
        <v>4630</v>
      </c>
      <c r="I553" s="105" t="s">
        <v>4629</v>
      </c>
      <c r="J553" s="104">
        <v>1.18</v>
      </c>
      <c r="K553" s="103" t="s">
        <v>424</v>
      </c>
      <c r="L553" s="102" t="s">
        <v>577</v>
      </c>
      <c r="M553" s="95"/>
      <c r="N553" s="14"/>
      <c r="O553" s="94">
        <v>9</v>
      </c>
      <c r="P553" s="14" t="s">
        <v>586</v>
      </c>
      <c r="Q553" s="14" t="s">
        <v>497</v>
      </c>
      <c r="R553" s="14" t="s">
        <v>496</v>
      </c>
      <c r="S553" s="15">
        <v>9.4</v>
      </c>
      <c r="T553" s="15">
        <v>0</v>
      </c>
      <c r="U553" s="15">
        <v>0</v>
      </c>
      <c r="V553" s="14">
        <v>681</v>
      </c>
      <c r="W553" s="12">
        <v>0</v>
      </c>
      <c r="X553" s="12">
        <v>0</v>
      </c>
      <c r="Y553" s="12">
        <v>0.17999999999999994</v>
      </c>
      <c r="Z553" s="12">
        <v>1</v>
      </c>
      <c r="AA553" s="12">
        <v>0</v>
      </c>
      <c r="AB553" s="13">
        <f t="shared" si="33"/>
        <v>0</v>
      </c>
      <c r="AE553" s="12">
        <v>0</v>
      </c>
      <c r="AF553" s="12">
        <v>0</v>
      </c>
      <c r="AG553" s="12">
        <v>0.17999999999999994</v>
      </c>
      <c r="AH553" s="12">
        <v>1</v>
      </c>
      <c r="AI553" s="12">
        <v>0</v>
      </c>
      <c r="AJ553" s="13">
        <f t="shared" si="34"/>
        <v>0</v>
      </c>
      <c r="AN553" s="12">
        <f t="shared" si="35"/>
        <v>804</v>
      </c>
      <c r="AQ553" s="8" t="s">
        <v>420</v>
      </c>
      <c r="AR553" t="str">
        <f t="shared" si="36"/>
        <v>Campos Gerais - A04</v>
      </c>
    </row>
    <row r="554" spans="1:44" x14ac:dyDescent="0.2">
      <c r="A554" s="107" t="s">
        <v>4628</v>
      </c>
      <c r="B554" s="106" t="s">
        <v>4627</v>
      </c>
      <c r="C554" s="106" t="s">
        <v>4538</v>
      </c>
      <c r="D554" s="106" t="s">
        <v>4626</v>
      </c>
      <c r="E554" s="106" t="s">
        <v>4537</v>
      </c>
      <c r="F554" s="106" t="s">
        <v>490</v>
      </c>
      <c r="G554" s="106" t="s">
        <v>4625</v>
      </c>
      <c r="H554" s="105" t="s">
        <v>4621</v>
      </c>
      <c r="I554" s="105" t="s">
        <v>4621</v>
      </c>
      <c r="J554" s="104">
        <v>23.9</v>
      </c>
      <c r="K554" s="103" t="s">
        <v>424</v>
      </c>
      <c r="L554" s="102" t="s">
        <v>577</v>
      </c>
      <c r="M554" s="95"/>
      <c r="N554" s="14"/>
      <c r="O554" s="94">
        <v>9</v>
      </c>
      <c r="P554" s="14" t="s">
        <v>485</v>
      </c>
      <c r="Q554" s="14" t="s">
        <v>497</v>
      </c>
      <c r="R554" s="14" t="s">
        <v>496</v>
      </c>
      <c r="S554" s="15">
        <v>6.6</v>
      </c>
      <c r="T554" s="15">
        <v>0</v>
      </c>
      <c r="U554" s="15">
        <v>0</v>
      </c>
      <c r="V554" s="14">
        <v>463</v>
      </c>
      <c r="W554" s="12">
        <v>0</v>
      </c>
      <c r="X554" s="12">
        <v>0</v>
      </c>
      <c r="Y554" s="12">
        <v>4</v>
      </c>
      <c r="Z554" s="12">
        <v>19.899999999999999</v>
      </c>
      <c r="AA554" s="12">
        <v>0</v>
      </c>
      <c r="AB554" s="13">
        <f t="shared" si="33"/>
        <v>0</v>
      </c>
      <c r="AE554" s="12">
        <v>0</v>
      </c>
      <c r="AF554" s="12">
        <v>0</v>
      </c>
      <c r="AG554" s="12">
        <v>4</v>
      </c>
      <c r="AH554" s="12">
        <v>19.899999999999999</v>
      </c>
      <c r="AI554" s="12">
        <v>0</v>
      </c>
      <c r="AJ554" s="13">
        <f t="shared" si="34"/>
        <v>0</v>
      </c>
      <c r="AN554" s="12">
        <f t="shared" si="35"/>
        <v>11066</v>
      </c>
      <c r="AQ554" s="8" t="s">
        <v>420</v>
      </c>
      <c r="AR554" t="str">
        <f t="shared" si="36"/>
        <v>Campos Gerais - A04</v>
      </c>
    </row>
    <row r="555" spans="1:44" x14ac:dyDescent="0.2">
      <c r="A555" s="107" t="s">
        <v>4624</v>
      </c>
      <c r="B555" s="106" t="s">
        <v>4623</v>
      </c>
      <c r="C555" s="106" t="s">
        <v>4538</v>
      </c>
      <c r="D555" s="106" t="s">
        <v>633</v>
      </c>
      <c r="E555" s="106" t="s">
        <v>4537</v>
      </c>
      <c r="F555" s="106" t="s">
        <v>490</v>
      </c>
      <c r="G555" s="106" t="s">
        <v>4622</v>
      </c>
      <c r="H555" s="105" t="s">
        <v>4621</v>
      </c>
      <c r="I555" s="105" t="s">
        <v>4620</v>
      </c>
      <c r="J555" s="104">
        <v>13.85</v>
      </c>
      <c r="K555" s="103" t="s">
        <v>424</v>
      </c>
      <c r="L555" s="102" t="s">
        <v>577</v>
      </c>
      <c r="M555" s="95"/>
      <c r="N555" s="14"/>
      <c r="O555" s="94">
        <v>9</v>
      </c>
      <c r="P555" s="14" t="s">
        <v>485</v>
      </c>
      <c r="Q555" s="14" t="s">
        <v>497</v>
      </c>
      <c r="R555" s="14" t="s">
        <v>496</v>
      </c>
      <c r="S555" s="15">
        <v>6</v>
      </c>
      <c r="T555" s="15">
        <v>0</v>
      </c>
      <c r="U555" s="15">
        <v>0</v>
      </c>
      <c r="V555" s="14">
        <v>463</v>
      </c>
      <c r="W555" s="12">
        <v>0</v>
      </c>
      <c r="X555" s="12">
        <v>0</v>
      </c>
      <c r="Y555" s="12">
        <v>0</v>
      </c>
      <c r="Z555" s="12">
        <v>13.85</v>
      </c>
      <c r="AA555" s="12">
        <v>0</v>
      </c>
      <c r="AB555" s="13">
        <f t="shared" si="33"/>
        <v>0</v>
      </c>
      <c r="AE555" s="12">
        <v>0</v>
      </c>
      <c r="AF555" s="12">
        <v>0</v>
      </c>
      <c r="AG555" s="12">
        <v>0</v>
      </c>
      <c r="AH555" s="12">
        <v>13.85</v>
      </c>
      <c r="AI555" s="12">
        <v>0</v>
      </c>
      <c r="AJ555" s="13">
        <f t="shared" si="34"/>
        <v>0</v>
      </c>
      <c r="AN555" s="12">
        <f t="shared" si="35"/>
        <v>6413</v>
      </c>
      <c r="AQ555" s="8" t="s">
        <v>420</v>
      </c>
      <c r="AR555" t="str">
        <f t="shared" si="36"/>
        <v>Campos Gerais - A04</v>
      </c>
    </row>
    <row r="556" spans="1:44" x14ac:dyDescent="0.2">
      <c r="A556" s="107" t="s">
        <v>4619</v>
      </c>
      <c r="B556" s="106" t="s">
        <v>4618</v>
      </c>
      <c r="C556" s="106" t="s">
        <v>4538</v>
      </c>
      <c r="D556" s="106" t="s">
        <v>4617</v>
      </c>
      <c r="E556" s="106" t="s">
        <v>4537</v>
      </c>
      <c r="F556" s="106" t="s">
        <v>490</v>
      </c>
      <c r="G556" s="106" t="s">
        <v>4616</v>
      </c>
      <c r="H556" s="105" t="s">
        <v>4615</v>
      </c>
      <c r="I556" s="105" t="s">
        <v>4611</v>
      </c>
      <c r="J556" s="104">
        <v>15.42</v>
      </c>
      <c r="K556" s="103" t="s">
        <v>425</v>
      </c>
      <c r="L556" s="102" t="s">
        <v>577</v>
      </c>
      <c r="M556" s="95"/>
      <c r="N556" s="14"/>
      <c r="O556" s="94">
        <v>10</v>
      </c>
      <c r="P556" s="14" t="s">
        <v>485</v>
      </c>
      <c r="Q556" s="14" t="s">
        <v>497</v>
      </c>
      <c r="R556" s="14" t="s">
        <v>496</v>
      </c>
      <c r="S556" s="15">
        <v>6</v>
      </c>
      <c r="T556" s="15">
        <v>0</v>
      </c>
      <c r="U556" s="15">
        <v>0</v>
      </c>
      <c r="V556" s="14">
        <v>1288</v>
      </c>
      <c r="W556" s="12">
        <v>0</v>
      </c>
      <c r="X556" s="12">
        <v>0</v>
      </c>
      <c r="Y556" s="12">
        <v>1</v>
      </c>
      <c r="Z556" s="12">
        <v>14.42</v>
      </c>
      <c r="AA556" s="12">
        <v>0</v>
      </c>
      <c r="AB556" s="13">
        <f t="shared" si="33"/>
        <v>0</v>
      </c>
      <c r="AE556" s="12">
        <v>0</v>
      </c>
      <c r="AF556" s="12">
        <v>0</v>
      </c>
      <c r="AG556" s="12">
        <v>1</v>
      </c>
      <c r="AH556" s="12">
        <v>14.42</v>
      </c>
      <c r="AI556" s="12">
        <v>0</v>
      </c>
      <c r="AJ556" s="13">
        <f t="shared" si="34"/>
        <v>0</v>
      </c>
      <c r="AN556" s="12">
        <f t="shared" si="35"/>
        <v>19861</v>
      </c>
      <c r="AQ556" s="8" t="s">
        <v>420</v>
      </c>
      <c r="AR556" t="str">
        <f t="shared" si="36"/>
        <v>Campos Gerais - A05</v>
      </c>
    </row>
    <row r="557" spans="1:44" x14ac:dyDescent="0.2">
      <c r="A557" s="107" t="s">
        <v>4614</v>
      </c>
      <c r="B557" s="106" t="s">
        <v>4613</v>
      </c>
      <c r="C557" s="106" t="s">
        <v>4538</v>
      </c>
      <c r="D557" s="106" t="s">
        <v>4036</v>
      </c>
      <c r="E557" s="106" t="s">
        <v>4537</v>
      </c>
      <c r="F557" s="106" t="s">
        <v>490</v>
      </c>
      <c r="G557" s="106" t="s">
        <v>4612</v>
      </c>
      <c r="H557" s="105" t="s">
        <v>4611</v>
      </c>
      <c r="I557" s="105" t="s">
        <v>4607</v>
      </c>
      <c r="J557" s="104">
        <v>33.65</v>
      </c>
      <c r="K557" s="103" t="s">
        <v>425</v>
      </c>
      <c r="L557" s="102" t="s">
        <v>577</v>
      </c>
      <c r="M557" s="95"/>
      <c r="N557" s="14"/>
      <c r="O557" s="94">
        <v>10</v>
      </c>
      <c r="P557" s="14" t="s">
        <v>485</v>
      </c>
      <c r="Q557" s="14" t="s">
        <v>497</v>
      </c>
      <c r="R557" s="14" t="s">
        <v>496</v>
      </c>
      <c r="S557" s="15">
        <v>6</v>
      </c>
      <c r="T557" s="15">
        <v>0</v>
      </c>
      <c r="U557" s="15">
        <v>0</v>
      </c>
      <c r="V557" s="14">
        <v>1170</v>
      </c>
      <c r="W557" s="12">
        <v>0</v>
      </c>
      <c r="X557" s="12">
        <v>0</v>
      </c>
      <c r="Y557" s="12">
        <v>0</v>
      </c>
      <c r="Z557" s="12">
        <v>33.65</v>
      </c>
      <c r="AA557" s="12">
        <v>0</v>
      </c>
      <c r="AB557" s="13">
        <f t="shared" si="33"/>
        <v>0</v>
      </c>
      <c r="AE557" s="12">
        <v>0</v>
      </c>
      <c r="AF557" s="12">
        <v>0</v>
      </c>
      <c r="AG557" s="12">
        <v>0</v>
      </c>
      <c r="AH557" s="12">
        <v>33.65</v>
      </c>
      <c r="AI557" s="12">
        <v>0</v>
      </c>
      <c r="AJ557" s="13">
        <f t="shared" si="34"/>
        <v>0</v>
      </c>
      <c r="AN557" s="12">
        <f t="shared" si="35"/>
        <v>39371</v>
      </c>
      <c r="AQ557" s="8" t="s">
        <v>420</v>
      </c>
      <c r="AR557" t="str">
        <f t="shared" si="36"/>
        <v>Campos Gerais - A05</v>
      </c>
    </row>
    <row r="558" spans="1:44" x14ac:dyDescent="0.2">
      <c r="A558" s="107" t="s">
        <v>4610</v>
      </c>
      <c r="B558" s="106" t="s">
        <v>4609</v>
      </c>
      <c r="C558" s="106" t="s">
        <v>4538</v>
      </c>
      <c r="D558" s="106" t="s">
        <v>3025</v>
      </c>
      <c r="E558" s="106" t="s">
        <v>4537</v>
      </c>
      <c r="F558" s="106" t="s">
        <v>490</v>
      </c>
      <c r="G558" s="106" t="s">
        <v>4608</v>
      </c>
      <c r="H558" s="105" t="s">
        <v>4607</v>
      </c>
      <c r="I558" s="105" t="s">
        <v>4606</v>
      </c>
      <c r="J558" s="104">
        <v>1.39</v>
      </c>
      <c r="K558" s="103" t="s">
        <v>425</v>
      </c>
      <c r="L558" s="102" t="s">
        <v>577</v>
      </c>
      <c r="M558" s="95"/>
      <c r="N558" s="14"/>
      <c r="O558" s="94">
        <v>10</v>
      </c>
      <c r="P558" s="14" t="s">
        <v>485</v>
      </c>
      <c r="Q558" s="14" t="s">
        <v>497</v>
      </c>
      <c r="R558" s="14" t="s">
        <v>496</v>
      </c>
      <c r="S558" s="15">
        <v>6</v>
      </c>
      <c r="T558" s="15">
        <v>0</v>
      </c>
      <c r="U558" s="15">
        <v>0</v>
      </c>
      <c r="V558" s="14">
        <v>384</v>
      </c>
      <c r="W558" s="12">
        <v>0</v>
      </c>
      <c r="X558" s="12">
        <v>0</v>
      </c>
      <c r="Y558" s="12">
        <v>0</v>
      </c>
      <c r="Z558" s="12">
        <v>1.39</v>
      </c>
      <c r="AA558" s="12">
        <v>0</v>
      </c>
      <c r="AB558" s="13">
        <f t="shared" si="33"/>
        <v>0</v>
      </c>
      <c r="AE558" s="12">
        <v>0</v>
      </c>
      <c r="AF558" s="12">
        <v>0</v>
      </c>
      <c r="AG558" s="12">
        <v>0</v>
      </c>
      <c r="AH558" s="12">
        <v>1.39</v>
      </c>
      <c r="AI558" s="12">
        <v>0</v>
      </c>
      <c r="AJ558" s="13">
        <f t="shared" si="34"/>
        <v>0</v>
      </c>
      <c r="AN558" s="12">
        <f t="shared" si="35"/>
        <v>534</v>
      </c>
      <c r="AQ558" s="8" t="s">
        <v>420</v>
      </c>
      <c r="AR558" t="str">
        <f t="shared" si="36"/>
        <v>Campos Gerais - A05</v>
      </c>
    </row>
    <row r="559" spans="1:44" x14ac:dyDescent="0.2">
      <c r="A559" s="107" t="s">
        <v>4605</v>
      </c>
      <c r="B559" s="106" t="s">
        <v>4604</v>
      </c>
      <c r="C559" s="106" t="s">
        <v>4538</v>
      </c>
      <c r="D559" s="106" t="s">
        <v>4603</v>
      </c>
      <c r="E559" s="106" t="s">
        <v>4537</v>
      </c>
      <c r="F559" s="106" t="s">
        <v>490</v>
      </c>
      <c r="G559" s="106" t="s">
        <v>4602</v>
      </c>
      <c r="H559" s="105" t="s">
        <v>4601</v>
      </c>
      <c r="I559" s="105" t="s">
        <v>4593</v>
      </c>
      <c r="J559" s="104">
        <v>25.91</v>
      </c>
      <c r="K559" s="103" t="s">
        <v>426</v>
      </c>
      <c r="L559" s="102" t="s">
        <v>577</v>
      </c>
      <c r="M559" s="95"/>
      <c r="N559" s="14"/>
      <c r="O559" s="94">
        <v>11</v>
      </c>
      <c r="P559" s="14" t="s">
        <v>485</v>
      </c>
      <c r="Q559" s="14" t="s">
        <v>497</v>
      </c>
      <c r="R559" s="14" t="s">
        <v>496</v>
      </c>
      <c r="S559" s="15">
        <v>6</v>
      </c>
      <c r="T559" s="15">
        <v>0</v>
      </c>
      <c r="U559" s="15">
        <v>0</v>
      </c>
      <c r="V559" s="14">
        <v>1233</v>
      </c>
      <c r="W559" s="12">
        <v>0</v>
      </c>
      <c r="X559" s="12">
        <v>2</v>
      </c>
      <c r="Y559" s="12">
        <v>2</v>
      </c>
      <c r="Z559" s="12">
        <v>21.91</v>
      </c>
      <c r="AA559" s="12">
        <v>0</v>
      </c>
      <c r="AB559" s="13">
        <f t="shared" si="33"/>
        <v>0</v>
      </c>
      <c r="AE559" s="12">
        <v>0</v>
      </c>
      <c r="AF559" s="12">
        <v>2</v>
      </c>
      <c r="AG559" s="12">
        <v>2</v>
      </c>
      <c r="AH559" s="12">
        <v>21.91</v>
      </c>
      <c r="AI559" s="12">
        <v>0</v>
      </c>
      <c r="AJ559" s="13">
        <f t="shared" si="34"/>
        <v>0</v>
      </c>
      <c r="AN559" s="12">
        <f t="shared" si="35"/>
        <v>31948</v>
      </c>
      <c r="AQ559" s="8" t="s">
        <v>420</v>
      </c>
      <c r="AR559" t="str">
        <f t="shared" si="36"/>
        <v>Campos Gerais - A06</v>
      </c>
    </row>
    <row r="560" spans="1:44" x14ac:dyDescent="0.2">
      <c r="A560" s="107" t="s">
        <v>4600</v>
      </c>
      <c r="B560" s="106" t="s">
        <v>4599</v>
      </c>
      <c r="C560" s="106" t="s">
        <v>4538</v>
      </c>
      <c r="D560" s="106" t="s">
        <v>4595</v>
      </c>
      <c r="E560" s="106" t="s">
        <v>4575</v>
      </c>
      <c r="F560" s="106" t="s">
        <v>606</v>
      </c>
      <c r="G560" s="106" t="s">
        <v>4598</v>
      </c>
      <c r="H560" s="105" t="s">
        <v>4593</v>
      </c>
      <c r="I560" s="105" t="s">
        <v>4592</v>
      </c>
      <c r="J560" s="104">
        <v>0.91</v>
      </c>
      <c r="K560" s="103" t="s">
        <v>426</v>
      </c>
      <c r="L560" s="102" t="s">
        <v>577</v>
      </c>
      <c r="M560" s="95"/>
      <c r="N560" s="14"/>
      <c r="O560" s="94">
        <v>11</v>
      </c>
      <c r="P560" s="14" t="s">
        <v>596</v>
      </c>
      <c r="Q560" s="14" t="s">
        <v>497</v>
      </c>
      <c r="R560" s="14" t="s">
        <v>496</v>
      </c>
      <c r="S560" s="15">
        <v>6</v>
      </c>
      <c r="T560" s="15">
        <v>0</v>
      </c>
      <c r="U560" s="15">
        <v>0</v>
      </c>
      <c r="V560" s="14">
        <v>300</v>
      </c>
      <c r="W560" s="12">
        <v>0</v>
      </c>
      <c r="X560" s="12">
        <v>0</v>
      </c>
      <c r="Y560" s="12">
        <v>0</v>
      </c>
      <c r="Z560" s="12">
        <v>0.91</v>
      </c>
      <c r="AA560" s="12">
        <v>0</v>
      </c>
      <c r="AB560" s="13">
        <f t="shared" si="33"/>
        <v>0</v>
      </c>
      <c r="AE560" s="12">
        <v>0</v>
      </c>
      <c r="AF560" s="12">
        <v>0</v>
      </c>
      <c r="AG560" s="12">
        <v>0</v>
      </c>
      <c r="AH560" s="12">
        <v>0.91</v>
      </c>
      <c r="AI560" s="12">
        <v>0</v>
      </c>
      <c r="AJ560" s="13">
        <f t="shared" si="34"/>
        <v>0</v>
      </c>
      <c r="AN560" s="12">
        <f t="shared" si="35"/>
        <v>273</v>
      </c>
      <c r="AQ560" s="8" t="s">
        <v>420</v>
      </c>
      <c r="AR560" t="str">
        <f t="shared" si="36"/>
        <v>Campos Gerais - A06</v>
      </c>
    </row>
    <row r="561" spans="1:44" x14ac:dyDescent="0.2">
      <c r="A561" s="107" t="s">
        <v>4597</v>
      </c>
      <c r="B561" s="106" t="s">
        <v>4596</v>
      </c>
      <c r="C561" s="106" t="s">
        <v>4538</v>
      </c>
      <c r="D561" s="106" t="s">
        <v>4595</v>
      </c>
      <c r="E561" s="106" t="s">
        <v>4571</v>
      </c>
      <c r="F561" s="106" t="s">
        <v>600</v>
      </c>
      <c r="G561" s="106" t="s">
        <v>4594</v>
      </c>
      <c r="H561" s="105" t="s">
        <v>4593</v>
      </c>
      <c r="I561" s="105" t="s">
        <v>4592</v>
      </c>
      <c r="J561" s="104">
        <v>0.91</v>
      </c>
      <c r="K561" s="103" t="s">
        <v>426</v>
      </c>
      <c r="L561" s="102" t="s">
        <v>577</v>
      </c>
      <c r="M561" s="95"/>
      <c r="N561" s="14"/>
      <c r="O561" s="94">
        <v>11</v>
      </c>
      <c r="P561" s="14" t="s">
        <v>596</v>
      </c>
      <c r="Q561" s="14" t="s">
        <v>497</v>
      </c>
      <c r="R561" s="14" t="s">
        <v>496</v>
      </c>
      <c r="S561" s="15">
        <v>6</v>
      </c>
      <c r="T561" s="15">
        <v>0</v>
      </c>
      <c r="U561" s="15">
        <v>0</v>
      </c>
      <c r="V561" s="14">
        <v>300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3">
        <f t="shared" si="33"/>
        <v>-0.91</v>
      </c>
      <c r="AE561" s="12">
        <f>IF(W561=0,0,W561-$AB561)</f>
        <v>0</v>
      </c>
      <c r="AF561" s="12">
        <f>IF(X561=0,0,X561-$AB561)</f>
        <v>0</v>
      </c>
      <c r="AG561" s="12">
        <f>IF(Y561=0,0,Y561-$AB561)</f>
        <v>0</v>
      </c>
      <c r="AH561" s="12">
        <f>IF(Z561=0,0,Z561-$AB561)</f>
        <v>0</v>
      </c>
      <c r="AI561" s="12">
        <f>IF(AA561=0,0,AA561-$AB561)</f>
        <v>0</v>
      </c>
      <c r="AJ561" s="13">
        <f t="shared" si="34"/>
        <v>-0.91</v>
      </c>
      <c r="AN561" s="12">
        <f t="shared" si="35"/>
        <v>273</v>
      </c>
      <c r="AQ561" s="8" t="s">
        <v>420</v>
      </c>
      <c r="AR561" t="str">
        <f t="shared" si="36"/>
        <v>Campos Gerais - A06</v>
      </c>
    </row>
    <row r="562" spans="1:44" x14ac:dyDescent="0.2">
      <c r="A562" s="107" t="s">
        <v>4591</v>
      </c>
      <c r="B562" s="106" t="s">
        <v>4590</v>
      </c>
      <c r="C562" s="106" t="s">
        <v>4538</v>
      </c>
      <c r="D562" s="106" t="s">
        <v>2682</v>
      </c>
      <c r="E562" s="106" t="s">
        <v>4537</v>
      </c>
      <c r="F562" s="106" t="s">
        <v>490</v>
      </c>
      <c r="G562" s="106" t="s">
        <v>4589</v>
      </c>
      <c r="H562" s="105" t="s">
        <v>4588</v>
      </c>
      <c r="I562" s="105" t="s">
        <v>4584</v>
      </c>
      <c r="J562" s="104">
        <v>10.66</v>
      </c>
      <c r="K562" s="103" t="s">
        <v>426</v>
      </c>
      <c r="L562" s="102" t="s">
        <v>533</v>
      </c>
      <c r="M562" s="95"/>
      <c r="N562" s="14"/>
      <c r="O562" s="94">
        <v>28</v>
      </c>
      <c r="P562" s="14" t="s">
        <v>485</v>
      </c>
      <c r="Q562" s="14" t="s">
        <v>497</v>
      </c>
      <c r="R562" s="14" t="s">
        <v>496</v>
      </c>
      <c r="S562" s="15">
        <v>6.6</v>
      </c>
      <c r="T562" s="15">
        <v>2</v>
      </c>
      <c r="U562" s="15">
        <v>0</v>
      </c>
      <c r="V562" s="14">
        <v>972</v>
      </c>
      <c r="W562" s="12">
        <v>0</v>
      </c>
      <c r="X562" s="12">
        <v>0</v>
      </c>
      <c r="Y562" s="12">
        <v>1</v>
      </c>
      <c r="Z562" s="12">
        <v>9.66</v>
      </c>
      <c r="AA562" s="12">
        <v>0</v>
      </c>
      <c r="AB562" s="13">
        <f t="shared" si="33"/>
        <v>0</v>
      </c>
      <c r="AE562" s="12">
        <v>0</v>
      </c>
      <c r="AF562" s="12">
        <v>0</v>
      </c>
      <c r="AG562" s="12">
        <v>1</v>
      </c>
      <c r="AH562" s="12">
        <v>9.66</v>
      </c>
      <c r="AI562" s="12">
        <v>0</v>
      </c>
      <c r="AJ562" s="13">
        <f t="shared" si="34"/>
        <v>0</v>
      </c>
      <c r="AN562" s="12">
        <f t="shared" si="35"/>
        <v>10362</v>
      </c>
      <c r="AQ562" s="8" t="s">
        <v>418</v>
      </c>
      <c r="AR562" t="str">
        <f t="shared" si="36"/>
        <v>Noroeste - A06</v>
      </c>
    </row>
    <row r="563" spans="1:44" x14ac:dyDescent="0.2">
      <c r="A563" s="107" t="s">
        <v>4587</v>
      </c>
      <c r="B563" s="106" t="s">
        <v>4586</v>
      </c>
      <c r="C563" s="106" t="s">
        <v>4538</v>
      </c>
      <c r="D563" s="106" t="s">
        <v>2671</v>
      </c>
      <c r="E563" s="106" t="s">
        <v>4537</v>
      </c>
      <c r="F563" s="106" t="s">
        <v>490</v>
      </c>
      <c r="G563" s="106" t="s">
        <v>4585</v>
      </c>
      <c r="H563" s="105" t="s">
        <v>4584</v>
      </c>
      <c r="I563" s="105" t="s">
        <v>4583</v>
      </c>
      <c r="J563" s="104">
        <v>17.149999999999999</v>
      </c>
      <c r="K563" s="103" t="s">
        <v>426</v>
      </c>
      <c r="L563" s="102" t="s">
        <v>533</v>
      </c>
      <c r="M563" s="95"/>
      <c r="N563" s="14"/>
      <c r="O563" s="94">
        <v>28</v>
      </c>
      <c r="P563" s="14" t="s">
        <v>485</v>
      </c>
      <c r="Q563" s="14" t="s">
        <v>497</v>
      </c>
      <c r="R563" s="14" t="s">
        <v>496</v>
      </c>
      <c r="S563" s="15">
        <v>6.6</v>
      </c>
      <c r="T563" s="15">
        <v>2</v>
      </c>
      <c r="U563" s="15">
        <v>0</v>
      </c>
      <c r="V563" s="14">
        <v>1198</v>
      </c>
      <c r="W563" s="12">
        <v>0</v>
      </c>
      <c r="X563" s="12">
        <v>0</v>
      </c>
      <c r="Y563" s="12">
        <v>0</v>
      </c>
      <c r="Z563" s="12">
        <v>17.149999999999999</v>
      </c>
      <c r="AA563" s="12">
        <v>0</v>
      </c>
      <c r="AB563" s="13">
        <f t="shared" si="33"/>
        <v>0</v>
      </c>
      <c r="AE563" s="12">
        <v>0</v>
      </c>
      <c r="AF563" s="12">
        <v>0</v>
      </c>
      <c r="AG563" s="12">
        <v>0</v>
      </c>
      <c r="AH563" s="12">
        <v>17.149999999999999</v>
      </c>
      <c r="AI563" s="12">
        <v>0</v>
      </c>
      <c r="AJ563" s="13">
        <f t="shared" si="34"/>
        <v>0</v>
      </c>
      <c r="AN563" s="12">
        <f t="shared" si="35"/>
        <v>20546</v>
      </c>
      <c r="AQ563" s="8" t="s">
        <v>418</v>
      </c>
      <c r="AR563" t="str">
        <f t="shared" si="36"/>
        <v>Noroeste - A06</v>
      </c>
    </row>
    <row r="564" spans="1:44" x14ac:dyDescent="0.2">
      <c r="A564" s="107" t="s">
        <v>4582</v>
      </c>
      <c r="B564" s="106" t="s">
        <v>4581</v>
      </c>
      <c r="C564" s="106" t="s">
        <v>4538</v>
      </c>
      <c r="D564" s="106" t="s">
        <v>2651</v>
      </c>
      <c r="E564" s="106" t="s">
        <v>4537</v>
      </c>
      <c r="F564" s="106" t="s">
        <v>490</v>
      </c>
      <c r="G564" s="106" t="s">
        <v>4580</v>
      </c>
      <c r="H564" s="105" t="s">
        <v>4579</v>
      </c>
      <c r="I564" s="105" t="s">
        <v>4578</v>
      </c>
      <c r="J564" s="104">
        <v>14.86</v>
      </c>
      <c r="K564" s="103" t="s">
        <v>423</v>
      </c>
      <c r="L564" s="102" t="s">
        <v>507</v>
      </c>
      <c r="M564" s="95"/>
      <c r="N564" s="14"/>
      <c r="O564" s="94">
        <v>35</v>
      </c>
      <c r="P564" s="14" t="s">
        <v>485</v>
      </c>
      <c r="Q564" s="14" t="s">
        <v>497</v>
      </c>
      <c r="R564" s="14" t="s">
        <v>496</v>
      </c>
      <c r="S564" s="15">
        <v>6.6</v>
      </c>
      <c r="T564" s="15">
        <v>0.6</v>
      </c>
      <c r="U564" s="15">
        <v>0</v>
      </c>
      <c r="V564" s="14">
        <v>2832</v>
      </c>
      <c r="W564" s="12">
        <v>0</v>
      </c>
      <c r="X564" s="12">
        <v>0</v>
      </c>
      <c r="Y564" s="12">
        <v>1</v>
      </c>
      <c r="Z564" s="12">
        <v>13.86</v>
      </c>
      <c r="AA564" s="12">
        <v>0</v>
      </c>
      <c r="AB564" s="13">
        <f t="shared" si="33"/>
        <v>0</v>
      </c>
      <c r="AE564" s="12">
        <v>0</v>
      </c>
      <c r="AF564" s="12">
        <v>0</v>
      </c>
      <c r="AG564" s="12">
        <v>1</v>
      </c>
      <c r="AH564" s="12">
        <v>13.86</v>
      </c>
      <c r="AI564" s="12">
        <v>0</v>
      </c>
      <c r="AJ564" s="13">
        <f t="shared" si="34"/>
        <v>0</v>
      </c>
      <c r="AN564" s="12">
        <f t="shared" si="35"/>
        <v>42084</v>
      </c>
      <c r="AQ564" s="8" t="s">
        <v>417</v>
      </c>
      <c r="AR564" t="str">
        <f t="shared" si="36"/>
        <v>Oeste - A03</v>
      </c>
    </row>
    <row r="565" spans="1:44" x14ac:dyDescent="0.2">
      <c r="A565" s="107" t="s">
        <v>4577</v>
      </c>
      <c r="B565" s="106" t="s">
        <v>4576</v>
      </c>
      <c r="C565" s="106" t="s">
        <v>4538</v>
      </c>
      <c r="D565" s="106" t="s">
        <v>2646</v>
      </c>
      <c r="E565" s="106" t="s">
        <v>4575</v>
      </c>
      <c r="F565" s="106" t="s">
        <v>606</v>
      </c>
      <c r="G565" s="106" t="s">
        <v>4574</v>
      </c>
      <c r="H565" s="105" t="s">
        <v>4569</v>
      </c>
      <c r="I565" s="105" t="s">
        <v>4565</v>
      </c>
      <c r="J565" s="104">
        <v>1.03</v>
      </c>
      <c r="K565" s="103" t="s">
        <v>422</v>
      </c>
      <c r="L565" s="102" t="s">
        <v>507</v>
      </c>
      <c r="M565" s="95"/>
      <c r="N565" s="14"/>
      <c r="O565" s="94">
        <v>34</v>
      </c>
      <c r="P565" s="14" t="s">
        <v>596</v>
      </c>
      <c r="Q565" s="14" t="s">
        <v>505</v>
      </c>
      <c r="R565" s="14" t="s">
        <v>496</v>
      </c>
      <c r="S565" s="15">
        <v>7</v>
      </c>
      <c r="T565" s="15">
        <v>0</v>
      </c>
      <c r="U565" s="15">
        <v>0</v>
      </c>
      <c r="V565" s="14">
        <v>2183</v>
      </c>
      <c r="W565" s="12">
        <v>0</v>
      </c>
      <c r="X565" s="12">
        <v>0</v>
      </c>
      <c r="Y565" s="12">
        <v>0</v>
      </c>
      <c r="Z565" s="12">
        <v>1.03</v>
      </c>
      <c r="AA565" s="12">
        <v>0</v>
      </c>
      <c r="AB565" s="13">
        <f t="shared" si="33"/>
        <v>0</v>
      </c>
      <c r="AE565" s="12">
        <v>0</v>
      </c>
      <c r="AF565" s="12">
        <v>0</v>
      </c>
      <c r="AG565" s="12">
        <v>0</v>
      </c>
      <c r="AH565" s="12">
        <v>1.03</v>
      </c>
      <c r="AI565" s="12">
        <v>0</v>
      </c>
      <c r="AJ565" s="13">
        <f t="shared" si="34"/>
        <v>0</v>
      </c>
      <c r="AN565" s="12">
        <f t="shared" si="35"/>
        <v>2249</v>
      </c>
      <c r="AQ565" s="8" t="s">
        <v>417</v>
      </c>
      <c r="AR565" t="str">
        <f t="shared" si="36"/>
        <v>Oeste - A02</v>
      </c>
    </row>
    <row r="566" spans="1:44" x14ac:dyDescent="0.2">
      <c r="A566" s="107" t="s">
        <v>4573</v>
      </c>
      <c r="B566" s="106" t="s">
        <v>4572</v>
      </c>
      <c r="C566" s="106" t="s">
        <v>4538</v>
      </c>
      <c r="D566" s="106" t="s">
        <v>2646</v>
      </c>
      <c r="E566" s="106" t="s">
        <v>4571</v>
      </c>
      <c r="F566" s="106" t="s">
        <v>600</v>
      </c>
      <c r="G566" s="106" t="s">
        <v>4570</v>
      </c>
      <c r="H566" s="105" t="s">
        <v>4569</v>
      </c>
      <c r="I566" s="105" t="s">
        <v>4565</v>
      </c>
      <c r="J566" s="104">
        <v>1.03</v>
      </c>
      <c r="K566" s="103" t="s">
        <v>422</v>
      </c>
      <c r="L566" s="102" t="s">
        <v>507</v>
      </c>
      <c r="M566" s="95"/>
      <c r="N566" s="14"/>
      <c r="O566" s="94">
        <v>34</v>
      </c>
      <c r="P566" s="14" t="s">
        <v>596</v>
      </c>
      <c r="Q566" s="14" t="s">
        <v>505</v>
      </c>
      <c r="R566" s="14" t="s">
        <v>496</v>
      </c>
      <c r="S566" s="15">
        <v>7</v>
      </c>
      <c r="T566" s="15">
        <v>0</v>
      </c>
      <c r="U566" s="15">
        <v>0</v>
      </c>
      <c r="V566" s="14">
        <v>2183</v>
      </c>
      <c r="W566" s="12">
        <v>0</v>
      </c>
      <c r="X566" s="12">
        <v>0</v>
      </c>
      <c r="Y566" s="12">
        <v>0</v>
      </c>
      <c r="Z566" s="12">
        <v>1.03</v>
      </c>
      <c r="AA566" s="12">
        <v>0</v>
      </c>
      <c r="AB566" s="13">
        <f t="shared" si="33"/>
        <v>0</v>
      </c>
      <c r="AE566" s="12">
        <v>0</v>
      </c>
      <c r="AF566" s="12">
        <v>0</v>
      </c>
      <c r="AG566" s="12">
        <v>0</v>
      </c>
      <c r="AH566" s="12">
        <v>1.03</v>
      </c>
      <c r="AI566" s="12">
        <v>0</v>
      </c>
      <c r="AJ566" s="13">
        <f t="shared" si="34"/>
        <v>0</v>
      </c>
      <c r="AN566" s="12">
        <f t="shared" si="35"/>
        <v>2249</v>
      </c>
      <c r="AQ566" s="8" t="s">
        <v>417</v>
      </c>
      <c r="AR566" t="str">
        <f t="shared" si="36"/>
        <v>Oeste - A02</v>
      </c>
    </row>
    <row r="567" spans="1:44" x14ac:dyDescent="0.2">
      <c r="A567" s="107" t="s">
        <v>4568</v>
      </c>
      <c r="B567" s="106" t="s">
        <v>4567</v>
      </c>
      <c r="C567" s="106" t="s">
        <v>4538</v>
      </c>
      <c r="D567" s="106" t="s">
        <v>2641</v>
      </c>
      <c r="E567" s="106" t="s">
        <v>4537</v>
      </c>
      <c r="F567" s="106" t="s">
        <v>490</v>
      </c>
      <c r="G567" s="106" t="s">
        <v>4566</v>
      </c>
      <c r="H567" s="105" t="s">
        <v>4565</v>
      </c>
      <c r="I567" s="105" t="s">
        <v>4561</v>
      </c>
      <c r="J567" s="104">
        <v>24.71</v>
      </c>
      <c r="K567" s="103" t="s">
        <v>422</v>
      </c>
      <c r="L567" s="102" t="s">
        <v>507</v>
      </c>
      <c r="M567" s="95"/>
      <c r="N567" s="14"/>
      <c r="O567" s="94">
        <v>34</v>
      </c>
      <c r="P567" s="14" t="s">
        <v>485</v>
      </c>
      <c r="Q567" s="14" t="s">
        <v>505</v>
      </c>
      <c r="R567" s="14" t="s">
        <v>496</v>
      </c>
      <c r="S567" s="15">
        <v>6.6</v>
      </c>
      <c r="T567" s="15">
        <v>0</v>
      </c>
      <c r="U567" s="15">
        <v>0</v>
      </c>
      <c r="V567" s="14">
        <v>1355</v>
      </c>
      <c r="W567" s="12">
        <v>0</v>
      </c>
      <c r="X567" s="12">
        <v>1.7100000000000009</v>
      </c>
      <c r="Y567" s="12">
        <v>5</v>
      </c>
      <c r="Z567" s="12">
        <v>18</v>
      </c>
      <c r="AA567" s="12">
        <v>0</v>
      </c>
      <c r="AB567" s="13">
        <f t="shared" si="33"/>
        <v>0</v>
      </c>
      <c r="AE567" s="12">
        <v>0</v>
      </c>
      <c r="AF567" s="12">
        <v>1.7100000000000009</v>
      </c>
      <c r="AG567" s="12">
        <v>5</v>
      </c>
      <c r="AH567" s="12">
        <v>18</v>
      </c>
      <c r="AI567" s="12">
        <v>0</v>
      </c>
      <c r="AJ567" s="13">
        <f t="shared" si="34"/>
        <v>0</v>
      </c>
      <c r="AN567" s="12">
        <f t="shared" si="35"/>
        <v>33483</v>
      </c>
      <c r="AQ567" s="8" t="s">
        <v>417</v>
      </c>
      <c r="AR567" t="str">
        <f t="shared" si="36"/>
        <v>Oeste - A02</v>
      </c>
    </row>
    <row r="568" spans="1:44" x14ac:dyDescent="0.2">
      <c r="A568" s="107" t="s">
        <v>4564</v>
      </c>
      <c r="B568" s="106" t="s">
        <v>4563</v>
      </c>
      <c r="C568" s="106" t="s">
        <v>4538</v>
      </c>
      <c r="D568" s="106" t="s">
        <v>3342</v>
      </c>
      <c r="E568" s="106" t="s">
        <v>4537</v>
      </c>
      <c r="F568" s="106" t="s">
        <v>490</v>
      </c>
      <c r="G568" s="106" t="s">
        <v>4562</v>
      </c>
      <c r="H568" s="105" t="s">
        <v>4561</v>
      </c>
      <c r="I568" s="105" t="s">
        <v>4556</v>
      </c>
      <c r="J568" s="104">
        <v>2.4</v>
      </c>
      <c r="K568" s="103" t="s">
        <v>422</v>
      </c>
      <c r="L568" s="102" t="s">
        <v>507</v>
      </c>
      <c r="M568" s="95"/>
      <c r="N568" s="14"/>
      <c r="O568" s="94">
        <v>34</v>
      </c>
      <c r="P568" s="14" t="s">
        <v>485</v>
      </c>
      <c r="Q568" s="14" t="s">
        <v>505</v>
      </c>
      <c r="R568" s="14" t="s">
        <v>496</v>
      </c>
      <c r="S568" s="15">
        <v>6.6</v>
      </c>
      <c r="T568" s="15">
        <v>0</v>
      </c>
      <c r="U568" s="15">
        <v>0</v>
      </c>
      <c r="V568" s="14">
        <v>1355</v>
      </c>
      <c r="W568" s="12">
        <v>0</v>
      </c>
      <c r="X568" s="12">
        <v>0</v>
      </c>
      <c r="Y568" s="12">
        <v>2.4</v>
      </c>
      <c r="Z568" s="12">
        <v>0</v>
      </c>
      <c r="AA568" s="12">
        <v>0</v>
      </c>
      <c r="AB568" s="13">
        <f t="shared" si="33"/>
        <v>0</v>
      </c>
      <c r="AE568" s="12">
        <v>0</v>
      </c>
      <c r="AF568" s="12">
        <v>0</v>
      </c>
      <c r="AG568" s="12">
        <v>2.4</v>
      </c>
      <c r="AH568" s="12">
        <v>0</v>
      </c>
      <c r="AI568" s="12">
        <v>0</v>
      </c>
      <c r="AJ568" s="13">
        <f t="shared" si="34"/>
        <v>0</v>
      </c>
      <c r="AN568" s="12">
        <f t="shared" si="35"/>
        <v>3252</v>
      </c>
      <c r="AQ568" s="8" t="s">
        <v>417</v>
      </c>
      <c r="AR568" t="str">
        <f t="shared" si="36"/>
        <v>Oeste - A02</v>
      </c>
    </row>
    <row r="569" spans="1:44" x14ac:dyDescent="0.2">
      <c r="A569" s="107" t="s">
        <v>4560</v>
      </c>
      <c r="B569" s="106" t="s">
        <v>4559</v>
      </c>
      <c r="C569" s="106" t="s">
        <v>4538</v>
      </c>
      <c r="D569" s="106" t="s">
        <v>4558</v>
      </c>
      <c r="E569" s="106" t="s">
        <v>4552</v>
      </c>
      <c r="F569" s="106" t="s">
        <v>590</v>
      </c>
      <c r="G569" s="106" t="s">
        <v>4557</v>
      </c>
      <c r="H569" s="105" t="s">
        <v>4556</v>
      </c>
      <c r="I569" s="105" t="s">
        <v>4555</v>
      </c>
      <c r="J569" s="104">
        <v>1.4</v>
      </c>
      <c r="K569" s="103" t="s">
        <v>422</v>
      </c>
      <c r="L569" s="102" t="s">
        <v>507</v>
      </c>
      <c r="M569" s="95"/>
      <c r="N569" s="14"/>
      <c r="O569" s="94">
        <v>34</v>
      </c>
      <c r="P569" s="14" t="s">
        <v>586</v>
      </c>
      <c r="Q569" s="14" t="s">
        <v>505</v>
      </c>
      <c r="R569" s="14" t="s">
        <v>496</v>
      </c>
      <c r="S569" s="15">
        <v>14</v>
      </c>
      <c r="T569" s="15">
        <v>0</v>
      </c>
      <c r="U569" s="15">
        <v>0</v>
      </c>
      <c r="V569" s="14">
        <v>1203</v>
      </c>
      <c r="W569" s="12">
        <v>0</v>
      </c>
      <c r="X569" s="12">
        <v>0</v>
      </c>
      <c r="Y569" s="12">
        <v>1.4</v>
      </c>
      <c r="Z569" s="12">
        <v>0</v>
      </c>
      <c r="AA569" s="12">
        <v>0</v>
      </c>
      <c r="AB569" s="13">
        <f t="shared" si="33"/>
        <v>0</v>
      </c>
      <c r="AE569" s="12">
        <v>0</v>
      </c>
      <c r="AF569" s="12">
        <v>0</v>
      </c>
      <c r="AG569" s="12">
        <v>1.4</v>
      </c>
      <c r="AH569" s="12">
        <v>0</v>
      </c>
      <c r="AI569" s="12">
        <v>0</v>
      </c>
      <c r="AJ569" s="13">
        <f t="shared" si="34"/>
        <v>0</v>
      </c>
      <c r="AN569" s="12">
        <f t="shared" si="35"/>
        <v>1685</v>
      </c>
      <c r="AQ569" s="8" t="s">
        <v>417</v>
      </c>
      <c r="AR569" t="str">
        <f t="shared" si="36"/>
        <v>Oeste - A02</v>
      </c>
    </row>
    <row r="570" spans="1:44" x14ac:dyDescent="0.2">
      <c r="A570" s="107" t="s">
        <v>4554</v>
      </c>
      <c r="B570" s="106" t="s">
        <v>4553</v>
      </c>
      <c r="C570" s="106" t="s">
        <v>4538</v>
      </c>
      <c r="D570" s="106" t="s">
        <v>2636</v>
      </c>
      <c r="E570" s="106" t="s">
        <v>4552</v>
      </c>
      <c r="F570" s="106" t="s">
        <v>590</v>
      </c>
      <c r="G570" s="106" t="s">
        <v>4551</v>
      </c>
      <c r="H570" s="105" t="s">
        <v>4550</v>
      </c>
      <c r="I570" s="105" t="s">
        <v>4546</v>
      </c>
      <c r="J570" s="104">
        <v>0.76</v>
      </c>
      <c r="K570" s="103" t="s">
        <v>422</v>
      </c>
      <c r="L570" s="102" t="s">
        <v>507</v>
      </c>
      <c r="M570" s="95"/>
      <c r="N570" s="14"/>
      <c r="O570" s="94">
        <v>34</v>
      </c>
      <c r="P570" s="14" t="s">
        <v>586</v>
      </c>
      <c r="Q570" s="14" t="s">
        <v>505</v>
      </c>
      <c r="R570" s="14" t="s">
        <v>496</v>
      </c>
      <c r="S570" s="15">
        <v>14</v>
      </c>
      <c r="T570" s="15">
        <v>0</v>
      </c>
      <c r="U570" s="15">
        <v>0</v>
      </c>
      <c r="V570" s="14">
        <v>1203</v>
      </c>
      <c r="W570" s="12">
        <v>0</v>
      </c>
      <c r="X570" s="12">
        <v>0</v>
      </c>
      <c r="Y570" s="12">
        <v>0.76</v>
      </c>
      <c r="Z570" s="12">
        <v>0</v>
      </c>
      <c r="AA570" s="12">
        <v>0</v>
      </c>
      <c r="AB570" s="13">
        <f t="shared" si="33"/>
        <v>0</v>
      </c>
      <c r="AE570" s="12">
        <v>0</v>
      </c>
      <c r="AF570" s="12">
        <v>0</v>
      </c>
      <c r="AG570" s="12">
        <v>0.76</v>
      </c>
      <c r="AH570" s="12">
        <v>0</v>
      </c>
      <c r="AI570" s="12">
        <v>0</v>
      </c>
      <c r="AJ570" s="13">
        <f t="shared" si="34"/>
        <v>0</v>
      </c>
      <c r="AN570" s="12">
        <f t="shared" si="35"/>
        <v>915</v>
      </c>
      <c r="AQ570" s="8" t="s">
        <v>417</v>
      </c>
      <c r="AR570" t="str">
        <f t="shared" si="36"/>
        <v>Oeste - A02</v>
      </c>
    </row>
    <row r="571" spans="1:44" x14ac:dyDescent="0.2">
      <c r="A571" s="107" t="s">
        <v>4549</v>
      </c>
      <c r="B571" s="106" t="s">
        <v>4548</v>
      </c>
      <c r="C571" s="106" t="s">
        <v>4538</v>
      </c>
      <c r="D571" s="106" t="s">
        <v>2631</v>
      </c>
      <c r="E571" s="106" t="s">
        <v>4537</v>
      </c>
      <c r="F571" s="106" t="s">
        <v>490</v>
      </c>
      <c r="G571" s="106" t="s">
        <v>4547</v>
      </c>
      <c r="H571" s="105" t="s">
        <v>4546</v>
      </c>
      <c r="I571" s="105" t="s">
        <v>4541</v>
      </c>
      <c r="J571" s="104">
        <v>7.12</v>
      </c>
      <c r="K571" s="103" t="s">
        <v>422</v>
      </c>
      <c r="L571" s="102" t="s">
        <v>507</v>
      </c>
      <c r="M571" s="95"/>
      <c r="N571" s="14"/>
      <c r="O571" s="94">
        <v>34</v>
      </c>
      <c r="P571" s="14" t="s">
        <v>485</v>
      </c>
      <c r="Q571" s="14" t="s">
        <v>505</v>
      </c>
      <c r="R571" s="14" t="s">
        <v>496</v>
      </c>
      <c r="S571" s="15">
        <v>6.6</v>
      </c>
      <c r="T571" s="15">
        <v>0</v>
      </c>
      <c r="U571" s="15">
        <v>0</v>
      </c>
      <c r="V571" s="14">
        <v>2832</v>
      </c>
      <c r="W571" s="12">
        <v>0</v>
      </c>
      <c r="X571" s="12">
        <v>0</v>
      </c>
      <c r="Y571" s="12">
        <v>1</v>
      </c>
      <c r="Z571" s="12">
        <v>6.12</v>
      </c>
      <c r="AA571" s="12">
        <v>0</v>
      </c>
      <c r="AB571" s="13">
        <f t="shared" si="33"/>
        <v>0</v>
      </c>
      <c r="AE571" s="12">
        <v>0</v>
      </c>
      <c r="AF571" s="12">
        <v>0</v>
      </c>
      <c r="AG571" s="12">
        <v>1</v>
      </c>
      <c r="AH571" s="12">
        <v>6.12</v>
      </c>
      <c r="AI571" s="12">
        <v>0</v>
      </c>
      <c r="AJ571" s="13">
        <f t="shared" si="34"/>
        <v>0</v>
      </c>
      <c r="AN571" s="12">
        <f t="shared" si="35"/>
        <v>20164</v>
      </c>
      <c r="AQ571" s="8" t="s">
        <v>417</v>
      </c>
      <c r="AR571" t="str">
        <f t="shared" si="36"/>
        <v>Oeste - A02</v>
      </c>
    </row>
    <row r="572" spans="1:44" x14ac:dyDescent="0.2">
      <c r="A572" s="107" t="s">
        <v>4545</v>
      </c>
      <c r="B572" s="106" t="s">
        <v>4544</v>
      </c>
      <c r="C572" s="106" t="s">
        <v>4538</v>
      </c>
      <c r="D572" s="106" t="s">
        <v>4543</v>
      </c>
      <c r="E572" s="106" t="s">
        <v>4537</v>
      </c>
      <c r="F572" s="106" t="s">
        <v>490</v>
      </c>
      <c r="G572" s="106" t="s">
        <v>4542</v>
      </c>
      <c r="H572" s="105" t="s">
        <v>4541</v>
      </c>
      <c r="I572" s="105" t="s">
        <v>4535</v>
      </c>
      <c r="J572" s="104">
        <v>21.81</v>
      </c>
      <c r="K572" s="103" t="s">
        <v>422</v>
      </c>
      <c r="L572" s="102" t="s">
        <v>507</v>
      </c>
      <c r="M572" s="95"/>
      <c r="N572" s="14"/>
      <c r="O572" s="94">
        <v>34</v>
      </c>
      <c r="P572" s="14" t="s">
        <v>485</v>
      </c>
      <c r="Q572" s="14" t="s">
        <v>505</v>
      </c>
      <c r="R572" s="14" t="s">
        <v>496</v>
      </c>
      <c r="S572" s="15">
        <v>6.6</v>
      </c>
      <c r="T572" s="15">
        <v>0</v>
      </c>
      <c r="U572" s="15">
        <v>0</v>
      </c>
      <c r="V572" s="14">
        <v>2832</v>
      </c>
      <c r="W572" s="12">
        <v>0</v>
      </c>
      <c r="X572" s="12">
        <v>1</v>
      </c>
      <c r="Y572" s="12">
        <v>3</v>
      </c>
      <c r="Z572" s="12">
        <v>17.809999999999999</v>
      </c>
      <c r="AA572" s="12">
        <v>0</v>
      </c>
      <c r="AB572" s="13">
        <f t="shared" si="33"/>
        <v>0</v>
      </c>
      <c r="AE572" s="12">
        <v>0</v>
      </c>
      <c r="AF572" s="12">
        <v>1</v>
      </c>
      <c r="AG572" s="12">
        <v>3</v>
      </c>
      <c r="AH572" s="12">
        <v>17.809999999999999</v>
      </c>
      <c r="AI572" s="12">
        <v>0</v>
      </c>
      <c r="AJ572" s="13">
        <f t="shared" si="34"/>
        <v>0</v>
      </c>
      <c r="AN572" s="12">
        <f t="shared" si="35"/>
        <v>61766</v>
      </c>
      <c r="AQ572" s="8" t="s">
        <v>417</v>
      </c>
      <c r="AR572" t="str">
        <f t="shared" si="36"/>
        <v>Oeste - A02</v>
      </c>
    </row>
    <row r="573" spans="1:44" x14ac:dyDescent="0.2">
      <c r="A573" s="107" t="s">
        <v>4540</v>
      </c>
      <c r="B573" s="106" t="s">
        <v>4539</v>
      </c>
      <c r="C573" s="106" t="s">
        <v>4538</v>
      </c>
      <c r="D573" s="106" t="s">
        <v>2626</v>
      </c>
      <c r="E573" s="106" t="s">
        <v>4537</v>
      </c>
      <c r="F573" s="106" t="s">
        <v>490</v>
      </c>
      <c r="G573" s="106" t="s">
        <v>4536</v>
      </c>
      <c r="H573" s="105" t="s">
        <v>4535</v>
      </c>
      <c r="I573" s="105" t="s">
        <v>4534</v>
      </c>
      <c r="J573" s="104">
        <v>4.26</v>
      </c>
      <c r="K573" s="103" t="s">
        <v>422</v>
      </c>
      <c r="L573" s="102" t="s">
        <v>507</v>
      </c>
      <c r="M573" s="95"/>
      <c r="N573" s="14"/>
      <c r="O573" s="94">
        <v>34</v>
      </c>
      <c r="P573" s="14" t="s">
        <v>485</v>
      </c>
      <c r="Q573" s="14" t="s">
        <v>505</v>
      </c>
      <c r="R573" s="14" t="s">
        <v>496</v>
      </c>
      <c r="S573" s="15">
        <v>6.6</v>
      </c>
      <c r="T573" s="15">
        <v>0</v>
      </c>
      <c r="U573" s="15">
        <v>0</v>
      </c>
      <c r="V573" s="14">
        <v>2832</v>
      </c>
      <c r="W573" s="12">
        <v>0</v>
      </c>
      <c r="X573" s="12">
        <v>0</v>
      </c>
      <c r="Y573" s="12">
        <v>1</v>
      </c>
      <c r="Z573" s="12">
        <v>3.26</v>
      </c>
      <c r="AA573" s="12">
        <v>0</v>
      </c>
      <c r="AB573" s="13">
        <f t="shared" si="33"/>
        <v>0</v>
      </c>
      <c r="AE573" s="12">
        <v>0</v>
      </c>
      <c r="AF573" s="12">
        <v>0</v>
      </c>
      <c r="AG573" s="12">
        <v>1</v>
      </c>
      <c r="AH573" s="12">
        <v>3.26</v>
      </c>
      <c r="AI573" s="12">
        <v>0</v>
      </c>
      <c r="AJ573" s="13">
        <f t="shared" si="34"/>
        <v>0</v>
      </c>
      <c r="AN573" s="12">
        <f t="shared" si="35"/>
        <v>12065</v>
      </c>
      <c r="AQ573" s="8" t="s">
        <v>417</v>
      </c>
      <c r="AR573" t="str">
        <f t="shared" si="36"/>
        <v>Oeste - A02</v>
      </c>
    </row>
    <row r="574" spans="1:44" x14ac:dyDescent="0.2">
      <c r="A574" s="107" t="s">
        <v>4533</v>
      </c>
      <c r="B574" s="106" t="s">
        <v>4532</v>
      </c>
      <c r="C574" s="106" t="s">
        <v>4514</v>
      </c>
      <c r="D574" s="106" t="s">
        <v>4531</v>
      </c>
      <c r="E574" s="106" t="s">
        <v>4512</v>
      </c>
      <c r="F574" s="106" t="s">
        <v>590</v>
      </c>
      <c r="G574" s="106" t="s">
        <v>4530</v>
      </c>
      <c r="H574" s="105" t="s">
        <v>4529</v>
      </c>
      <c r="I574" s="105" t="s">
        <v>4525</v>
      </c>
      <c r="J574" s="104">
        <v>0.95</v>
      </c>
      <c r="K574" s="103" t="s">
        <v>422</v>
      </c>
      <c r="L574" s="102" t="s">
        <v>533</v>
      </c>
      <c r="M574" s="95"/>
      <c r="N574" s="14"/>
      <c r="O574" s="94">
        <v>24</v>
      </c>
      <c r="P574" s="14" t="s">
        <v>586</v>
      </c>
      <c r="Q574" s="14" t="s">
        <v>497</v>
      </c>
      <c r="R574" s="14" t="s">
        <v>496</v>
      </c>
      <c r="S574" s="15">
        <v>13.2</v>
      </c>
      <c r="T574" s="15">
        <v>0</v>
      </c>
      <c r="U574" s="15">
        <v>0</v>
      </c>
      <c r="V574" s="14">
        <v>801</v>
      </c>
      <c r="W574" s="12">
        <v>0</v>
      </c>
      <c r="X574" s="12">
        <v>0</v>
      </c>
      <c r="Y574" s="12">
        <v>0.95</v>
      </c>
      <c r="Z574" s="12">
        <v>0</v>
      </c>
      <c r="AA574" s="12">
        <v>0</v>
      </c>
      <c r="AB574" s="13">
        <f t="shared" si="33"/>
        <v>0</v>
      </c>
      <c r="AE574" s="12">
        <v>0</v>
      </c>
      <c r="AF574" s="12">
        <v>0</v>
      </c>
      <c r="AG574" s="12">
        <v>0.95</v>
      </c>
      <c r="AH574" s="12">
        <v>0</v>
      </c>
      <c r="AI574" s="12">
        <v>0</v>
      </c>
      <c r="AJ574" s="13">
        <f t="shared" si="34"/>
        <v>0</v>
      </c>
      <c r="AN574" s="12">
        <f t="shared" si="35"/>
        <v>761</v>
      </c>
      <c r="AQ574" s="8" t="s">
        <v>418</v>
      </c>
      <c r="AR574" t="str">
        <f t="shared" si="36"/>
        <v>Noroeste - A02</v>
      </c>
    </row>
    <row r="575" spans="1:44" x14ac:dyDescent="0.2">
      <c r="A575" s="107" t="s">
        <v>4528</v>
      </c>
      <c r="B575" s="106" t="s">
        <v>4527</v>
      </c>
      <c r="C575" s="106" t="s">
        <v>4514</v>
      </c>
      <c r="D575" s="106" t="s">
        <v>3509</v>
      </c>
      <c r="E575" s="106" t="s">
        <v>4520</v>
      </c>
      <c r="F575" s="106" t="s">
        <v>490</v>
      </c>
      <c r="G575" s="106" t="s">
        <v>4526</v>
      </c>
      <c r="H575" s="105" t="s">
        <v>4525</v>
      </c>
      <c r="I575" s="105" t="s">
        <v>4524</v>
      </c>
      <c r="J575" s="104">
        <v>20.07</v>
      </c>
      <c r="K575" s="103" t="s">
        <v>422</v>
      </c>
      <c r="L575" s="102" t="s">
        <v>533</v>
      </c>
      <c r="M575" s="95"/>
      <c r="N575" s="14"/>
      <c r="O575" s="94">
        <v>24</v>
      </c>
      <c r="P575" s="14" t="s">
        <v>485</v>
      </c>
      <c r="Q575" s="14" t="s">
        <v>497</v>
      </c>
      <c r="R575" s="14" t="s">
        <v>496</v>
      </c>
      <c r="S575" s="15">
        <v>7.2714285714285714</v>
      </c>
      <c r="T575" s="15">
        <v>1</v>
      </c>
      <c r="U575" s="15">
        <v>0</v>
      </c>
      <c r="V575" s="14">
        <v>2350</v>
      </c>
      <c r="W575" s="12">
        <v>0</v>
      </c>
      <c r="X575" s="12">
        <v>1</v>
      </c>
      <c r="Y575" s="12">
        <v>7</v>
      </c>
      <c r="Z575" s="12">
        <v>12.07</v>
      </c>
      <c r="AA575" s="12">
        <v>0</v>
      </c>
      <c r="AB575" s="13">
        <f t="shared" si="33"/>
        <v>0</v>
      </c>
      <c r="AE575" s="12">
        <v>0</v>
      </c>
      <c r="AF575" s="12">
        <v>1</v>
      </c>
      <c r="AG575" s="12">
        <v>7</v>
      </c>
      <c r="AH575" s="12">
        <v>12.07</v>
      </c>
      <c r="AI575" s="12">
        <v>0</v>
      </c>
      <c r="AJ575" s="13">
        <f t="shared" si="34"/>
        <v>0</v>
      </c>
      <c r="AN575" s="12">
        <f t="shared" si="35"/>
        <v>47165</v>
      </c>
      <c r="AQ575" s="8" t="s">
        <v>418</v>
      </c>
      <c r="AR575" t="str">
        <f t="shared" si="36"/>
        <v>Noroeste - A02</v>
      </c>
    </row>
    <row r="576" spans="1:44" x14ac:dyDescent="0.2">
      <c r="A576" s="107" t="s">
        <v>4523</v>
      </c>
      <c r="B576" s="106" t="s">
        <v>4522</v>
      </c>
      <c r="C576" s="106" t="s">
        <v>4514</v>
      </c>
      <c r="D576" s="106" t="s">
        <v>4521</v>
      </c>
      <c r="E576" s="106" t="s">
        <v>4520</v>
      </c>
      <c r="F576" s="106" t="s">
        <v>490</v>
      </c>
      <c r="G576" s="106" t="s">
        <v>4519</v>
      </c>
      <c r="H576" s="105" t="s">
        <v>4518</v>
      </c>
      <c r="I576" s="105" t="s">
        <v>4517</v>
      </c>
      <c r="J576" s="104">
        <v>11.52</v>
      </c>
      <c r="K576" s="103" t="s">
        <v>422</v>
      </c>
      <c r="L576" s="102" t="s">
        <v>533</v>
      </c>
      <c r="M576" s="95"/>
      <c r="N576" s="14"/>
      <c r="O576" s="94">
        <v>24</v>
      </c>
      <c r="P576" s="14" t="s">
        <v>485</v>
      </c>
      <c r="Q576" s="14" t="s">
        <v>497</v>
      </c>
      <c r="R576" s="14" t="s">
        <v>496</v>
      </c>
      <c r="S576" s="15">
        <v>7</v>
      </c>
      <c r="T576" s="15">
        <v>1.2</v>
      </c>
      <c r="U576" s="15">
        <v>0</v>
      </c>
      <c r="V576" s="14">
        <v>654</v>
      </c>
      <c r="W576" s="12">
        <v>0</v>
      </c>
      <c r="X576" s="12">
        <v>0</v>
      </c>
      <c r="Y576" s="12">
        <v>3.5199999999999996</v>
      </c>
      <c r="Z576" s="12">
        <v>8</v>
      </c>
      <c r="AA576" s="12">
        <v>0</v>
      </c>
      <c r="AB576" s="13">
        <f t="shared" si="33"/>
        <v>0</v>
      </c>
      <c r="AE576" s="12">
        <v>0</v>
      </c>
      <c r="AF576" s="12">
        <v>0</v>
      </c>
      <c r="AG576" s="12">
        <v>3.5199999999999996</v>
      </c>
      <c r="AH576" s="12">
        <v>8</v>
      </c>
      <c r="AI576" s="12">
        <v>0</v>
      </c>
      <c r="AJ576" s="13">
        <f t="shared" si="34"/>
        <v>0</v>
      </c>
      <c r="AN576" s="12">
        <f t="shared" si="35"/>
        <v>7535</v>
      </c>
      <c r="AQ576" s="8" t="s">
        <v>418</v>
      </c>
      <c r="AR576" t="str">
        <f t="shared" si="36"/>
        <v>Noroeste - A02</v>
      </c>
    </row>
    <row r="577" spans="1:44" x14ac:dyDescent="0.2">
      <c r="A577" s="107" t="s">
        <v>4516</v>
      </c>
      <c r="B577" s="106" t="s">
        <v>4515</v>
      </c>
      <c r="C577" s="106" t="s">
        <v>4514</v>
      </c>
      <c r="D577" s="106" t="s">
        <v>4513</v>
      </c>
      <c r="E577" s="106" t="s">
        <v>4512</v>
      </c>
      <c r="F577" s="106" t="s">
        <v>590</v>
      </c>
      <c r="G577" s="106" t="s">
        <v>4511</v>
      </c>
      <c r="H577" s="105" t="s">
        <v>4510</v>
      </c>
      <c r="I577" s="105" t="s">
        <v>4509</v>
      </c>
      <c r="J577" s="104">
        <v>1.61</v>
      </c>
      <c r="K577" s="103" t="s">
        <v>422</v>
      </c>
      <c r="L577" s="102" t="s">
        <v>533</v>
      </c>
      <c r="M577" s="95"/>
      <c r="N577" s="14"/>
      <c r="O577" s="94">
        <v>24</v>
      </c>
      <c r="P577" s="14" t="s">
        <v>586</v>
      </c>
      <c r="Q577" s="14" t="s">
        <v>497</v>
      </c>
      <c r="R577" s="14" t="s">
        <v>496</v>
      </c>
      <c r="S577" s="15">
        <v>10.199999999999999</v>
      </c>
      <c r="T577" s="15">
        <v>4</v>
      </c>
      <c r="U577" s="15">
        <v>0</v>
      </c>
      <c r="V577" s="14">
        <v>278</v>
      </c>
      <c r="W577" s="12">
        <v>0</v>
      </c>
      <c r="X577" s="12">
        <v>0</v>
      </c>
      <c r="Y577" s="12">
        <v>0</v>
      </c>
      <c r="Z577" s="12">
        <v>1.61</v>
      </c>
      <c r="AA577" s="12">
        <v>0</v>
      </c>
      <c r="AB577" s="13">
        <f t="shared" si="33"/>
        <v>0</v>
      </c>
      <c r="AE577" s="12">
        <v>0</v>
      </c>
      <c r="AF577" s="12">
        <v>0</v>
      </c>
      <c r="AG577" s="12">
        <v>0</v>
      </c>
      <c r="AH577" s="12">
        <v>1.61</v>
      </c>
      <c r="AI577" s="12">
        <v>0</v>
      </c>
      <c r="AJ577" s="13">
        <f t="shared" si="34"/>
        <v>0</v>
      </c>
      <c r="AN577" s="12">
        <f t="shared" si="35"/>
        <v>448</v>
      </c>
      <c r="AQ577" s="8" t="s">
        <v>418</v>
      </c>
      <c r="AR577" t="str">
        <f t="shared" si="36"/>
        <v>Noroeste - A02</v>
      </c>
    </row>
    <row r="578" spans="1:44" x14ac:dyDescent="0.2">
      <c r="A578" s="107" t="s">
        <v>4508</v>
      </c>
      <c r="B578" s="106" t="s">
        <v>4507</v>
      </c>
      <c r="C578" s="106" t="s">
        <v>4502</v>
      </c>
      <c r="D578" s="106" t="s">
        <v>2560</v>
      </c>
      <c r="E578" s="106" t="s">
        <v>4506</v>
      </c>
      <c r="F578" s="106" t="s">
        <v>606</v>
      </c>
      <c r="G578" s="106" t="s">
        <v>4505</v>
      </c>
      <c r="H578" s="105" t="s">
        <v>4499</v>
      </c>
      <c r="I578" s="105" t="s">
        <v>4498</v>
      </c>
      <c r="J578" s="104">
        <v>7.88</v>
      </c>
      <c r="K578" s="103" t="s">
        <v>422</v>
      </c>
      <c r="L578" s="102" t="s">
        <v>577</v>
      </c>
      <c r="M578" s="95" t="s">
        <v>4497</v>
      </c>
      <c r="N578" s="20" t="s">
        <v>3289</v>
      </c>
      <c r="O578" s="94"/>
      <c r="P578" s="14" t="s">
        <v>596</v>
      </c>
      <c r="Q578" s="14" t="s">
        <v>497</v>
      </c>
      <c r="R578" s="14" t="s">
        <v>496</v>
      </c>
      <c r="S578" s="15">
        <v>6.5</v>
      </c>
      <c r="T578" s="15">
        <v>1.1000000000000001</v>
      </c>
      <c r="U578" s="15">
        <v>0</v>
      </c>
      <c r="V578" s="14">
        <v>6398</v>
      </c>
      <c r="W578" s="12">
        <v>0</v>
      </c>
      <c r="X578" s="12">
        <v>0</v>
      </c>
      <c r="Y578" s="12">
        <v>1</v>
      </c>
      <c r="Z578" s="12">
        <v>6.88</v>
      </c>
      <c r="AA578" s="12">
        <v>0</v>
      </c>
      <c r="AB578" s="13">
        <f t="shared" si="33"/>
        <v>0</v>
      </c>
      <c r="AE578" s="12">
        <v>0</v>
      </c>
      <c r="AF578" s="12">
        <v>0</v>
      </c>
      <c r="AG578" s="12">
        <v>1</v>
      </c>
      <c r="AH578" s="12">
        <v>6.88</v>
      </c>
      <c r="AI578" s="12">
        <v>0</v>
      </c>
      <c r="AJ578" s="13">
        <f t="shared" si="34"/>
        <v>0</v>
      </c>
      <c r="AN578" s="12">
        <f t="shared" si="35"/>
        <v>50417</v>
      </c>
      <c r="AQ578" s="8" t="s">
        <v>420</v>
      </c>
      <c r="AR578" t="str">
        <f t="shared" si="36"/>
        <v>Campos Gerais - A02</v>
      </c>
    </row>
    <row r="579" spans="1:44" x14ac:dyDescent="0.2">
      <c r="A579" s="107" t="s">
        <v>4504</v>
      </c>
      <c r="B579" s="106" t="s">
        <v>4503</v>
      </c>
      <c r="C579" s="106" t="s">
        <v>4502</v>
      </c>
      <c r="D579" s="106" t="s">
        <v>2560</v>
      </c>
      <c r="E579" s="106" t="s">
        <v>4501</v>
      </c>
      <c r="F579" s="106" t="s">
        <v>600</v>
      </c>
      <c r="G579" s="106" t="s">
        <v>4500</v>
      </c>
      <c r="H579" s="105" t="s">
        <v>4499</v>
      </c>
      <c r="I579" s="105" t="s">
        <v>4498</v>
      </c>
      <c r="J579" s="104">
        <v>7.88</v>
      </c>
      <c r="K579" s="103" t="s">
        <v>422</v>
      </c>
      <c r="L579" s="102" t="s">
        <v>577</v>
      </c>
      <c r="M579" s="95" t="s">
        <v>4497</v>
      </c>
      <c r="N579" s="20" t="s">
        <v>3289</v>
      </c>
      <c r="O579" s="94"/>
      <c r="P579" s="14" t="s">
        <v>596</v>
      </c>
      <c r="Q579" s="14" t="s">
        <v>497</v>
      </c>
      <c r="R579" s="14" t="s">
        <v>496</v>
      </c>
      <c r="S579" s="15">
        <v>6.2</v>
      </c>
      <c r="T579" s="15">
        <v>1.1499999999999999</v>
      </c>
      <c r="U579" s="15">
        <v>0</v>
      </c>
      <c r="V579" s="14">
        <v>6398</v>
      </c>
      <c r="W579" s="12">
        <v>0</v>
      </c>
      <c r="X579" s="12">
        <v>0</v>
      </c>
      <c r="Y579" s="12">
        <v>1</v>
      </c>
      <c r="Z579" s="12">
        <v>6.88</v>
      </c>
      <c r="AA579" s="12">
        <v>0</v>
      </c>
      <c r="AB579" s="13">
        <f t="shared" si="33"/>
        <v>0</v>
      </c>
      <c r="AE579" s="12">
        <v>0</v>
      </c>
      <c r="AF579" s="12">
        <v>0</v>
      </c>
      <c r="AG579" s="12">
        <v>1</v>
      </c>
      <c r="AH579" s="12">
        <v>6.88</v>
      </c>
      <c r="AI579" s="12">
        <v>0</v>
      </c>
      <c r="AJ579" s="13">
        <f t="shared" si="34"/>
        <v>0</v>
      </c>
      <c r="AN579" s="12">
        <f t="shared" si="35"/>
        <v>50417</v>
      </c>
      <c r="AQ579" s="8" t="s">
        <v>420</v>
      </c>
      <c r="AR579" t="str">
        <f t="shared" si="36"/>
        <v>Campos Gerais - A02</v>
      </c>
    </row>
    <row r="580" spans="1:44" x14ac:dyDescent="0.2">
      <c r="A580" s="107" t="s">
        <v>4496</v>
      </c>
      <c r="B580" s="106" t="s">
        <v>4495</v>
      </c>
      <c r="C580" s="106" t="s">
        <v>4484</v>
      </c>
      <c r="D580" s="106" t="s">
        <v>492</v>
      </c>
      <c r="E580" s="106" t="s">
        <v>4483</v>
      </c>
      <c r="F580" s="106" t="s">
        <v>490</v>
      </c>
      <c r="G580" s="106" t="s">
        <v>4494</v>
      </c>
      <c r="H580" s="105" t="s">
        <v>903</v>
      </c>
      <c r="I580" s="105" t="s">
        <v>4493</v>
      </c>
      <c r="J580" s="104">
        <v>8.8800000000000008</v>
      </c>
      <c r="K580" s="103" t="s">
        <v>421</v>
      </c>
      <c r="L580" s="102" t="s">
        <v>801</v>
      </c>
      <c r="M580" s="95"/>
      <c r="N580" s="14"/>
      <c r="O580" s="94">
        <v>1</v>
      </c>
      <c r="P580" s="14" t="s">
        <v>485</v>
      </c>
      <c r="Q580" s="14" t="s">
        <v>561</v>
      </c>
      <c r="R580" s="16" t="s">
        <v>496</v>
      </c>
      <c r="S580" s="15">
        <v>6.0320512820512828</v>
      </c>
      <c r="T580" s="15">
        <v>0</v>
      </c>
      <c r="U580" s="15">
        <v>0</v>
      </c>
      <c r="V580" s="14">
        <v>156</v>
      </c>
      <c r="W580" s="12">
        <v>1</v>
      </c>
      <c r="X580" s="12">
        <v>0</v>
      </c>
      <c r="Y580" s="12">
        <v>1</v>
      </c>
      <c r="Z580" s="12">
        <v>6.8800000000000008</v>
      </c>
      <c r="AA580" s="12">
        <v>0</v>
      </c>
      <c r="AB580" s="13">
        <f t="shared" si="33"/>
        <v>0</v>
      </c>
      <c r="AE580" s="12">
        <v>1</v>
      </c>
      <c r="AF580" s="12">
        <v>0</v>
      </c>
      <c r="AG580" s="12">
        <v>1</v>
      </c>
      <c r="AH580" s="12">
        <v>6.8800000000000008</v>
      </c>
      <c r="AI580" s="12">
        <v>0</v>
      </c>
      <c r="AJ580" s="13">
        <f t="shared" si="34"/>
        <v>0</v>
      </c>
      <c r="AN580" s="12">
        <f t="shared" si="35"/>
        <v>1386</v>
      </c>
      <c r="AQ580" s="8" t="s">
        <v>416</v>
      </c>
      <c r="AR580" t="str">
        <f t="shared" si="36"/>
        <v>Leste - A01</v>
      </c>
    </row>
    <row r="581" spans="1:44" x14ac:dyDescent="0.2">
      <c r="A581" s="107" t="s">
        <v>4492</v>
      </c>
      <c r="B581" s="106" t="s">
        <v>4491</v>
      </c>
      <c r="C581" s="106" t="s">
        <v>4484</v>
      </c>
      <c r="D581" s="106" t="s">
        <v>4490</v>
      </c>
      <c r="E581" s="106" t="s">
        <v>4483</v>
      </c>
      <c r="F581" s="106" t="s">
        <v>490</v>
      </c>
      <c r="G581" s="106" t="s">
        <v>4489</v>
      </c>
      <c r="H581" s="105" t="s">
        <v>4488</v>
      </c>
      <c r="I581" s="105" t="s">
        <v>4487</v>
      </c>
      <c r="J581" s="104">
        <v>3.12</v>
      </c>
      <c r="K581" s="103" t="s">
        <v>421</v>
      </c>
      <c r="L581" s="102" t="s">
        <v>801</v>
      </c>
      <c r="M581" s="95"/>
      <c r="N581" s="14"/>
      <c r="O581" s="94">
        <v>1</v>
      </c>
      <c r="P581" s="14" t="s">
        <v>485</v>
      </c>
      <c r="Q581" s="14" t="s">
        <v>561</v>
      </c>
      <c r="R581" s="16" t="s">
        <v>496</v>
      </c>
      <c r="S581" s="15">
        <v>6</v>
      </c>
      <c r="T581" s="15">
        <v>0</v>
      </c>
      <c r="U581" s="15">
        <v>0</v>
      </c>
      <c r="V581" s="14">
        <v>1884</v>
      </c>
      <c r="W581" s="12">
        <v>0</v>
      </c>
      <c r="X581" s="12">
        <v>0</v>
      </c>
      <c r="Y581" s="12">
        <v>0</v>
      </c>
      <c r="Z581" s="12">
        <v>3.12</v>
      </c>
      <c r="AA581" s="12">
        <v>0</v>
      </c>
      <c r="AB581" s="13">
        <f t="shared" si="33"/>
        <v>0</v>
      </c>
      <c r="AE581" s="12">
        <v>0</v>
      </c>
      <c r="AF581" s="12">
        <v>0</v>
      </c>
      <c r="AG581" s="12">
        <v>0</v>
      </c>
      <c r="AH581" s="12">
        <v>3.12</v>
      </c>
      <c r="AI581" s="12">
        <v>0</v>
      </c>
      <c r="AJ581" s="13">
        <f t="shared" si="34"/>
        <v>0</v>
      </c>
      <c r="AN581" s="12">
        <f t="shared" si="35"/>
        <v>5879</v>
      </c>
      <c r="AQ581" s="8" t="s">
        <v>416</v>
      </c>
      <c r="AR581" t="str">
        <f t="shared" si="36"/>
        <v>Leste - A01</v>
      </c>
    </row>
    <row r="582" spans="1:44" x14ac:dyDescent="0.2">
      <c r="A582" s="107" t="s">
        <v>4486</v>
      </c>
      <c r="B582" s="106" t="s">
        <v>4485</v>
      </c>
      <c r="C582" s="106" t="s">
        <v>4484</v>
      </c>
      <c r="D582" s="106" t="s">
        <v>519</v>
      </c>
      <c r="E582" s="106" t="s">
        <v>4483</v>
      </c>
      <c r="F582" s="106" t="s">
        <v>490</v>
      </c>
      <c r="G582" s="106" t="s">
        <v>4482</v>
      </c>
      <c r="H582" s="105" t="s">
        <v>4481</v>
      </c>
      <c r="I582" s="105" t="s">
        <v>4480</v>
      </c>
      <c r="J582" s="104">
        <v>10.47</v>
      </c>
      <c r="K582" s="103" t="s">
        <v>421</v>
      </c>
      <c r="L582" s="102" t="s">
        <v>801</v>
      </c>
      <c r="M582" s="95"/>
      <c r="N582" s="14"/>
      <c r="O582" s="94">
        <v>1</v>
      </c>
      <c r="P582" s="14" t="s">
        <v>485</v>
      </c>
      <c r="Q582" s="14" t="s">
        <v>872</v>
      </c>
      <c r="R582" s="14" t="s">
        <v>496</v>
      </c>
      <c r="S582" s="15">
        <v>6.0034288443170967</v>
      </c>
      <c r="T582" s="15">
        <v>0</v>
      </c>
      <c r="U582" s="15">
        <v>0</v>
      </c>
      <c r="V582" s="14">
        <v>788</v>
      </c>
      <c r="W582" s="12">
        <v>0</v>
      </c>
      <c r="X582" s="12">
        <v>0</v>
      </c>
      <c r="Y582" s="12">
        <v>3</v>
      </c>
      <c r="Z582" s="12">
        <v>7.4700000000000006</v>
      </c>
      <c r="AA582" s="12">
        <v>0</v>
      </c>
      <c r="AB582" s="13">
        <f t="shared" ref="AB582:AB645" si="37">SUM(W582:AA582)-J582</f>
        <v>0</v>
      </c>
      <c r="AE582" s="12">
        <v>0</v>
      </c>
      <c r="AF582" s="12">
        <v>0</v>
      </c>
      <c r="AG582" s="12">
        <v>3</v>
      </c>
      <c r="AH582" s="12">
        <v>7.4700000000000006</v>
      </c>
      <c r="AI582" s="12">
        <v>0</v>
      </c>
      <c r="AJ582" s="13">
        <f t="shared" ref="AJ582:AJ645" si="38">SUM(AE582:AI582)-J582</f>
        <v>0</v>
      </c>
      <c r="AN582" s="12">
        <f t="shared" ref="AN582:AN645" si="39">ROUNDUP(V582*J582,0)</f>
        <v>8251</v>
      </c>
      <c r="AQ582" s="8" t="s">
        <v>416</v>
      </c>
      <c r="AR582" t="str">
        <f t="shared" ref="AR582:AR645" si="40">AQ582&amp;" - "&amp;K582</f>
        <v>Leste - A01</v>
      </c>
    </row>
    <row r="583" spans="1:44" x14ac:dyDescent="0.2">
      <c r="A583" s="107" t="s">
        <v>4479</v>
      </c>
      <c r="B583" s="106" t="s">
        <v>4478</v>
      </c>
      <c r="C583" s="106" t="s">
        <v>4418</v>
      </c>
      <c r="D583" s="106" t="s">
        <v>492</v>
      </c>
      <c r="E583" s="106" t="s">
        <v>4417</v>
      </c>
      <c r="F583" s="106" t="s">
        <v>490</v>
      </c>
      <c r="G583" s="106" t="s">
        <v>4477</v>
      </c>
      <c r="H583" s="105" t="s">
        <v>4476</v>
      </c>
      <c r="I583" s="105" t="s">
        <v>4472</v>
      </c>
      <c r="J583" s="104">
        <v>8.2799999999999994</v>
      </c>
      <c r="K583" s="103" t="s">
        <v>421</v>
      </c>
      <c r="L583" s="102" t="s">
        <v>801</v>
      </c>
      <c r="M583" s="95"/>
      <c r="N583" s="14"/>
      <c r="O583" s="94">
        <v>1</v>
      </c>
      <c r="P583" s="14" t="s">
        <v>485</v>
      </c>
      <c r="Q583" s="14" t="s">
        <v>872</v>
      </c>
      <c r="R583" s="14" t="s">
        <v>496</v>
      </c>
      <c r="S583" s="15">
        <v>7</v>
      </c>
      <c r="T583" s="15">
        <v>1.5</v>
      </c>
      <c r="U583" s="15">
        <v>0</v>
      </c>
      <c r="V583" s="14">
        <v>4332</v>
      </c>
      <c r="W583" s="12">
        <v>0</v>
      </c>
      <c r="X583" s="12">
        <v>0</v>
      </c>
      <c r="Y583" s="12">
        <v>3</v>
      </c>
      <c r="Z583" s="12">
        <v>5.2799999999999994</v>
      </c>
      <c r="AA583" s="12">
        <v>0</v>
      </c>
      <c r="AB583" s="13">
        <f t="shared" si="37"/>
        <v>0</v>
      </c>
      <c r="AE583" s="12">
        <v>0</v>
      </c>
      <c r="AF583" s="12">
        <v>0</v>
      </c>
      <c r="AG583" s="12">
        <v>3</v>
      </c>
      <c r="AH583" s="12">
        <v>5.2799999999999994</v>
      </c>
      <c r="AI583" s="12">
        <v>0</v>
      </c>
      <c r="AJ583" s="13">
        <f t="shared" si="38"/>
        <v>0</v>
      </c>
      <c r="AN583" s="12">
        <f t="shared" si="39"/>
        <v>35869</v>
      </c>
      <c r="AQ583" s="8" t="s">
        <v>416</v>
      </c>
      <c r="AR583" t="str">
        <f t="shared" si="40"/>
        <v>Leste - A01</v>
      </c>
    </row>
    <row r="584" spans="1:44" x14ac:dyDescent="0.2">
      <c r="A584" s="107" t="s">
        <v>4475</v>
      </c>
      <c r="B584" s="106" t="s">
        <v>4474</v>
      </c>
      <c r="C584" s="106" t="s">
        <v>4418</v>
      </c>
      <c r="D584" s="106" t="s">
        <v>1128</v>
      </c>
      <c r="E584" s="106" t="s">
        <v>4417</v>
      </c>
      <c r="F584" s="106" t="s">
        <v>490</v>
      </c>
      <c r="G584" s="106" t="s">
        <v>4473</v>
      </c>
      <c r="H584" s="105" t="s">
        <v>4472</v>
      </c>
      <c r="I584" s="105" t="s">
        <v>4471</v>
      </c>
      <c r="J584" s="104">
        <v>4.13</v>
      </c>
      <c r="K584" s="103" t="s">
        <v>421</v>
      </c>
      <c r="L584" s="102" t="s">
        <v>801</v>
      </c>
      <c r="M584" s="95"/>
      <c r="N584" s="14"/>
      <c r="O584" s="94">
        <v>1</v>
      </c>
      <c r="P584" s="14" t="s">
        <v>485</v>
      </c>
      <c r="Q584" s="14" t="s">
        <v>872</v>
      </c>
      <c r="R584" s="14" t="s">
        <v>496</v>
      </c>
      <c r="S584" s="15">
        <v>8</v>
      </c>
      <c r="T584" s="15">
        <v>1.5</v>
      </c>
      <c r="U584" s="15">
        <v>0</v>
      </c>
      <c r="V584" s="14">
        <v>4332</v>
      </c>
      <c r="W584" s="12">
        <v>0</v>
      </c>
      <c r="X584" s="12">
        <v>0</v>
      </c>
      <c r="Y584" s="12">
        <v>1</v>
      </c>
      <c r="Z584" s="12">
        <v>3.13</v>
      </c>
      <c r="AA584" s="12">
        <v>0</v>
      </c>
      <c r="AB584" s="13">
        <f t="shared" si="37"/>
        <v>0</v>
      </c>
      <c r="AE584" s="12">
        <v>0</v>
      </c>
      <c r="AF584" s="12">
        <v>0</v>
      </c>
      <c r="AG584" s="12">
        <v>1</v>
      </c>
      <c r="AH584" s="12">
        <v>3.13</v>
      </c>
      <c r="AI584" s="12">
        <v>0</v>
      </c>
      <c r="AJ584" s="13">
        <f t="shared" si="38"/>
        <v>0</v>
      </c>
      <c r="AN584" s="12">
        <f t="shared" si="39"/>
        <v>17892</v>
      </c>
      <c r="AQ584" s="8" t="s">
        <v>416</v>
      </c>
      <c r="AR584" t="str">
        <f t="shared" si="40"/>
        <v>Leste - A01</v>
      </c>
    </row>
    <row r="585" spans="1:44" x14ac:dyDescent="0.2">
      <c r="A585" s="107" t="s">
        <v>4470</v>
      </c>
      <c r="B585" s="106" t="s">
        <v>4469</v>
      </c>
      <c r="C585" s="106" t="s">
        <v>4418</v>
      </c>
      <c r="D585" s="106" t="s">
        <v>2545</v>
      </c>
      <c r="E585" s="106" t="s">
        <v>4417</v>
      </c>
      <c r="F585" s="106" t="s">
        <v>490</v>
      </c>
      <c r="G585" s="106" t="s">
        <v>4468</v>
      </c>
      <c r="H585" s="105" t="s">
        <v>4467</v>
      </c>
      <c r="I585" s="105" t="s">
        <v>4463</v>
      </c>
      <c r="J585" s="104">
        <v>7.45</v>
      </c>
      <c r="K585" s="103" t="s">
        <v>421</v>
      </c>
      <c r="L585" s="102" t="s">
        <v>801</v>
      </c>
      <c r="M585" s="95"/>
      <c r="N585" s="14"/>
      <c r="O585" s="94">
        <v>1</v>
      </c>
      <c r="P585" s="14" t="s">
        <v>485</v>
      </c>
      <c r="Q585" s="14" t="s">
        <v>497</v>
      </c>
      <c r="R585" s="14" t="s">
        <v>496</v>
      </c>
      <c r="S585" s="15">
        <v>7.7</v>
      </c>
      <c r="T585" s="15">
        <v>1.5</v>
      </c>
      <c r="U585" s="15">
        <v>0</v>
      </c>
      <c r="V585" s="14">
        <v>1399</v>
      </c>
      <c r="W585" s="12">
        <v>0</v>
      </c>
      <c r="X585" s="12">
        <v>0</v>
      </c>
      <c r="Y585" s="12">
        <v>0</v>
      </c>
      <c r="Z585" s="12">
        <v>7.45</v>
      </c>
      <c r="AA585" s="12">
        <v>0</v>
      </c>
      <c r="AB585" s="13">
        <f t="shared" si="37"/>
        <v>0</v>
      </c>
      <c r="AE585" s="12">
        <v>0</v>
      </c>
      <c r="AF585" s="12">
        <v>0</v>
      </c>
      <c r="AG585" s="12">
        <v>0</v>
      </c>
      <c r="AH585" s="12">
        <v>7.45</v>
      </c>
      <c r="AI585" s="12">
        <v>0</v>
      </c>
      <c r="AJ585" s="13">
        <f t="shared" si="38"/>
        <v>0</v>
      </c>
      <c r="AN585" s="12">
        <f t="shared" si="39"/>
        <v>10423</v>
      </c>
      <c r="AQ585" s="8" t="s">
        <v>416</v>
      </c>
      <c r="AR585" t="str">
        <f t="shared" si="40"/>
        <v>Leste - A01</v>
      </c>
    </row>
    <row r="586" spans="1:44" x14ac:dyDescent="0.2">
      <c r="A586" s="107" t="s">
        <v>4466</v>
      </c>
      <c r="B586" s="106" t="s">
        <v>4465</v>
      </c>
      <c r="C586" s="106" t="s">
        <v>4418</v>
      </c>
      <c r="D586" s="106" t="s">
        <v>519</v>
      </c>
      <c r="E586" s="106" t="s">
        <v>4435</v>
      </c>
      <c r="F586" s="106" t="s">
        <v>590</v>
      </c>
      <c r="G586" s="106" t="s">
        <v>4464</v>
      </c>
      <c r="H586" s="105" t="s">
        <v>4463</v>
      </c>
      <c r="I586" s="105" t="s">
        <v>4459</v>
      </c>
      <c r="J586" s="104">
        <v>1.62</v>
      </c>
      <c r="K586" s="103" t="s">
        <v>421</v>
      </c>
      <c r="L586" s="102" t="s">
        <v>801</v>
      </c>
      <c r="M586" s="95"/>
      <c r="N586" s="14"/>
      <c r="O586" s="94">
        <v>1</v>
      </c>
      <c r="P586" s="14" t="s">
        <v>586</v>
      </c>
      <c r="Q586" s="14" t="s">
        <v>497</v>
      </c>
      <c r="R586" s="14" t="s">
        <v>496</v>
      </c>
      <c r="S586" s="15">
        <v>7</v>
      </c>
      <c r="T586" s="15">
        <v>0</v>
      </c>
      <c r="U586" s="15">
        <v>0</v>
      </c>
      <c r="V586" s="14">
        <v>1420</v>
      </c>
      <c r="W586" s="12">
        <v>0</v>
      </c>
      <c r="X586" s="12">
        <v>0</v>
      </c>
      <c r="Y586" s="12">
        <v>0</v>
      </c>
      <c r="Z586" s="12">
        <v>1.62</v>
      </c>
      <c r="AA586" s="12">
        <v>0</v>
      </c>
      <c r="AB586" s="13">
        <f t="shared" si="37"/>
        <v>0</v>
      </c>
      <c r="AE586" s="12">
        <v>0</v>
      </c>
      <c r="AF586" s="12">
        <v>0</v>
      </c>
      <c r="AG586" s="12">
        <v>0</v>
      </c>
      <c r="AH586" s="12">
        <v>1.62</v>
      </c>
      <c r="AI586" s="12">
        <v>0</v>
      </c>
      <c r="AJ586" s="13">
        <f t="shared" si="38"/>
        <v>0</v>
      </c>
      <c r="AN586" s="12">
        <f t="shared" si="39"/>
        <v>2301</v>
      </c>
      <c r="AQ586" s="8" t="s">
        <v>416</v>
      </c>
      <c r="AR586" t="str">
        <f t="shared" si="40"/>
        <v>Leste - A01</v>
      </c>
    </row>
    <row r="587" spans="1:44" x14ac:dyDescent="0.2">
      <c r="A587" s="107" t="s">
        <v>4462</v>
      </c>
      <c r="B587" s="106" t="s">
        <v>4461</v>
      </c>
      <c r="C587" s="106" t="s">
        <v>4418</v>
      </c>
      <c r="D587" s="106" t="s">
        <v>1032</v>
      </c>
      <c r="E587" s="106" t="s">
        <v>4417</v>
      </c>
      <c r="F587" s="106" t="s">
        <v>490</v>
      </c>
      <c r="G587" s="106" t="s">
        <v>4460</v>
      </c>
      <c r="H587" s="105" t="s">
        <v>4459</v>
      </c>
      <c r="I587" s="105" t="s">
        <v>4455</v>
      </c>
      <c r="J587" s="104">
        <v>0.69</v>
      </c>
      <c r="K587" s="103" t="s">
        <v>421</v>
      </c>
      <c r="L587" s="102" t="s">
        <v>801</v>
      </c>
      <c r="M587" s="95"/>
      <c r="N587" s="14"/>
      <c r="O587" s="94">
        <v>1</v>
      </c>
      <c r="P587" s="14" t="s">
        <v>485</v>
      </c>
      <c r="Q587" s="14" t="s">
        <v>872</v>
      </c>
      <c r="R587" s="14" t="s">
        <v>496</v>
      </c>
      <c r="S587" s="15">
        <v>8.5500000000000007</v>
      </c>
      <c r="T587" s="15">
        <v>1.5</v>
      </c>
      <c r="U587" s="15">
        <v>0.77</v>
      </c>
      <c r="V587" s="14">
        <v>2732</v>
      </c>
      <c r="W587" s="12">
        <v>0</v>
      </c>
      <c r="X587" s="12">
        <v>0</v>
      </c>
      <c r="Y587" s="12">
        <v>0.69</v>
      </c>
      <c r="Z587" s="12">
        <v>0</v>
      </c>
      <c r="AA587" s="12">
        <v>0</v>
      </c>
      <c r="AB587" s="13">
        <f t="shared" si="37"/>
        <v>0</v>
      </c>
      <c r="AE587" s="12">
        <v>0</v>
      </c>
      <c r="AF587" s="12">
        <v>0</v>
      </c>
      <c r="AG587" s="12">
        <v>0.69</v>
      </c>
      <c r="AH587" s="12">
        <v>0</v>
      </c>
      <c r="AI587" s="12">
        <v>0</v>
      </c>
      <c r="AJ587" s="13">
        <f t="shared" si="38"/>
        <v>0</v>
      </c>
      <c r="AN587" s="12">
        <f t="shared" si="39"/>
        <v>1886</v>
      </c>
      <c r="AQ587" s="8" t="s">
        <v>416</v>
      </c>
      <c r="AR587" t="str">
        <f t="shared" si="40"/>
        <v>Leste - A01</v>
      </c>
    </row>
    <row r="588" spans="1:44" x14ac:dyDescent="0.2">
      <c r="A588" s="107" t="s">
        <v>4458</v>
      </c>
      <c r="B588" s="106" t="s">
        <v>4457</v>
      </c>
      <c r="C588" s="106" t="s">
        <v>4418</v>
      </c>
      <c r="D588" s="106" t="s">
        <v>3918</v>
      </c>
      <c r="E588" s="106" t="s">
        <v>4417</v>
      </c>
      <c r="F588" s="106" t="s">
        <v>490</v>
      </c>
      <c r="G588" s="106" t="s">
        <v>4456</v>
      </c>
      <c r="H588" s="105" t="s">
        <v>4455</v>
      </c>
      <c r="I588" s="105" t="s">
        <v>4454</v>
      </c>
      <c r="J588" s="104">
        <v>0.19</v>
      </c>
      <c r="K588" s="103" t="s">
        <v>421</v>
      </c>
      <c r="L588" s="102" t="s">
        <v>801</v>
      </c>
      <c r="M588" s="95"/>
      <c r="N588" s="14"/>
      <c r="O588" s="94">
        <v>1</v>
      </c>
      <c r="P588" s="14" t="s">
        <v>485</v>
      </c>
      <c r="Q588" s="14" t="s">
        <v>872</v>
      </c>
      <c r="R588" s="14" t="s">
        <v>496</v>
      </c>
      <c r="S588" s="15">
        <v>10.6</v>
      </c>
      <c r="T588" s="15">
        <v>0</v>
      </c>
      <c r="U588" s="15">
        <v>0</v>
      </c>
      <c r="V588" s="14">
        <v>2798</v>
      </c>
      <c r="W588" s="12">
        <v>0</v>
      </c>
      <c r="X588" s="12">
        <v>0</v>
      </c>
      <c r="Y588" s="12">
        <v>0</v>
      </c>
      <c r="Z588" s="12">
        <v>0.19</v>
      </c>
      <c r="AA588" s="12">
        <v>0</v>
      </c>
      <c r="AB588" s="13">
        <f t="shared" si="37"/>
        <v>0</v>
      </c>
      <c r="AE588" s="12">
        <v>0</v>
      </c>
      <c r="AF588" s="12">
        <v>0</v>
      </c>
      <c r="AG588" s="12">
        <v>0</v>
      </c>
      <c r="AH588" s="12">
        <v>0.19</v>
      </c>
      <c r="AI588" s="12">
        <v>0</v>
      </c>
      <c r="AJ588" s="13">
        <f t="shared" si="38"/>
        <v>0</v>
      </c>
      <c r="AN588" s="12">
        <f t="shared" si="39"/>
        <v>532</v>
      </c>
      <c r="AQ588" s="8" t="s">
        <v>416</v>
      </c>
      <c r="AR588" t="str">
        <f t="shared" si="40"/>
        <v>Leste - A01</v>
      </c>
    </row>
    <row r="589" spans="1:44" x14ac:dyDescent="0.2">
      <c r="A589" s="107" t="s">
        <v>4453</v>
      </c>
      <c r="B589" s="106" t="s">
        <v>4452</v>
      </c>
      <c r="C589" s="106" t="s">
        <v>4418</v>
      </c>
      <c r="D589" s="106" t="s">
        <v>513</v>
      </c>
      <c r="E589" s="106" t="s">
        <v>4417</v>
      </c>
      <c r="F589" s="106" t="s">
        <v>490</v>
      </c>
      <c r="G589" s="106" t="s">
        <v>4451</v>
      </c>
      <c r="H589" s="105" t="s">
        <v>4450</v>
      </c>
      <c r="I589" s="105" t="s">
        <v>4442</v>
      </c>
      <c r="J589" s="104">
        <v>3.87</v>
      </c>
      <c r="K589" s="103" t="s">
        <v>421</v>
      </c>
      <c r="L589" s="102" t="s">
        <v>801</v>
      </c>
      <c r="M589" s="95"/>
      <c r="N589" s="14"/>
      <c r="O589" s="94">
        <v>1</v>
      </c>
      <c r="P589" s="14" t="s">
        <v>485</v>
      </c>
      <c r="Q589" s="14" t="s">
        <v>872</v>
      </c>
      <c r="R589" s="14" t="s">
        <v>496</v>
      </c>
      <c r="S589" s="15">
        <v>9.6541871414229501</v>
      </c>
      <c r="T589" s="15">
        <v>0</v>
      </c>
      <c r="U589" s="15">
        <v>3.2</v>
      </c>
      <c r="V589" s="14">
        <v>5399</v>
      </c>
      <c r="W589" s="12">
        <v>0</v>
      </c>
      <c r="X589" s="12">
        <v>0</v>
      </c>
      <c r="Y589" s="12">
        <v>3.87</v>
      </c>
      <c r="Z589" s="12">
        <v>0</v>
      </c>
      <c r="AA589" s="12">
        <v>0</v>
      </c>
      <c r="AB589" s="13">
        <f t="shared" si="37"/>
        <v>0</v>
      </c>
      <c r="AE589" s="12">
        <v>0</v>
      </c>
      <c r="AF589" s="12">
        <v>0</v>
      </c>
      <c r="AG589" s="12">
        <v>3.87</v>
      </c>
      <c r="AH589" s="12">
        <v>0</v>
      </c>
      <c r="AI589" s="12">
        <v>0</v>
      </c>
      <c r="AJ589" s="13">
        <f t="shared" si="38"/>
        <v>0</v>
      </c>
      <c r="AN589" s="12">
        <f t="shared" si="39"/>
        <v>20895</v>
      </c>
      <c r="AQ589" s="8" t="s">
        <v>416</v>
      </c>
      <c r="AR589" t="str">
        <f t="shared" si="40"/>
        <v>Leste - A01</v>
      </c>
    </row>
    <row r="590" spans="1:44" x14ac:dyDescent="0.2">
      <c r="A590" s="107" t="s">
        <v>4449</v>
      </c>
      <c r="B590" s="106" t="s">
        <v>4448</v>
      </c>
      <c r="C590" s="106" t="s">
        <v>4418</v>
      </c>
      <c r="D590" s="106" t="s">
        <v>3771</v>
      </c>
      <c r="E590" s="106" t="s">
        <v>4435</v>
      </c>
      <c r="F590" s="106" t="s">
        <v>590</v>
      </c>
      <c r="G590" s="106" t="s">
        <v>4447</v>
      </c>
      <c r="H590" s="105" t="s">
        <v>4441</v>
      </c>
      <c r="I590" s="105" t="s">
        <v>4433</v>
      </c>
      <c r="J590" s="104">
        <v>0.17</v>
      </c>
      <c r="K590" s="103" t="s">
        <v>421</v>
      </c>
      <c r="L590" s="102" t="s">
        <v>801</v>
      </c>
      <c r="M590" s="95"/>
      <c r="N590" s="14"/>
      <c r="O590" s="94">
        <v>1</v>
      </c>
      <c r="P590" s="14" t="s">
        <v>586</v>
      </c>
      <c r="Q590" s="14" t="s">
        <v>872</v>
      </c>
      <c r="R590" s="14" t="s">
        <v>496</v>
      </c>
      <c r="S590" s="15">
        <v>9</v>
      </c>
      <c r="T590" s="15">
        <v>0</v>
      </c>
      <c r="U590" s="15">
        <v>0</v>
      </c>
      <c r="V590" s="14">
        <v>874</v>
      </c>
      <c r="W590" s="12">
        <v>0</v>
      </c>
      <c r="X590" s="12">
        <v>0</v>
      </c>
      <c r="Y590" s="12">
        <v>0</v>
      </c>
      <c r="Z590" s="12">
        <v>0.17</v>
      </c>
      <c r="AA590" s="12">
        <v>0</v>
      </c>
      <c r="AB590" s="13">
        <f t="shared" si="37"/>
        <v>0</v>
      </c>
      <c r="AE590" s="12">
        <v>0</v>
      </c>
      <c r="AF590" s="12">
        <v>0</v>
      </c>
      <c r="AG590" s="12">
        <v>0</v>
      </c>
      <c r="AH590" s="12">
        <v>0.17</v>
      </c>
      <c r="AI590" s="12">
        <v>0</v>
      </c>
      <c r="AJ590" s="13">
        <f t="shared" si="38"/>
        <v>0</v>
      </c>
      <c r="AN590" s="12">
        <f t="shared" si="39"/>
        <v>149</v>
      </c>
      <c r="AQ590" s="8" t="s">
        <v>416</v>
      </c>
      <c r="AR590" t="str">
        <f t="shared" si="40"/>
        <v>Leste - A01</v>
      </c>
    </row>
    <row r="591" spans="1:44" x14ac:dyDescent="0.2">
      <c r="A591" s="107" t="s">
        <v>4446</v>
      </c>
      <c r="B591" s="106" t="s">
        <v>4445</v>
      </c>
      <c r="C591" s="106" t="s">
        <v>4418</v>
      </c>
      <c r="D591" s="106" t="s">
        <v>1329</v>
      </c>
      <c r="E591" s="106" t="s">
        <v>4444</v>
      </c>
      <c r="F591" s="106" t="s">
        <v>511</v>
      </c>
      <c r="G591" s="106" t="s">
        <v>4443</v>
      </c>
      <c r="H591" s="105" t="s">
        <v>4442</v>
      </c>
      <c r="I591" s="105" t="s">
        <v>4441</v>
      </c>
      <c r="J591" s="104">
        <v>2.95</v>
      </c>
      <c r="K591" s="103" t="s">
        <v>421</v>
      </c>
      <c r="L591" s="102" t="s">
        <v>801</v>
      </c>
      <c r="M591" s="95"/>
      <c r="N591" s="14"/>
      <c r="O591" s="94">
        <v>1</v>
      </c>
      <c r="P591" s="14" t="s">
        <v>4440</v>
      </c>
      <c r="Q591" s="14" t="s">
        <v>872</v>
      </c>
      <c r="R591" s="14" t="s">
        <v>496</v>
      </c>
      <c r="S591" s="15">
        <v>9.6541871414229501</v>
      </c>
      <c r="T591" s="15">
        <v>0</v>
      </c>
      <c r="U591" s="15">
        <v>3.2</v>
      </c>
      <c r="V591" s="14">
        <v>5399</v>
      </c>
      <c r="W591" s="12">
        <v>1</v>
      </c>
      <c r="X591" s="12">
        <v>0.95000000000000018</v>
      </c>
      <c r="Y591" s="12">
        <v>0</v>
      </c>
      <c r="Z591" s="12">
        <v>1</v>
      </c>
      <c r="AA591" s="12">
        <v>0</v>
      </c>
      <c r="AB591" s="13">
        <f t="shared" si="37"/>
        <v>0</v>
      </c>
      <c r="AE591" s="12">
        <v>1</v>
      </c>
      <c r="AF591" s="12">
        <v>0.95000000000000018</v>
      </c>
      <c r="AG591" s="12">
        <v>0</v>
      </c>
      <c r="AH591" s="12">
        <v>1</v>
      </c>
      <c r="AI591" s="12">
        <v>0</v>
      </c>
      <c r="AJ591" s="13">
        <f t="shared" si="38"/>
        <v>0</v>
      </c>
      <c r="AN591" s="12">
        <f t="shared" si="39"/>
        <v>15928</v>
      </c>
      <c r="AQ591" s="8" t="s">
        <v>416</v>
      </c>
      <c r="AR591" t="str">
        <f t="shared" si="40"/>
        <v>Leste - A01</v>
      </c>
    </row>
    <row r="592" spans="1:44" x14ac:dyDescent="0.2">
      <c r="A592" s="107" t="s">
        <v>4439</v>
      </c>
      <c r="B592" s="106" t="s">
        <v>4436</v>
      </c>
      <c r="C592" s="106" t="s">
        <v>4418</v>
      </c>
      <c r="D592" s="106" t="s">
        <v>1324</v>
      </c>
      <c r="E592" s="106" t="s">
        <v>4435</v>
      </c>
      <c r="F592" s="106" t="s">
        <v>590</v>
      </c>
      <c r="G592" s="106" t="s">
        <v>4438</v>
      </c>
      <c r="H592" s="105" t="s">
        <v>4433</v>
      </c>
      <c r="I592" s="105" t="s">
        <v>4429</v>
      </c>
      <c r="J592" s="104">
        <v>0.6</v>
      </c>
      <c r="K592" s="103" t="s">
        <v>421</v>
      </c>
      <c r="L592" s="102" t="s">
        <v>801</v>
      </c>
      <c r="M592" s="95"/>
      <c r="N592" s="14"/>
      <c r="O592" s="94">
        <v>1</v>
      </c>
      <c r="P592" s="14" t="s">
        <v>586</v>
      </c>
      <c r="Q592" s="14" t="s">
        <v>872</v>
      </c>
      <c r="R592" s="14" t="s">
        <v>496</v>
      </c>
      <c r="S592" s="15">
        <v>9</v>
      </c>
      <c r="T592" s="15">
        <v>0</v>
      </c>
      <c r="U592" s="15">
        <v>0</v>
      </c>
      <c r="V592" s="14">
        <v>874</v>
      </c>
      <c r="W592" s="12">
        <v>0</v>
      </c>
      <c r="X592" s="12">
        <v>0</v>
      </c>
      <c r="Y592" s="12">
        <v>0.6</v>
      </c>
      <c r="Z592" s="12">
        <v>0</v>
      </c>
      <c r="AA592" s="12">
        <v>0</v>
      </c>
      <c r="AB592" s="13">
        <f t="shared" si="37"/>
        <v>0</v>
      </c>
      <c r="AE592" s="12">
        <v>0</v>
      </c>
      <c r="AF592" s="12">
        <v>0</v>
      </c>
      <c r="AG592" s="12">
        <v>0.6</v>
      </c>
      <c r="AH592" s="12">
        <v>0</v>
      </c>
      <c r="AI592" s="12">
        <v>0</v>
      </c>
      <c r="AJ592" s="13">
        <f t="shared" si="38"/>
        <v>0</v>
      </c>
      <c r="AN592" s="12">
        <f t="shared" si="39"/>
        <v>525</v>
      </c>
      <c r="AQ592" s="8" t="s">
        <v>416</v>
      </c>
      <c r="AR592" t="str">
        <f t="shared" si="40"/>
        <v>Leste - A01</v>
      </c>
    </row>
    <row r="593" spans="1:44" x14ac:dyDescent="0.2">
      <c r="A593" s="107" t="s">
        <v>4437</v>
      </c>
      <c r="B593" s="106" t="s">
        <v>4436</v>
      </c>
      <c r="C593" s="106" t="s">
        <v>4418</v>
      </c>
      <c r="D593" s="106" t="s">
        <v>1324</v>
      </c>
      <c r="E593" s="106" t="s">
        <v>4435</v>
      </c>
      <c r="F593" s="106" t="s">
        <v>590</v>
      </c>
      <c r="G593" s="106" t="s">
        <v>4434</v>
      </c>
      <c r="H593" s="105" t="s">
        <v>4433</v>
      </c>
      <c r="I593" s="105" t="s">
        <v>4429</v>
      </c>
      <c r="J593" s="104">
        <v>0.56000000000000005</v>
      </c>
      <c r="K593" s="103" t="s">
        <v>421</v>
      </c>
      <c r="L593" s="102" t="s">
        <v>801</v>
      </c>
      <c r="M593" s="95"/>
      <c r="N593" s="14"/>
      <c r="O593" s="94">
        <v>1</v>
      </c>
      <c r="P593" s="14" t="s">
        <v>586</v>
      </c>
      <c r="Q593" s="14" t="s">
        <v>872</v>
      </c>
      <c r="R593" s="14" t="s">
        <v>496</v>
      </c>
      <c r="S593" s="15">
        <v>7</v>
      </c>
      <c r="T593" s="15">
        <v>0</v>
      </c>
      <c r="U593" s="15">
        <v>0</v>
      </c>
      <c r="V593" s="14">
        <v>874</v>
      </c>
      <c r="W593" s="12">
        <v>0</v>
      </c>
      <c r="X593" s="12">
        <v>0</v>
      </c>
      <c r="Y593" s="12">
        <v>0.56000000000000005</v>
      </c>
      <c r="Z593" s="12">
        <v>0</v>
      </c>
      <c r="AA593" s="12">
        <v>0</v>
      </c>
      <c r="AB593" s="13">
        <f t="shared" si="37"/>
        <v>0</v>
      </c>
      <c r="AE593" s="12">
        <v>0</v>
      </c>
      <c r="AF593" s="12">
        <v>0</v>
      </c>
      <c r="AG593" s="12">
        <v>0.56000000000000005</v>
      </c>
      <c r="AH593" s="12">
        <v>0</v>
      </c>
      <c r="AI593" s="12">
        <v>0</v>
      </c>
      <c r="AJ593" s="13">
        <f t="shared" si="38"/>
        <v>0</v>
      </c>
      <c r="AN593" s="12">
        <f t="shared" si="39"/>
        <v>490</v>
      </c>
      <c r="AQ593" s="8" t="s">
        <v>416</v>
      </c>
      <c r="AR593" t="str">
        <f t="shared" si="40"/>
        <v>Leste - A01</v>
      </c>
    </row>
    <row r="594" spans="1:44" x14ac:dyDescent="0.2">
      <c r="A594" s="107" t="s">
        <v>4432</v>
      </c>
      <c r="B594" s="106" t="s">
        <v>4431</v>
      </c>
      <c r="C594" s="106" t="s">
        <v>4418</v>
      </c>
      <c r="D594" s="106" t="s">
        <v>989</v>
      </c>
      <c r="E594" s="106" t="s">
        <v>4417</v>
      </c>
      <c r="F594" s="106" t="s">
        <v>490</v>
      </c>
      <c r="G594" s="106" t="s">
        <v>4430</v>
      </c>
      <c r="H594" s="105" t="s">
        <v>4429</v>
      </c>
      <c r="I594" s="105" t="s">
        <v>4425</v>
      </c>
      <c r="J594" s="104">
        <v>0.31</v>
      </c>
      <c r="K594" s="103" t="s">
        <v>421</v>
      </c>
      <c r="L594" s="102" t="s">
        <v>801</v>
      </c>
      <c r="M594" s="95"/>
      <c r="N594" s="14"/>
      <c r="O594" s="94">
        <v>1</v>
      </c>
      <c r="P594" s="14" t="s">
        <v>485</v>
      </c>
      <c r="Q594" s="14" t="s">
        <v>872</v>
      </c>
      <c r="R594" s="14" t="s">
        <v>496</v>
      </c>
      <c r="S594" s="15">
        <v>11.586516129032258</v>
      </c>
      <c r="T594" s="15">
        <v>0</v>
      </c>
      <c r="U594" s="15">
        <v>0</v>
      </c>
      <c r="V594" s="14">
        <v>2796</v>
      </c>
      <c r="W594" s="12">
        <v>0</v>
      </c>
      <c r="X594" s="12">
        <v>0</v>
      </c>
      <c r="Y594" s="12">
        <v>0</v>
      </c>
      <c r="Z594" s="12">
        <v>0.31</v>
      </c>
      <c r="AA594" s="12">
        <v>0</v>
      </c>
      <c r="AB594" s="13">
        <f t="shared" si="37"/>
        <v>0</v>
      </c>
      <c r="AE594" s="12">
        <v>0</v>
      </c>
      <c r="AF594" s="12">
        <v>0</v>
      </c>
      <c r="AG594" s="12">
        <v>0</v>
      </c>
      <c r="AH594" s="12">
        <v>0.31</v>
      </c>
      <c r="AI594" s="12">
        <v>0</v>
      </c>
      <c r="AJ594" s="13">
        <f t="shared" si="38"/>
        <v>0</v>
      </c>
      <c r="AN594" s="12">
        <f t="shared" si="39"/>
        <v>867</v>
      </c>
      <c r="AQ594" s="8" t="s">
        <v>416</v>
      </c>
      <c r="AR594" t="str">
        <f t="shared" si="40"/>
        <v>Leste - A01</v>
      </c>
    </row>
    <row r="595" spans="1:44" x14ac:dyDescent="0.2">
      <c r="A595" s="107" t="s">
        <v>4428</v>
      </c>
      <c r="B595" s="106" t="s">
        <v>4427</v>
      </c>
      <c r="C595" s="106" t="s">
        <v>4418</v>
      </c>
      <c r="D595" s="106" t="s">
        <v>1002</v>
      </c>
      <c r="E595" s="106" t="s">
        <v>4417</v>
      </c>
      <c r="F595" s="106" t="s">
        <v>490</v>
      </c>
      <c r="G595" s="106" t="s">
        <v>4426</v>
      </c>
      <c r="H595" s="105" t="s">
        <v>4425</v>
      </c>
      <c r="I595" s="105" t="s">
        <v>4421</v>
      </c>
      <c r="J595" s="104">
        <v>14.04</v>
      </c>
      <c r="K595" s="103" t="s">
        <v>421</v>
      </c>
      <c r="L595" s="102" t="s">
        <v>801</v>
      </c>
      <c r="M595" s="95"/>
      <c r="N595" s="14"/>
      <c r="O595" s="94">
        <v>1</v>
      </c>
      <c r="P595" s="14" t="s">
        <v>485</v>
      </c>
      <c r="Q595" s="14" t="s">
        <v>872</v>
      </c>
      <c r="R595" s="14" t="s">
        <v>496</v>
      </c>
      <c r="S595" s="15">
        <v>6.7986609686609683</v>
      </c>
      <c r="T595" s="15">
        <v>0</v>
      </c>
      <c r="U595" s="15">
        <v>0</v>
      </c>
      <c r="V595" s="14">
        <v>4774</v>
      </c>
      <c r="W595" s="12">
        <v>0</v>
      </c>
      <c r="X595" s="12">
        <v>0</v>
      </c>
      <c r="Y595" s="12">
        <v>3</v>
      </c>
      <c r="Z595" s="12">
        <v>11.04</v>
      </c>
      <c r="AA595" s="12">
        <v>0</v>
      </c>
      <c r="AB595" s="13">
        <f t="shared" si="37"/>
        <v>0</v>
      </c>
      <c r="AE595" s="12">
        <v>0</v>
      </c>
      <c r="AF595" s="12">
        <v>0</v>
      </c>
      <c r="AG595" s="12">
        <v>3</v>
      </c>
      <c r="AH595" s="12">
        <v>11.04</v>
      </c>
      <c r="AI595" s="12">
        <v>0</v>
      </c>
      <c r="AJ595" s="13">
        <f t="shared" si="38"/>
        <v>0</v>
      </c>
      <c r="AN595" s="12">
        <f t="shared" si="39"/>
        <v>67027</v>
      </c>
      <c r="AQ595" s="8" t="s">
        <v>416</v>
      </c>
      <c r="AR595" t="str">
        <f t="shared" si="40"/>
        <v>Leste - A01</v>
      </c>
    </row>
    <row r="596" spans="1:44" x14ac:dyDescent="0.2">
      <c r="A596" s="107" t="s">
        <v>4424</v>
      </c>
      <c r="B596" s="106" t="s">
        <v>4423</v>
      </c>
      <c r="C596" s="106" t="s">
        <v>4418</v>
      </c>
      <c r="D596" s="106" t="s">
        <v>981</v>
      </c>
      <c r="E596" s="106" t="s">
        <v>4417</v>
      </c>
      <c r="F596" s="106" t="s">
        <v>490</v>
      </c>
      <c r="G596" s="106" t="s">
        <v>4422</v>
      </c>
      <c r="H596" s="105" t="s">
        <v>4421</v>
      </c>
      <c r="I596" s="105" t="s">
        <v>4415</v>
      </c>
      <c r="J596" s="104">
        <v>17.920000000000002</v>
      </c>
      <c r="K596" s="103" t="s">
        <v>421</v>
      </c>
      <c r="L596" s="102" t="s">
        <v>801</v>
      </c>
      <c r="M596" s="95"/>
      <c r="N596" s="14"/>
      <c r="O596" s="94">
        <v>1</v>
      </c>
      <c r="P596" s="14" t="s">
        <v>485</v>
      </c>
      <c r="Q596" s="14" t="s">
        <v>872</v>
      </c>
      <c r="R596" s="14" t="s">
        <v>496</v>
      </c>
      <c r="S596" s="15">
        <v>9.0505102566964286</v>
      </c>
      <c r="T596" s="15">
        <v>2</v>
      </c>
      <c r="U596" s="15">
        <v>0</v>
      </c>
      <c r="V596" s="14">
        <v>6052</v>
      </c>
      <c r="W596" s="12">
        <v>0</v>
      </c>
      <c r="X596" s="12">
        <v>0</v>
      </c>
      <c r="Y596" s="12">
        <v>4</v>
      </c>
      <c r="Z596" s="12">
        <v>13.920000000000002</v>
      </c>
      <c r="AA596" s="12">
        <v>0</v>
      </c>
      <c r="AB596" s="13">
        <f t="shared" si="37"/>
        <v>0</v>
      </c>
      <c r="AE596" s="12">
        <v>0</v>
      </c>
      <c r="AF596" s="12">
        <v>0</v>
      </c>
      <c r="AG596" s="12">
        <v>4</v>
      </c>
      <c r="AH596" s="12">
        <v>13.920000000000002</v>
      </c>
      <c r="AI596" s="12">
        <v>0</v>
      </c>
      <c r="AJ596" s="13">
        <f t="shared" si="38"/>
        <v>0</v>
      </c>
      <c r="AN596" s="12">
        <f t="shared" si="39"/>
        <v>108452</v>
      </c>
      <c r="AQ596" s="8" t="s">
        <v>416</v>
      </c>
      <c r="AR596" t="str">
        <f t="shared" si="40"/>
        <v>Leste - A01</v>
      </c>
    </row>
    <row r="597" spans="1:44" x14ac:dyDescent="0.2">
      <c r="A597" s="107" t="s">
        <v>4420</v>
      </c>
      <c r="B597" s="106" t="s">
        <v>4419</v>
      </c>
      <c r="C597" s="106" t="s">
        <v>4418</v>
      </c>
      <c r="D597" s="106" t="s">
        <v>1269</v>
      </c>
      <c r="E597" s="106" t="s">
        <v>4417</v>
      </c>
      <c r="F597" s="106" t="s">
        <v>490</v>
      </c>
      <c r="G597" s="106" t="s">
        <v>4416</v>
      </c>
      <c r="H597" s="105" t="s">
        <v>4415</v>
      </c>
      <c r="I597" s="105" t="s">
        <v>4414</v>
      </c>
      <c r="J597" s="104">
        <v>3.52</v>
      </c>
      <c r="K597" s="103" t="s">
        <v>421</v>
      </c>
      <c r="L597" s="102" t="s">
        <v>801</v>
      </c>
      <c r="M597" s="95"/>
      <c r="N597" s="14"/>
      <c r="O597" s="94">
        <v>1</v>
      </c>
      <c r="P597" s="14" t="s">
        <v>485</v>
      </c>
      <c r="Q597" s="14" t="s">
        <v>872</v>
      </c>
      <c r="R597" s="14" t="s">
        <v>496</v>
      </c>
      <c r="S597" s="15">
        <v>6.2228579545454545</v>
      </c>
      <c r="T597" s="15">
        <v>0</v>
      </c>
      <c r="U597" s="15">
        <v>0</v>
      </c>
      <c r="V597" s="14">
        <v>415</v>
      </c>
      <c r="W597" s="12">
        <v>0</v>
      </c>
      <c r="X597" s="12">
        <v>0</v>
      </c>
      <c r="Y597" s="12">
        <v>1.52</v>
      </c>
      <c r="Z597" s="12">
        <v>2</v>
      </c>
      <c r="AA597" s="12">
        <v>0</v>
      </c>
      <c r="AB597" s="13">
        <f t="shared" si="37"/>
        <v>0</v>
      </c>
      <c r="AE597" s="12">
        <v>0</v>
      </c>
      <c r="AF597" s="12">
        <v>0</v>
      </c>
      <c r="AG597" s="12">
        <v>1.52</v>
      </c>
      <c r="AH597" s="12">
        <v>2</v>
      </c>
      <c r="AI597" s="12">
        <v>0</v>
      </c>
      <c r="AJ597" s="13">
        <f t="shared" si="38"/>
        <v>0</v>
      </c>
      <c r="AN597" s="12">
        <f t="shared" si="39"/>
        <v>1461</v>
      </c>
      <c r="AQ597" s="8" t="s">
        <v>416</v>
      </c>
      <c r="AR597" t="str">
        <f t="shared" si="40"/>
        <v>Leste - A01</v>
      </c>
    </row>
    <row r="598" spans="1:44" x14ac:dyDescent="0.2">
      <c r="A598" s="107" t="s">
        <v>4413</v>
      </c>
      <c r="B598" s="106" t="s">
        <v>4412</v>
      </c>
      <c r="C598" s="106" t="s">
        <v>4387</v>
      </c>
      <c r="D598" s="106" t="s">
        <v>519</v>
      </c>
      <c r="E598" s="106" t="s">
        <v>4397</v>
      </c>
      <c r="F598" s="106" t="s">
        <v>606</v>
      </c>
      <c r="G598" s="106" t="s">
        <v>4411</v>
      </c>
      <c r="H598" s="105" t="s">
        <v>4407</v>
      </c>
      <c r="I598" s="105" t="s">
        <v>4400</v>
      </c>
      <c r="J598" s="104">
        <v>5.7799999999999994</v>
      </c>
      <c r="K598" s="103" t="s">
        <v>422</v>
      </c>
      <c r="L598" s="102" t="s">
        <v>801</v>
      </c>
      <c r="M598" s="95"/>
      <c r="N598" s="14"/>
      <c r="O598" s="94">
        <v>2</v>
      </c>
      <c r="P598" s="14" t="s">
        <v>596</v>
      </c>
      <c r="Q598" s="14" t="s">
        <v>497</v>
      </c>
      <c r="R598" s="14" t="s">
        <v>496</v>
      </c>
      <c r="S598" s="15">
        <v>11.1</v>
      </c>
      <c r="T598" s="15">
        <v>0</v>
      </c>
      <c r="U598" s="15">
        <v>0</v>
      </c>
      <c r="V598" s="14">
        <v>13835</v>
      </c>
      <c r="W598" s="12">
        <v>0</v>
      </c>
      <c r="X598" s="12">
        <v>0</v>
      </c>
      <c r="Y598" s="12">
        <v>0</v>
      </c>
      <c r="Z598" s="12">
        <v>8.68</v>
      </c>
      <c r="AA598" s="12">
        <v>0</v>
      </c>
      <c r="AB598" s="13">
        <f t="shared" si="37"/>
        <v>2.9000000000000004</v>
      </c>
      <c r="AE598" s="12">
        <f>IF(W598=0,0,W598-$AB598)</f>
        <v>0</v>
      </c>
      <c r="AF598" s="12">
        <f>IF(X598=0,0,X598-$AB598)</f>
        <v>0</v>
      </c>
      <c r="AG598" s="12">
        <f>IF(Y598=0,0,Y598-$AB598)</f>
        <v>0</v>
      </c>
      <c r="AH598" s="12">
        <f>IF(Z598=0,0,Z598-$AB598)</f>
        <v>5.7799999999999994</v>
      </c>
      <c r="AI598" s="12">
        <f>IF(AA598=0,0,AA598-$AB598)</f>
        <v>0</v>
      </c>
      <c r="AJ598" s="13">
        <f t="shared" si="38"/>
        <v>0</v>
      </c>
      <c r="AN598" s="12">
        <f t="shared" si="39"/>
        <v>79967</v>
      </c>
      <c r="AQ598" s="8" t="s">
        <v>416</v>
      </c>
      <c r="AR598" t="str">
        <f t="shared" si="40"/>
        <v>Leste - A02</v>
      </c>
    </row>
    <row r="599" spans="1:44" x14ac:dyDescent="0.2">
      <c r="A599" s="107" t="s">
        <v>4410</v>
      </c>
      <c r="B599" s="106" t="s">
        <v>4409</v>
      </c>
      <c r="C599" s="106" t="s">
        <v>4387</v>
      </c>
      <c r="D599" s="106" t="s">
        <v>519</v>
      </c>
      <c r="E599" s="106" t="s">
        <v>4393</v>
      </c>
      <c r="F599" s="106" t="s">
        <v>600</v>
      </c>
      <c r="G599" s="106" t="s">
        <v>4408</v>
      </c>
      <c r="H599" s="105" t="s">
        <v>4407</v>
      </c>
      <c r="I599" s="105" t="s">
        <v>4400</v>
      </c>
      <c r="J599" s="104">
        <v>5.7799999999999994</v>
      </c>
      <c r="K599" s="103" t="s">
        <v>422</v>
      </c>
      <c r="L599" s="102" t="s">
        <v>801</v>
      </c>
      <c r="M599" s="95"/>
      <c r="N599" s="14"/>
      <c r="O599" s="94">
        <v>2</v>
      </c>
      <c r="P599" s="14" t="s">
        <v>596</v>
      </c>
      <c r="Q599" s="14" t="s">
        <v>497</v>
      </c>
      <c r="R599" s="14" t="s">
        <v>496</v>
      </c>
      <c r="S599" s="15">
        <v>11.1</v>
      </c>
      <c r="T599" s="15">
        <v>0</v>
      </c>
      <c r="U599" s="15">
        <v>0</v>
      </c>
      <c r="V599" s="14">
        <v>13835</v>
      </c>
      <c r="W599" s="12">
        <v>0</v>
      </c>
      <c r="X599" s="12">
        <v>0</v>
      </c>
      <c r="Y599" s="12">
        <v>0</v>
      </c>
      <c r="Z599" s="12">
        <v>5.78</v>
      </c>
      <c r="AA599" s="12">
        <v>0</v>
      </c>
      <c r="AB599" s="13">
        <f t="shared" si="37"/>
        <v>0</v>
      </c>
      <c r="AE599" s="12">
        <v>0</v>
      </c>
      <c r="AF599" s="12">
        <v>0</v>
      </c>
      <c r="AG599" s="12">
        <v>0</v>
      </c>
      <c r="AH599" s="12">
        <v>5.78</v>
      </c>
      <c r="AI599" s="12">
        <v>0</v>
      </c>
      <c r="AJ599" s="13">
        <f t="shared" si="38"/>
        <v>0</v>
      </c>
      <c r="AN599" s="12">
        <f t="shared" si="39"/>
        <v>79967</v>
      </c>
      <c r="AQ599" s="8" t="s">
        <v>416</v>
      </c>
      <c r="AR599" t="str">
        <f t="shared" si="40"/>
        <v>Leste - A02</v>
      </c>
    </row>
    <row r="600" spans="1:44" x14ac:dyDescent="0.2">
      <c r="A600" s="107" t="s">
        <v>4406</v>
      </c>
      <c r="B600" s="106" t="s">
        <v>4405</v>
      </c>
      <c r="C600" s="106" t="s">
        <v>4387</v>
      </c>
      <c r="D600" s="106" t="s">
        <v>1032</v>
      </c>
      <c r="E600" s="106" t="s">
        <v>4397</v>
      </c>
      <c r="F600" s="106" t="s">
        <v>606</v>
      </c>
      <c r="G600" s="106" t="s">
        <v>4404</v>
      </c>
      <c r="H600" s="105" t="s">
        <v>4400</v>
      </c>
      <c r="I600" s="105" t="s">
        <v>4391</v>
      </c>
      <c r="J600" s="104">
        <v>0.69</v>
      </c>
      <c r="K600" s="103" t="s">
        <v>422</v>
      </c>
      <c r="L600" s="102" t="s">
        <v>801</v>
      </c>
      <c r="M600" s="95"/>
      <c r="N600" s="14"/>
      <c r="O600" s="94">
        <v>2</v>
      </c>
      <c r="P600" s="14" t="s">
        <v>596</v>
      </c>
      <c r="Q600" s="14" t="s">
        <v>497</v>
      </c>
      <c r="R600" s="14" t="s">
        <v>496</v>
      </c>
      <c r="S600" s="15">
        <v>11.1</v>
      </c>
      <c r="T600" s="15">
        <v>0</v>
      </c>
      <c r="U600" s="15">
        <v>0</v>
      </c>
      <c r="V600" s="14">
        <v>20795</v>
      </c>
      <c r="W600" s="12">
        <v>0</v>
      </c>
      <c r="X600" s="12">
        <v>0</v>
      </c>
      <c r="Y600" s="12">
        <v>0</v>
      </c>
      <c r="Z600" s="12">
        <v>0.69</v>
      </c>
      <c r="AA600" s="12">
        <v>0</v>
      </c>
      <c r="AB600" s="13">
        <f t="shared" si="37"/>
        <v>0</v>
      </c>
      <c r="AE600" s="12">
        <v>0</v>
      </c>
      <c r="AF600" s="12">
        <v>0</v>
      </c>
      <c r="AG600" s="12">
        <v>0</v>
      </c>
      <c r="AH600" s="12">
        <v>0.69</v>
      </c>
      <c r="AI600" s="12">
        <v>0</v>
      </c>
      <c r="AJ600" s="13">
        <f t="shared" si="38"/>
        <v>0</v>
      </c>
      <c r="AN600" s="12">
        <f t="shared" si="39"/>
        <v>14349</v>
      </c>
      <c r="AQ600" s="8" t="s">
        <v>416</v>
      </c>
      <c r="AR600" t="str">
        <f t="shared" si="40"/>
        <v>Leste - A02</v>
      </c>
    </row>
    <row r="601" spans="1:44" x14ac:dyDescent="0.2">
      <c r="A601" s="107" t="s">
        <v>4403</v>
      </c>
      <c r="B601" s="106" t="s">
        <v>4402</v>
      </c>
      <c r="C601" s="106" t="s">
        <v>4387</v>
      </c>
      <c r="D601" s="106" t="s">
        <v>1032</v>
      </c>
      <c r="E601" s="106" t="s">
        <v>4393</v>
      </c>
      <c r="F601" s="106" t="s">
        <v>600</v>
      </c>
      <c r="G601" s="106" t="s">
        <v>4401</v>
      </c>
      <c r="H601" s="105" t="s">
        <v>4400</v>
      </c>
      <c r="I601" s="105" t="s">
        <v>4391</v>
      </c>
      <c r="J601" s="104">
        <v>0.69</v>
      </c>
      <c r="K601" s="103" t="s">
        <v>422</v>
      </c>
      <c r="L601" s="102" t="s">
        <v>801</v>
      </c>
      <c r="M601" s="95"/>
      <c r="N601" s="14"/>
      <c r="O601" s="94">
        <v>2</v>
      </c>
      <c r="P601" s="14" t="s">
        <v>596</v>
      </c>
      <c r="Q601" s="14" t="s">
        <v>497</v>
      </c>
      <c r="R601" s="14" t="s">
        <v>496</v>
      </c>
      <c r="S601" s="15">
        <v>11.1</v>
      </c>
      <c r="T601" s="15">
        <v>0</v>
      </c>
      <c r="U601" s="15">
        <v>0</v>
      </c>
      <c r="V601" s="14">
        <v>18568</v>
      </c>
      <c r="W601" s="12">
        <v>0</v>
      </c>
      <c r="X601" s="12">
        <v>0</v>
      </c>
      <c r="Y601" s="12">
        <v>0</v>
      </c>
      <c r="Z601" s="12">
        <v>0.69</v>
      </c>
      <c r="AA601" s="12">
        <v>0</v>
      </c>
      <c r="AB601" s="13">
        <f t="shared" si="37"/>
        <v>0</v>
      </c>
      <c r="AE601" s="12">
        <v>0</v>
      </c>
      <c r="AF601" s="12">
        <v>0</v>
      </c>
      <c r="AG601" s="12">
        <v>0</v>
      </c>
      <c r="AH601" s="12">
        <v>0.69</v>
      </c>
      <c r="AI601" s="12">
        <v>0</v>
      </c>
      <c r="AJ601" s="13">
        <f t="shared" si="38"/>
        <v>0</v>
      </c>
      <c r="AN601" s="12">
        <f t="shared" si="39"/>
        <v>12812</v>
      </c>
      <c r="AQ601" s="8" t="s">
        <v>416</v>
      </c>
      <c r="AR601" t="str">
        <f t="shared" si="40"/>
        <v>Leste - A02</v>
      </c>
    </row>
    <row r="602" spans="1:44" x14ac:dyDescent="0.2">
      <c r="A602" s="107" t="s">
        <v>4399</v>
      </c>
      <c r="B602" s="106" t="s">
        <v>4398</v>
      </c>
      <c r="C602" s="106" t="s">
        <v>4387</v>
      </c>
      <c r="D602" s="106" t="s">
        <v>513</v>
      </c>
      <c r="E602" s="106" t="s">
        <v>4397</v>
      </c>
      <c r="F602" s="106" t="s">
        <v>606</v>
      </c>
      <c r="G602" s="106" t="s">
        <v>4396</v>
      </c>
      <c r="H602" s="105" t="s">
        <v>4391</v>
      </c>
      <c r="I602" s="105" t="s">
        <v>4390</v>
      </c>
      <c r="J602" s="104">
        <v>1.28</v>
      </c>
      <c r="K602" s="103" t="s">
        <v>422</v>
      </c>
      <c r="L602" s="102" t="s">
        <v>801</v>
      </c>
      <c r="M602" s="95"/>
      <c r="N602" s="14"/>
      <c r="O602" s="94">
        <v>2</v>
      </c>
      <c r="P602" s="14" t="s">
        <v>596</v>
      </c>
      <c r="Q602" s="14" t="s">
        <v>497</v>
      </c>
      <c r="R602" s="14" t="s">
        <v>496</v>
      </c>
      <c r="S602" s="15">
        <v>11.1</v>
      </c>
      <c r="T602" s="15">
        <v>0</v>
      </c>
      <c r="U602" s="15">
        <v>0</v>
      </c>
      <c r="V602" s="14">
        <v>18568</v>
      </c>
      <c r="W602" s="12">
        <v>0</v>
      </c>
      <c r="X602" s="12">
        <v>0</v>
      </c>
      <c r="Y602" s="12">
        <v>0</v>
      </c>
      <c r="Z602" s="12">
        <v>1.28</v>
      </c>
      <c r="AA602" s="12">
        <v>0</v>
      </c>
      <c r="AB602" s="13">
        <f t="shared" si="37"/>
        <v>0</v>
      </c>
      <c r="AE602" s="12">
        <v>0</v>
      </c>
      <c r="AF602" s="12">
        <v>0</v>
      </c>
      <c r="AG602" s="12">
        <v>0</v>
      </c>
      <c r="AH602" s="12">
        <v>1.28</v>
      </c>
      <c r="AI602" s="12">
        <v>0</v>
      </c>
      <c r="AJ602" s="13">
        <f t="shared" si="38"/>
        <v>0</v>
      </c>
      <c r="AN602" s="12">
        <f t="shared" si="39"/>
        <v>23768</v>
      </c>
      <c r="AQ602" s="8" t="s">
        <v>416</v>
      </c>
      <c r="AR602" t="str">
        <f t="shared" si="40"/>
        <v>Leste - A02</v>
      </c>
    </row>
    <row r="603" spans="1:44" x14ac:dyDescent="0.2">
      <c r="A603" s="107" t="s">
        <v>4395</v>
      </c>
      <c r="B603" s="106" t="s">
        <v>4394</v>
      </c>
      <c r="C603" s="106" t="s">
        <v>4387</v>
      </c>
      <c r="D603" s="106" t="s">
        <v>513</v>
      </c>
      <c r="E603" s="106" t="s">
        <v>4393</v>
      </c>
      <c r="F603" s="106" t="s">
        <v>600</v>
      </c>
      <c r="G603" s="106" t="s">
        <v>4392</v>
      </c>
      <c r="H603" s="105" t="s">
        <v>4391</v>
      </c>
      <c r="I603" s="105" t="s">
        <v>4390</v>
      </c>
      <c r="J603" s="104">
        <v>1.28</v>
      </c>
      <c r="K603" s="103" t="s">
        <v>422</v>
      </c>
      <c r="L603" s="102" t="s">
        <v>801</v>
      </c>
      <c r="M603" s="95"/>
      <c r="N603" s="14"/>
      <c r="O603" s="94">
        <v>2</v>
      </c>
      <c r="P603" s="14" t="s">
        <v>596</v>
      </c>
      <c r="Q603" s="14" t="s">
        <v>497</v>
      </c>
      <c r="R603" s="14" t="s">
        <v>496</v>
      </c>
      <c r="S603" s="15">
        <v>11.1</v>
      </c>
      <c r="T603" s="15">
        <v>2.5</v>
      </c>
      <c r="U603" s="15">
        <v>0</v>
      </c>
      <c r="V603" s="14">
        <v>20795</v>
      </c>
      <c r="W603" s="12">
        <v>0</v>
      </c>
      <c r="X603" s="12">
        <v>0</v>
      </c>
      <c r="Y603" s="12">
        <v>0</v>
      </c>
      <c r="Z603" s="12">
        <v>1.28</v>
      </c>
      <c r="AA603" s="12">
        <v>0</v>
      </c>
      <c r="AB603" s="13">
        <f t="shared" si="37"/>
        <v>0</v>
      </c>
      <c r="AE603" s="12">
        <v>0</v>
      </c>
      <c r="AF603" s="12">
        <v>0</v>
      </c>
      <c r="AG603" s="12">
        <v>0</v>
      </c>
      <c r="AH603" s="12">
        <v>1.28</v>
      </c>
      <c r="AI603" s="12">
        <v>0</v>
      </c>
      <c r="AJ603" s="13">
        <f t="shared" si="38"/>
        <v>0</v>
      </c>
      <c r="AN603" s="12">
        <f t="shared" si="39"/>
        <v>26618</v>
      </c>
      <c r="AQ603" s="8" t="s">
        <v>416</v>
      </c>
      <c r="AR603" t="str">
        <f t="shared" si="40"/>
        <v>Leste - A02</v>
      </c>
    </row>
    <row r="604" spans="1:44" x14ac:dyDescent="0.2">
      <c r="A604" s="107" t="s">
        <v>4389</v>
      </c>
      <c r="B604" s="106" t="s">
        <v>4388</v>
      </c>
      <c r="C604" s="106" t="s">
        <v>4387</v>
      </c>
      <c r="D604" s="106" t="s">
        <v>989</v>
      </c>
      <c r="E604" s="106" t="s">
        <v>4386</v>
      </c>
      <c r="F604" s="106" t="s">
        <v>490</v>
      </c>
      <c r="G604" s="106" t="s">
        <v>4385</v>
      </c>
      <c r="H604" s="105" t="s">
        <v>4384</v>
      </c>
      <c r="I604" s="105" t="s">
        <v>4383</v>
      </c>
      <c r="J604" s="104">
        <v>0.92</v>
      </c>
      <c r="K604" s="103" t="s">
        <v>422</v>
      </c>
      <c r="L604" s="102" t="s">
        <v>801</v>
      </c>
      <c r="M604" s="95"/>
      <c r="N604" s="14"/>
      <c r="O604" s="94">
        <v>2</v>
      </c>
      <c r="P604" s="14" t="s">
        <v>485</v>
      </c>
      <c r="Q604" s="14" t="s">
        <v>497</v>
      </c>
      <c r="R604" s="14" t="s">
        <v>496</v>
      </c>
      <c r="S604" s="15">
        <v>11.1</v>
      </c>
      <c r="T604" s="15">
        <v>2.5</v>
      </c>
      <c r="U604" s="15">
        <v>0</v>
      </c>
      <c r="V604" s="14">
        <v>17709</v>
      </c>
      <c r="W604" s="12">
        <v>0</v>
      </c>
      <c r="X604" s="12">
        <v>0</v>
      </c>
      <c r="Y604" s="12">
        <v>0</v>
      </c>
      <c r="Z604" s="12">
        <v>0.92</v>
      </c>
      <c r="AA604" s="12">
        <v>0</v>
      </c>
      <c r="AB604" s="13">
        <f t="shared" si="37"/>
        <v>0</v>
      </c>
      <c r="AE604" s="12">
        <v>0</v>
      </c>
      <c r="AF604" s="12">
        <v>0</v>
      </c>
      <c r="AG604" s="12">
        <v>0</v>
      </c>
      <c r="AH604" s="12">
        <v>0.92</v>
      </c>
      <c r="AI604" s="12">
        <v>0</v>
      </c>
      <c r="AJ604" s="13">
        <f t="shared" si="38"/>
        <v>0</v>
      </c>
      <c r="AN604" s="12">
        <f t="shared" si="39"/>
        <v>16293</v>
      </c>
      <c r="AQ604" s="8" t="s">
        <v>416</v>
      </c>
      <c r="AR604" t="str">
        <f t="shared" si="40"/>
        <v>Leste - A02</v>
      </c>
    </row>
    <row r="605" spans="1:44" x14ac:dyDescent="0.2">
      <c r="A605" s="107" t="s">
        <v>4382</v>
      </c>
      <c r="B605" s="106" t="s">
        <v>4381</v>
      </c>
      <c r="C605" s="106" t="s">
        <v>4362</v>
      </c>
      <c r="D605" s="106" t="s">
        <v>492</v>
      </c>
      <c r="E605" s="106" t="s">
        <v>4361</v>
      </c>
      <c r="F605" s="106" t="s">
        <v>490</v>
      </c>
      <c r="G605" s="106" t="s">
        <v>4380</v>
      </c>
      <c r="H605" s="105" t="s">
        <v>4379</v>
      </c>
      <c r="I605" s="105" t="s">
        <v>4375</v>
      </c>
      <c r="J605" s="104">
        <v>3.89</v>
      </c>
      <c r="K605" s="103" t="s">
        <v>422</v>
      </c>
      <c r="L605" s="102" t="s">
        <v>801</v>
      </c>
      <c r="M605" s="95"/>
      <c r="N605" s="14"/>
      <c r="O605" s="94">
        <v>2</v>
      </c>
      <c r="P605" s="14" t="s">
        <v>485</v>
      </c>
      <c r="Q605" s="14" t="s">
        <v>497</v>
      </c>
      <c r="R605" s="14" t="s">
        <v>496</v>
      </c>
      <c r="S605" s="15">
        <v>9.1003488431876622</v>
      </c>
      <c r="T605" s="15">
        <v>0</v>
      </c>
      <c r="U605" s="15">
        <v>2.9</v>
      </c>
      <c r="V605" s="14">
        <v>23104</v>
      </c>
      <c r="W605" s="12">
        <v>0</v>
      </c>
      <c r="X605" s="12">
        <v>0</v>
      </c>
      <c r="Y605" s="12">
        <v>2.89</v>
      </c>
      <c r="Z605" s="12">
        <v>1</v>
      </c>
      <c r="AA605" s="12">
        <v>0</v>
      </c>
      <c r="AB605" s="13">
        <f t="shared" si="37"/>
        <v>0</v>
      </c>
      <c r="AE605" s="12">
        <v>0</v>
      </c>
      <c r="AF605" s="12">
        <v>0</v>
      </c>
      <c r="AG605" s="12">
        <v>2.89</v>
      </c>
      <c r="AH605" s="12">
        <v>1</v>
      </c>
      <c r="AI605" s="12">
        <v>0</v>
      </c>
      <c r="AJ605" s="13">
        <f t="shared" si="38"/>
        <v>0</v>
      </c>
      <c r="AN605" s="12">
        <f t="shared" si="39"/>
        <v>89875</v>
      </c>
      <c r="AQ605" s="8" t="s">
        <v>416</v>
      </c>
      <c r="AR605" t="str">
        <f t="shared" si="40"/>
        <v>Leste - A02</v>
      </c>
    </row>
    <row r="606" spans="1:44" x14ac:dyDescent="0.2">
      <c r="A606" s="107" t="s">
        <v>4378</v>
      </c>
      <c r="B606" s="106" t="s">
        <v>4377</v>
      </c>
      <c r="C606" s="106" t="s">
        <v>4362</v>
      </c>
      <c r="D606" s="106" t="s">
        <v>519</v>
      </c>
      <c r="E606" s="106" t="s">
        <v>4361</v>
      </c>
      <c r="F606" s="106" t="s">
        <v>490</v>
      </c>
      <c r="G606" s="106" t="s">
        <v>4376</v>
      </c>
      <c r="H606" s="105" t="s">
        <v>4375</v>
      </c>
      <c r="I606" s="105" t="s">
        <v>4366</v>
      </c>
      <c r="J606" s="104">
        <v>5.62</v>
      </c>
      <c r="K606" s="103" t="s">
        <v>422</v>
      </c>
      <c r="L606" s="102" t="s">
        <v>801</v>
      </c>
      <c r="M606" s="95"/>
      <c r="N606" s="14"/>
      <c r="O606" s="94">
        <v>2</v>
      </c>
      <c r="P606" s="14" t="s">
        <v>485</v>
      </c>
      <c r="Q606" s="14" t="s">
        <v>497</v>
      </c>
      <c r="R606" s="14" t="s">
        <v>496</v>
      </c>
      <c r="S606" s="15">
        <v>11</v>
      </c>
      <c r="T606" s="15">
        <v>0</v>
      </c>
      <c r="U606" s="15">
        <v>0</v>
      </c>
      <c r="V606" s="14">
        <v>8086.4</v>
      </c>
      <c r="W606" s="12">
        <v>0</v>
      </c>
      <c r="X606" s="12">
        <v>0</v>
      </c>
      <c r="Y606" s="12">
        <v>0</v>
      </c>
      <c r="Z606" s="12">
        <v>5.62</v>
      </c>
      <c r="AA606" s="12">
        <v>0</v>
      </c>
      <c r="AB606" s="13">
        <f t="shared" si="37"/>
        <v>0</v>
      </c>
      <c r="AE606" s="12">
        <v>0</v>
      </c>
      <c r="AF606" s="12">
        <v>0</v>
      </c>
      <c r="AG606" s="12">
        <v>0</v>
      </c>
      <c r="AH606" s="12">
        <v>5.62</v>
      </c>
      <c r="AI606" s="12">
        <v>0</v>
      </c>
      <c r="AJ606" s="13">
        <f t="shared" si="38"/>
        <v>0</v>
      </c>
      <c r="AN606" s="12">
        <f t="shared" si="39"/>
        <v>45446</v>
      </c>
      <c r="AQ606" s="8" t="s">
        <v>416</v>
      </c>
      <c r="AR606" t="str">
        <f t="shared" si="40"/>
        <v>Leste - A02</v>
      </c>
    </row>
    <row r="607" spans="1:44" x14ac:dyDescent="0.2">
      <c r="A607" s="107" t="s">
        <v>4374</v>
      </c>
      <c r="B607" s="106" t="s">
        <v>4373</v>
      </c>
      <c r="C607" s="106" t="s">
        <v>4362</v>
      </c>
      <c r="D607" s="106" t="s">
        <v>1032</v>
      </c>
      <c r="E607" s="106" t="s">
        <v>4372</v>
      </c>
      <c r="F607" s="106" t="s">
        <v>606</v>
      </c>
      <c r="G607" s="106" t="s">
        <v>4371</v>
      </c>
      <c r="H607" s="105" t="s">
        <v>4366</v>
      </c>
      <c r="I607" s="105" t="s">
        <v>4365</v>
      </c>
      <c r="J607" s="104">
        <v>0.85</v>
      </c>
      <c r="K607" s="103" t="s">
        <v>422</v>
      </c>
      <c r="L607" s="102" t="s">
        <v>801</v>
      </c>
      <c r="M607" s="95"/>
      <c r="N607" s="14"/>
      <c r="O607" s="94">
        <v>2</v>
      </c>
      <c r="P607" s="14" t="s">
        <v>596</v>
      </c>
      <c r="Q607" s="14" t="s">
        <v>497</v>
      </c>
      <c r="R607" s="14" t="s">
        <v>496</v>
      </c>
      <c r="S607" s="15">
        <v>12.961447058823529</v>
      </c>
      <c r="T607" s="15">
        <v>0</v>
      </c>
      <c r="U607" s="15">
        <v>0</v>
      </c>
      <c r="V607" s="14">
        <v>4082</v>
      </c>
      <c r="W607" s="12">
        <v>0</v>
      </c>
      <c r="X607" s="12">
        <v>0</v>
      </c>
      <c r="Y607" s="12">
        <v>0</v>
      </c>
      <c r="Z607" s="12">
        <v>0.85</v>
      </c>
      <c r="AA607" s="12">
        <v>0</v>
      </c>
      <c r="AB607" s="13">
        <f t="shared" si="37"/>
        <v>0</v>
      </c>
      <c r="AE607" s="12">
        <v>0</v>
      </c>
      <c r="AF607" s="12">
        <v>0</v>
      </c>
      <c r="AG607" s="12">
        <v>0</v>
      </c>
      <c r="AH607" s="12">
        <v>0.85</v>
      </c>
      <c r="AI607" s="12">
        <v>0</v>
      </c>
      <c r="AJ607" s="13">
        <f t="shared" si="38"/>
        <v>0</v>
      </c>
      <c r="AN607" s="12">
        <f t="shared" si="39"/>
        <v>3470</v>
      </c>
      <c r="AQ607" s="8" t="s">
        <v>416</v>
      </c>
      <c r="AR607" t="str">
        <f t="shared" si="40"/>
        <v>Leste - A02</v>
      </c>
    </row>
    <row r="608" spans="1:44" x14ac:dyDescent="0.2">
      <c r="A608" s="107" t="s">
        <v>4370</v>
      </c>
      <c r="B608" s="106" t="s">
        <v>4369</v>
      </c>
      <c r="C608" s="106" t="s">
        <v>4362</v>
      </c>
      <c r="D608" s="106" t="s">
        <v>1032</v>
      </c>
      <c r="E608" s="106" t="s">
        <v>4368</v>
      </c>
      <c r="F608" s="106" t="s">
        <v>600</v>
      </c>
      <c r="G608" s="106" t="s">
        <v>4367</v>
      </c>
      <c r="H608" s="105" t="s">
        <v>4366</v>
      </c>
      <c r="I608" s="105" t="s">
        <v>4365</v>
      </c>
      <c r="J608" s="104">
        <v>0.85</v>
      </c>
      <c r="K608" s="103" t="s">
        <v>422</v>
      </c>
      <c r="L608" s="102" t="s">
        <v>801</v>
      </c>
      <c r="M608" s="95"/>
      <c r="N608" s="14"/>
      <c r="O608" s="94">
        <v>2</v>
      </c>
      <c r="P608" s="14" t="s">
        <v>596</v>
      </c>
      <c r="Q608" s="14" t="s">
        <v>497</v>
      </c>
      <c r="R608" s="14" t="s">
        <v>496</v>
      </c>
      <c r="S608" s="15">
        <v>12.961447058823529</v>
      </c>
      <c r="T608" s="15">
        <v>0</v>
      </c>
      <c r="U608" s="15">
        <v>0</v>
      </c>
      <c r="V608" s="14">
        <v>4082</v>
      </c>
      <c r="W608" s="12">
        <v>0</v>
      </c>
      <c r="X608" s="12">
        <v>0</v>
      </c>
      <c r="Y608" s="12">
        <v>0</v>
      </c>
      <c r="Z608" s="12">
        <v>0.85</v>
      </c>
      <c r="AA608" s="12">
        <v>0</v>
      </c>
      <c r="AB608" s="13">
        <f t="shared" si="37"/>
        <v>0</v>
      </c>
      <c r="AE608" s="12">
        <v>0</v>
      </c>
      <c r="AF608" s="12">
        <v>0</v>
      </c>
      <c r="AG608" s="12">
        <v>0</v>
      </c>
      <c r="AH608" s="12">
        <v>0.85</v>
      </c>
      <c r="AI608" s="12">
        <v>0</v>
      </c>
      <c r="AJ608" s="13">
        <f t="shared" si="38"/>
        <v>0</v>
      </c>
      <c r="AN608" s="12">
        <f t="shared" si="39"/>
        <v>3470</v>
      </c>
      <c r="AQ608" s="8" t="s">
        <v>416</v>
      </c>
      <c r="AR608" t="str">
        <f t="shared" si="40"/>
        <v>Leste - A02</v>
      </c>
    </row>
    <row r="609" spans="1:44" x14ac:dyDescent="0.2">
      <c r="A609" s="107" t="s">
        <v>4364</v>
      </c>
      <c r="B609" s="106" t="s">
        <v>4363</v>
      </c>
      <c r="C609" s="106" t="s">
        <v>4362</v>
      </c>
      <c r="D609" s="106" t="s">
        <v>513</v>
      </c>
      <c r="E609" s="106" t="s">
        <v>4361</v>
      </c>
      <c r="F609" s="106" t="s">
        <v>490</v>
      </c>
      <c r="G609" s="106" t="s">
        <v>4360</v>
      </c>
      <c r="H609" s="105" t="s">
        <v>4359</v>
      </c>
      <c r="I609" s="105" t="s">
        <v>4358</v>
      </c>
      <c r="J609" s="104">
        <v>12.15</v>
      </c>
      <c r="K609" s="103" t="s">
        <v>422</v>
      </c>
      <c r="L609" s="102" t="s">
        <v>801</v>
      </c>
      <c r="M609" s="95"/>
      <c r="N609" s="14"/>
      <c r="O609" s="94">
        <v>2</v>
      </c>
      <c r="P609" s="14" t="s">
        <v>485</v>
      </c>
      <c r="Q609" s="14" t="s">
        <v>497</v>
      </c>
      <c r="R609" s="14" t="s">
        <v>496</v>
      </c>
      <c r="S609" s="15">
        <v>6.9135802469135799</v>
      </c>
      <c r="T609" s="15">
        <v>1</v>
      </c>
      <c r="U609" s="15">
        <v>0</v>
      </c>
      <c r="V609" s="14">
        <v>3916</v>
      </c>
      <c r="W609" s="12">
        <v>0</v>
      </c>
      <c r="X609" s="12">
        <v>0</v>
      </c>
      <c r="Y609" s="12">
        <v>0</v>
      </c>
      <c r="Z609" s="12">
        <v>12.15</v>
      </c>
      <c r="AA609" s="12">
        <v>0</v>
      </c>
      <c r="AB609" s="13">
        <f t="shared" si="37"/>
        <v>0</v>
      </c>
      <c r="AE609" s="12">
        <v>0</v>
      </c>
      <c r="AF609" s="12">
        <v>0</v>
      </c>
      <c r="AG609" s="12">
        <v>0</v>
      </c>
      <c r="AH609" s="12">
        <v>12.15</v>
      </c>
      <c r="AI609" s="12">
        <v>0</v>
      </c>
      <c r="AJ609" s="13">
        <f t="shared" si="38"/>
        <v>0</v>
      </c>
      <c r="AN609" s="12">
        <f t="shared" si="39"/>
        <v>47580</v>
      </c>
      <c r="AQ609" s="8" t="s">
        <v>416</v>
      </c>
      <c r="AR609" t="str">
        <f t="shared" si="40"/>
        <v>Leste - A02</v>
      </c>
    </row>
    <row r="610" spans="1:44" x14ac:dyDescent="0.2">
      <c r="A610" s="107" t="s">
        <v>4357</v>
      </c>
      <c r="B610" s="106" t="s">
        <v>4356</v>
      </c>
      <c r="C610" s="106" t="s">
        <v>4355</v>
      </c>
      <c r="D610" s="106" t="s">
        <v>492</v>
      </c>
      <c r="E610" s="106" t="s">
        <v>4354</v>
      </c>
      <c r="F610" s="106" t="s">
        <v>490</v>
      </c>
      <c r="G610" s="106" t="s">
        <v>4353</v>
      </c>
      <c r="H610" s="105" t="s">
        <v>4352</v>
      </c>
      <c r="I610" s="105" t="s">
        <v>4351</v>
      </c>
      <c r="J610" s="104">
        <v>16.260000000000002</v>
      </c>
      <c r="K610" s="103" t="s">
        <v>423</v>
      </c>
      <c r="L610" s="102" t="s">
        <v>801</v>
      </c>
      <c r="M610" s="95"/>
      <c r="N610" s="14"/>
      <c r="O610" s="94">
        <v>3</v>
      </c>
      <c r="P610" s="14" t="s">
        <v>485</v>
      </c>
      <c r="Q610" s="14" t="s">
        <v>872</v>
      </c>
      <c r="R610" s="14" t="s">
        <v>496</v>
      </c>
      <c r="S610" s="15">
        <v>7.317319372693726</v>
      </c>
      <c r="T610" s="15">
        <v>1.5</v>
      </c>
      <c r="U610" s="15">
        <v>0</v>
      </c>
      <c r="V610" s="14">
        <v>7742</v>
      </c>
      <c r="W610" s="12">
        <v>0</v>
      </c>
      <c r="X610" s="12">
        <v>5</v>
      </c>
      <c r="Y610" s="12">
        <v>11.260000000000002</v>
      </c>
      <c r="Z610" s="12">
        <v>0</v>
      </c>
      <c r="AA610" s="12">
        <v>0</v>
      </c>
      <c r="AB610" s="13">
        <f t="shared" si="37"/>
        <v>0</v>
      </c>
      <c r="AE610" s="12">
        <v>0</v>
      </c>
      <c r="AF610" s="12">
        <v>5</v>
      </c>
      <c r="AG610" s="12">
        <v>11.260000000000002</v>
      </c>
      <c r="AH610" s="12">
        <v>0</v>
      </c>
      <c r="AI610" s="12">
        <v>0</v>
      </c>
      <c r="AJ610" s="13">
        <f t="shared" si="38"/>
        <v>0</v>
      </c>
      <c r="AN610" s="12">
        <f t="shared" si="39"/>
        <v>125885</v>
      </c>
      <c r="AQ610" s="8" t="s">
        <v>416</v>
      </c>
      <c r="AR610" t="str">
        <f t="shared" si="40"/>
        <v>Leste - A03</v>
      </c>
    </row>
    <row r="611" spans="1:44" x14ac:dyDescent="0.2">
      <c r="A611" s="107" t="s">
        <v>4350</v>
      </c>
      <c r="B611" s="106" t="s">
        <v>4349</v>
      </c>
      <c r="C611" s="106" t="s">
        <v>4348</v>
      </c>
      <c r="D611" s="106" t="s">
        <v>492</v>
      </c>
      <c r="E611" s="106" t="s">
        <v>4347</v>
      </c>
      <c r="F611" s="106" t="s">
        <v>490</v>
      </c>
      <c r="G611" s="106" t="s">
        <v>4346</v>
      </c>
      <c r="H611" s="105" t="s">
        <v>4345</v>
      </c>
      <c r="I611" s="105" t="s">
        <v>4344</v>
      </c>
      <c r="J611" s="104">
        <v>8.83</v>
      </c>
      <c r="K611" s="103" t="s">
        <v>423</v>
      </c>
      <c r="L611" s="102" t="s">
        <v>801</v>
      </c>
      <c r="M611" s="95"/>
      <c r="N611" s="14"/>
      <c r="O611" s="94">
        <v>3</v>
      </c>
      <c r="P611" s="14" t="s">
        <v>485</v>
      </c>
      <c r="Q611" s="14" t="s">
        <v>872</v>
      </c>
      <c r="R611" s="14" t="s">
        <v>496</v>
      </c>
      <c r="S611" s="15">
        <v>7.3387678369195921</v>
      </c>
      <c r="T611" s="15">
        <v>2.5</v>
      </c>
      <c r="U611" s="15">
        <v>0</v>
      </c>
      <c r="V611" s="14">
        <v>4752</v>
      </c>
      <c r="W611" s="12">
        <v>0</v>
      </c>
      <c r="X611" s="12">
        <v>0</v>
      </c>
      <c r="Y611" s="12">
        <v>7.83</v>
      </c>
      <c r="Z611" s="12">
        <v>1</v>
      </c>
      <c r="AA611" s="12">
        <v>0</v>
      </c>
      <c r="AB611" s="13">
        <f t="shared" si="37"/>
        <v>0</v>
      </c>
      <c r="AE611" s="12">
        <v>0</v>
      </c>
      <c r="AF611" s="12">
        <v>0</v>
      </c>
      <c r="AG611" s="12">
        <v>7.83</v>
      </c>
      <c r="AH611" s="12">
        <v>1</v>
      </c>
      <c r="AI611" s="12">
        <v>0</v>
      </c>
      <c r="AJ611" s="13">
        <f t="shared" si="38"/>
        <v>0</v>
      </c>
      <c r="AN611" s="12">
        <f t="shared" si="39"/>
        <v>41961</v>
      </c>
      <c r="AQ611" s="8" t="s">
        <v>416</v>
      </c>
      <c r="AR611" t="str">
        <f t="shared" si="40"/>
        <v>Leste - A03</v>
      </c>
    </row>
    <row r="612" spans="1:44" x14ac:dyDescent="0.2">
      <c r="A612" s="114" t="s">
        <v>4343</v>
      </c>
      <c r="B612" s="113" t="s">
        <v>4342</v>
      </c>
      <c r="C612" s="113" t="s">
        <v>4317</v>
      </c>
      <c r="D612" s="113" t="s">
        <v>492</v>
      </c>
      <c r="E612" s="113" t="s">
        <v>4326</v>
      </c>
      <c r="F612" s="113" t="s">
        <v>590</v>
      </c>
      <c r="G612" s="113" t="s">
        <v>4341</v>
      </c>
      <c r="H612" s="112" t="s">
        <v>4337</v>
      </c>
      <c r="I612" s="112" t="s">
        <v>4333</v>
      </c>
      <c r="J612" s="111">
        <v>0.5</v>
      </c>
      <c r="K612" s="110" t="s">
        <v>423</v>
      </c>
      <c r="L612" s="109" t="s">
        <v>801</v>
      </c>
      <c r="M612" s="95"/>
      <c r="N612" s="14"/>
      <c r="O612" s="94"/>
      <c r="P612" s="14" t="s">
        <v>586</v>
      </c>
      <c r="Q612" s="14" t="s">
        <v>561</v>
      </c>
      <c r="R612" s="14" t="s">
        <v>496</v>
      </c>
      <c r="S612" s="15">
        <v>9.5</v>
      </c>
      <c r="T612" s="15">
        <v>0</v>
      </c>
      <c r="U612" s="15">
        <v>0</v>
      </c>
      <c r="V612" s="14">
        <v>4500</v>
      </c>
      <c r="W612" s="12">
        <v>0</v>
      </c>
      <c r="X612" s="12">
        <v>0</v>
      </c>
      <c r="Y612" s="12">
        <v>0.5</v>
      </c>
      <c r="Z612" s="12">
        <v>0</v>
      </c>
      <c r="AA612" s="12">
        <v>0</v>
      </c>
      <c r="AB612" s="13">
        <f t="shared" si="37"/>
        <v>0</v>
      </c>
      <c r="AE612" s="12">
        <v>0</v>
      </c>
      <c r="AF612" s="12">
        <v>0</v>
      </c>
      <c r="AG612" s="12">
        <v>0.5</v>
      </c>
      <c r="AH612" s="12">
        <v>0</v>
      </c>
      <c r="AI612" s="12">
        <v>0</v>
      </c>
      <c r="AJ612" s="13">
        <f t="shared" si="38"/>
        <v>0</v>
      </c>
      <c r="AN612" s="12">
        <f t="shared" si="39"/>
        <v>2250</v>
      </c>
      <c r="AQ612" s="8" t="s">
        <v>416</v>
      </c>
      <c r="AR612" t="str">
        <f t="shared" si="40"/>
        <v>Leste - A03</v>
      </c>
    </row>
    <row r="613" spans="1:44" x14ac:dyDescent="0.2">
      <c r="A613" s="114" t="s">
        <v>4340</v>
      </c>
      <c r="B613" s="113" t="s">
        <v>4339</v>
      </c>
      <c r="C613" s="113" t="s">
        <v>4317</v>
      </c>
      <c r="D613" s="113" t="s">
        <v>492</v>
      </c>
      <c r="E613" s="113" t="s">
        <v>4322</v>
      </c>
      <c r="F613" s="113" t="s">
        <v>590</v>
      </c>
      <c r="G613" s="113" t="s">
        <v>4338</v>
      </c>
      <c r="H613" s="112" t="s">
        <v>4337</v>
      </c>
      <c r="I613" s="112" t="s">
        <v>4333</v>
      </c>
      <c r="J613" s="111">
        <v>0.5</v>
      </c>
      <c r="K613" s="110" t="s">
        <v>423</v>
      </c>
      <c r="L613" s="109" t="s">
        <v>801</v>
      </c>
      <c r="M613" s="95"/>
      <c r="N613" s="14"/>
      <c r="O613" s="94"/>
      <c r="P613" s="14" t="s">
        <v>586</v>
      </c>
      <c r="Q613" s="14" t="s">
        <v>561</v>
      </c>
      <c r="R613" s="14" t="s">
        <v>496</v>
      </c>
      <c r="S613" s="15">
        <v>9.5</v>
      </c>
      <c r="T613" s="15">
        <v>0</v>
      </c>
      <c r="U613" s="15">
        <v>0</v>
      </c>
      <c r="V613" s="14">
        <v>4500</v>
      </c>
      <c r="W613" s="12">
        <v>0</v>
      </c>
      <c r="X613" s="12">
        <v>0.5</v>
      </c>
      <c r="Y613" s="12">
        <v>0</v>
      </c>
      <c r="Z613" s="12">
        <v>0</v>
      </c>
      <c r="AA613" s="12">
        <v>0</v>
      </c>
      <c r="AB613" s="13">
        <f t="shared" si="37"/>
        <v>0</v>
      </c>
      <c r="AE613" s="12">
        <v>0</v>
      </c>
      <c r="AF613" s="12">
        <v>0.5</v>
      </c>
      <c r="AG613" s="12">
        <v>0</v>
      </c>
      <c r="AH613" s="12">
        <v>0</v>
      </c>
      <c r="AI613" s="12">
        <v>0</v>
      </c>
      <c r="AJ613" s="13">
        <f t="shared" si="38"/>
        <v>0</v>
      </c>
      <c r="AN613" s="12">
        <f t="shared" si="39"/>
        <v>2250</v>
      </c>
      <c r="AQ613" s="8" t="s">
        <v>416</v>
      </c>
      <c r="AR613" t="str">
        <f t="shared" si="40"/>
        <v>Leste - A03</v>
      </c>
    </row>
    <row r="614" spans="1:44" x14ac:dyDescent="0.2">
      <c r="A614" s="114" t="s">
        <v>4336</v>
      </c>
      <c r="B614" s="113" t="s">
        <v>4335</v>
      </c>
      <c r="C614" s="113" t="s">
        <v>4317</v>
      </c>
      <c r="D614" s="113" t="s">
        <v>1637</v>
      </c>
      <c r="E614" s="113" t="s">
        <v>4316</v>
      </c>
      <c r="F614" s="113" t="s">
        <v>590</v>
      </c>
      <c r="G614" s="113" t="s">
        <v>4334</v>
      </c>
      <c r="H614" s="112" t="s">
        <v>4333</v>
      </c>
      <c r="I614" s="112" t="s">
        <v>4329</v>
      </c>
      <c r="J614" s="111">
        <v>0.45</v>
      </c>
      <c r="K614" s="110" t="s">
        <v>423</v>
      </c>
      <c r="L614" s="109" t="s">
        <v>801</v>
      </c>
      <c r="M614" s="95"/>
      <c r="N614" s="14"/>
      <c r="O614" s="94"/>
      <c r="P614" s="14" t="s">
        <v>586</v>
      </c>
      <c r="Q614" s="14" t="s">
        <v>561</v>
      </c>
      <c r="R614" s="14" t="s">
        <v>496</v>
      </c>
      <c r="S614" s="15">
        <v>7</v>
      </c>
      <c r="T614" s="15">
        <v>0</v>
      </c>
      <c r="U614" s="15">
        <v>0</v>
      </c>
      <c r="V614" s="14">
        <v>4500</v>
      </c>
      <c r="W614" s="12">
        <v>0.45</v>
      </c>
      <c r="X614" s="12">
        <v>0</v>
      </c>
      <c r="Y614" s="12">
        <v>0</v>
      </c>
      <c r="Z614" s="12">
        <v>0</v>
      </c>
      <c r="AA614" s="12">
        <v>0</v>
      </c>
      <c r="AB614" s="13">
        <f t="shared" si="37"/>
        <v>0</v>
      </c>
      <c r="AE614" s="12">
        <v>0.45</v>
      </c>
      <c r="AF614" s="12">
        <v>0</v>
      </c>
      <c r="AG614" s="12">
        <v>0</v>
      </c>
      <c r="AH614" s="12">
        <v>0</v>
      </c>
      <c r="AI614" s="12">
        <v>0</v>
      </c>
      <c r="AJ614" s="13">
        <f t="shared" si="38"/>
        <v>0</v>
      </c>
      <c r="AN614" s="12">
        <f t="shared" si="39"/>
        <v>2025</v>
      </c>
      <c r="AQ614" s="8" t="s">
        <v>416</v>
      </c>
      <c r="AR614" t="str">
        <f t="shared" si="40"/>
        <v>Leste - A03</v>
      </c>
    </row>
    <row r="615" spans="1:44" x14ac:dyDescent="0.2">
      <c r="A615" s="114" t="s">
        <v>4332</v>
      </c>
      <c r="B615" s="113" t="s">
        <v>4331</v>
      </c>
      <c r="C615" s="113" t="s">
        <v>4317</v>
      </c>
      <c r="D615" s="113" t="s">
        <v>1128</v>
      </c>
      <c r="E615" s="113" t="s">
        <v>4316</v>
      </c>
      <c r="F615" s="113" t="s">
        <v>590</v>
      </c>
      <c r="G615" s="113" t="s">
        <v>4330</v>
      </c>
      <c r="H615" s="112" t="s">
        <v>4329</v>
      </c>
      <c r="I615" s="112" t="s">
        <v>4320</v>
      </c>
      <c r="J615" s="111">
        <v>0.35</v>
      </c>
      <c r="K615" s="110" t="s">
        <v>423</v>
      </c>
      <c r="L615" s="109" t="s">
        <v>801</v>
      </c>
      <c r="M615" s="95"/>
      <c r="N615" s="14"/>
      <c r="O615" s="94"/>
      <c r="P615" s="14" t="s">
        <v>586</v>
      </c>
      <c r="Q615" s="14" t="s">
        <v>561</v>
      </c>
      <c r="R615" s="14" t="s">
        <v>496</v>
      </c>
      <c r="S615" s="15">
        <v>7</v>
      </c>
      <c r="T615" s="15">
        <v>0</v>
      </c>
      <c r="U615" s="15">
        <v>0</v>
      </c>
      <c r="V615" s="14">
        <v>4500</v>
      </c>
      <c r="W615" s="12">
        <v>0.35</v>
      </c>
      <c r="X615" s="12">
        <v>0</v>
      </c>
      <c r="Y615" s="12">
        <v>0</v>
      </c>
      <c r="Z615" s="12">
        <v>0</v>
      </c>
      <c r="AA615" s="12">
        <v>0</v>
      </c>
      <c r="AB615" s="13">
        <f t="shared" si="37"/>
        <v>0</v>
      </c>
      <c r="AE615" s="12">
        <v>0.35</v>
      </c>
      <c r="AF615" s="12">
        <v>0</v>
      </c>
      <c r="AG615" s="12">
        <v>0</v>
      </c>
      <c r="AH615" s="12">
        <v>0</v>
      </c>
      <c r="AI615" s="12">
        <v>0</v>
      </c>
      <c r="AJ615" s="13">
        <f t="shared" si="38"/>
        <v>0</v>
      </c>
      <c r="AN615" s="12">
        <f t="shared" si="39"/>
        <v>1575</v>
      </c>
      <c r="AQ615" s="8" t="s">
        <v>416</v>
      </c>
      <c r="AR615" t="str">
        <f t="shared" si="40"/>
        <v>Leste - A03</v>
      </c>
    </row>
    <row r="616" spans="1:44" x14ac:dyDescent="0.2">
      <c r="A616" s="114" t="s">
        <v>4328</v>
      </c>
      <c r="B616" s="113" t="s">
        <v>4327</v>
      </c>
      <c r="C616" s="113" t="s">
        <v>4317</v>
      </c>
      <c r="D616" s="113" t="s">
        <v>592</v>
      </c>
      <c r="E616" s="113" t="s">
        <v>4326</v>
      </c>
      <c r="F616" s="113" t="s">
        <v>590</v>
      </c>
      <c r="G616" s="113" t="s">
        <v>4325</v>
      </c>
      <c r="H616" s="112" t="s">
        <v>4320</v>
      </c>
      <c r="I616" s="112" t="s">
        <v>4314</v>
      </c>
      <c r="J616" s="111">
        <v>5.6</v>
      </c>
      <c r="K616" s="110" t="s">
        <v>423</v>
      </c>
      <c r="L616" s="109" t="s">
        <v>801</v>
      </c>
      <c r="M616" s="95"/>
      <c r="N616" s="14"/>
      <c r="O616" s="94"/>
      <c r="P616" s="14" t="s">
        <v>586</v>
      </c>
      <c r="Q616" s="14" t="s">
        <v>561</v>
      </c>
      <c r="R616" s="14" t="s">
        <v>496</v>
      </c>
      <c r="S616" s="15">
        <v>14</v>
      </c>
      <c r="T616" s="15">
        <v>0</v>
      </c>
      <c r="U616" s="15">
        <v>0</v>
      </c>
      <c r="V616" s="14">
        <v>4500</v>
      </c>
      <c r="W616" s="12">
        <v>0</v>
      </c>
      <c r="X616" s="12">
        <v>0</v>
      </c>
      <c r="Y616" s="12">
        <v>1</v>
      </c>
      <c r="Z616" s="12">
        <v>4.5999999999999996</v>
      </c>
      <c r="AA616" s="12">
        <v>0</v>
      </c>
      <c r="AB616" s="13">
        <f t="shared" si="37"/>
        <v>0</v>
      </c>
      <c r="AE616" s="12">
        <v>0</v>
      </c>
      <c r="AF616" s="12">
        <v>0</v>
      </c>
      <c r="AG616" s="12">
        <v>1</v>
      </c>
      <c r="AH616" s="12">
        <v>4.5999999999999996</v>
      </c>
      <c r="AI616" s="12">
        <v>0</v>
      </c>
      <c r="AJ616" s="13">
        <f t="shared" si="38"/>
        <v>0</v>
      </c>
      <c r="AN616" s="12">
        <f t="shared" si="39"/>
        <v>25200</v>
      </c>
      <c r="AQ616" s="8" t="s">
        <v>416</v>
      </c>
      <c r="AR616" t="str">
        <f t="shared" si="40"/>
        <v>Leste - A03</v>
      </c>
    </row>
    <row r="617" spans="1:44" x14ac:dyDescent="0.2">
      <c r="A617" s="114" t="s">
        <v>4324</v>
      </c>
      <c r="B617" s="113" t="s">
        <v>4323</v>
      </c>
      <c r="C617" s="113" t="s">
        <v>4317</v>
      </c>
      <c r="D617" s="113" t="s">
        <v>592</v>
      </c>
      <c r="E617" s="113" t="s">
        <v>4322</v>
      </c>
      <c r="F617" s="113" t="s">
        <v>590</v>
      </c>
      <c r="G617" s="113" t="s">
        <v>4321</v>
      </c>
      <c r="H617" s="112" t="s">
        <v>4320</v>
      </c>
      <c r="I617" s="112" t="s">
        <v>4314</v>
      </c>
      <c r="J617" s="111">
        <v>5.6</v>
      </c>
      <c r="K617" s="110" t="s">
        <v>423</v>
      </c>
      <c r="L617" s="109" t="s">
        <v>801</v>
      </c>
      <c r="M617" s="95"/>
      <c r="N617" s="14"/>
      <c r="O617" s="94"/>
      <c r="P617" s="14" t="s">
        <v>586</v>
      </c>
      <c r="Q617" s="14" t="s">
        <v>561</v>
      </c>
      <c r="R617" s="14" t="s">
        <v>496</v>
      </c>
      <c r="S617" s="15">
        <v>14</v>
      </c>
      <c r="T617" s="15">
        <v>0</v>
      </c>
      <c r="U617" s="15">
        <v>0</v>
      </c>
      <c r="V617" s="14">
        <v>4500</v>
      </c>
      <c r="W617" s="12">
        <v>0</v>
      </c>
      <c r="X617" s="12">
        <v>0</v>
      </c>
      <c r="Y617" s="12">
        <v>1.5999999999999996</v>
      </c>
      <c r="Z617" s="12">
        <v>4</v>
      </c>
      <c r="AA617" s="12">
        <v>0</v>
      </c>
      <c r="AB617" s="13">
        <f t="shared" si="37"/>
        <v>0</v>
      </c>
      <c r="AE617" s="12">
        <v>0</v>
      </c>
      <c r="AF617" s="12">
        <v>0</v>
      </c>
      <c r="AG617" s="12">
        <v>1.5999999999999996</v>
      </c>
      <c r="AH617" s="12">
        <v>4</v>
      </c>
      <c r="AI617" s="12">
        <v>0</v>
      </c>
      <c r="AJ617" s="13">
        <f t="shared" si="38"/>
        <v>0</v>
      </c>
      <c r="AN617" s="12">
        <f t="shared" si="39"/>
        <v>25200</v>
      </c>
      <c r="AQ617" s="8" t="s">
        <v>416</v>
      </c>
      <c r="AR617" t="str">
        <f t="shared" si="40"/>
        <v>Leste - A03</v>
      </c>
    </row>
    <row r="618" spans="1:44" x14ac:dyDescent="0.2">
      <c r="A618" s="114" t="s">
        <v>4319</v>
      </c>
      <c r="B618" s="113" t="s">
        <v>4318</v>
      </c>
      <c r="C618" s="113" t="s">
        <v>4317</v>
      </c>
      <c r="D618" s="113" t="s">
        <v>2545</v>
      </c>
      <c r="E618" s="113" t="s">
        <v>4316</v>
      </c>
      <c r="F618" s="113" t="s">
        <v>590</v>
      </c>
      <c r="G618" s="113" t="s">
        <v>4315</v>
      </c>
      <c r="H618" s="112" t="s">
        <v>4314</v>
      </c>
      <c r="I618" s="112" t="s">
        <v>842</v>
      </c>
      <c r="J618" s="111">
        <v>0.6</v>
      </c>
      <c r="K618" s="110" t="s">
        <v>423</v>
      </c>
      <c r="L618" s="109" t="s">
        <v>801</v>
      </c>
      <c r="M618" s="95"/>
      <c r="N618" s="14"/>
      <c r="O618" s="94"/>
      <c r="P618" s="14" t="s">
        <v>586</v>
      </c>
      <c r="Q618" s="14" t="s">
        <v>561</v>
      </c>
      <c r="R618" s="14" t="s">
        <v>496</v>
      </c>
      <c r="S618" s="15">
        <v>7</v>
      </c>
      <c r="T618" s="15">
        <v>0</v>
      </c>
      <c r="U618" s="15">
        <v>0</v>
      </c>
      <c r="V618" s="14">
        <v>4500</v>
      </c>
      <c r="W618" s="12">
        <v>0</v>
      </c>
      <c r="X618" s="12">
        <v>0.6</v>
      </c>
      <c r="Y618" s="12">
        <v>0</v>
      </c>
      <c r="Z618" s="12">
        <v>0</v>
      </c>
      <c r="AA618" s="12">
        <v>0</v>
      </c>
      <c r="AB618" s="13">
        <f t="shared" si="37"/>
        <v>0</v>
      </c>
      <c r="AE618" s="12">
        <v>0</v>
      </c>
      <c r="AF618" s="12">
        <v>0.6</v>
      </c>
      <c r="AG618" s="12">
        <v>0</v>
      </c>
      <c r="AH618" s="12">
        <v>0</v>
      </c>
      <c r="AI618" s="12">
        <v>0</v>
      </c>
      <c r="AJ618" s="13">
        <f t="shared" si="38"/>
        <v>0</v>
      </c>
      <c r="AN618" s="12">
        <f t="shared" si="39"/>
        <v>2700</v>
      </c>
      <c r="AQ618" s="8" t="s">
        <v>416</v>
      </c>
      <c r="AR618" t="str">
        <f t="shared" si="40"/>
        <v>Leste - A03</v>
      </c>
    </row>
    <row r="619" spans="1:44" x14ac:dyDescent="0.2">
      <c r="A619" s="107" t="s">
        <v>4313</v>
      </c>
      <c r="B619" s="106" t="s">
        <v>4312</v>
      </c>
      <c r="C619" s="106" t="s">
        <v>4298</v>
      </c>
      <c r="D619" s="106" t="s">
        <v>981</v>
      </c>
      <c r="E619" s="106" t="s">
        <v>4297</v>
      </c>
      <c r="F619" s="106" t="s">
        <v>490</v>
      </c>
      <c r="G619" s="106" t="s">
        <v>4311</v>
      </c>
      <c r="H619" s="105" t="s">
        <v>4310</v>
      </c>
      <c r="I619" s="105" t="s">
        <v>4307</v>
      </c>
      <c r="J619" s="104">
        <v>6</v>
      </c>
      <c r="K619" s="103" t="s">
        <v>421</v>
      </c>
      <c r="L619" s="102" t="s">
        <v>577</v>
      </c>
      <c r="M619" s="95"/>
      <c r="N619" s="14"/>
      <c r="O619" s="94">
        <v>6</v>
      </c>
      <c r="P619" s="14" t="s">
        <v>485</v>
      </c>
      <c r="Q619" s="14" t="s">
        <v>887</v>
      </c>
      <c r="R619" s="14" t="s">
        <v>1258</v>
      </c>
      <c r="S619" s="15">
        <v>7</v>
      </c>
      <c r="T619" s="15">
        <v>0</v>
      </c>
      <c r="U619" s="15">
        <v>0</v>
      </c>
      <c r="V619" s="14">
        <v>2916</v>
      </c>
      <c r="W619" s="12">
        <v>0</v>
      </c>
      <c r="X619" s="12">
        <v>1</v>
      </c>
      <c r="Y619" s="12">
        <v>0</v>
      </c>
      <c r="Z619" s="12">
        <v>5</v>
      </c>
      <c r="AA619" s="12">
        <v>0</v>
      </c>
      <c r="AB619" s="13">
        <f t="shared" si="37"/>
        <v>0</v>
      </c>
      <c r="AE619" s="12">
        <v>0</v>
      </c>
      <c r="AF619" s="12">
        <v>1</v>
      </c>
      <c r="AG619" s="12">
        <v>0</v>
      </c>
      <c r="AH619" s="12">
        <v>5</v>
      </c>
      <c r="AI619" s="12">
        <v>0</v>
      </c>
      <c r="AJ619" s="13">
        <f t="shared" si="38"/>
        <v>0</v>
      </c>
      <c r="AN619" s="12">
        <f t="shared" si="39"/>
        <v>17496</v>
      </c>
      <c r="AQ619" s="8" t="s">
        <v>420</v>
      </c>
      <c r="AR619" t="str">
        <f t="shared" si="40"/>
        <v>Campos Gerais - A01</v>
      </c>
    </row>
    <row r="620" spans="1:44" x14ac:dyDescent="0.2">
      <c r="A620" s="107" t="s">
        <v>4309</v>
      </c>
      <c r="B620" s="106" t="s">
        <v>4308</v>
      </c>
      <c r="C620" s="106" t="s">
        <v>4298</v>
      </c>
      <c r="D620" s="106" t="s">
        <v>1304</v>
      </c>
      <c r="E620" s="106" t="s">
        <v>4297</v>
      </c>
      <c r="F620" s="106" t="s">
        <v>490</v>
      </c>
      <c r="G620" s="106" t="s">
        <v>4303</v>
      </c>
      <c r="H620" s="105" t="s">
        <v>4307</v>
      </c>
      <c r="I620" s="105" t="s">
        <v>4302</v>
      </c>
      <c r="J620" s="104">
        <v>1.7</v>
      </c>
      <c r="K620" s="103" t="s">
        <v>421</v>
      </c>
      <c r="L620" s="102" t="s">
        <v>577</v>
      </c>
      <c r="M620" s="95"/>
      <c r="N620" s="14"/>
      <c r="O620" s="94">
        <v>6</v>
      </c>
      <c r="P620" s="14" t="s">
        <v>485</v>
      </c>
      <c r="Q620" s="14" t="s">
        <v>497</v>
      </c>
      <c r="R620" s="14" t="s">
        <v>496</v>
      </c>
      <c r="S620" s="15">
        <v>8</v>
      </c>
      <c r="T620" s="15">
        <v>0</v>
      </c>
      <c r="U620" s="15">
        <v>0</v>
      </c>
      <c r="V620" s="14">
        <v>2916</v>
      </c>
      <c r="W620" s="12">
        <v>0</v>
      </c>
      <c r="X620" s="12">
        <v>0</v>
      </c>
      <c r="Y620" s="12">
        <v>0</v>
      </c>
      <c r="Z620" s="12">
        <v>1.7</v>
      </c>
      <c r="AA620" s="12">
        <v>0</v>
      </c>
      <c r="AB620" s="13">
        <f t="shared" si="37"/>
        <v>0</v>
      </c>
      <c r="AE620" s="12">
        <v>0</v>
      </c>
      <c r="AF620" s="12">
        <v>0</v>
      </c>
      <c r="AG620" s="12">
        <v>0</v>
      </c>
      <c r="AH620" s="12">
        <v>1.7</v>
      </c>
      <c r="AI620" s="12">
        <v>0</v>
      </c>
      <c r="AJ620" s="13">
        <f t="shared" si="38"/>
        <v>0</v>
      </c>
      <c r="AN620" s="12">
        <f t="shared" si="39"/>
        <v>4958</v>
      </c>
      <c r="AQ620" s="8" t="s">
        <v>420</v>
      </c>
      <c r="AR620" t="str">
        <f t="shared" si="40"/>
        <v>Campos Gerais - A01</v>
      </c>
    </row>
    <row r="621" spans="1:44" x14ac:dyDescent="0.2">
      <c r="A621" s="107" t="s">
        <v>4306</v>
      </c>
      <c r="B621" s="106" t="s">
        <v>4305</v>
      </c>
      <c r="C621" s="106" t="s">
        <v>4298</v>
      </c>
      <c r="D621" s="106" t="s">
        <v>1304</v>
      </c>
      <c r="E621" s="106" t="s">
        <v>4304</v>
      </c>
      <c r="F621" s="106" t="s">
        <v>590</v>
      </c>
      <c r="G621" s="106" t="s">
        <v>4303</v>
      </c>
      <c r="H621" s="105" t="s">
        <v>4302</v>
      </c>
      <c r="I621" s="105" t="s">
        <v>4301</v>
      </c>
      <c r="J621" s="104">
        <v>1.84</v>
      </c>
      <c r="K621" s="103" t="s">
        <v>421</v>
      </c>
      <c r="L621" s="102" t="s">
        <v>577</v>
      </c>
      <c r="M621" s="95"/>
      <c r="N621" s="14"/>
      <c r="O621" s="94">
        <v>6</v>
      </c>
      <c r="P621" s="14" t="s">
        <v>586</v>
      </c>
      <c r="Q621" s="14" t="s">
        <v>497</v>
      </c>
      <c r="R621" s="14" t="s">
        <v>496</v>
      </c>
      <c r="S621" s="15">
        <v>9.6</v>
      </c>
      <c r="T621" s="15">
        <v>0</v>
      </c>
      <c r="U621" s="15">
        <v>0</v>
      </c>
      <c r="V621" s="14">
        <v>377</v>
      </c>
      <c r="W621" s="12">
        <v>0</v>
      </c>
      <c r="X621" s="12">
        <v>0</v>
      </c>
      <c r="Y621" s="12">
        <v>0.84000000000000008</v>
      </c>
      <c r="Z621" s="12">
        <v>1</v>
      </c>
      <c r="AA621" s="12">
        <v>0</v>
      </c>
      <c r="AB621" s="13">
        <f t="shared" si="37"/>
        <v>0</v>
      </c>
      <c r="AE621" s="12">
        <v>0</v>
      </c>
      <c r="AF621" s="12">
        <v>0</v>
      </c>
      <c r="AG621" s="12">
        <v>0.84000000000000008</v>
      </c>
      <c r="AH621" s="12">
        <v>1</v>
      </c>
      <c r="AI621" s="12">
        <v>0</v>
      </c>
      <c r="AJ621" s="13">
        <f t="shared" si="38"/>
        <v>0</v>
      </c>
      <c r="AN621" s="12">
        <f t="shared" si="39"/>
        <v>694</v>
      </c>
      <c r="AQ621" s="8" t="s">
        <v>420</v>
      </c>
      <c r="AR621" t="str">
        <f t="shared" si="40"/>
        <v>Campos Gerais - A01</v>
      </c>
    </row>
    <row r="622" spans="1:44" x14ac:dyDescent="0.2">
      <c r="A622" s="107" t="s">
        <v>4300</v>
      </c>
      <c r="B622" s="106" t="s">
        <v>4299</v>
      </c>
      <c r="C622" s="106" t="s">
        <v>4298</v>
      </c>
      <c r="D622" s="106" t="s">
        <v>965</v>
      </c>
      <c r="E622" s="106" t="s">
        <v>4297</v>
      </c>
      <c r="F622" s="106" t="s">
        <v>490</v>
      </c>
      <c r="G622" s="106" t="s">
        <v>4296</v>
      </c>
      <c r="H622" s="105" t="s">
        <v>4295</v>
      </c>
      <c r="I622" s="105" t="s">
        <v>4294</v>
      </c>
      <c r="J622" s="104">
        <v>20.239999999999998</v>
      </c>
      <c r="K622" s="103" t="s">
        <v>429</v>
      </c>
      <c r="L622" s="102" t="s">
        <v>486</v>
      </c>
      <c r="M622" s="95"/>
      <c r="N622" s="14"/>
      <c r="O622" s="94">
        <v>21</v>
      </c>
      <c r="P622" s="14" t="s">
        <v>485</v>
      </c>
      <c r="Q622" s="14" t="s">
        <v>497</v>
      </c>
      <c r="R622" s="14" t="s">
        <v>496</v>
      </c>
      <c r="S622" s="15">
        <v>7</v>
      </c>
      <c r="T622" s="15">
        <v>1.4</v>
      </c>
      <c r="U622" s="15">
        <v>0</v>
      </c>
      <c r="V622" s="14">
        <v>1838</v>
      </c>
      <c r="W622" s="12">
        <v>0</v>
      </c>
      <c r="X622" s="12">
        <v>1</v>
      </c>
      <c r="Y622" s="12">
        <v>10</v>
      </c>
      <c r="Z622" s="12">
        <v>9.2399999999999984</v>
      </c>
      <c r="AA622" s="12">
        <v>0</v>
      </c>
      <c r="AB622" s="13">
        <f t="shared" si="37"/>
        <v>0</v>
      </c>
      <c r="AE622" s="12">
        <v>0</v>
      </c>
      <c r="AF622" s="12">
        <v>1</v>
      </c>
      <c r="AG622" s="12">
        <v>10</v>
      </c>
      <c r="AH622" s="12">
        <v>9.2399999999999984</v>
      </c>
      <c r="AI622" s="12">
        <v>0</v>
      </c>
      <c r="AJ622" s="13">
        <f t="shared" si="38"/>
        <v>0</v>
      </c>
      <c r="AN622" s="12">
        <f t="shared" si="39"/>
        <v>37202</v>
      </c>
      <c r="AQ622" s="8" t="s">
        <v>419</v>
      </c>
      <c r="AR622" t="str">
        <f t="shared" si="40"/>
        <v>Norte - A09</v>
      </c>
    </row>
    <row r="623" spans="1:44" x14ac:dyDescent="0.2">
      <c r="A623" s="107" t="s">
        <v>4293</v>
      </c>
      <c r="B623" s="106" t="s">
        <v>4292</v>
      </c>
      <c r="C623" s="106" t="s">
        <v>4282</v>
      </c>
      <c r="D623" s="106" t="s">
        <v>492</v>
      </c>
      <c r="E623" s="106" t="s">
        <v>4281</v>
      </c>
      <c r="F623" s="106" t="s">
        <v>490</v>
      </c>
      <c r="G623" s="106" t="s">
        <v>4291</v>
      </c>
      <c r="H623" s="105" t="s">
        <v>4290</v>
      </c>
      <c r="I623" s="105" t="s">
        <v>4289</v>
      </c>
      <c r="J623" s="104">
        <v>1.32</v>
      </c>
      <c r="K623" s="103" t="s">
        <v>429</v>
      </c>
      <c r="L623" s="102" t="s">
        <v>486</v>
      </c>
      <c r="M623" s="95"/>
      <c r="N623" s="14"/>
      <c r="O623" s="94">
        <v>21</v>
      </c>
      <c r="P623" s="14" t="s">
        <v>485</v>
      </c>
      <c r="Q623" s="14" t="s">
        <v>887</v>
      </c>
      <c r="R623" s="14" t="s">
        <v>496</v>
      </c>
      <c r="S623" s="15">
        <v>6.6</v>
      </c>
      <c r="T623" s="15">
        <v>1.2</v>
      </c>
      <c r="U623" s="15">
        <v>0</v>
      </c>
      <c r="V623" s="14">
        <v>439</v>
      </c>
      <c r="W623" s="12">
        <v>0</v>
      </c>
      <c r="X623" s="12">
        <v>0</v>
      </c>
      <c r="Y623" s="12">
        <v>0</v>
      </c>
      <c r="Z623" s="12">
        <v>1.32</v>
      </c>
      <c r="AA623" s="12">
        <v>0</v>
      </c>
      <c r="AB623" s="13">
        <f t="shared" si="37"/>
        <v>0</v>
      </c>
      <c r="AE623" s="12">
        <v>0</v>
      </c>
      <c r="AF623" s="12">
        <v>0</v>
      </c>
      <c r="AG623" s="12">
        <v>0</v>
      </c>
      <c r="AH623" s="12">
        <v>1.32</v>
      </c>
      <c r="AI623" s="12">
        <v>0</v>
      </c>
      <c r="AJ623" s="13">
        <f t="shared" si="38"/>
        <v>0</v>
      </c>
      <c r="AN623" s="12">
        <f t="shared" si="39"/>
        <v>580</v>
      </c>
      <c r="AQ623" s="8" t="s">
        <v>419</v>
      </c>
      <c r="AR623" t="str">
        <f t="shared" si="40"/>
        <v>Norte - A09</v>
      </c>
    </row>
    <row r="624" spans="1:44" x14ac:dyDescent="0.2">
      <c r="A624" s="107" t="s">
        <v>4288</v>
      </c>
      <c r="B624" s="106" t="s">
        <v>4287</v>
      </c>
      <c r="C624" s="106" t="s">
        <v>4282</v>
      </c>
      <c r="D624" s="106" t="s">
        <v>513</v>
      </c>
      <c r="E624" s="106" t="s">
        <v>4281</v>
      </c>
      <c r="F624" s="106" t="s">
        <v>490</v>
      </c>
      <c r="G624" s="106" t="s">
        <v>4286</v>
      </c>
      <c r="H624" s="105" t="s">
        <v>4285</v>
      </c>
      <c r="I624" s="105" t="s">
        <v>4279</v>
      </c>
      <c r="J624" s="104">
        <v>17.920000000000002</v>
      </c>
      <c r="K624" s="103" t="s">
        <v>429</v>
      </c>
      <c r="L624" s="102" t="s">
        <v>486</v>
      </c>
      <c r="M624" s="95"/>
      <c r="N624" s="14"/>
      <c r="O624" s="94">
        <v>21</v>
      </c>
      <c r="P624" s="14" t="s">
        <v>485</v>
      </c>
      <c r="Q624" s="14" t="s">
        <v>887</v>
      </c>
      <c r="R624" s="14" t="s">
        <v>496</v>
      </c>
      <c r="S624" s="15">
        <v>6.6</v>
      </c>
      <c r="T624" s="15">
        <v>1.2</v>
      </c>
      <c r="U624" s="15">
        <v>0</v>
      </c>
      <c r="V624" s="14">
        <v>439</v>
      </c>
      <c r="W624" s="12">
        <v>0</v>
      </c>
      <c r="X624" s="12">
        <v>0.92000000000000171</v>
      </c>
      <c r="Y624" s="12">
        <v>3</v>
      </c>
      <c r="Z624" s="12">
        <v>14</v>
      </c>
      <c r="AA624" s="12">
        <v>0</v>
      </c>
      <c r="AB624" s="13">
        <f t="shared" si="37"/>
        <v>0</v>
      </c>
      <c r="AE624" s="12">
        <v>0</v>
      </c>
      <c r="AF624" s="12">
        <v>0.92000000000000171</v>
      </c>
      <c r="AG624" s="12">
        <v>3</v>
      </c>
      <c r="AH624" s="12">
        <v>14</v>
      </c>
      <c r="AI624" s="12">
        <v>0</v>
      </c>
      <c r="AJ624" s="13">
        <f t="shared" si="38"/>
        <v>0</v>
      </c>
      <c r="AN624" s="12">
        <f t="shared" si="39"/>
        <v>7867</v>
      </c>
      <c r="AQ624" s="8" t="s">
        <v>419</v>
      </c>
      <c r="AR624" t="str">
        <f t="shared" si="40"/>
        <v>Norte - A09</v>
      </c>
    </row>
    <row r="625" spans="1:44" x14ac:dyDescent="0.2">
      <c r="A625" s="107" t="s">
        <v>4284</v>
      </c>
      <c r="B625" s="106" t="s">
        <v>4283</v>
      </c>
      <c r="C625" s="106" t="s">
        <v>4282</v>
      </c>
      <c r="D625" s="106" t="s">
        <v>989</v>
      </c>
      <c r="E625" s="106" t="s">
        <v>4281</v>
      </c>
      <c r="F625" s="106" t="s">
        <v>490</v>
      </c>
      <c r="G625" s="106" t="s">
        <v>4280</v>
      </c>
      <c r="H625" s="105" t="s">
        <v>4279</v>
      </c>
      <c r="I625" s="105" t="s">
        <v>4278</v>
      </c>
      <c r="J625" s="104">
        <v>7.54</v>
      </c>
      <c r="K625" s="103" t="s">
        <v>429</v>
      </c>
      <c r="L625" s="102" t="s">
        <v>486</v>
      </c>
      <c r="M625" s="95"/>
      <c r="N625" s="14"/>
      <c r="O625" s="94">
        <v>21</v>
      </c>
      <c r="P625" s="14" t="s">
        <v>485</v>
      </c>
      <c r="Q625" s="14" t="s">
        <v>887</v>
      </c>
      <c r="R625" s="14" t="s">
        <v>496</v>
      </c>
      <c r="S625" s="15">
        <v>6.6</v>
      </c>
      <c r="T625" s="15">
        <v>1.2</v>
      </c>
      <c r="U625" s="15">
        <v>0</v>
      </c>
      <c r="V625" s="14">
        <v>439</v>
      </c>
      <c r="W625" s="12">
        <v>0</v>
      </c>
      <c r="X625" s="12">
        <v>0</v>
      </c>
      <c r="Y625" s="12">
        <v>2</v>
      </c>
      <c r="Z625" s="12">
        <v>5.54</v>
      </c>
      <c r="AA625" s="12">
        <v>0</v>
      </c>
      <c r="AB625" s="13">
        <f t="shared" si="37"/>
        <v>0</v>
      </c>
      <c r="AE625" s="12">
        <v>0</v>
      </c>
      <c r="AF625" s="12">
        <v>0</v>
      </c>
      <c r="AG625" s="12">
        <v>2</v>
      </c>
      <c r="AH625" s="12">
        <v>5.54</v>
      </c>
      <c r="AI625" s="12">
        <v>0</v>
      </c>
      <c r="AJ625" s="13">
        <f t="shared" si="38"/>
        <v>0</v>
      </c>
      <c r="AN625" s="12">
        <f t="shared" si="39"/>
        <v>3311</v>
      </c>
      <c r="AQ625" s="8" t="s">
        <v>419</v>
      </c>
      <c r="AR625" t="str">
        <f t="shared" si="40"/>
        <v>Norte - A09</v>
      </c>
    </row>
    <row r="626" spans="1:44" x14ac:dyDescent="0.2">
      <c r="A626" s="107" t="s">
        <v>4277</v>
      </c>
      <c r="B626" s="106" t="s">
        <v>4276</v>
      </c>
      <c r="C626" s="106" t="s">
        <v>4268</v>
      </c>
      <c r="D626" s="106" t="s">
        <v>492</v>
      </c>
      <c r="E626" s="106" t="s">
        <v>4267</v>
      </c>
      <c r="F626" s="106" t="s">
        <v>490</v>
      </c>
      <c r="G626" s="106" t="s">
        <v>4275</v>
      </c>
      <c r="H626" s="105" t="s">
        <v>903</v>
      </c>
      <c r="I626" s="105" t="s">
        <v>4271</v>
      </c>
      <c r="J626" s="104">
        <v>2.25</v>
      </c>
      <c r="K626" s="103" t="s">
        <v>424</v>
      </c>
      <c r="L626" s="102" t="s">
        <v>801</v>
      </c>
      <c r="M626" s="95"/>
      <c r="N626" s="14"/>
      <c r="O626" s="94">
        <v>4</v>
      </c>
      <c r="P626" s="14" t="s">
        <v>485</v>
      </c>
      <c r="Q626" s="14" t="s">
        <v>497</v>
      </c>
      <c r="R626" s="14" t="s">
        <v>496</v>
      </c>
      <c r="S626" s="15">
        <v>7.17</v>
      </c>
      <c r="T626" s="15">
        <v>0.91499999999999981</v>
      </c>
      <c r="U626" s="15">
        <v>0</v>
      </c>
      <c r="V626" s="14">
        <v>3921</v>
      </c>
      <c r="W626" s="12">
        <v>0</v>
      </c>
      <c r="X626" s="12">
        <v>0</v>
      </c>
      <c r="Y626" s="12">
        <v>0</v>
      </c>
      <c r="Z626" s="12">
        <v>2.25</v>
      </c>
      <c r="AA626" s="12">
        <v>0</v>
      </c>
      <c r="AB626" s="13">
        <f t="shared" si="37"/>
        <v>0</v>
      </c>
      <c r="AE626" s="12">
        <v>0</v>
      </c>
      <c r="AF626" s="12">
        <v>0</v>
      </c>
      <c r="AG626" s="12">
        <v>0</v>
      </c>
      <c r="AH626" s="12">
        <v>2.25</v>
      </c>
      <c r="AI626" s="12">
        <v>0</v>
      </c>
      <c r="AJ626" s="13">
        <f t="shared" si="38"/>
        <v>0</v>
      </c>
      <c r="AN626" s="12">
        <f t="shared" si="39"/>
        <v>8823</v>
      </c>
      <c r="AQ626" s="8" t="s">
        <v>416</v>
      </c>
      <c r="AR626" t="str">
        <f t="shared" si="40"/>
        <v>Leste - A04</v>
      </c>
    </row>
    <row r="627" spans="1:44" x14ac:dyDescent="0.2">
      <c r="A627" s="107" t="s">
        <v>4274</v>
      </c>
      <c r="B627" s="106" t="s">
        <v>4273</v>
      </c>
      <c r="C627" s="106" t="s">
        <v>4268</v>
      </c>
      <c r="D627" s="106" t="s">
        <v>592</v>
      </c>
      <c r="E627" s="106" t="s">
        <v>4267</v>
      </c>
      <c r="F627" s="106" t="s">
        <v>490</v>
      </c>
      <c r="G627" s="106" t="s">
        <v>4272</v>
      </c>
      <c r="H627" s="105" t="s">
        <v>4271</v>
      </c>
      <c r="I627" s="105" t="s">
        <v>4265</v>
      </c>
      <c r="J627" s="104">
        <v>28.79</v>
      </c>
      <c r="K627" s="103" t="s">
        <v>424</v>
      </c>
      <c r="L627" s="102" t="s">
        <v>801</v>
      </c>
      <c r="M627" s="95"/>
      <c r="N627" s="14"/>
      <c r="O627" s="94">
        <v>4</v>
      </c>
      <c r="P627" s="14" t="s">
        <v>485</v>
      </c>
      <c r="Q627" s="14" t="s">
        <v>497</v>
      </c>
      <c r="R627" s="14" t="s">
        <v>496</v>
      </c>
      <c r="S627" s="15">
        <v>7.17</v>
      </c>
      <c r="T627" s="15">
        <v>0.91499999999999981</v>
      </c>
      <c r="U627" s="15">
        <v>0</v>
      </c>
      <c r="V627" s="14">
        <v>2322</v>
      </c>
      <c r="W627" s="12">
        <v>0</v>
      </c>
      <c r="X627" s="12">
        <v>0</v>
      </c>
      <c r="Y627" s="12">
        <v>6</v>
      </c>
      <c r="Z627" s="12">
        <v>22.79</v>
      </c>
      <c r="AA627" s="12">
        <v>0</v>
      </c>
      <c r="AB627" s="13">
        <f t="shared" si="37"/>
        <v>0</v>
      </c>
      <c r="AE627" s="12">
        <v>0</v>
      </c>
      <c r="AF627" s="12">
        <v>0</v>
      </c>
      <c r="AG627" s="12">
        <v>6</v>
      </c>
      <c r="AH627" s="12">
        <v>22.79</v>
      </c>
      <c r="AI627" s="12">
        <v>0</v>
      </c>
      <c r="AJ627" s="13">
        <f t="shared" si="38"/>
        <v>0</v>
      </c>
      <c r="AN627" s="12">
        <f t="shared" si="39"/>
        <v>66851</v>
      </c>
      <c r="AQ627" s="8" t="s">
        <v>416</v>
      </c>
      <c r="AR627" t="str">
        <f t="shared" si="40"/>
        <v>Leste - A04</v>
      </c>
    </row>
    <row r="628" spans="1:44" x14ac:dyDescent="0.2">
      <c r="A628" s="107" t="s">
        <v>4270</v>
      </c>
      <c r="B628" s="106" t="s">
        <v>4269</v>
      </c>
      <c r="C628" s="106" t="s">
        <v>4268</v>
      </c>
      <c r="D628" s="106" t="s">
        <v>519</v>
      </c>
      <c r="E628" s="106" t="s">
        <v>4267</v>
      </c>
      <c r="F628" s="106" t="s">
        <v>490</v>
      </c>
      <c r="G628" s="106" t="s">
        <v>4266</v>
      </c>
      <c r="H628" s="105" t="s">
        <v>4265</v>
      </c>
      <c r="I628" s="105" t="s">
        <v>4264</v>
      </c>
      <c r="J628" s="104">
        <v>1.43</v>
      </c>
      <c r="K628" s="103" t="s">
        <v>424</v>
      </c>
      <c r="L628" s="102" t="s">
        <v>801</v>
      </c>
      <c r="M628" s="95"/>
      <c r="N628" s="14"/>
      <c r="O628" s="94">
        <v>4</v>
      </c>
      <c r="P628" s="14" t="s">
        <v>485</v>
      </c>
      <c r="Q628" s="14" t="s">
        <v>497</v>
      </c>
      <c r="R628" s="14" t="s">
        <v>496</v>
      </c>
      <c r="S628" s="15">
        <v>7.17</v>
      </c>
      <c r="T628" s="15">
        <v>1.2149999999999999</v>
      </c>
      <c r="U628" s="15">
        <v>0</v>
      </c>
      <c r="V628" s="14">
        <v>2322</v>
      </c>
      <c r="W628" s="12">
        <v>0</v>
      </c>
      <c r="X628" s="12">
        <v>0</v>
      </c>
      <c r="Y628" s="12">
        <v>0</v>
      </c>
      <c r="Z628" s="12">
        <v>1.43</v>
      </c>
      <c r="AA628" s="12">
        <v>0</v>
      </c>
      <c r="AB628" s="13">
        <f t="shared" si="37"/>
        <v>0</v>
      </c>
      <c r="AE628" s="12">
        <v>0</v>
      </c>
      <c r="AF628" s="12">
        <v>0</v>
      </c>
      <c r="AG628" s="12">
        <v>0</v>
      </c>
      <c r="AH628" s="12">
        <v>1.43</v>
      </c>
      <c r="AI628" s="12">
        <v>0</v>
      </c>
      <c r="AJ628" s="13">
        <f t="shared" si="38"/>
        <v>0</v>
      </c>
      <c r="AN628" s="12">
        <f t="shared" si="39"/>
        <v>3321</v>
      </c>
      <c r="AQ628" s="8" t="s">
        <v>416</v>
      </c>
      <c r="AR628" t="str">
        <f t="shared" si="40"/>
        <v>Leste - A04</v>
      </c>
    </row>
    <row r="629" spans="1:44" x14ac:dyDescent="0.2">
      <c r="A629" s="107" t="s">
        <v>4263</v>
      </c>
      <c r="B629" s="106" t="s">
        <v>4262</v>
      </c>
      <c r="C629" s="106" t="s">
        <v>4257</v>
      </c>
      <c r="D629" s="106" t="s">
        <v>492</v>
      </c>
      <c r="E629" s="106" t="s">
        <v>4256</v>
      </c>
      <c r="F629" s="106" t="s">
        <v>511</v>
      </c>
      <c r="G629" s="106" t="s">
        <v>4261</v>
      </c>
      <c r="H629" s="105" t="s">
        <v>4260</v>
      </c>
      <c r="I629" s="105" t="s">
        <v>4254</v>
      </c>
      <c r="J629" s="104">
        <v>6.7</v>
      </c>
      <c r="K629" s="103" t="s">
        <v>421</v>
      </c>
      <c r="L629" s="102" t="s">
        <v>577</v>
      </c>
      <c r="M629" s="95"/>
      <c r="N629" s="14"/>
      <c r="O629" s="94">
        <v>6</v>
      </c>
      <c r="P629" s="14" t="s">
        <v>506</v>
      </c>
      <c r="Q629" s="14" t="s">
        <v>497</v>
      </c>
      <c r="R629" s="14" t="s">
        <v>496</v>
      </c>
      <c r="S629" s="15">
        <v>7.2</v>
      </c>
      <c r="T629" s="15">
        <v>2.5</v>
      </c>
      <c r="U629" s="15">
        <v>2.5</v>
      </c>
      <c r="V629" s="14">
        <v>5966</v>
      </c>
      <c r="W629" s="12">
        <v>0</v>
      </c>
      <c r="X629" s="12">
        <v>0</v>
      </c>
      <c r="Y629" s="12">
        <v>0</v>
      </c>
      <c r="Z629" s="12">
        <v>0</v>
      </c>
      <c r="AA629" s="12">
        <v>6.7</v>
      </c>
      <c r="AB629" s="13">
        <f t="shared" si="37"/>
        <v>0</v>
      </c>
      <c r="AE629" s="12">
        <v>0</v>
      </c>
      <c r="AF629" s="12">
        <v>0</v>
      </c>
      <c r="AG629" s="12">
        <v>0</v>
      </c>
      <c r="AH629" s="12">
        <v>0</v>
      </c>
      <c r="AI629" s="12">
        <v>6.7</v>
      </c>
      <c r="AJ629" s="13">
        <f t="shared" si="38"/>
        <v>0</v>
      </c>
      <c r="AN629" s="12">
        <f t="shared" si="39"/>
        <v>39973</v>
      </c>
      <c r="AQ629" s="8" t="s">
        <v>420</v>
      </c>
      <c r="AR629" t="str">
        <f t="shared" si="40"/>
        <v>Campos Gerais - A01</v>
      </c>
    </row>
    <row r="630" spans="1:44" x14ac:dyDescent="0.2">
      <c r="A630" s="107" t="s">
        <v>4259</v>
      </c>
      <c r="B630" s="106" t="s">
        <v>4258</v>
      </c>
      <c r="C630" s="106" t="s">
        <v>4257</v>
      </c>
      <c r="D630" s="106" t="s">
        <v>519</v>
      </c>
      <c r="E630" s="106" t="s">
        <v>4256</v>
      </c>
      <c r="F630" s="106" t="s">
        <v>511</v>
      </c>
      <c r="G630" s="106" t="s">
        <v>4255</v>
      </c>
      <c r="H630" s="105" t="s">
        <v>4254</v>
      </c>
      <c r="I630" s="105" t="s">
        <v>4253</v>
      </c>
      <c r="J630" s="104">
        <v>8.16</v>
      </c>
      <c r="K630" s="103" t="s">
        <v>421</v>
      </c>
      <c r="L630" s="102" t="s">
        <v>577</v>
      </c>
      <c r="M630" s="95"/>
      <c r="N630" s="14"/>
      <c r="O630" s="94">
        <v>6</v>
      </c>
      <c r="P630" s="14" t="s">
        <v>506</v>
      </c>
      <c r="Q630" s="14" t="s">
        <v>497</v>
      </c>
      <c r="R630" s="14" t="s">
        <v>496</v>
      </c>
      <c r="S630" s="15">
        <v>7.2</v>
      </c>
      <c r="T630" s="15">
        <v>2.5</v>
      </c>
      <c r="U630" s="15">
        <v>0</v>
      </c>
      <c r="V630" s="14">
        <v>5966</v>
      </c>
      <c r="W630" s="12">
        <v>0</v>
      </c>
      <c r="X630" s="12">
        <v>0</v>
      </c>
      <c r="Y630" s="12">
        <v>0</v>
      </c>
      <c r="Z630" s="12">
        <v>0</v>
      </c>
      <c r="AA630" s="12">
        <v>8.16</v>
      </c>
      <c r="AB630" s="13">
        <f t="shared" si="37"/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8.16</v>
      </c>
      <c r="AJ630" s="13">
        <f t="shared" si="38"/>
        <v>0</v>
      </c>
      <c r="AN630" s="12">
        <f t="shared" si="39"/>
        <v>48683</v>
      </c>
      <c r="AQ630" s="8" t="s">
        <v>420</v>
      </c>
      <c r="AR630" t="str">
        <f t="shared" si="40"/>
        <v>Campos Gerais - A01</v>
      </c>
    </row>
    <row r="631" spans="1:44" x14ac:dyDescent="0.2">
      <c r="A631" s="107" t="s">
        <v>4252</v>
      </c>
      <c r="B631" s="106" t="s">
        <v>4251</v>
      </c>
      <c r="C631" s="106" t="s">
        <v>4234</v>
      </c>
      <c r="D631" s="106" t="s">
        <v>513</v>
      </c>
      <c r="E631" s="106" t="s">
        <v>4233</v>
      </c>
      <c r="F631" s="106" t="s">
        <v>490</v>
      </c>
      <c r="G631" s="106" t="s">
        <v>4250</v>
      </c>
      <c r="H631" s="105" t="s">
        <v>4249</v>
      </c>
      <c r="I631" s="105" t="s">
        <v>4248</v>
      </c>
      <c r="J631" s="104">
        <v>25.83</v>
      </c>
      <c r="K631" s="103" t="s">
        <v>426</v>
      </c>
      <c r="L631" s="102" t="s">
        <v>486</v>
      </c>
      <c r="M631" s="95"/>
      <c r="N631" s="14"/>
      <c r="O631" s="94">
        <v>18</v>
      </c>
      <c r="P631" s="14" t="s">
        <v>485</v>
      </c>
      <c r="Q631" s="14" t="s">
        <v>887</v>
      </c>
      <c r="R631" s="14" t="s">
        <v>1258</v>
      </c>
      <c r="S631" s="15">
        <v>7</v>
      </c>
      <c r="T631" s="15">
        <v>0</v>
      </c>
      <c r="U631" s="15">
        <v>0</v>
      </c>
      <c r="V631" s="14">
        <v>1278</v>
      </c>
      <c r="W631" s="12">
        <v>0</v>
      </c>
      <c r="X631" s="12">
        <v>0</v>
      </c>
      <c r="Y631" s="12">
        <v>1.8299999999999983</v>
      </c>
      <c r="Z631" s="12">
        <v>24</v>
      </c>
      <c r="AA631" s="12">
        <v>0</v>
      </c>
      <c r="AB631" s="13">
        <f t="shared" si="37"/>
        <v>0</v>
      </c>
      <c r="AE631" s="12">
        <v>0</v>
      </c>
      <c r="AF631" s="12">
        <v>0</v>
      </c>
      <c r="AG631" s="12">
        <v>1.8299999999999983</v>
      </c>
      <c r="AH631" s="12">
        <v>24</v>
      </c>
      <c r="AI631" s="12">
        <v>0</v>
      </c>
      <c r="AJ631" s="13">
        <f t="shared" si="38"/>
        <v>0</v>
      </c>
      <c r="AN631" s="12">
        <f t="shared" si="39"/>
        <v>33011</v>
      </c>
      <c r="AQ631" s="8" t="s">
        <v>419</v>
      </c>
      <c r="AR631" t="str">
        <f t="shared" si="40"/>
        <v>Norte - A06</v>
      </c>
    </row>
    <row r="632" spans="1:44" x14ac:dyDescent="0.2">
      <c r="A632" s="107" t="s">
        <v>4247</v>
      </c>
      <c r="B632" s="106" t="s">
        <v>4246</v>
      </c>
      <c r="C632" s="106" t="s">
        <v>4234</v>
      </c>
      <c r="D632" s="106" t="s">
        <v>975</v>
      </c>
      <c r="E632" s="106" t="s">
        <v>4233</v>
      </c>
      <c r="F632" s="106" t="s">
        <v>490</v>
      </c>
      <c r="G632" s="106" t="s">
        <v>4245</v>
      </c>
      <c r="H632" s="105" t="s">
        <v>2994</v>
      </c>
      <c r="I632" s="105" t="s">
        <v>4241</v>
      </c>
      <c r="J632" s="104">
        <v>3.35</v>
      </c>
      <c r="K632" s="103" t="s">
        <v>426</v>
      </c>
      <c r="L632" s="102" t="s">
        <v>486</v>
      </c>
      <c r="M632" s="95"/>
      <c r="N632" s="14"/>
      <c r="O632" s="94">
        <v>18</v>
      </c>
      <c r="P632" s="14" t="s">
        <v>485</v>
      </c>
      <c r="Q632" s="14" t="s">
        <v>561</v>
      </c>
      <c r="R632" s="16" t="s">
        <v>496</v>
      </c>
      <c r="S632" s="15">
        <v>7</v>
      </c>
      <c r="T632" s="15">
        <v>0</v>
      </c>
      <c r="U632" s="15">
        <v>0</v>
      </c>
      <c r="V632" s="14">
        <v>4797</v>
      </c>
      <c r="W632" s="12">
        <v>0</v>
      </c>
      <c r="X632" s="12">
        <v>0</v>
      </c>
      <c r="Y632" s="12">
        <v>3.35</v>
      </c>
      <c r="Z632" s="12">
        <v>0</v>
      </c>
      <c r="AA632" s="12">
        <v>0</v>
      </c>
      <c r="AB632" s="13">
        <f t="shared" si="37"/>
        <v>0</v>
      </c>
      <c r="AE632" s="12">
        <v>0</v>
      </c>
      <c r="AF632" s="12">
        <v>0</v>
      </c>
      <c r="AG632" s="12">
        <v>3.35</v>
      </c>
      <c r="AH632" s="12">
        <v>0</v>
      </c>
      <c r="AI632" s="12">
        <v>0</v>
      </c>
      <c r="AJ632" s="13">
        <f t="shared" si="38"/>
        <v>0</v>
      </c>
      <c r="AN632" s="12">
        <f t="shared" si="39"/>
        <v>16070</v>
      </c>
      <c r="AQ632" s="8" t="s">
        <v>419</v>
      </c>
      <c r="AR632" t="str">
        <f t="shared" si="40"/>
        <v>Norte - A06</v>
      </c>
    </row>
    <row r="633" spans="1:44" x14ac:dyDescent="0.2">
      <c r="A633" s="107" t="s">
        <v>4244</v>
      </c>
      <c r="B633" s="106" t="s">
        <v>4243</v>
      </c>
      <c r="C633" s="106" t="s">
        <v>4234</v>
      </c>
      <c r="D633" s="106" t="s">
        <v>1284</v>
      </c>
      <c r="E633" s="106" t="s">
        <v>4233</v>
      </c>
      <c r="F633" s="106" t="s">
        <v>490</v>
      </c>
      <c r="G633" s="106" t="s">
        <v>4242</v>
      </c>
      <c r="H633" s="105" t="s">
        <v>4241</v>
      </c>
      <c r="I633" s="105" t="s">
        <v>4237</v>
      </c>
      <c r="J633" s="104">
        <v>4.26</v>
      </c>
      <c r="K633" s="103" t="s">
        <v>426</v>
      </c>
      <c r="L633" s="102" t="s">
        <v>486</v>
      </c>
      <c r="M633" s="95"/>
      <c r="N633" s="14"/>
      <c r="O633" s="94">
        <v>18</v>
      </c>
      <c r="P633" s="14" t="s">
        <v>485</v>
      </c>
      <c r="Q633" s="14" t="s">
        <v>561</v>
      </c>
      <c r="R633" s="16" t="s">
        <v>496</v>
      </c>
      <c r="S633" s="15">
        <v>7</v>
      </c>
      <c r="T633" s="15">
        <v>0</v>
      </c>
      <c r="U633" s="15">
        <v>0</v>
      </c>
      <c r="V633" s="14">
        <v>4797</v>
      </c>
      <c r="W633" s="12">
        <v>0</v>
      </c>
      <c r="X633" s="12">
        <v>0</v>
      </c>
      <c r="Y633" s="12">
        <v>4.26</v>
      </c>
      <c r="Z633" s="12">
        <v>0</v>
      </c>
      <c r="AA633" s="12">
        <v>0</v>
      </c>
      <c r="AB633" s="13">
        <f t="shared" si="37"/>
        <v>0</v>
      </c>
      <c r="AE633" s="12">
        <v>0</v>
      </c>
      <c r="AF633" s="12">
        <v>0</v>
      </c>
      <c r="AG633" s="12">
        <v>4.26</v>
      </c>
      <c r="AH633" s="12">
        <v>0</v>
      </c>
      <c r="AI633" s="12">
        <v>0</v>
      </c>
      <c r="AJ633" s="13">
        <f t="shared" si="38"/>
        <v>0</v>
      </c>
      <c r="AN633" s="12">
        <f t="shared" si="39"/>
        <v>20436</v>
      </c>
      <c r="AQ633" s="8" t="s">
        <v>419</v>
      </c>
      <c r="AR633" t="str">
        <f t="shared" si="40"/>
        <v>Norte - A06</v>
      </c>
    </row>
    <row r="634" spans="1:44" x14ac:dyDescent="0.2">
      <c r="A634" s="107" t="s">
        <v>4240</v>
      </c>
      <c r="B634" s="106" t="s">
        <v>4239</v>
      </c>
      <c r="C634" s="106" t="s">
        <v>4234</v>
      </c>
      <c r="D634" s="106" t="s">
        <v>1269</v>
      </c>
      <c r="E634" s="106" t="s">
        <v>4233</v>
      </c>
      <c r="F634" s="106" t="s">
        <v>490</v>
      </c>
      <c r="G634" s="106" t="s">
        <v>4238</v>
      </c>
      <c r="H634" s="105" t="s">
        <v>4237</v>
      </c>
      <c r="I634" s="105" t="s">
        <v>4231</v>
      </c>
      <c r="J634" s="104">
        <v>9.3800000000000008</v>
      </c>
      <c r="K634" s="103" t="s">
        <v>426</v>
      </c>
      <c r="L634" s="102" t="s">
        <v>486</v>
      </c>
      <c r="M634" s="95"/>
      <c r="N634" s="14"/>
      <c r="O634" s="94">
        <v>18</v>
      </c>
      <c r="P634" s="14" t="s">
        <v>485</v>
      </c>
      <c r="Q634" s="14" t="s">
        <v>561</v>
      </c>
      <c r="R634" s="16" t="s">
        <v>496</v>
      </c>
      <c r="S634" s="15">
        <v>7</v>
      </c>
      <c r="T634" s="15">
        <v>0</v>
      </c>
      <c r="U634" s="15">
        <v>0</v>
      </c>
      <c r="V634" s="14">
        <v>3524</v>
      </c>
      <c r="W634" s="12">
        <v>0</v>
      </c>
      <c r="X634" s="12">
        <v>2.3800000000000008</v>
      </c>
      <c r="Y634" s="12">
        <v>6</v>
      </c>
      <c r="Z634" s="12">
        <v>1</v>
      </c>
      <c r="AA634" s="12">
        <v>0</v>
      </c>
      <c r="AB634" s="13">
        <f t="shared" si="37"/>
        <v>0</v>
      </c>
      <c r="AE634" s="12">
        <v>0</v>
      </c>
      <c r="AF634" s="12">
        <v>2.3800000000000008</v>
      </c>
      <c r="AG634" s="12">
        <v>6</v>
      </c>
      <c r="AH634" s="12">
        <v>1</v>
      </c>
      <c r="AI634" s="12">
        <v>0</v>
      </c>
      <c r="AJ634" s="13">
        <f t="shared" si="38"/>
        <v>0</v>
      </c>
      <c r="AN634" s="12">
        <f t="shared" si="39"/>
        <v>33056</v>
      </c>
      <c r="AQ634" s="8" t="s">
        <v>419</v>
      </c>
      <c r="AR634" t="str">
        <f t="shared" si="40"/>
        <v>Norte - A06</v>
      </c>
    </row>
    <row r="635" spans="1:44" x14ac:dyDescent="0.2">
      <c r="A635" s="107" t="s">
        <v>4236</v>
      </c>
      <c r="B635" s="106" t="s">
        <v>4235</v>
      </c>
      <c r="C635" s="106" t="s">
        <v>4234</v>
      </c>
      <c r="D635" s="106" t="s">
        <v>1263</v>
      </c>
      <c r="E635" s="106" t="s">
        <v>4233</v>
      </c>
      <c r="F635" s="106" t="s">
        <v>490</v>
      </c>
      <c r="G635" s="106" t="s">
        <v>4232</v>
      </c>
      <c r="H635" s="105" t="s">
        <v>4231</v>
      </c>
      <c r="I635" s="105" t="s">
        <v>638</v>
      </c>
      <c r="J635" s="104">
        <v>4.63</v>
      </c>
      <c r="K635" s="103" t="s">
        <v>426</v>
      </c>
      <c r="L635" s="102" t="s">
        <v>486</v>
      </c>
      <c r="M635" s="95"/>
      <c r="N635" s="14"/>
      <c r="O635" s="94">
        <v>18</v>
      </c>
      <c r="P635" s="14" t="s">
        <v>485</v>
      </c>
      <c r="Q635" s="14" t="s">
        <v>561</v>
      </c>
      <c r="R635" s="16" t="s">
        <v>496</v>
      </c>
      <c r="S635" s="15">
        <v>7</v>
      </c>
      <c r="T635" s="15">
        <v>0</v>
      </c>
      <c r="U635" s="15">
        <v>0</v>
      </c>
      <c r="V635" s="14">
        <v>4797</v>
      </c>
      <c r="W635" s="12">
        <v>0</v>
      </c>
      <c r="X635" s="12">
        <v>1</v>
      </c>
      <c r="Y635" s="12">
        <v>3.63</v>
      </c>
      <c r="Z635" s="12">
        <v>0</v>
      </c>
      <c r="AA635" s="12">
        <v>0</v>
      </c>
      <c r="AB635" s="13">
        <f t="shared" si="37"/>
        <v>0</v>
      </c>
      <c r="AE635" s="12">
        <v>0</v>
      </c>
      <c r="AF635" s="12">
        <v>1</v>
      </c>
      <c r="AG635" s="12">
        <v>3.63</v>
      </c>
      <c r="AH635" s="12">
        <v>0</v>
      </c>
      <c r="AI635" s="12">
        <v>0</v>
      </c>
      <c r="AJ635" s="13">
        <f t="shared" si="38"/>
        <v>0</v>
      </c>
      <c r="AN635" s="12">
        <f t="shared" si="39"/>
        <v>22211</v>
      </c>
      <c r="AQ635" s="8" t="s">
        <v>419</v>
      </c>
      <c r="AR635" t="str">
        <f t="shared" si="40"/>
        <v>Norte - A06</v>
      </c>
    </row>
    <row r="636" spans="1:44" x14ac:dyDescent="0.2">
      <c r="A636" s="107" t="s">
        <v>4230</v>
      </c>
      <c r="B636" s="106" t="s">
        <v>4229</v>
      </c>
      <c r="C636" s="106" t="s">
        <v>4228</v>
      </c>
      <c r="D636" s="106" t="s">
        <v>519</v>
      </c>
      <c r="E636" s="106" t="s">
        <v>4227</v>
      </c>
      <c r="F636" s="106" t="s">
        <v>490</v>
      </c>
      <c r="G636" s="106" t="s">
        <v>4226</v>
      </c>
      <c r="H636" s="105" t="s">
        <v>4225</v>
      </c>
      <c r="I636" s="105" t="s">
        <v>4224</v>
      </c>
      <c r="J636" s="104">
        <v>4.2699999999999996</v>
      </c>
      <c r="K636" s="103" t="s">
        <v>424</v>
      </c>
      <c r="L636" s="102" t="s">
        <v>801</v>
      </c>
      <c r="M636" s="95"/>
      <c r="N636" s="14"/>
      <c r="O636" s="94">
        <v>4</v>
      </c>
      <c r="P636" s="14" t="s">
        <v>485</v>
      </c>
      <c r="Q636" s="14" t="s">
        <v>561</v>
      </c>
      <c r="R636" s="14" t="s">
        <v>1258</v>
      </c>
      <c r="S636" s="15">
        <v>6.44</v>
      </c>
      <c r="T636" s="15">
        <v>0</v>
      </c>
      <c r="U636" s="15">
        <v>0</v>
      </c>
      <c r="V636" s="14">
        <v>689</v>
      </c>
      <c r="W636" s="12">
        <v>0</v>
      </c>
      <c r="X636" s="12">
        <v>1</v>
      </c>
      <c r="Y636" s="12">
        <v>3.2699999999999996</v>
      </c>
      <c r="Z636" s="12">
        <v>0</v>
      </c>
      <c r="AA636" s="12">
        <v>0</v>
      </c>
      <c r="AB636" s="13">
        <f t="shared" si="37"/>
        <v>0</v>
      </c>
      <c r="AE636" s="12">
        <v>0</v>
      </c>
      <c r="AF636" s="12">
        <v>1</v>
      </c>
      <c r="AG636" s="12">
        <v>3.2699999999999996</v>
      </c>
      <c r="AH636" s="12">
        <v>0</v>
      </c>
      <c r="AI636" s="12">
        <v>0</v>
      </c>
      <c r="AJ636" s="13">
        <f t="shared" si="38"/>
        <v>0</v>
      </c>
      <c r="AN636" s="12">
        <f t="shared" si="39"/>
        <v>2943</v>
      </c>
      <c r="AQ636" s="8" t="s">
        <v>416</v>
      </c>
      <c r="AR636" t="str">
        <f t="shared" si="40"/>
        <v>Leste - A04</v>
      </c>
    </row>
    <row r="637" spans="1:44" x14ac:dyDescent="0.2">
      <c r="A637" s="107" t="s">
        <v>4223</v>
      </c>
      <c r="B637" s="106" t="s">
        <v>4222</v>
      </c>
      <c r="C637" s="106" t="s">
        <v>4216</v>
      </c>
      <c r="D637" s="106" t="s">
        <v>492</v>
      </c>
      <c r="E637" s="106" t="s">
        <v>4215</v>
      </c>
      <c r="F637" s="106" t="s">
        <v>490</v>
      </c>
      <c r="G637" s="106" t="s">
        <v>4221</v>
      </c>
      <c r="H637" s="105" t="s">
        <v>4220</v>
      </c>
      <c r="I637" s="105" t="s">
        <v>4219</v>
      </c>
      <c r="J637" s="104">
        <v>42.52</v>
      </c>
      <c r="K637" s="103" t="s">
        <v>425</v>
      </c>
      <c r="L637" s="102" t="s">
        <v>486</v>
      </c>
      <c r="M637" s="95"/>
      <c r="N637" s="14"/>
      <c r="O637" s="94">
        <v>17</v>
      </c>
      <c r="P637" s="14" t="s">
        <v>485</v>
      </c>
      <c r="Q637" s="14" t="s">
        <v>561</v>
      </c>
      <c r="R637" s="14" t="s">
        <v>496</v>
      </c>
      <c r="S637" s="15">
        <v>7</v>
      </c>
      <c r="T637" s="15">
        <v>1.5</v>
      </c>
      <c r="U637" s="15">
        <v>0</v>
      </c>
      <c r="V637" s="14">
        <v>1342</v>
      </c>
      <c r="W637" s="12">
        <v>0</v>
      </c>
      <c r="X637" s="12">
        <v>1</v>
      </c>
      <c r="Y637" s="12">
        <v>12</v>
      </c>
      <c r="Z637" s="12">
        <v>29.520000000000003</v>
      </c>
      <c r="AA637" s="12">
        <v>0</v>
      </c>
      <c r="AB637" s="13">
        <f t="shared" si="37"/>
        <v>0</v>
      </c>
      <c r="AE637" s="12">
        <v>0</v>
      </c>
      <c r="AF637" s="12">
        <v>1</v>
      </c>
      <c r="AG637" s="12">
        <v>12</v>
      </c>
      <c r="AH637" s="12">
        <v>29.520000000000003</v>
      </c>
      <c r="AI637" s="12">
        <v>0</v>
      </c>
      <c r="AJ637" s="13">
        <f t="shared" si="38"/>
        <v>0</v>
      </c>
      <c r="AN637" s="12">
        <f t="shared" si="39"/>
        <v>57062</v>
      </c>
      <c r="AQ637" s="8" t="s">
        <v>419</v>
      </c>
      <c r="AR637" t="str">
        <f t="shared" si="40"/>
        <v>Norte - A05</v>
      </c>
    </row>
    <row r="638" spans="1:44" x14ac:dyDescent="0.2">
      <c r="A638" s="107" t="s">
        <v>4218</v>
      </c>
      <c r="B638" s="106" t="s">
        <v>4217</v>
      </c>
      <c r="C638" s="106" t="s">
        <v>4216</v>
      </c>
      <c r="D638" s="106" t="s">
        <v>519</v>
      </c>
      <c r="E638" s="106" t="s">
        <v>4215</v>
      </c>
      <c r="F638" s="106" t="s">
        <v>490</v>
      </c>
      <c r="G638" s="106" t="s">
        <v>4214</v>
      </c>
      <c r="H638" s="105" t="s">
        <v>4213</v>
      </c>
      <c r="I638" s="105" t="s">
        <v>4212</v>
      </c>
      <c r="J638" s="104">
        <v>14.94</v>
      </c>
      <c r="K638" s="103" t="s">
        <v>425</v>
      </c>
      <c r="L638" s="102" t="s">
        <v>486</v>
      </c>
      <c r="M638" s="95"/>
      <c r="N638" s="14"/>
      <c r="O638" s="94">
        <v>17</v>
      </c>
      <c r="P638" s="14" t="s">
        <v>485</v>
      </c>
      <c r="Q638" s="14" t="s">
        <v>561</v>
      </c>
      <c r="R638" s="16" t="s">
        <v>496</v>
      </c>
      <c r="S638" s="15">
        <v>7.2</v>
      </c>
      <c r="T638" s="15">
        <v>1.2</v>
      </c>
      <c r="U638" s="15">
        <v>0</v>
      </c>
      <c r="V638" s="14">
        <v>2166</v>
      </c>
      <c r="W638" s="12">
        <v>0</v>
      </c>
      <c r="X638" s="12">
        <v>0</v>
      </c>
      <c r="Y638" s="12">
        <v>2</v>
      </c>
      <c r="Z638" s="12">
        <v>12.94</v>
      </c>
      <c r="AA638" s="12">
        <v>0</v>
      </c>
      <c r="AB638" s="13">
        <f t="shared" si="37"/>
        <v>0</v>
      </c>
      <c r="AE638" s="12">
        <v>0</v>
      </c>
      <c r="AF638" s="12">
        <v>0</v>
      </c>
      <c r="AG638" s="12">
        <v>2</v>
      </c>
      <c r="AH638" s="12">
        <v>12.94</v>
      </c>
      <c r="AI638" s="12">
        <v>0</v>
      </c>
      <c r="AJ638" s="13">
        <f t="shared" si="38"/>
        <v>0</v>
      </c>
      <c r="AN638" s="12">
        <f t="shared" si="39"/>
        <v>32361</v>
      </c>
      <c r="AQ638" s="8" t="s">
        <v>419</v>
      </c>
      <c r="AR638" t="str">
        <f t="shared" si="40"/>
        <v>Norte - A05</v>
      </c>
    </row>
    <row r="639" spans="1:44" x14ac:dyDescent="0.2">
      <c r="A639" s="107" t="s">
        <v>4211</v>
      </c>
      <c r="B639" s="106" t="s">
        <v>4210</v>
      </c>
      <c r="C639" s="106" t="s">
        <v>4164</v>
      </c>
      <c r="D639" s="106" t="s">
        <v>981</v>
      </c>
      <c r="E639" s="106" t="s">
        <v>4163</v>
      </c>
      <c r="F639" s="106" t="s">
        <v>490</v>
      </c>
      <c r="G639" s="106" t="s">
        <v>4209</v>
      </c>
      <c r="H639" s="105" t="s">
        <v>4208</v>
      </c>
      <c r="I639" s="105" t="s">
        <v>4204</v>
      </c>
      <c r="J639" s="104">
        <v>0.44</v>
      </c>
      <c r="K639" s="103" t="s">
        <v>425</v>
      </c>
      <c r="L639" s="102" t="s">
        <v>486</v>
      </c>
      <c r="M639" s="95"/>
      <c r="N639" s="14"/>
      <c r="O639" s="94">
        <v>17</v>
      </c>
      <c r="P639" s="14" t="s">
        <v>485</v>
      </c>
      <c r="Q639" s="14" t="s">
        <v>887</v>
      </c>
      <c r="R639" s="14" t="s">
        <v>1258</v>
      </c>
      <c r="S639" s="15">
        <v>6.6</v>
      </c>
      <c r="T639" s="15">
        <v>1.2</v>
      </c>
      <c r="U639" s="15">
        <v>0</v>
      </c>
      <c r="V639" s="14">
        <v>1810</v>
      </c>
      <c r="W639" s="12">
        <v>0</v>
      </c>
      <c r="X639" s="12">
        <v>0</v>
      </c>
      <c r="Y639" s="12">
        <v>0.44</v>
      </c>
      <c r="Z639" s="12">
        <v>0</v>
      </c>
      <c r="AA639" s="12">
        <v>0</v>
      </c>
      <c r="AB639" s="13">
        <f t="shared" si="37"/>
        <v>0</v>
      </c>
      <c r="AE639" s="12">
        <v>0</v>
      </c>
      <c r="AF639" s="12">
        <v>0</v>
      </c>
      <c r="AG639" s="12">
        <v>0.44</v>
      </c>
      <c r="AH639" s="12">
        <v>0</v>
      </c>
      <c r="AI639" s="12">
        <v>0</v>
      </c>
      <c r="AJ639" s="13">
        <f t="shared" si="38"/>
        <v>0</v>
      </c>
      <c r="AN639" s="12">
        <f t="shared" si="39"/>
        <v>797</v>
      </c>
      <c r="AQ639" s="8" t="s">
        <v>419</v>
      </c>
      <c r="AR639" t="str">
        <f t="shared" si="40"/>
        <v>Norte - A05</v>
      </c>
    </row>
    <row r="640" spans="1:44" x14ac:dyDescent="0.2">
      <c r="A640" s="107" t="s">
        <v>4207</v>
      </c>
      <c r="B640" s="106" t="s">
        <v>4206</v>
      </c>
      <c r="C640" s="106" t="s">
        <v>4164</v>
      </c>
      <c r="D640" s="106" t="s">
        <v>975</v>
      </c>
      <c r="E640" s="106" t="s">
        <v>4163</v>
      </c>
      <c r="F640" s="106" t="s">
        <v>490</v>
      </c>
      <c r="G640" s="106" t="s">
        <v>4205</v>
      </c>
      <c r="H640" s="105" t="s">
        <v>4204</v>
      </c>
      <c r="I640" s="105" t="s">
        <v>4200</v>
      </c>
      <c r="J640" s="104">
        <v>5.24</v>
      </c>
      <c r="K640" s="103" t="s">
        <v>425</v>
      </c>
      <c r="L640" s="102" t="s">
        <v>486</v>
      </c>
      <c r="M640" s="95"/>
      <c r="N640" s="14"/>
      <c r="O640" s="94">
        <v>17</v>
      </c>
      <c r="P640" s="14" t="s">
        <v>485</v>
      </c>
      <c r="Q640" s="14" t="s">
        <v>887</v>
      </c>
      <c r="R640" s="14" t="s">
        <v>1258</v>
      </c>
      <c r="S640" s="15">
        <v>6.6</v>
      </c>
      <c r="T640" s="15">
        <v>1.2</v>
      </c>
      <c r="U640" s="15">
        <v>0</v>
      </c>
      <c r="V640" s="14">
        <v>2845</v>
      </c>
      <c r="W640" s="12">
        <v>0</v>
      </c>
      <c r="X640" s="12">
        <v>2</v>
      </c>
      <c r="Y640" s="12">
        <v>2.2400000000000002</v>
      </c>
      <c r="Z640" s="12">
        <v>1</v>
      </c>
      <c r="AA640" s="12">
        <v>0</v>
      </c>
      <c r="AB640" s="13">
        <f t="shared" si="37"/>
        <v>0</v>
      </c>
      <c r="AE640" s="12">
        <v>0</v>
      </c>
      <c r="AF640" s="12">
        <v>2</v>
      </c>
      <c r="AG640" s="12">
        <v>2.2400000000000002</v>
      </c>
      <c r="AH640" s="12">
        <v>1</v>
      </c>
      <c r="AI640" s="12">
        <v>0</v>
      </c>
      <c r="AJ640" s="13">
        <f t="shared" si="38"/>
        <v>0</v>
      </c>
      <c r="AN640" s="12">
        <f t="shared" si="39"/>
        <v>14908</v>
      </c>
      <c r="AQ640" s="8" t="s">
        <v>419</v>
      </c>
      <c r="AR640" t="str">
        <f t="shared" si="40"/>
        <v>Norte - A05</v>
      </c>
    </row>
    <row r="641" spans="1:44" x14ac:dyDescent="0.2">
      <c r="A641" s="107" t="s">
        <v>4203</v>
      </c>
      <c r="B641" s="106" t="s">
        <v>4202</v>
      </c>
      <c r="C641" s="106" t="s">
        <v>4164</v>
      </c>
      <c r="D641" s="106" t="s">
        <v>1269</v>
      </c>
      <c r="E641" s="106" t="s">
        <v>4163</v>
      </c>
      <c r="F641" s="106" t="s">
        <v>490</v>
      </c>
      <c r="G641" s="106" t="s">
        <v>4201</v>
      </c>
      <c r="H641" s="105" t="s">
        <v>4200</v>
      </c>
      <c r="I641" s="105" t="s">
        <v>4196</v>
      </c>
      <c r="J641" s="104">
        <v>6.63</v>
      </c>
      <c r="K641" s="103" t="s">
        <v>425</v>
      </c>
      <c r="L641" s="102" t="s">
        <v>486</v>
      </c>
      <c r="M641" s="95"/>
      <c r="N641" s="14"/>
      <c r="O641" s="94">
        <v>17</v>
      </c>
      <c r="P641" s="14" t="s">
        <v>485</v>
      </c>
      <c r="Q641" s="14" t="s">
        <v>865</v>
      </c>
      <c r="R641" s="14" t="s">
        <v>496</v>
      </c>
      <c r="S641" s="15">
        <v>6.6</v>
      </c>
      <c r="T641" s="15">
        <v>2.5</v>
      </c>
      <c r="U641" s="15">
        <v>0</v>
      </c>
      <c r="V641" s="14">
        <v>2199</v>
      </c>
      <c r="W641" s="12">
        <v>0</v>
      </c>
      <c r="X641" s="12">
        <v>0</v>
      </c>
      <c r="Y641" s="12">
        <v>0</v>
      </c>
      <c r="Z641" s="12">
        <v>6.63</v>
      </c>
      <c r="AA641" s="12">
        <v>0</v>
      </c>
      <c r="AB641" s="13">
        <f t="shared" si="37"/>
        <v>0</v>
      </c>
      <c r="AE641" s="12">
        <v>0</v>
      </c>
      <c r="AF641" s="12">
        <v>0</v>
      </c>
      <c r="AG641" s="12">
        <v>0</v>
      </c>
      <c r="AH641" s="12">
        <v>6.63</v>
      </c>
      <c r="AI641" s="12">
        <v>0</v>
      </c>
      <c r="AJ641" s="13">
        <f t="shared" si="38"/>
        <v>0</v>
      </c>
      <c r="AN641" s="12">
        <f t="shared" si="39"/>
        <v>14580</v>
      </c>
      <c r="AQ641" s="8" t="s">
        <v>419</v>
      </c>
      <c r="AR641" t="str">
        <f t="shared" si="40"/>
        <v>Norte - A05</v>
      </c>
    </row>
    <row r="642" spans="1:44" x14ac:dyDescent="0.2">
      <c r="A642" s="107" t="s">
        <v>4199</v>
      </c>
      <c r="B642" s="106" t="s">
        <v>4198</v>
      </c>
      <c r="C642" s="106" t="s">
        <v>4164</v>
      </c>
      <c r="D642" s="106" t="s">
        <v>1820</v>
      </c>
      <c r="E642" s="106" t="s">
        <v>4176</v>
      </c>
      <c r="F642" s="106" t="s">
        <v>590</v>
      </c>
      <c r="G642" s="106" t="s">
        <v>4197</v>
      </c>
      <c r="H642" s="105" t="s">
        <v>4196</v>
      </c>
      <c r="I642" s="105" t="s">
        <v>4192</v>
      </c>
      <c r="J642" s="104">
        <v>1.52</v>
      </c>
      <c r="K642" s="103" t="s">
        <v>425</v>
      </c>
      <c r="L642" s="102" t="s">
        <v>486</v>
      </c>
      <c r="M642" s="95"/>
      <c r="N642" s="14"/>
      <c r="O642" s="94">
        <v>17</v>
      </c>
      <c r="P642" s="14" t="s">
        <v>586</v>
      </c>
      <c r="Q642" s="14" t="s">
        <v>865</v>
      </c>
      <c r="R642" s="14" t="s">
        <v>496</v>
      </c>
      <c r="S642" s="15">
        <v>16.2</v>
      </c>
      <c r="T642" s="15">
        <v>0</v>
      </c>
      <c r="U642" s="15">
        <v>0</v>
      </c>
      <c r="V642" s="14">
        <v>980</v>
      </c>
      <c r="W642" s="12">
        <v>0</v>
      </c>
      <c r="X642" s="12">
        <v>0</v>
      </c>
      <c r="Y642" s="12">
        <v>0</v>
      </c>
      <c r="Z642" s="12">
        <v>1.52</v>
      </c>
      <c r="AA642" s="12">
        <v>0</v>
      </c>
      <c r="AB642" s="13">
        <f t="shared" si="37"/>
        <v>0</v>
      </c>
      <c r="AE642" s="12">
        <v>0</v>
      </c>
      <c r="AF642" s="12">
        <v>0</v>
      </c>
      <c r="AG642" s="12">
        <v>0</v>
      </c>
      <c r="AH642" s="12">
        <v>1.52</v>
      </c>
      <c r="AI642" s="12">
        <v>0</v>
      </c>
      <c r="AJ642" s="13">
        <f t="shared" si="38"/>
        <v>0</v>
      </c>
      <c r="AN642" s="12">
        <f t="shared" si="39"/>
        <v>1490</v>
      </c>
      <c r="AQ642" s="8" t="s">
        <v>419</v>
      </c>
      <c r="AR642" t="str">
        <f t="shared" si="40"/>
        <v>Norte - A05</v>
      </c>
    </row>
    <row r="643" spans="1:44" x14ac:dyDescent="0.2">
      <c r="A643" s="107" t="s">
        <v>4195</v>
      </c>
      <c r="B643" s="106" t="s">
        <v>4194</v>
      </c>
      <c r="C643" s="106" t="s">
        <v>4164</v>
      </c>
      <c r="D643" s="106" t="s">
        <v>965</v>
      </c>
      <c r="E643" s="106" t="s">
        <v>4163</v>
      </c>
      <c r="F643" s="106" t="s">
        <v>490</v>
      </c>
      <c r="G643" s="106" t="s">
        <v>4193</v>
      </c>
      <c r="H643" s="105" t="s">
        <v>4192</v>
      </c>
      <c r="I643" s="105" t="s">
        <v>4188</v>
      </c>
      <c r="J643" s="104">
        <v>4.9800000000000004</v>
      </c>
      <c r="K643" s="103" t="s">
        <v>425</v>
      </c>
      <c r="L643" s="102" t="s">
        <v>486</v>
      </c>
      <c r="M643" s="95"/>
      <c r="N643" s="14"/>
      <c r="O643" s="94">
        <v>17</v>
      </c>
      <c r="P643" s="14" t="s">
        <v>485</v>
      </c>
      <c r="Q643" s="14" t="s">
        <v>865</v>
      </c>
      <c r="R643" s="14" t="s">
        <v>496</v>
      </c>
      <c r="S643" s="15">
        <v>6.6</v>
      </c>
      <c r="T643" s="15">
        <v>0</v>
      </c>
      <c r="U643" s="15">
        <v>0</v>
      </c>
      <c r="V643" s="14">
        <v>2199</v>
      </c>
      <c r="W643" s="12">
        <v>0</v>
      </c>
      <c r="X643" s="12">
        <v>0</v>
      </c>
      <c r="Y643" s="12">
        <v>0</v>
      </c>
      <c r="Z643" s="12">
        <v>4.9800000000000004</v>
      </c>
      <c r="AA643" s="12">
        <v>0</v>
      </c>
      <c r="AB643" s="13">
        <f t="shared" si="37"/>
        <v>0</v>
      </c>
      <c r="AE643" s="12">
        <v>0</v>
      </c>
      <c r="AF643" s="12">
        <v>0</v>
      </c>
      <c r="AG643" s="12">
        <v>0</v>
      </c>
      <c r="AH643" s="12">
        <v>4.9800000000000004</v>
      </c>
      <c r="AI643" s="12">
        <v>0</v>
      </c>
      <c r="AJ643" s="13">
        <f t="shared" si="38"/>
        <v>0</v>
      </c>
      <c r="AN643" s="12">
        <f t="shared" si="39"/>
        <v>10952</v>
      </c>
      <c r="AQ643" s="8" t="s">
        <v>419</v>
      </c>
      <c r="AR643" t="str">
        <f t="shared" si="40"/>
        <v>Norte - A05</v>
      </c>
    </row>
    <row r="644" spans="1:44" x14ac:dyDescent="0.2">
      <c r="A644" s="107" t="s">
        <v>4191</v>
      </c>
      <c r="B644" s="106" t="s">
        <v>4190</v>
      </c>
      <c r="C644" s="106" t="s">
        <v>4164</v>
      </c>
      <c r="D644" s="106" t="s">
        <v>2145</v>
      </c>
      <c r="E644" s="106" t="s">
        <v>4163</v>
      </c>
      <c r="F644" s="106" t="s">
        <v>490</v>
      </c>
      <c r="G644" s="106" t="s">
        <v>4189</v>
      </c>
      <c r="H644" s="105" t="s">
        <v>4188</v>
      </c>
      <c r="I644" s="105" t="s">
        <v>4184</v>
      </c>
      <c r="J644" s="104">
        <v>18.98</v>
      </c>
      <c r="K644" s="103" t="s">
        <v>425</v>
      </c>
      <c r="L644" s="102" t="s">
        <v>486</v>
      </c>
      <c r="M644" s="95"/>
      <c r="N644" s="14"/>
      <c r="O644" s="94">
        <v>17</v>
      </c>
      <c r="P644" s="14" t="s">
        <v>485</v>
      </c>
      <c r="Q644" s="14" t="s">
        <v>865</v>
      </c>
      <c r="R644" s="14" t="s">
        <v>496</v>
      </c>
      <c r="S644" s="15">
        <v>6.6</v>
      </c>
      <c r="T644" s="15">
        <v>1.3</v>
      </c>
      <c r="U644" s="15">
        <v>0</v>
      </c>
      <c r="V644" s="14">
        <v>1902</v>
      </c>
      <c r="W644" s="12">
        <v>0</v>
      </c>
      <c r="X644" s="12">
        <v>4</v>
      </c>
      <c r="Y644" s="12">
        <v>14.98</v>
      </c>
      <c r="Z644" s="12">
        <v>0</v>
      </c>
      <c r="AA644" s="12">
        <v>0</v>
      </c>
      <c r="AB644" s="13">
        <f t="shared" si="37"/>
        <v>0</v>
      </c>
      <c r="AE644" s="12">
        <v>0</v>
      </c>
      <c r="AF644" s="12">
        <v>4</v>
      </c>
      <c r="AG644" s="12">
        <v>14.98</v>
      </c>
      <c r="AH644" s="12">
        <v>0</v>
      </c>
      <c r="AI644" s="12">
        <v>0</v>
      </c>
      <c r="AJ644" s="13">
        <f t="shared" si="38"/>
        <v>0</v>
      </c>
      <c r="AN644" s="12">
        <f t="shared" si="39"/>
        <v>36100</v>
      </c>
      <c r="AQ644" s="8" t="s">
        <v>419</v>
      </c>
      <c r="AR644" t="str">
        <f t="shared" si="40"/>
        <v>Norte - A05</v>
      </c>
    </row>
    <row r="645" spans="1:44" x14ac:dyDescent="0.2">
      <c r="A645" s="107" t="s">
        <v>4187</v>
      </c>
      <c r="B645" s="106" t="s">
        <v>4186</v>
      </c>
      <c r="C645" s="106" t="s">
        <v>4164</v>
      </c>
      <c r="D645" s="106" t="s">
        <v>3025</v>
      </c>
      <c r="E645" s="106" t="s">
        <v>4163</v>
      </c>
      <c r="F645" s="106" t="s">
        <v>490</v>
      </c>
      <c r="G645" s="106" t="s">
        <v>4185</v>
      </c>
      <c r="H645" s="105" t="s">
        <v>4184</v>
      </c>
      <c r="I645" s="105" t="s">
        <v>4180</v>
      </c>
      <c r="J645" s="104">
        <v>1.06</v>
      </c>
      <c r="K645" s="103" t="s">
        <v>426</v>
      </c>
      <c r="L645" s="102" t="s">
        <v>486</v>
      </c>
      <c r="M645" s="95"/>
      <c r="N645" s="14"/>
      <c r="O645" s="94">
        <v>18</v>
      </c>
      <c r="P645" s="14" t="s">
        <v>485</v>
      </c>
      <c r="Q645" s="14" t="s">
        <v>865</v>
      </c>
      <c r="R645" s="14" t="s">
        <v>496</v>
      </c>
      <c r="S645" s="15">
        <v>6.6</v>
      </c>
      <c r="T645" s="15">
        <v>1.3</v>
      </c>
      <c r="U645" s="15">
        <v>0</v>
      </c>
      <c r="V645" s="14">
        <v>1894</v>
      </c>
      <c r="W645" s="12">
        <v>0</v>
      </c>
      <c r="X645" s="12">
        <v>0</v>
      </c>
      <c r="Y645" s="12">
        <v>0</v>
      </c>
      <c r="Z645" s="12">
        <v>1.06</v>
      </c>
      <c r="AA645" s="12">
        <v>0</v>
      </c>
      <c r="AB645" s="13">
        <f t="shared" si="37"/>
        <v>0</v>
      </c>
      <c r="AE645" s="12">
        <v>0</v>
      </c>
      <c r="AF645" s="12">
        <v>0</v>
      </c>
      <c r="AG645" s="12">
        <v>0</v>
      </c>
      <c r="AH645" s="12">
        <v>1.06</v>
      </c>
      <c r="AI645" s="12">
        <v>0</v>
      </c>
      <c r="AJ645" s="13">
        <f t="shared" si="38"/>
        <v>0</v>
      </c>
      <c r="AN645" s="12">
        <f t="shared" si="39"/>
        <v>2008</v>
      </c>
      <c r="AQ645" s="8" t="s">
        <v>419</v>
      </c>
      <c r="AR645" t="str">
        <f t="shared" si="40"/>
        <v>Norte - A06</v>
      </c>
    </row>
    <row r="646" spans="1:44" x14ac:dyDescent="0.2">
      <c r="A646" s="107" t="s">
        <v>4183</v>
      </c>
      <c r="B646" s="106" t="s">
        <v>4182</v>
      </c>
      <c r="C646" s="106" t="s">
        <v>4164</v>
      </c>
      <c r="D646" s="106" t="s">
        <v>3187</v>
      </c>
      <c r="E646" s="106" t="s">
        <v>4176</v>
      </c>
      <c r="F646" s="106" t="s">
        <v>590</v>
      </c>
      <c r="G646" s="106" t="s">
        <v>4181</v>
      </c>
      <c r="H646" s="105" t="s">
        <v>4180</v>
      </c>
      <c r="I646" s="105" t="s">
        <v>4174</v>
      </c>
      <c r="J646" s="104">
        <v>0.98</v>
      </c>
      <c r="K646" s="103" t="s">
        <v>426</v>
      </c>
      <c r="L646" s="102" t="s">
        <v>486</v>
      </c>
      <c r="M646" s="95"/>
      <c r="N646" s="14"/>
      <c r="O646" s="94">
        <v>18</v>
      </c>
      <c r="P646" s="14" t="s">
        <v>586</v>
      </c>
      <c r="Q646" s="14" t="s">
        <v>561</v>
      </c>
      <c r="R646" s="14" t="s">
        <v>496</v>
      </c>
      <c r="S646" s="15">
        <v>6.6</v>
      </c>
      <c r="T646" s="15">
        <v>2</v>
      </c>
      <c r="U646" s="15">
        <v>0</v>
      </c>
      <c r="V646" s="14">
        <v>737</v>
      </c>
      <c r="W646" s="12">
        <v>0</v>
      </c>
      <c r="X646" s="12">
        <v>0</v>
      </c>
      <c r="Y646" s="12">
        <v>0.98</v>
      </c>
      <c r="Z646" s="12">
        <v>0</v>
      </c>
      <c r="AA646" s="12">
        <v>0</v>
      </c>
      <c r="AB646" s="13">
        <f t="shared" ref="AB646:AB709" si="41">SUM(W646:AA646)-J646</f>
        <v>0</v>
      </c>
      <c r="AE646" s="12">
        <v>0</v>
      </c>
      <c r="AF646" s="12">
        <v>0</v>
      </c>
      <c r="AG646" s="12">
        <v>0.98</v>
      </c>
      <c r="AH646" s="12">
        <v>0</v>
      </c>
      <c r="AI646" s="12">
        <v>0</v>
      </c>
      <c r="AJ646" s="13">
        <f t="shared" ref="AJ646:AJ709" si="42">SUM(AE646:AI646)-J646</f>
        <v>0</v>
      </c>
      <c r="AN646" s="12">
        <f t="shared" ref="AN646:AN709" si="43">ROUNDUP(V646*J646,0)</f>
        <v>723</v>
      </c>
      <c r="AQ646" s="8" t="s">
        <v>419</v>
      </c>
      <c r="AR646" t="str">
        <f t="shared" ref="AR646:AR709" si="44">AQ646&amp;" - "&amp;K646</f>
        <v>Norte - A06</v>
      </c>
    </row>
    <row r="647" spans="1:44" x14ac:dyDescent="0.2">
      <c r="A647" s="107" t="s">
        <v>4179</v>
      </c>
      <c r="B647" s="106" t="s">
        <v>4178</v>
      </c>
      <c r="C647" s="106" t="s">
        <v>4164</v>
      </c>
      <c r="D647" s="106" t="s">
        <v>4177</v>
      </c>
      <c r="E647" s="106" t="s">
        <v>4176</v>
      </c>
      <c r="F647" s="106" t="s">
        <v>590</v>
      </c>
      <c r="G647" s="106" t="s">
        <v>4175</v>
      </c>
      <c r="H647" s="105" t="s">
        <v>4174</v>
      </c>
      <c r="I647" s="105" t="s">
        <v>1999</v>
      </c>
      <c r="J647" s="104">
        <v>1.63</v>
      </c>
      <c r="K647" s="103" t="s">
        <v>426</v>
      </c>
      <c r="L647" s="102" t="s">
        <v>486</v>
      </c>
      <c r="M647" s="95"/>
      <c r="N647" s="14"/>
      <c r="O647" s="94">
        <v>18</v>
      </c>
      <c r="P647" s="14" t="s">
        <v>586</v>
      </c>
      <c r="Q647" s="14" t="s">
        <v>561</v>
      </c>
      <c r="R647" s="14" t="s">
        <v>496</v>
      </c>
      <c r="S647" s="15">
        <v>7.5</v>
      </c>
      <c r="T647" s="15">
        <v>2</v>
      </c>
      <c r="U647" s="15">
        <v>0</v>
      </c>
      <c r="V647" s="14">
        <v>737</v>
      </c>
      <c r="W647" s="12">
        <v>0</v>
      </c>
      <c r="X647" s="12">
        <v>0</v>
      </c>
      <c r="Y647" s="12">
        <v>1.63</v>
      </c>
      <c r="Z647" s="12">
        <v>0</v>
      </c>
      <c r="AA647" s="12">
        <v>0</v>
      </c>
      <c r="AB647" s="13">
        <f t="shared" si="41"/>
        <v>0</v>
      </c>
      <c r="AE647" s="12">
        <v>0</v>
      </c>
      <c r="AF647" s="12">
        <v>0</v>
      </c>
      <c r="AG647" s="12">
        <v>1.63</v>
      </c>
      <c r="AH647" s="12">
        <v>0</v>
      </c>
      <c r="AI647" s="12">
        <v>0</v>
      </c>
      <c r="AJ647" s="13">
        <f t="shared" si="42"/>
        <v>0</v>
      </c>
      <c r="AN647" s="12">
        <f t="shared" si="43"/>
        <v>1202</v>
      </c>
      <c r="AQ647" s="8" t="s">
        <v>419</v>
      </c>
      <c r="AR647" t="str">
        <f t="shared" si="44"/>
        <v>Norte - A06</v>
      </c>
    </row>
    <row r="648" spans="1:44" x14ac:dyDescent="0.2">
      <c r="A648" s="107" t="s">
        <v>4173</v>
      </c>
      <c r="B648" s="106" t="s">
        <v>4172</v>
      </c>
      <c r="C648" s="106" t="s">
        <v>4164</v>
      </c>
      <c r="D648" s="106" t="s">
        <v>3016</v>
      </c>
      <c r="E648" s="106" t="s">
        <v>4163</v>
      </c>
      <c r="F648" s="106" t="s">
        <v>490</v>
      </c>
      <c r="G648" s="106" t="s">
        <v>4171</v>
      </c>
      <c r="H648" s="105" t="s">
        <v>1999</v>
      </c>
      <c r="I648" s="105" t="s">
        <v>4167</v>
      </c>
      <c r="J648" s="104">
        <v>9.8800000000000008</v>
      </c>
      <c r="K648" s="103" t="s">
        <v>426</v>
      </c>
      <c r="L648" s="102" t="s">
        <v>486</v>
      </c>
      <c r="M648" s="95"/>
      <c r="N648" s="14"/>
      <c r="O648" s="94">
        <v>18</v>
      </c>
      <c r="P648" s="14" t="s">
        <v>485</v>
      </c>
      <c r="Q648" s="14" t="s">
        <v>561</v>
      </c>
      <c r="R648" s="14" t="s">
        <v>1258</v>
      </c>
      <c r="S648" s="15">
        <v>6.6</v>
      </c>
      <c r="T648" s="15">
        <v>0</v>
      </c>
      <c r="U648" s="15">
        <v>0</v>
      </c>
      <c r="V648" s="14">
        <v>2455</v>
      </c>
      <c r="W648" s="12">
        <v>0</v>
      </c>
      <c r="X648" s="12">
        <v>0</v>
      </c>
      <c r="Y648" s="12">
        <v>4.8800000000000008</v>
      </c>
      <c r="Z648" s="12">
        <v>5</v>
      </c>
      <c r="AA648" s="12">
        <v>0</v>
      </c>
      <c r="AB648" s="13">
        <f t="shared" si="41"/>
        <v>0</v>
      </c>
      <c r="AE648" s="12">
        <v>0</v>
      </c>
      <c r="AF648" s="12">
        <v>0</v>
      </c>
      <c r="AG648" s="12">
        <v>4.8800000000000008</v>
      </c>
      <c r="AH648" s="12">
        <v>5</v>
      </c>
      <c r="AI648" s="12">
        <v>0</v>
      </c>
      <c r="AJ648" s="13">
        <f t="shared" si="42"/>
        <v>0</v>
      </c>
      <c r="AN648" s="12">
        <f t="shared" si="43"/>
        <v>24256</v>
      </c>
      <c r="AQ648" s="8" t="s">
        <v>419</v>
      </c>
      <c r="AR648" t="str">
        <f t="shared" si="44"/>
        <v>Norte - A06</v>
      </c>
    </row>
    <row r="649" spans="1:44" x14ac:dyDescent="0.2">
      <c r="A649" s="107" t="s">
        <v>4170</v>
      </c>
      <c r="B649" s="106" t="s">
        <v>4169</v>
      </c>
      <c r="C649" s="106" t="s">
        <v>4164</v>
      </c>
      <c r="D649" s="106" t="s">
        <v>3010</v>
      </c>
      <c r="E649" s="106" t="s">
        <v>4163</v>
      </c>
      <c r="F649" s="106" t="s">
        <v>490</v>
      </c>
      <c r="G649" s="106" t="s">
        <v>4168</v>
      </c>
      <c r="H649" s="105" t="s">
        <v>4167</v>
      </c>
      <c r="I649" s="105" t="s">
        <v>4161</v>
      </c>
      <c r="J649" s="104">
        <v>0.2</v>
      </c>
      <c r="K649" s="103" t="s">
        <v>426</v>
      </c>
      <c r="L649" s="102" t="s">
        <v>486</v>
      </c>
      <c r="M649" s="95"/>
      <c r="N649" s="14"/>
      <c r="O649" s="94">
        <v>18</v>
      </c>
      <c r="P649" s="14" t="s">
        <v>485</v>
      </c>
      <c r="Q649" s="14" t="s">
        <v>561</v>
      </c>
      <c r="R649" s="14" t="s">
        <v>1258</v>
      </c>
      <c r="S649" s="15">
        <v>6.6</v>
      </c>
      <c r="T649" s="15">
        <v>0</v>
      </c>
      <c r="U649" s="15">
        <v>0</v>
      </c>
      <c r="V649" s="14">
        <v>2455</v>
      </c>
      <c r="W649" s="12">
        <v>0</v>
      </c>
      <c r="X649" s="12">
        <v>0</v>
      </c>
      <c r="Y649" s="12">
        <v>0.2</v>
      </c>
      <c r="Z649" s="12">
        <v>0</v>
      </c>
      <c r="AA649" s="12">
        <v>0</v>
      </c>
      <c r="AB649" s="13">
        <f t="shared" si="41"/>
        <v>0</v>
      </c>
      <c r="AE649" s="12">
        <v>0</v>
      </c>
      <c r="AF649" s="12">
        <v>0</v>
      </c>
      <c r="AG649" s="12">
        <v>0.2</v>
      </c>
      <c r="AH649" s="12">
        <v>0</v>
      </c>
      <c r="AI649" s="12">
        <v>0</v>
      </c>
      <c r="AJ649" s="13">
        <f t="shared" si="42"/>
        <v>0</v>
      </c>
      <c r="AN649" s="12">
        <f t="shared" si="43"/>
        <v>491</v>
      </c>
      <c r="AQ649" s="8" t="s">
        <v>419</v>
      </c>
      <c r="AR649" t="str">
        <f t="shared" si="44"/>
        <v>Norte - A06</v>
      </c>
    </row>
    <row r="650" spans="1:44" x14ac:dyDescent="0.2">
      <c r="A650" s="107" t="s">
        <v>4166</v>
      </c>
      <c r="B650" s="106" t="s">
        <v>4165</v>
      </c>
      <c r="C650" s="106" t="s">
        <v>4164</v>
      </c>
      <c r="D650" s="106" t="s">
        <v>2825</v>
      </c>
      <c r="E650" s="106" t="s">
        <v>4163</v>
      </c>
      <c r="F650" s="106" t="s">
        <v>490</v>
      </c>
      <c r="G650" s="106" t="s">
        <v>4162</v>
      </c>
      <c r="H650" s="105" t="s">
        <v>4161</v>
      </c>
      <c r="I650" s="105" t="s">
        <v>4160</v>
      </c>
      <c r="J650" s="104">
        <v>11.55</v>
      </c>
      <c r="K650" s="103" t="s">
        <v>426</v>
      </c>
      <c r="L650" s="102" t="s">
        <v>486</v>
      </c>
      <c r="M650" s="95"/>
      <c r="N650" s="14"/>
      <c r="O650" s="94">
        <v>18</v>
      </c>
      <c r="P650" s="14" t="s">
        <v>485</v>
      </c>
      <c r="Q650" s="14" t="s">
        <v>561</v>
      </c>
      <c r="R650" s="14" t="s">
        <v>1258</v>
      </c>
      <c r="S650" s="15">
        <v>8</v>
      </c>
      <c r="T650" s="15">
        <v>0.7</v>
      </c>
      <c r="U650" s="15">
        <v>0</v>
      </c>
      <c r="V650" s="14">
        <v>932</v>
      </c>
      <c r="W650" s="12">
        <v>0</v>
      </c>
      <c r="X650" s="12">
        <v>0</v>
      </c>
      <c r="Y650" s="12">
        <v>6</v>
      </c>
      <c r="Z650" s="12">
        <v>5.5500000000000007</v>
      </c>
      <c r="AA650" s="12">
        <v>0</v>
      </c>
      <c r="AB650" s="13">
        <f t="shared" si="41"/>
        <v>0</v>
      </c>
      <c r="AE650" s="12">
        <v>0</v>
      </c>
      <c r="AF650" s="12">
        <v>0</v>
      </c>
      <c r="AG650" s="12">
        <v>6</v>
      </c>
      <c r="AH650" s="12">
        <v>5.5500000000000007</v>
      </c>
      <c r="AI650" s="12">
        <v>0</v>
      </c>
      <c r="AJ650" s="13">
        <f t="shared" si="42"/>
        <v>0</v>
      </c>
      <c r="AN650" s="12">
        <f t="shared" si="43"/>
        <v>10765</v>
      </c>
      <c r="AQ650" s="8" t="s">
        <v>419</v>
      </c>
      <c r="AR650" t="str">
        <f t="shared" si="44"/>
        <v>Norte - A06</v>
      </c>
    </row>
    <row r="651" spans="1:44" x14ac:dyDescent="0.2">
      <c r="A651" s="107" t="s">
        <v>4159</v>
      </c>
      <c r="B651" s="106" t="s">
        <v>4158</v>
      </c>
      <c r="C651" s="106" t="s">
        <v>4148</v>
      </c>
      <c r="D651" s="106" t="s">
        <v>492</v>
      </c>
      <c r="E651" s="106" t="s">
        <v>4153</v>
      </c>
      <c r="F651" s="106" t="s">
        <v>490</v>
      </c>
      <c r="G651" s="106" t="s">
        <v>4157</v>
      </c>
      <c r="H651" s="105" t="s">
        <v>4156</v>
      </c>
      <c r="I651" s="105" t="s">
        <v>4151</v>
      </c>
      <c r="J651" s="104">
        <v>21.3</v>
      </c>
      <c r="K651" s="103" t="s">
        <v>423</v>
      </c>
      <c r="L651" s="102" t="s">
        <v>486</v>
      </c>
      <c r="M651" s="95"/>
      <c r="N651" s="14"/>
      <c r="O651" s="94">
        <v>15</v>
      </c>
      <c r="P651" s="14" t="s">
        <v>485</v>
      </c>
      <c r="Q651" s="14" t="s">
        <v>505</v>
      </c>
      <c r="R651" s="14" t="s">
        <v>496</v>
      </c>
      <c r="S651" s="15">
        <v>6.9</v>
      </c>
      <c r="T651" s="15">
        <v>1</v>
      </c>
      <c r="U651" s="15">
        <v>0</v>
      </c>
      <c r="V651" s="14">
        <v>1808</v>
      </c>
      <c r="W651" s="12">
        <v>0</v>
      </c>
      <c r="X651" s="12">
        <v>0</v>
      </c>
      <c r="Y651" s="12">
        <v>0</v>
      </c>
      <c r="Z651" s="12">
        <v>21.3</v>
      </c>
      <c r="AA651" s="12">
        <v>0</v>
      </c>
      <c r="AB651" s="13">
        <f t="shared" si="41"/>
        <v>0</v>
      </c>
      <c r="AE651" s="12">
        <v>0</v>
      </c>
      <c r="AF651" s="12">
        <v>0</v>
      </c>
      <c r="AG651" s="12">
        <v>0</v>
      </c>
      <c r="AH651" s="12">
        <v>21.3</v>
      </c>
      <c r="AI651" s="12">
        <v>0</v>
      </c>
      <c r="AJ651" s="13">
        <f t="shared" si="42"/>
        <v>0</v>
      </c>
      <c r="AN651" s="12">
        <f t="shared" si="43"/>
        <v>38511</v>
      </c>
      <c r="AQ651" s="8" t="s">
        <v>419</v>
      </c>
      <c r="AR651" t="str">
        <f t="shared" si="44"/>
        <v>Norte - A03</v>
      </c>
    </row>
    <row r="652" spans="1:44" x14ac:dyDescent="0.2">
      <c r="A652" s="107" t="s">
        <v>4155</v>
      </c>
      <c r="B652" s="106" t="s">
        <v>4154</v>
      </c>
      <c r="C652" s="106" t="s">
        <v>4148</v>
      </c>
      <c r="D652" s="106" t="s">
        <v>513</v>
      </c>
      <c r="E652" s="106" t="s">
        <v>4153</v>
      </c>
      <c r="F652" s="106" t="s">
        <v>490</v>
      </c>
      <c r="G652" s="106" t="s">
        <v>4152</v>
      </c>
      <c r="H652" s="105" t="s">
        <v>4151</v>
      </c>
      <c r="I652" s="105" t="s">
        <v>4145</v>
      </c>
      <c r="J652" s="104">
        <v>28.61</v>
      </c>
      <c r="K652" s="103" t="s">
        <v>422</v>
      </c>
      <c r="L652" s="102" t="s">
        <v>486</v>
      </c>
      <c r="M652" s="95"/>
      <c r="N652" s="14"/>
      <c r="O652" s="94">
        <v>14</v>
      </c>
      <c r="P652" s="14" t="s">
        <v>485</v>
      </c>
      <c r="Q652" s="14" t="s">
        <v>497</v>
      </c>
      <c r="R652" s="14" t="s">
        <v>496</v>
      </c>
      <c r="S652" s="15">
        <v>7</v>
      </c>
      <c r="T652" s="15">
        <v>0</v>
      </c>
      <c r="U652" s="15">
        <v>0</v>
      </c>
      <c r="V652" s="14">
        <v>2098</v>
      </c>
      <c r="W652" s="12">
        <v>0</v>
      </c>
      <c r="X652" s="12">
        <v>0</v>
      </c>
      <c r="Y652" s="12">
        <v>0</v>
      </c>
      <c r="Z652" s="12">
        <v>28.61</v>
      </c>
      <c r="AA652" s="12">
        <v>0</v>
      </c>
      <c r="AB652" s="13">
        <f t="shared" si="41"/>
        <v>0</v>
      </c>
      <c r="AE652" s="12">
        <v>0</v>
      </c>
      <c r="AF652" s="12">
        <v>0</v>
      </c>
      <c r="AG652" s="12">
        <v>0</v>
      </c>
      <c r="AH652" s="12">
        <v>28.61</v>
      </c>
      <c r="AI652" s="12">
        <v>0</v>
      </c>
      <c r="AJ652" s="13">
        <f t="shared" si="42"/>
        <v>0</v>
      </c>
      <c r="AN652" s="12">
        <f t="shared" si="43"/>
        <v>60024</v>
      </c>
      <c r="AQ652" s="8" t="s">
        <v>419</v>
      </c>
      <c r="AR652" t="str">
        <f t="shared" si="44"/>
        <v>Norte - A02</v>
      </c>
    </row>
    <row r="653" spans="1:44" x14ac:dyDescent="0.2">
      <c r="A653" s="107" t="s">
        <v>4150</v>
      </c>
      <c r="B653" s="106" t="s">
        <v>4149</v>
      </c>
      <c r="C653" s="106" t="s">
        <v>4148</v>
      </c>
      <c r="D653" s="106" t="s">
        <v>1324</v>
      </c>
      <c r="E653" s="106" t="s">
        <v>4147</v>
      </c>
      <c r="F653" s="106" t="s">
        <v>590</v>
      </c>
      <c r="G653" s="106" t="s">
        <v>4146</v>
      </c>
      <c r="H653" s="105" t="s">
        <v>4145</v>
      </c>
      <c r="I653" s="105" t="s">
        <v>4144</v>
      </c>
      <c r="J653" s="104">
        <v>1.32</v>
      </c>
      <c r="K653" s="103" t="s">
        <v>422</v>
      </c>
      <c r="L653" s="102" t="s">
        <v>486</v>
      </c>
      <c r="M653" s="95"/>
      <c r="N653" s="14"/>
      <c r="O653" s="94">
        <v>14</v>
      </c>
      <c r="P653" s="14" t="s">
        <v>586</v>
      </c>
      <c r="Q653" s="14" t="s">
        <v>497</v>
      </c>
      <c r="R653" s="14" t="s">
        <v>496</v>
      </c>
      <c r="S653" s="15">
        <v>10.3</v>
      </c>
      <c r="T653" s="15">
        <v>0</v>
      </c>
      <c r="U653" s="15">
        <v>0</v>
      </c>
      <c r="V653" s="14">
        <v>996</v>
      </c>
      <c r="W653" s="12">
        <v>0</v>
      </c>
      <c r="X653" s="12">
        <v>0</v>
      </c>
      <c r="Y653" s="12">
        <v>0</v>
      </c>
      <c r="Z653" s="12">
        <v>1.32</v>
      </c>
      <c r="AA653" s="12">
        <v>0</v>
      </c>
      <c r="AB653" s="13">
        <f t="shared" si="41"/>
        <v>0</v>
      </c>
      <c r="AE653" s="12">
        <v>0</v>
      </c>
      <c r="AF653" s="12">
        <v>0</v>
      </c>
      <c r="AG653" s="12">
        <v>0</v>
      </c>
      <c r="AH653" s="12">
        <v>1.32</v>
      </c>
      <c r="AI653" s="12">
        <v>0</v>
      </c>
      <c r="AJ653" s="13">
        <f t="shared" si="42"/>
        <v>0</v>
      </c>
      <c r="AN653" s="12">
        <f t="shared" si="43"/>
        <v>1315</v>
      </c>
      <c r="AQ653" s="8" t="s">
        <v>419</v>
      </c>
      <c r="AR653" t="str">
        <f t="shared" si="44"/>
        <v>Norte - A02</v>
      </c>
    </row>
    <row r="654" spans="1:44" x14ac:dyDescent="0.2">
      <c r="A654" s="107" t="s">
        <v>4143</v>
      </c>
      <c r="B654" s="106" t="s">
        <v>4142</v>
      </c>
      <c r="C654" s="106" t="s">
        <v>4124</v>
      </c>
      <c r="D654" s="106" t="s">
        <v>492</v>
      </c>
      <c r="E654" s="106" t="s">
        <v>4123</v>
      </c>
      <c r="F654" s="106" t="s">
        <v>490</v>
      </c>
      <c r="G654" s="106" t="s">
        <v>4141</v>
      </c>
      <c r="H654" s="105" t="s">
        <v>4140</v>
      </c>
      <c r="I654" s="105" t="s">
        <v>4136</v>
      </c>
      <c r="J654" s="104">
        <v>5.0999999999999996</v>
      </c>
      <c r="K654" s="103" t="s">
        <v>424</v>
      </c>
      <c r="L654" s="102" t="s">
        <v>577</v>
      </c>
      <c r="M654" s="95"/>
      <c r="N654" s="14"/>
      <c r="O654" s="94">
        <v>9</v>
      </c>
      <c r="P654" s="14" t="s">
        <v>485</v>
      </c>
      <c r="Q654" s="14" t="s">
        <v>497</v>
      </c>
      <c r="R654" s="14" t="s">
        <v>496</v>
      </c>
      <c r="S654" s="15">
        <v>7.6</v>
      </c>
      <c r="T654" s="15">
        <v>1</v>
      </c>
      <c r="U654" s="15">
        <v>0</v>
      </c>
      <c r="V654" s="14">
        <v>4370</v>
      </c>
      <c r="W654" s="12">
        <v>0</v>
      </c>
      <c r="X654" s="12">
        <v>0</v>
      </c>
      <c r="Y654" s="12">
        <v>2</v>
      </c>
      <c r="Z654" s="12">
        <v>3.0999999999999996</v>
      </c>
      <c r="AA654" s="12">
        <v>0</v>
      </c>
      <c r="AB654" s="13">
        <f t="shared" si="41"/>
        <v>0</v>
      </c>
      <c r="AE654" s="12">
        <v>0</v>
      </c>
      <c r="AF654" s="12">
        <v>0</v>
      </c>
      <c r="AG654" s="12">
        <v>2</v>
      </c>
      <c r="AH654" s="12">
        <v>3.0999999999999996</v>
      </c>
      <c r="AI654" s="12">
        <v>0</v>
      </c>
      <c r="AJ654" s="13">
        <f t="shared" si="42"/>
        <v>0</v>
      </c>
      <c r="AN654" s="12">
        <f t="shared" si="43"/>
        <v>22287</v>
      </c>
      <c r="AQ654" s="8" t="s">
        <v>420</v>
      </c>
      <c r="AR654" t="str">
        <f t="shared" si="44"/>
        <v>Campos Gerais - A04</v>
      </c>
    </row>
    <row r="655" spans="1:44" x14ac:dyDescent="0.2">
      <c r="A655" s="107" t="s">
        <v>4139</v>
      </c>
      <c r="B655" s="106" t="s">
        <v>4138</v>
      </c>
      <c r="C655" s="106" t="s">
        <v>4124</v>
      </c>
      <c r="D655" s="106" t="s">
        <v>519</v>
      </c>
      <c r="E655" s="106" t="s">
        <v>4123</v>
      </c>
      <c r="F655" s="106" t="s">
        <v>490</v>
      </c>
      <c r="G655" s="106" t="s">
        <v>4137</v>
      </c>
      <c r="H655" s="105" t="s">
        <v>4136</v>
      </c>
      <c r="I655" s="105" t="s">
        <v>4131</v>
      </c>
      <c r="J655" s="104">
        <v>11.97</v>
      </c>
      <c r="K655" s="103" t="s">
        <v>424</v>
      </c>
      <c r="L655" s="102" t="s">
        <v>577</v>
      </c>
      <c r="M655" s="95"/>
      <c r="N655" s="14"/>
      <c r="O655" s="94">
        <v>9</v>
      </c>
      <c r="P655" s="14" t="s">
        <v>485</v>
      </c>
      <c r="Q655" s="14" t="s">
        <v>497</v>
      </c>
      <c r="R655" s="14" t="s">
        <v>496</v>
      </c>
      <c r="S655" s="15">
        <v>7.6</v>
      </c>
      <c r="T655" s="15">
        <v>1</v>
      </c>
      <c r="U655" s="15">
        <v>0</v>
      </c>
      <c r="V655" s="14">
        <v>2805</v>
      </c>
      <c r="W655" s="12">
        <v>0</v>
      </c>
      <c r="X655" s="12">
        <v>0</v>
      </c>
      <c r="Y655" s="12">
        <v>0</v>
      </c>
      <c r="Z655" s="12">
        <v>11.97</v>
      </c>
      <c r="AA655" s="12">
        <v>0</v>
      </c>
      <c r="AB655" s="13">
        <f t="shared" si="41"/>
        <v>0</v>
      </c>
      <c r="AE655" s="12">
        <v>0</v>
      </c>
      <c r="AF655" s="12">
        <v>0</v>
      </c>
      <c r="AG655" s="12">
        <v>0</v>
      </c>
      <c r="AH655" s="12">
        <v>11.97</v>
      </c>
      <c r="AI655" s="12">
        <v>0</v>
      </c>
      <c r="AJ655" s="13">
        <f t="shared" si="42"/>
        <v>0</v>
      </c>
      <c r="AN655" s="12">
        <f t="shared" si="43"/>
        <v>33576</v>
      </c>
      <c r="AQ655" s="8" t="s">
        <v>420</v>
      </c>
      <c r="AR655" t="str">
        <f t="shared" si="44"/>
        <v>Campos Gerais - A04</v>
      </c>
    </row>
    <row r="656" spans="1:44" x14ac:dyDescent="0.2">
      <c r="A656" s="107" t="s">
        <v>4135</v>
      </c>
      <c r="B656" s="106" t="s">
        <v>4134</v>
      </c>
      <c r="C656" s="106" t="s">
        <v>4124</v>
      </c>
      <c r="D656" s="106" t="s">
        <v>1032</v>
      </c>
      <c r="E656" s="106" t="s">
        <v>4133</v>
      </c>
      <c r="F656" s="106" t="s">
        <v>590</v>
      </c>
      <c r="G656" s="106" t="s">
        <v>4132</v>
      </c>
      <c r="H656" s="105" t="s">
        <v>4131</v>
      </c>
      <c r="I656" s="105" t="s">
        <v>4127</v>
      </c>
      <c r="J656" s="104">
        <v>2.48</v>
      </c>
      <c r="K656" s="103" t="s">
        <v>424</v>
      </c>
      <c r="L656" s="102" t="s">
        <v>577</v>
      </c>
      <c r="M656" s="95"/>
      <c r="N656" s="14"/>
      <c r="O656" s="94">
        <v>9</v>
      </c>
      <c r="P656" s="14" t="s">
        <v>586</v>
      </c>
      <c r="Q656" s="14" t="s">
        <v>497</v>
      </c>
      <c r="R656" s="14" t="s">
        <v>496</v>
      </c>
      <c r="S656" s="15">
        <v>11.3</v>
      </c>
      <c r="T656" s="15">
        <v>0</v>
      </c>
      <c r="U656" s="15">
        <v>0</v>
      </c>
      <c r="V656" s="14">
        <v>651</v>
      </c>
      <c r="W656" s="12">
        <v>0</v>
      </c>
      <c r="X656" s="12">
        <v>0</v>
      </c>
      <c r="Y656" s="12">
        <v>1</v>
      </c>
      <c r="Z656" s="12">
        <v>1.48</v>
      </c>
      <c r="AA656" s="12">
        <v>0</v>
      </c>
      <c r="AB656" s="13">
        <f t="shared" si="41"/>
        <v>0</v>
      </c>
      <c r="AE656" s="12">
        <v>0</v>
      </c>
      <c r="AF656" s="12">
        <v>0</v>
      </c>
      <c r="AG656" s="12">
        <v>1</v>
      </c>
      <c r="AH656" s="12">
        <v>1.48</v>
      </c>
      <c r="AI656" s="12">
        <v>0</v>
      </c>
      <c r="AJ656" s="13">
        <f t="shared" si="42"/>
        <v>0</v>
      </c>
      <c r="AN656" s="12">
        <f t="shared" si="43"/>
        <v>1615</v>
      </c>
      <c r="AQ656" s="8" t="s">
        <v>420</v>
      </c>
      <c r="AR656" t="str">
        <f t="shared" si="44"/>
        <v>Campos Gerais - A04</v>
      </c>
    </row>
    <row r="657" spans="1:44" x14ac:dyDescent="0.2">
      <c r="A657" s="107" t="s">
        <v>4130</v>
      </c>
      <c r="B657" s="106" t="s">
        <v>4129</v>
      </c>
      <c r="C657" s="106" t="s">
        <v>4124</v>
      </c>
      <c r="D657" s="106" t="s">
        <v>513</v>
      </c>
      <c r="E657" s="106" t="s">
        <v>4123</v>
      </c>
      <c r="F657" s="106" t="s">
        <v>490</v>
      </c>
      <c r="G657" s="106" t="s">
        <v>4128</v>
      </c>
      <c r="H657" s="105" t="s">
        <v>4127</v>
      </c>
      <c r="I657" s="105" t="s">
        <v>4121</v>
      </c>
      <c r="J657" s="104">
        <v>26.48</v>
      </c>
      <c r="K657" s="103" t="s">
        <v>424</v>
      </c>
      <c r="L657" s="102" t="s">
        <v>577</v>
      </c>
      <c r="M657" s="95"/>
      <c r="N657" s="14"/>
      <c r="O657" s="94">
        <v>9</v>
      </c>
      <c r="P657" s="14" t="s">
        <v>485</v>
      </c>
      <c r="Q657" s="14" t="s">
        <v>561</v>
      </c>
      <c r="R657" s="14" t="s">
        <v>1258</v>
      </c>
      <c r="S657" s="15">
        <v>6.6</v>
      </c>
      <c r="T657" s="15">
        <v>0</v>
      </c>
      <c r="U657" s="15">
        <v>0</v>
      </c>
      <c r="V657" s="14">
        <v>2321</v>
      </c>
      <c r="W657" s="12">
        <v>0</v>
      </c>
      <c r="X657" s="12">
        <v>1</v>
      </c>
      <c r="Y657" s="12">
        <v>10.48</v>
      </c>
      <c r="Z657" s="12">
        <v>15</v>
      </c>
      <c r="AA657" s="12">
        <v>0</v>
      </c>
      <c r="AB657" s="13">
        <f t="shared" si="41"/>
        <v>0</v>
      </c>
      <c r="AE657" s="12">
        <v>0</v>
      </c>
      <c r="AF657" s="12">
        <v>1</v>
      </c>
      <c r="AG657" s="12">
        <v>10.48</v>
      </c>
      <c r="AH657" s="12">
        <v>15</v>
      </c>
      <c r="AI657" s="12">
        <v>0</v>
      </c>
      <c r="AJ657" s="13">
        <f t="shared" si="42"/>
        <v>0</v>
      </c>
      <c r="AN657" s="12">
        <f t="shared" si="43"/>
        <v>61461</v>
      </c>
      <c r="AQ657" s="8" t="s">
        <v>420</v>
      </c>
      <c r="AR657" t="str">
        <f t="shared" si="44"/>
        <v>Campos Gerais - A04</v>
      </c>
    </row>
    <row r="658" spans="1:44" x14ac:dyDescent="0.2">
      <c r="A658" s="107" t="s">
        <v>4126</v>
      </c>
      <c r="B658" s="106" t="s">
        <v>4125</v>
      </c>
      <c r="C658" s="106" t="s">
        <v>4124</v>
      </c>
      <c r="D658" s="106" t="s">
        <v>981</v>
      </c>
      <c r="E658" s="106" t="s">
        <v>4123</v>
      </c>
      <c r="F658" s="106" t="s">
        <v>490</v>
      </c>
      <c r="G658" s="106" t="s">
        <v>4122</v>
      </c>
      <c r="H658" s="105" t="s">
        <v>4121</v>
      </c>
      <c r="I658" s="105" t="s">
        <v>4120</v>
      </c>
      <c r="J658" s="104">
        <v>15.22</v>
      </c>
      <c r="K658" s="103" t="s">
        <v>422</v>
      </c>
      <c r="L658" s="102" t="s">
        <v>577</v>
      </c>
      <c r="M658" s="95"/>
      <c r="N658" s="14"/>
      <c r="O658" s="94">
        <v>7</v>
      </c>
      <c r="P658" s="14" t="s">
        <v>485</v>
      </c>
      <c r="Q658" s="14" t="s">
        <v>561</v>
      </c>
      <c r="R658" s="14" t="s">
        <v>1258</v>
      </c>
      <c r="S658" s="15">
        <v>7</v>
      </c>
      <c r="T658" s="15">
        <v>0</v>
      </c>
      <c r="U658" s="15">
        <v>0</v>
      </c>
      <c r="V658" s="14">
        <v>2805</v>
      </c>
      <c r="W658" s="12">
        <v>0.22000000000000064</v>
      </c>
      <c r="X658" s="12">
        <v>0</v>
      </c>
      <c r="Y658" s="12">
        <v>4</v>
      </c>
      <c r="Z658" s="12">
        <v>11</v>
      </c>
      <c r="AA658" s="12">
        <v>0</v>
      </c>
      <c r="AB658" s="13">
        <f t="shared" si="41"/>
        <v>0</v>
      </c>
      <c r="AE658" s="12">
        <v>0.22000000000000064</v>
      </c>
      <c r="AF658" s="12">
        <v>0</v>
      </c>
      <c r="AG658" s="12">
        <v>4</v>
      </c>
      <c r="AH658" s="12">
        <v>11</v>
      </c>
      <c r="AI658" s="12">
        <v>0</v>
      </c>
      <c r="AJ658" s="13">
        <f t="shared" si="42"/>
        <v>0</v>
      </c>
      <c r="AN658" s="12">
        <f t="shared" si="43"/>
        <v>42693</v>
      </c>
      <c r="AQ658" s="8" t="s">
        <v>420</v>
      </c>
      <c r="AR658" t="str">
        <f t="shared" si="44"/>
        <v>Campos Gerais - A02</v>
      </c>
    </row>
    <row r="659" spans="1:44" x14ac:dyDescent="0.2">
      <c r="A659" s="107" t="s">
        <v>4119</v>
      </c>
      <c r="B659" s="106" t="s">
        <v>4118</v>
      </c>
      <c r="C659" s="106" t="s">
        <v>4109</v>
      </c>
      <c r="D659" s="106" t="s">
        <v>981</v>
      </c>
      <c r="E659" s="106" t="s">
        <v>4108</v>
      </c>
      <c r="F659" s="106" t="s">
        <v>490</v>
      </c>
      <c r="G659" s="106" t="s">
        <v>4117</v>
      </c>
      <c r="H659" s="105" t="s">
        <v>2040</v>
      </c>
      <c r="I659" s="105" t="s">
        <v>4113</v>
      </c>
      <c r="J659" s="104">
        <v>26.65</v>
      </c>
      <c r="K659" s="103" t="s">
        <v>429</v>
      </c>
      <c r="L659" s="102" t="s">
        <v>486</v>
      </c>
      <c r="M659" s="95"/>
      <c r="N659" s="14"/>
      <c r="O659" s="94">
        <v>21</v>
      </c>
      <c r="P659" s="14" t="s">
        <v>485</v>
      </c>
      <c r="Q659" s="14" t="s">
        <v>887</v>
      </c>
      <c r="R659" s="14" t="s">
        <v>1258</v>
      </c>
      <c r="S659" s="15">
        <v>6.6</v>
      </c>
      <c r="T659" s="15">
        <v>0</v>
      </c>
      <c r="U659" s="15">
        <v>0</v>
      </c>
      <c r="V659" s="14">
        <v>1894</v>
      </c>
      <c r="W659" s="12">
        <v>0</v>
      </c>
      <c r="X659" s="12">
        <v>0</v>
      </c>
      <c r="Y659" s="12">
        <v>7</v>
      </c>
      <c r="Z659" s="12">
        <v>19.649999999999999</v>
      </c>
      <c r="AA659" s="12">
        <v>0</v>
      </c>
      <c r="AB659" s="13">
        <f t="shared" si="41"/>
        <v>0</v>
      </c>
      <c r="AE659" s="12">
        <v>0</v>
      </c>
      <c r="AF659" s="12">
        <v>0</v>
      </c>
      <c r="AG659" s="12">
        <v>7</v>
      </c>
      <c r="AH659" s="12">
        <v>19.649999999999999</v>
      </c>
      <c r="AI659" s="12">
        <v>0</v>
      </c>
      <c r="AJ659" s="13">
        <f t="shared" si="42"/>
        <v>0</v>
      </c>
      <c r="AN659" s="12">
        <f t="shared" si="43"/>
        <v>50476</v>
      </c>
      <c r="AQ659" s="8" t="s">
        <v>419</v>
      </c>
      <c r="AR659" t="str">
        <f t="shared" si="44"/>
        <v>Norte - A09</v>
      </c>
    </row>
    <row r="660" spans="1:44" x14ac:dyDescent="0.2">
      <c r="A660" s="107" t="s">
        <v>4116</v>
      </c>
      <c r="B660" s="106" t="s">
        <v>4115</v>
      </c>
      <c r="C660" s="106" t="s">
        <v>4109</v>
      </c>
      <c r="D660" s="106" t="s">
        <v>975</v>
      </c>
      <c r="E660" s="106" t="s">
        <v>4108</v>
      </c>
      <c r="F660" s="106" t="s">
        <v>490</v>
      </c>
      <c r="G660" s="106" t="s">
        <v>4114</v>
      </c>
      <c r="H660" s="105" t="s">
        <v>4113</v>
      </c>
      <c r="I660" s="105" t="s">
        <v>4112</v>
      </c>
      <c r="J660" s="104">
        <v>2.85</v>
      </c>
      <c r="K660" s="103" t="s">
        <v>429</v>
      </c>
      <c r="L660" s="102" t="s">
        <v>486</v>
      </c>
      <c r="M660" s="95"/>
      <c r="N660" s="14"/>
      <c r="O660" s="94">
        <v>21</v>
      </c>
      <c r="P660" s="14" t="s">
        <v>485</v>
      </c>
      <c r="Q660" s="14" t="s">
        <v>887</v>
      </c>
      <c r="R660" s="14" t="s">
        <v>1258</v>
      </c>
      <c r="S660" s="15">
        <v>6.6</v>
      </c>
      <c r="T660" s="15">
        <v>0</v>
      </c>
      <c r="U660" s="15">
        <v>0</v>
      </c>
      <c r="V660" s="14">
        <v>1894</v>
      </c>
      <c r="W660" s="12">
        <v>0</v>
      </c>
      <c r="X660" s="12">
        <v>0</v>
      </c>
      <c r="Y660" s="12">
        <v>1</v>
      </c>
      <c r="Z660" s="12">
        <v>1.85</v>
      </c>
      <c r="AA660" s="12">
        <v>0</v>
      </c>
      <c r="AB660" s="13">
        <f t="shared" si="41"/>
        <v>0</v>
      </c>
      <c r="AE660" s="12">
        <v>0</v>
      </c>
      <c r="AF660" s="12">
        <v>0</v>
      </c>
      <c r="AG660" s="12">
        <v>1</v>
      </c>
      <c r="AH660" s="12">
        <v>1.85</v>
      </c>
      <c r="AI660" s="12">
        <v>0</v>
      </c>
      <c r="AJ660" s="13">
        <f t="shared" si="42"/>
        <v>0</v>
      </c>
      <c r="AN660" s="12">
        <f t="shared" si="43"/>
        <v>5398</v>
      </c>
      <c r="AQ660" s="8" t="s">
        <v>419</v>
      </c>
      <c r="AR660" t="str">
        <f t="shared" si="44"/>
        <v>Norte - A09</v>
      </c>
    </row>
    <row r="661" spans="1:44" x14ac:dyDescent="0.2">
      <c r="A661" s="107" t="s">
        <v>4111</v>
      </c>
      <c r="B661" s="106" t="s">
        <v>4110</v>
      </c>
      <c r="C661" s="106" t="s">
        <v>4109</v>
      </c>
      <c r="D661" s="106" t="s">
        <v>965</v>
      </c>
      <c r="E661" s="106" t="s">
        <v>4108</v>
      </c>
      <c r="F661" s="106" t="s">
        <v>490</v>
      </c>
      <c r="G661" s="106" t="s">
        <v>4107</v>
      </c>
      <c r="H661" s="105" t="s">
        <v>4106</v>
      </c>
      <c r="I661" s="105" t="s">
        <v>4105</v>
      </c>
      <c r="J661" s="104">
        <v>6.49</v>
      </c>
      <c r="K661" s="103" t="s">
        <v>426</v>
      </c>
      <c r="L661" s="102" t="s">
        <v>486</v>
      </c>
      <c r="M661" s="95"/>
      <c r="N661" s="14"/>
      <c r="O661" s="94">
        <v>18</v>
      </c>
      <c r="P661" s="14" t="s">
        <v>485</v>
      </c>
      <c r="Q661" s="14" t="s">
        <v>887</v>
      </c>
      <c r="R661" s="14" t="s">
        <v>496</v>
      </c>
      <c r="S661" s="15">
        <v>6.6</v>
      </c>
      <c r="T661" s="15">
        <v>1.2</v>
      </c>
      <c r="U661" s="15">
        <v>0</v>
      </c>
      <c r="V661" s="14">
        <v>1407</v>
      </c>
      <c r="W661" s="12">
        <v>0</v>
      </c>
      <c r="X661" s="12">
        <v>0</v>
      </c>
      <c r="Y661" s="12">
        <v>2</v>
      </c>
      <c r="Z661" s="12">
        <v>4.49</v>
      </c>
      <c r="AA661" s="12">
        <v>0</v>
      </c>
      <c r="AB661" s="13">
        <f t="shared" si="41"/>
        <v>0</v>
      </c>
      <c r="AE661" s="12">
        <v>0</v>
      </c>
      <c r="AF661" s="12">
        <v>0</v>
      </c>
      <c r="AG661" s="12">
        <v>2</v>
      </c>
      <c r="AH661" s="12">
        <v>4.49</v>
      </c>
      <c r="AI661" s="12">
        <v>0</v>
      </c>
      <c r="AJ661" s="13">
        <f t="shared" si="42"/>
        <v>0</v>
      </c>
      <c r="AN661" s="12">
        <f t="shared" si="43"/>
        <v>9132</v>
      </c>
      <c r="AQ661" s="8" t="s">
        <v>419</v>
      </c>
      <c r="AR661" t="str">
        <f t="shared" si="44"/>
        <v>Norte - A06</v>
      </c>
    </row>
    <row r="662" spans="1:44" x14ac:dyDescent="0.2">
      <c r="A662" s="107" t="s">
        <v>4104</v>
      </c>
      <c r="B662" s="106" t="s">
        <v>4103</v>
      </c>
      <c r="C662" s="106" t="s">
        <v>4099</v>
      </c>
      <c r="D662" s="106" t="s">
        <v>492</v>
      </c>
      <c r="E662" s="106" t="s">
        <v>4098</v>
      </c>
      <c r="F662" s="106" t="s">
        <v>490</v>
      </c>
      <c r="G662" s="106" t="s">
        <v>4102</v>
      </c>
      <c r="H662" s="105" t="s">
        <v>488</v>
      </c>
      <c r="I662" s="105" t="s">
        <v>4096</v>
      </c>
      <c r="J662" s="104">
        <v>25.97</v>
      </c>
      <c r="K662" s="103" t="s">
        <v>423</v>
      </c>
      <c r="L662" s="102" t="s">
        <v>577</v>
      </c>
      <c r="M662" s="95"/>
      <c r="N662" s="17"/>
      <c r="O662" s="94">
        <v>8</v>
      </c>
      <c r="P662" s="14" t="s">
        <v>485</v>
      </c>
      <c r="Q662" s="14" t="s">
        <v>497</v>
      </c>
      <c r="R662" s="14" t="s">
        <v>576</v>
      </c>
      <c r="S662" s="15">
        <v>7</v>
      </c>
      <c r="T662" s="15">
        <v>0</v>
      </c>
      <c r="U662" s="15">
        <v>0</v>
      </c>
      <c r="V662" s="14">
        <v>2438</v>
      </c>
      <c r="W662" s="12">
        <v>0</v>
      </c>
      <c r="X662" s="12">
        <v>2</v>
      </c>
      <c r="Y662" s="12">
        <v>17.97</v>
      </c>
      <c r="Z662" s="12">
        <v>6</v>
      </c>
      <c r="AA662" s="12">
        <v>0</v>
      </c>
      <c r="AB662" s="13">
        <f t="shared" si="41"/>
        <v>0</v>
      </c>
      <c r="AE662" s="12">
        <v>0</v>
      </c>
      <c r="AF662" s="12">
        <v>2</v>
      </c>
      <c r="AG662" s="12">
        <v>17.97</v>
      </c>
      <c r="AH662" s="12">
        <v>6</v>
      </c>
      <c r="AI662" s="12">
        <v>0</v>
      </c>
      <c r="AJ662" s="13">
        <f t="shared" si="42"/>
        <v>0</v>
      </c>
      <c r="AN662" s="12">
        <f t="shared" si="43"/>
        <v>63315</v>
      </c>
      <c r="AQ662" s="8" t="s">
        <v>420</v>
      </c>
      <c r="AR662" t="str">
        <f t="shared" si="44"/>
        <v>Campos Gerais - A03</v>
      </c>
    </row>
    <row r="663" spans="1:44" x14ac:dyDescent="0.2">
      <c r="A663" s="107" t="s">
        <v>4101</v>
      </c>
      <c r="B663" s="106" t="s">
        <v>4100</v>
      </c>
      <c r="C663" s="106" t="s">
        <v>4099</v>
      </c>
      <c r="D663" s="106" t="s">
        <v>519</v>
      </c>
      <c r="E663" s="106" t="s">
        <v>4098</v>
      </c>
      <c r="F663" s="106" t="s">
        <v>490</v>
      </c>
      <c r="G663" s="106" t="s">
        <v>4097</v>
      </c>
      <c r="H663" s="105" t="s">
        <v>4096</v>
      </c>
      <c r="I663" s="105" t="s">
        <v>4095</v>
      </c>
      <c r="J663" s="104">
        <v>2.0699999999999998</v>
      </c>
      <c r="K663" s="103" t="s">
        <v>423</v>
      </c>
      <c r="L663" s="102" t="s">
        <v>577</v>
      </c>
      <c r="M663" s="95"/>
      <c r="N663" s="17"/>
      <c r="O663" s="94">
        <v>8</v>
      </c>
      <c r="P663" s="14" t="s">
        <v>485</v>
      </c>
      <c r="Q663" s="14" t="s">
        <v>497</v>
      </c>
      <c r="R663" s="14" t="s">
        <v>576</v>
      </c>
      <c r="S663" s="15">
        <v>7</v>
      </c>
      <c r="T663" s="15">
        <v>0</v>
      </c>
      <c r="U663" s="15">
        <v>0</v>
      </c>
      <c r="V663" s="14">
        <v>2438</v>
      </c>
      <c r="W663" s="12">
        <v>0</v>
      </c>
      <c r="X663" s="12">
        <v>0</v>
      </c>
      <c r="Y663" s="12">
        <v>0</v>
      </c>
      <c r="Z663" s="12">
        <v>2.069</v>
      </c>
      <c r="AA663" s="12">
        <v>0</v>
      </c>
      <c r="AB663" s="13">
        <f t="shared" si="41"/>
        <v>-9.9999999999988987E-4</v>
      </c>
      <c r="AE663" s="12">
        <v>0</v>
      </c>
      <c r="AF663" s="12">
        <v>0</v>
      </c>
      <c r="AG663" s="12">
        <v>0</v>
      </c>
      <c r="AH663" s="12">
        <v>2.069</v>
      </c>
      <c r="AI663" s="12">
        <v>0</v>
      </c>
      <c r="AJ663" s="13">
        <f t="shared" si="42"/>
        <v>-9.9999999999988987E-4</v>
      </c>
      <c r="AN663" s="12">
        <f t="shared" si="43"/>
        <v>5047</v>
      </c>
      <c r="AQ663" s="8" t="s">
        <v>420</v>
      </c>
      <c r="AR663" t="str">
        <f t="shared" si="44"/>
        <v>Campos Gerais - A03</v>
      </c>
    </row>
    <row r="664" spans="1:44" x14ac:dyDescent="0.2">
      <c r="A664" s="107" t="s">
        <v>4094</v>
      </c>
      <c r="B664" s="106" t="s">
        <v>4093</v>
      </c>
      <c r="C664" s="106" t="s">
        <v>4078</v>
      </c>
      <c r="D664" s="106" t="s">
        <v>751</v>
      </c>
      <c r="E664" s="106" t="s">
        <v>4083</v>
      </c>
      <c r="F664" s="106" t="s">
        <v>590</v>
      </c>
      <c r="G664" s="106" t="s">
        <v>4092</v>
      </c>
      <c r="H664" s="105" t="s">
        <v>4091</v>
      </c>
      <c r="I664" s="105" t="s">
        <v>4090</v>
      </c>
      <c r="J664" s="104">
        <v>3.02</v>
      </c>
      <c r="K664" s="103" t="s">
        <v>424</v>
      </c>
      <c r="L664" s="102" t="s">
        <v>486</v>
      </c>
      <c r="M664" s="95"/>
      <c r="N664" s="14"/>
      <c r="O664" s="94">
        <v>16</v>
      </c>
      <c r="P664" s="14" t="s">
        <v>586</v>
      </c>
      <c r="Q664" s="14" t="s">
        <v>561</v>
      </c>
      <c r="R664" s="14" t="s">
        <v>496</v>
      </c>
      <c r="S664" s="15">
        <v>11.6</v>
      </c>
      <c r="T664" s="15">
        <v>0</v>
      </c>
      <c r="U664" s="15">
        <v>0</v>
      </c>
      <c r="V664" s="14">
        <v>400</v>
      </c>
      <c r="W664" s="12">
        <v>0</v>
      </c>
      <c r="X664" s="12">
        <v>0</v>
      </c>
      <c r="Y664" s="12">
        <v>3.59</v>
      </c>
      <c r="Z664" s="12">
        <v>0</v>
      </c>
      <c r="AA664" s="12">
        <v>0</v>
      </c>
      <c r="AB664" s="13">
        <f t="shared" si="41"/>
        <v>0.56999999999999984</v>
      </c>
      <c r="AE664" s="12">
        <f>IF(W664=0,0,W664-$AB664)</f>
        <v>0</v>
      </c>
      <c r="AF664" s="12">
        <f>IF(X664=0,0,X664-$AB664)</f>
        <v>0</v>
      </c>
      <c r="AG664" s="12">
        <f>IF(Y664=0,0,Y664-$AB664)</f>
        <v>3.02</v>
      </c>
      <c r="AH664" s="12">
        <f>IF(Z664=0,0,Z664-$AB664)</f>
        <v>0</v>
      </c>
      <c r="AI664" s="12">
        <f>IF(AA664=0,0,AA664-$AB664)</f>
        <v>0</v>
      </c>
      <c r="AJ664" s="13">
        <f t="shared" si="42"/>
        <v>0</v>
      </c>
      <c r="AN664" s="12">
        <f t="shared" si="43"/>
        <v>1208</v>
      </c>
      <c r="AQ664" s="8" t="s">
        <v>419</v>
      </c>
      <c r="AR664" t="str">
        <f t="shared" si="44"/>
        <v>Norte - A04</v>
      </c>
    </row>
    <row r="665" spans="1:44" x14ac:dyDescent="0.2">
      <c r="A665" s="107" t="s">
        <v>4089</v>
      </c>
      <c r="B665" s="106" t="s">
        <v>4088</v>
      </c>
      <c r="C665" s="106" t="s">
        <v>4078</v>
      </c>
      <c r="D665" s="106" t="s">
        <v>981</v>
      </c>
      <c r="E665" s="106" t="s">
        <v>4077</v>
      </c>
      <c r="F665" s="106" t="s">
        <v>490</v>
      </c>
      <c r="G665" s="106" t="s">
        <v>4087</v>
      </c>
      <c r="H665" s="105" t="s">
        <v>4086</v>
      </c>
      <c r="I665" s="105" t="s">
        <v>4081</v>
      </c>
      <c r="J665" s="104">
        <v>6.57</v>
      </c>
      <c r="K665" s="103" t="s">
        <v>424</v>
      </c>
      <c r="L665" s="102" t="s">
        <v>486</v>
      </c>
      <c r="M665" s="95"/>
      <c r="N665" s="14"/>
      <c r="O665" s="94">
        <v>16</v>
      </c>
      <c r="P665" s="14" t="s">
        <v>485</v>
      </c>
      <c r="Q665" s="14" t="s">
        <v>561</v>
      </c>
      <c r="R665" s="16" t="s">
        <v>496</v>
      </c>
      <c r="S665" s="15">
        <v>6.4</v>
      </c>
      <c r="T665" s="15">
        <v>0</v>
      </c>
      <c r="U665" s="15">
        <v>0</v>
      </c>
      <c r="V665" s="14">
        <v>3662</v>
      </c>
      <c r="W665" s="12">
        <v>0</v>
      </c>
      <c r="X665" s="12">
        <v>0</v>
      </c>
      <c r="Y665" s="12">
        <v>0</v>
      </c>
      <c r="Z665" s="12">
        <v>6.57</v>
      </c>
      <c r="AA665" s="12">
        <v>0</v>
      </c>
      <c r="AB665" s="13">
        <f t="shared" si="41"/>
        <v>0</v>
      </c>
      <c r="AE665" s="12">
        <v>0</v>
      </c>
      <c r="AF665" s="12">
        <v>0</v>
      </c>
      <c r="AG665" s="12">
        <v>0</v>
      </c>
      <c r="AH665" s="12">
        <v>6.57</v>
      </c>
      <c r="AI665" s="12">
        <v>0</v>
      </c>
      <c r="AJ665" s="13">
        <f t="shared" si="42"/>
        <v>0</v>
      </c>
      <c r="AN665" s="12">
        <f t="shared" si="43"/>
        <v>24060</v>
      </c>
      <c r="AQ665" s="8" t="s">
        <v>419</v>
      </c>
      <c r="AR665" t="str">
        <f t="shared" si="44"/>
        <v>Norte - A04</v>
      </c>
    </row>
    <row r="666" spans="1:44" x14ac:dyDescent="0.2">
      <c r="A666" s="107" t="s">
        <v>4085</v>
      </c>
      <c r="B666" s="106" t="s">
        <v>4084</v>
      </c>
      <c r="C666" s="106" t="s">
        <v>4078</v>
      </c>
      <c r="D666" s="106" t="s">
        <v>1304</v>
      </c>
      <c r="E666" s="106" t="s">
        <v>4083</v>
      </c>
      <c r="F666" s="106" t="s">
        <v>590</v>
      </c>
      <c r="G666" s="106" t="s">
        <v>4082</v>
      </c>
      <c r="H666" s="105" t="s">
        <v>4081</v>
      </c>
      <c r="I666" s="105" t="s">
        <v>4075</v>
      </c>
      <c r="J666" s="104">
        <v>1.61</v>
      </c>
      <c r="K666" s="103" t="s">
        <v>424</v>
      </c>
      <c r="L666" s="102" t="s">
        <v>486</v>
      </c>
      <c r="M666" s="95"/>
      <c r="N666" s="14"/>
      <c r="O666" s="94">
        <v>16</v>
      </c>
      <c r="P666" s="14" t="s">
        <v>586</v>
      </c>
      <c r="Q666" s="14" t="s">
        <v>561</v>
      </c>
      <c r="R666" s="16" t="s">
        <v>496</v>
      </c>
      <c r="S666" s="15">
        <v>12.5</v>
      </c>
      <c r="T666" s="15">
        <v>0</v>
      </c>
      <c r="U666" s="15">
        <v>0</v>
      </c>
      <c r="V666" s="14">
        <v>219</v>
      </c>
      <c r="W666" s="12">
        <v>0</v>
      </c>
      <c r="X666" s="12">
        <v>0</v>
      </c>
      <c r="Y666" s="12">
        <v>1.61</v>
      </c>
      <c r="Z666" s="12">
        <v>0</v>
      </c>
      <c r="AA666" s="12">
        <v>0</v>
      </c>
      <c r="AB666" s="13">
        <f t="shared" si="41"/>
        <v>0</v>
      </c>
      <c r="AE666" s="12">
        <v>0</v>
      </c>
      <c r="AF666" s="12">
        <v>0</v>
      </c>
      <c r="AG666" s="12">
        <v>1.61</v>
      </c>
      <c r="AH666" s="12">
        <v>0</v>
      </c>
      <c r="AI666" s="12">
        <v>0</v>
      </c>
      <c r="AJ666" s="13">
        <f t="shared" si="42"/>
        <v>0</v>
      </c>
      <c r="AN666" s="12">
        <f t="shared" si="43"/>
        <v>353</v>
      </c>
      <c r="AQ666" s="8" t="s">
        <v>419</v>
      </c>
      <c r="AR666" t="str">
        <f t="shared" si="44"/>
        <v>Norte - A04</v>
      </c>
    </row>
    <row r="667" spans="1:44" x14ac:dyDescent="0.2">
      <c r="A667" s="107" t="s">
        <v>4080</v>
      </c>
      <c r="B667" s="106" t="s">
        <v>4079</v>
      </c>
      <c r="C667" s="106" t="s">
        <v>4078</v>
      </c>
      <c r="D667" s="106" t="s">
        <v>1269</v>
      </c>
      <c r="E667" s="106" t="s">
        <v>4077</v>
      </c>
      <c r="F667" s="106" t="s">
        <v>490</v>
      </c>
      <c r="G667" s="106" t="s">
        <v>4076</v>
      </c>
      <c r="H667" s="105" t="s">
        <v>4075</v>
      </c>
      <c r="I667" s="105" t="s">
        <v>4074</v>
      </c>
      <c r="J667" s="104">
        <v>13.09</v>
      </c>
      <c r="K667" s="103" t="s">
        <v>424</v>
      </c>
      <c r="L667" s="102" t="s">
        <v>486</v>
      </c>
      <c r="M667" s="95"/>
      <c r="N667" s="14"/>
      <c r="O667" s="94">
        <v>16</v>
      </c>
      <c r="P667" s="14" t="s">
        <v>485</v>
      </c>
      <c r="Q667" s="14" t="s">
        <v>561</v>
      </c>
      <c r="R667" s="14" t="s">
        <v>496</v>
      </c>
      <c r="S667" s="15">
        <v>6.8</v>
      </c>
      <c r="T667" s="15">
        <v>1.1000000000000001</v>
      </c>
      <c r="U667" s="15">
        <v>0</v>
      </c>
      <c r="V667" s="14">
        <v>3662</v>
      </c>
      <c r="W667" s="12">
        <v>0</v>
      </c>
      <c r="X667" s="12">
        <v>2</v>
      </c>
      <c r="Y667" s="12">
        <v>9.09</v>
      </c>
      <c r="Z667" s="12">
        <v>2</v>
      </c>
      <c r="AA667" s="12">
        <v>0</v>
      </c>
      <c r="AB667" s="13">
        <f t="shared" si="41"/>
        <v>0</v>
      </c>
      <c r="AE667" s="12">
        <v>0</v>
      </c>
      <c r="AF667" s="12">
        <v>2</v>
      </c>
      <c r="AG667" s="12">
        <v>9.09</v>
      </c>
      <c r="AH667" s="12">
        <v>2</v>
      </c>
      <c r="AI667" s="12">
        <v>0</v>
      </c>
      <c r="AJ667" s="13">
        <f t="shared" si="42"/>
        <v>0</v>
      </c>
      <c r="AN667" s="12">
        <f t="shared" si="43"/>
        <v>47936</v>
      </c>
      <c r="AQ667" s="8" t="s">
        <v>419</v>
      </c>
      <c r="AR667" t="str">
        <f t="shared" si="44"/>
        <v>Norte - A04</v>
      </c>
    </row>
    <row r="668" spans="1:44" x14ac:dyDescent="0.2">
      <c r="A668" s="107" t="s">
        <v>4073</v>
      </c>
      <c r="B668" s="106" t="s">
        <v>4072</v>
      </c>
      <c r="C668" s="106" t="s">
        <v>4062</v>
      </c>
      <c r="D668" s="106" t="s">
        <v>513</v>
      </c>
      <c r="E668" s="106" t="s">
        <v>4061</v>
      </c>
      <c r="F668" s="106" t="s">
        <v>490</v>
      </c>
      <c r="G668" s="106" t="s">
        <v>4071</v>
      </c>
      <c r="H668" s="105" t="s">
        <v>4070</v>
      </c>
      <c r="I668" s="105" t="s">
        <v>4065</v>
      </c>
      <c r="J668" s="104">
        <v>8.9600000000000009</v>
      </c>
      <c r="K668" s="103" t="s">
        <v>424</v>
      </c>
      <c r="L668" s="102" t="s">
        <v>486</v>
      </c>
      <c r="M668" s="95"/>
      <c r="N668" s="14"/>
      <c r="O668" s="94">
        <v>16</v>
      </c>
      <c r="P668" s="14" t="s">
        <v>485</v>
      </c>
      <c r="Q668" s="14" t="s">
        <v>561</v>
      </c>
      <c r="R668" s="14" t="s">
        <v>496</v>
      </c>
      <c r="S668" s="15">
        <v>6.6</v>
      </c>
      <c r="T668" s="15">
        <v>1.8</v>
      </c>
      <c r="U668" s="15">
        <v>0</v>
      </c>
      <c r="V668" s="14">
        <v>2228</v>
      </c>
      <c r="W668" s="12">
        <v>0</v>
      </c>
      <c r="X668" s="12">
        <v>6</v>
      </c>
      <c r="Y668" s="12">
        <v>2.9600000000000009</v>
      </c>
      <c r="Z668" s="12">
        <v>0</v>
      </c>
      <c r="AA668" s="12">
        <v>0</v>
      </c>
      <c r="AB668" s="13">
        <f t="shared" si="41"/>
        <v>0</v>
      </c>
      <c r="AE668" s="12">
        <v>0</v>
      </c>
      <c r="AF668" s="12">
        <v>6</v>
      </c>
      <c r="AG668" s="12">
        <v>2.9600000000000009</v>
      </c>
      <c r="AH668" s="12">
        <v>0</v>
      </c>
      <c r="AI668" s="12">
        <v>0</v>
      </c>
      <c r="AJ668" s="13">
        <f t="shared" si="42"/>
        <v>0</v>
      </c>
      <c r="AN668" s="12">
        <f t="shared" si="43"/>
        <v>19963</v>
      </c>
      <c r="AQ668" s="8" t="s">
        <v>419</v>
      </c>
      <c r="AR668" t="str">
        <f t="shared" si="44"/>
        <v>Norte - A04</v>
      </c>
    </row>
    <row r="669" spans="1:44" x14ac:dyDescent="0.2">
      <c r="A669" s="107" t="s">
        <v>4069</v>
      </c>
      <c r="B669" s="106" t="s">
        <v>4068</v>
      </c>
      <c r="C669" s="106" t="s">
        <v>4062</v>
      </c>
      <c r="D669" s="106" t="s">
        <v>989</v>
      </c>
      <c r="E669" s="106" t="s">
        <v>4067</v>
      </c>
      <c r="F669" s="106" t="s">
        <v>590</v>
      </c>
      <c r="G669" s="106" t="s">
        <v>4066</v>
      </c>
      <c r="H669" s="105" t="s">
        <v>4065</v>
      </c>
      <c r="I669" s="105" t="s">
        <v>4059</v>
      </c>
      <c r="J669" s="104">
        <v>1.04</v>
      </c>
      <c r="K669" s="103" t="s">
        <v>424</v>
      </c>
      <c r="L669" s="102" t="s">
        <v>486</v>
      </c>
      <c r="M669" s="95"/>
      <c r="N669" s="14"/>
      <c r="O669" s="94">
        <v>16</v>
      </c>
      <c r="P669" s="14" t="s">
        <v>586</v>
      </c>
      <c r="Q669" s="14" t="s">
        <v>561</v>
      </c>
      <c r="R669" s="14" t="s">
        <v>496</v>
      </c>
      <c r="S669" s="15">
        <v>10.4</v>
      </c>
      <c r="T669" s="15">
        <v>0</v>
      </c>
      <c r="U669" s="15">
        <v>0</v>
      </c>
      <c r="V669" s="14">
        <v>228</v>
      </c>
      <c r="W669" s="12">
        <v>0</v>
      </c>
      <c r="X669" s="12">
        <v>0</v>
      </c>
      <c r="Y669" s="12">
        <v>1.04</v>
      </c>
      <c r="Z669" s="12">
        <v>0</v>
      </c>
      <c r="AA669" s="12">
        <v>0</v>
      </c>
      <c r="AB669" s="13">
        <f t="shared" si="41"/>
        <v>0</v>
      </c>
      <c r="AE669" s="12">
        <v>0</v>
      </c>
      <c r="AF669" s="12">
        <v>0</v>
      </c>
      <c r="AG669" s="12">
        <v>1.04</v>
      </c>
      <c r="AH669" s="12">
        <v>0</v>
      </c>
      <c r="AI669" s="12">
        <v>0</v>
      </c>
      <c r="AJ669" s="13">
        <f t="shared" si="42"/>
        <v>0</v>
      </c>
      <c r="AN669" s="12">
        <f t="shared" si="43"/>
        <v>238</v>
      </c>
      <c r="AQ669" s="8" t="s">
        <v>419</v>
      </c>
      <c r="AR669" t="str">
        <f t="shared" si="44"/>
        <v>Norte - A04</v>
      </c>
    </row>
    <row r="670" spans="1:44" x14ac:dyDescent="0.2">
      <c r="A670" s="107" t="s">
        <v>4064</v>
      </c>
      <c r="B670" s="106" t="s">
        <v>4063</v>
      </c>
      <c r="C670" s="106" t="s">
        <v>4062</v>
      </c>
      <c r="D670" s="106" t="s">
        <v>981</v>
      </c>
      <c r="E670" s="106" t="s">
        <v>4061</v>
      </c>
      <c r="F670" s="106" t="s">
        <v>490</v>
      </c>
      <c r="G670" s="106" t="s">
        <v>4060</v>
      </c>
      <c r="H670" s="105" t="s">
        <v>4059</v>
      </c>
      <c r="I670" s="105" t="s">
        <v>4058</v>
      </c>
      <c r="J670" s="104">
        <v>12.85</v>
      </c>
      <c r="K670" s="103" t="s">
        <v>424</v>
      </c>
      <c r="L670" s="102" t="s">
        <v>486</v>
      </c>
      <c r="M670" s="95"/>
      <c r="N670" s="14"/>
      <c r="O670" s="94">
        <v>16</v>
      </c>
      <c r="P670" s="14" t="s">
        <v>485</v>
      </c>
      <c r="Q670" s="14" t="s">
        <v>561</v>
      </c>
      <c r="R670" s="14" t="s">
        <v>496</v>
      </c>
      <c r="S670" s="15">
        <v>6.6</v>
      </c>
      <c r="T670" s="15">
        <v>1.8</v>
      </c>
      <c r="U670" s="15">
        <v>0</v>
      </c>
      <c r="V670" s="14">
        <v>2228</v>
      </c>
      <c r="W670" s="12">
        <v>0</v>
      </c>
      <c r="X670" s="12">
        <v>2</v>
      </c>
      <c r="Y670" s="12">
        <v>10.85</v>
      </c>
      <c r="Z670" s="12">
        <v>0</v>
      </c>
      <c r="AA670" s="12">
        <v>0</v>
      </c>
      <c r="AB670" s="13">
        <f t="shared" si="41"/>
        <v>0</v>
      </c>
      <c r="AE670" s="12">
        <v>0</v>
      </c>
      <c r="AF670" s="12">
        <v>2</v>
      </c>
      <c r="AG670" s="12">
        <v>10.85</v>
      </c>
      <c r="AH670" s="12">
        <v>0</v>
      </c>
      <c r="AI670" s="12">
        <v>0</v>
      </c>
      <c r="AJ670" s="13">
        <f t="shared" si="42"/>
        <v>0</v>
      </c>
      <c r="AN670" s="12">
        <f t="shared" si="43"/>
        <v>28630</v>
      </c>
      <c r="AQ670" s="8" t="s">
        <v>419</v>
      </c>
      <c r="AR670" t="str">
        <f t="shared" si="44"/>
        <v>Norte - A04</v>
      </c>
    </row>
    <row r="671" spans="1:44" x14ac:dyDescent="0.2">
      <c r="A671" s="107" t="s">
        <v>4057</v>
      </c>
      <c r="B671" s="106" t="s">
        <v>4056</v>
      </c>
      <c r="C671" s="106" t="s">
        <v>4031</v>
      </c>
      <c r="D671" s="106" t="s">
        <v>965</v>
      </c>
      <c r="E671" s="106" t="s">
        <v>4030</v>
      </c>
      <c r="F671" s="106" t="s">
        <v>490</v>
      </c>
      <c r="G671" s="106" t="s">
        <v>4055</v>
      </c>
      <c r="H671" s="105" t="s">
        <v>4054</v>
      </c>
      <c r="I671" s="105" t="s">
        <v>4053</v>
      </c>
      <c r="J671" s="104">
        <v>21.21</v>
      </c>
      <c r="K671" s="103" t="s">
        <v>422</v>
      </c>
      <c r="L671" s="102" t="s">
        <v>486</v>
      </c>
      <c r="M671" s="95"/>
      <c r="N671" s="14"/>
      <c r="O671" s="94">
        <v>14</v>
      </c>
      <c r="P671" s="14" t="s">
        <v>485</v>
      </c>
      <c r="Q671" s="14" t="s">
        <v>561</v>
      </c>
      <c r="R671" s="14" t="s">
        <v>496</v>
      </c>
      <c r="S671" s="15">
        <v>7.2</v>
      </c>
      <c r="T671" s="15">
        <v>2</v>
      </c>
      <c r="U671" s="15">
        <v>0</v>
      </c>
      <c r="V671" s="14">
        <v>5682</v>
      </c>
      <c r="W671" s="12">
        <v>0</v>
      </c>
      <c r="X671" s="12">
        <v>0</v>
      </c>
      <c r="Y671" s="12">
        <v>0</v>
      </c>
      <c r="Z671" s="12">
        <v>21.21</v>
      </c>
      <c r="AA671" s="12">
        <v>0</v>
      </c>
      <c r="AB671" s="13">
        <f t="shared" si="41"/>
        <v>0</v>
      </c>
      <c r="AE671" s="12">
        <v>0</v>
      </c>
      <c r="AF671" s="12">
        <v>0</v>
      </c>
      <c r="AG671" s="12">
        <v>0</v>
      </c>
      <c r="AH671" s="12">
        <v>21.21</v>
      </c>
      <c r="AI671" s="12">
        <v>0</v>
      </c>
      <c r="AJ671" s="13">
        <f t="shared" si="42"/>
        <v>0</v>
      </c>
      <c r="AN671" s="12">
        <f t="shared" si="43"/>
        <v>120516</v>
      </c>
      <c r="AQ671" s="8" t="s">
        <v>419</v>
      </c>
      <c r="AR671" t="str">
        <f t="shared" si="44"/>
        <v>Norte - A02</v>
      </c>
    </row>
    <row r="672" spans="1:44" x14ac:dyDescent="0.2">
      <c r="A672" s="107" t="s">
        <v>4052</v>
      </c>
      <c r="B672" s="106" t="s">
        <v>4051</v>
      </c>
      <c r="C672" s="106" t="s">
        <v>4031</v>
      </c>
      <c r="D672" s="106" t="s">
        <v>2152</v>
      </c>
      <c r="E672" s="106" t="s">
        <v>4050</v>
      </c>
      <c r="F672" s="106" t="s">
        <v>590</v>
      </c>
      <c r="G672" s="106" t="s">
        <v>4049</v>
      </c>
      <c r="H672" s="105" t="s">
        <v>4048</v>
      </c>
      <c r="I672" s="105" t="s">
        <v>4044</v>
      </c>
      <c r="J672" s="104">
        <v>0.84</v>
      </c>
      <c r="K672" s="103" t="s">
        <v>423</v>
      </c>
      <c r="L672" s="102" t="s">
        <v>486</v>
      </c>
      <c r="M672" s="95"/>
      <c r="N672" s="14"/>
      <c r="O672" s="94">
        <v>15</v>
      </c>
      <c r="P672" s="14" t="s">
        <v>586</v>
      </c>
      <c r="Q672" s="14" t="s">
        <v>497</v>
      </c>
      <c r="R672" s="14" t="s">
        <v>496</v>
      </c>
      <c r="S672" s="15">
        <v>13.4</v>
      </c>
      <c r="T672" s="15">
        <v>0</v>
      </c>
      <c r="U672" s="15">
        <v>0</v>
      </c>
      <c r="V672" s="14">
        <v>698</v>
      </c>
      <c r="W672" s="12">
        <v>0</v>
      </c>
      <c r="X672" s="12">
        <v>0</v>
      </c>
      <c r="Y672" s="12">
        <v>0</v>
      </c>
      <c r="Z672" s="12">
        <v>0.84</v>
      </c>
      <c r="AA672" s="12">
        <v>0</v>
      </c>
      <c r="AB672" s="13">
        <f t="shared" si="41"/>
        <v>0</v>
      </c>
      <c r="AE672" s="12">
        <v>0</v>
      </c>
      <c r="AF672" s="12">
        <v>0</v>
      </c>
      <c r="AG672" s="12">
        <v>0</v>
      </c>
      <c r="AH672" s="12">
        <v>0.84</v>
      </c>
      <c r="AI672" s="12">
        <v>0</v>
      </c>
      <c r="AJ672" s="13">
        <f t="shared" si="42"/>
        <v>0</v>
      </c>
      <c r="AN672" s="12">
        <f t="shared" si="43"/>
        <v>587</v>
      </c>
      <c r="AQ672" s="8" t="s">
        <v>419</v>
      </c>
      <c r="AR672" t="str">
        <f t="shared" si="44"/>
        <v>Norte - A03</v>
      </c>
    </row>
    <row r="673" spans="1:44" x14ac:dyDescent="0.2">
      <c r="A673" s="107" t="s">
        <v>4047</v>
      </c>
      <c r="B673" s="106" t="s">
        <v>4046</v>
      </c>
      <c r="C673" s="106" t="s">
        <v>4031</v>
      </c>
      <c r="D673" s="106" t="s">
        <v>2145</v>
      </c>
      <c r="E673" s="106" t="s">
        <v>4030</v>
      </c>
      <c r="F673" s="106" t="s">
        <v>490</v>
      </c>
      <c r="G673" s="106" t="s">
        <v>4045</v>
      </c>
      <c r="H673" s="105" t="s">
        <v>4044</v>
      </c>
      <c r="I673" s="105" t="s">
        <v>4043</v>
      </c>
      <c r="J673" s="104">
        <v>10.6</v>
      </c>
      <c r="K673" s="103" t="s">
        <v>423</v>
      </c>
      <c r="L673" s="102" t="s">
        <v>486</v>
      </c>
      <c r="M673" s="95"/>
      <c r="N673" s="14"/>
      <c r="O673" s="94">
        <v>15</v>
      </c>
      <c r="P673" s="14" t="s">
        <v>485</v>
      </c>
      <c r="Q673" s="14" t="s">
        <v>887</v>
      </c>
      <c r="R673" s="16" t="s">
        <v>496</v>
      </c>
      <c r="S673" s="15">
        <v>6.7</v>
      </c>
      <c r="T673" s="15">
        <v>1</v>
      </c>
      <c r="U673" s="15">
        <v>0</v>
      </c>
      <c r="V673" s="14">
        <v>1461</v>
      </c>
      <c r="W673" s="12">
        <v>0</v>
      </c>
      <c r="X673" s="12">
        <v>0</v>
      </c>
      <c r="Y673" s="12">
        <v>0</v>
      </c>
      <c r="Z673" s="12">
        <v>10.6</v>
      </c>
      <c r="AA673" s="12">
        <v>0</v>
      </c>
      <c r="AB673" s="13">
        <f t="shared" si="41"/>
        <v>0</v>
      </c>
      <c r="AE673" s="12">
        <v>0</v>
      </c>
      <c r="AF673" s="12">
        <v>0</v>
      </c>
      <c r="AG673" s="12">
        <v>0</v>
      </c>
      <c r="AH673" s="12">
        <v>10.6</v>
      </c>
      <c r="AI673" s="12">
        <v>0</v>
      </c>
      <c r="AJ673" s="13">
        <f t="shared" si="42"/>
        <v>0</v>
      </c>
      <c r="AN673" s="12">
        <f t="shared" si="43"/>
        <v>15487</v>
      </c>
      <c r="AQ673" s="8" t="s">
        <v>419</v>
      </c>
      <c r="AR673" t="str">
        <f t="shared" si="44"/>
        <v>Norte - A03</v>
      </c>
    </row>
    <row r="674" spans="1:44" x14ac:dyDescent="0.2">
      <c r="A674" s="107" t="s">
        <v>4042</v>
      </c>
      <c r="B674" s="106" t="s">
        <v>4041</v>
      </c>
      <c r="C674" s="106" t="s">
        <v>4031</v>
      </c>
      <c r="D674" s="106" t="s">
        <v>4036</v>
      </c>
      <c r="E674" s="106" t="s">
        <v>4040</v>
      </c>
      <c r="F674" s="106" t="s">
        <v>606</v>
      </c>
      <c r="G674" s="106" t="s">
        <v>4039</v>
      </c>
      <c r="H674" s="105" t="s">
        <v>979</v>
      </c>
      <c r="I674" s="105" t="s">
        <v>4028</v>
      </c>
      <c r="J674" s="104">
        <v>0.31</v>
      </c>
      <c r="K674" s="103" t="s">
        <v>423</v>
      </c>
      <c r="L674" s="102" t="s">
        <v>486</v>
      </c>
      <c r="M674" s="95"/>
      <c r="N674" s="14"/>
      <c r="O674" s="94">
        <v>15</v>
      </c>
      <c r="P674" s="14" t="s">
        <v>596</v>
      </c>
      <c r="Q674" s="14" t="s">
        <v>887</v>
      </c>
      <c r="R674" s="16" t="s">
        <v>496</v>
      </c>
      <c r="S674" s="15">
        <v>6.4</v>
      </c>
      <c r="T674" s="15">
        <v>0.3</v>
      </c>
      <c r="U674" s="15">
        <v>0</v>
      </c>
      <c r="V674" s="14">
        <v>1110</v>
      </c>
      <c r="W674" s="12">
        <v>0</v>
      </c>
      <c r="X674" s="12">
        <v>0</v>
      </c>
      <c r="Y674" s="12">
        <v>0</v>
      </c>
      <c r="Z674" s="12">
        <v>0.31</v>
      </c>
      <c r="AA674" s="12">
        <v>0</v>
      </c>
      <c r="AB674" s="13">
        <f t="shared" si="41"/>
        <v>0</v>
      </c>
      <c r="AE674" s="12">
        <v>0</v>
      </c>
      <c r="AF674" s="12">
        <v>0</v>
      </c>
      <c r="AG674" s="12">
        <v>0</v>
      </c>
      <c r="AH674" s="12">
        <v>0.31</v>
      </c>
      <c r="AI674" s="12">
        <v>0</v>
      </c>
      <c r="AJ674" s="13">
        <f t="shared" si="42"/>
        <v>0</v>
      </c>
      <c r="AN674" s="12">
        <f t="shared" si="43"/>
        <v>345</v>
      </c>
      <c r="AQ674" s="8" t="s">
        <v>419</v>
      </c>
      <c r="AR674" t="str">
        <f t="shared" si="44"/>
        <v>Norte - A03</v>
      </c>
    </row>
    <row r="675" spans="1:44" x14ac:dyDescent="0.2">
      <c r="A675" s="107" t="s">
        <v>4038</v>
      </c>
      <c r="B675" s="106" t="s">
        <v>4037</v>
      </c>
      <c r="C675" s="106" t="s">
        <v>4031</v>
      </c>
      <c r="D675" s="106" t="s">
        <v>4036</v>
      </c>
      <c r="E675" s="106" t="s">
        <v>4035</v>
      </c>
      <c r="F675" s="106" t="s">
        <v>600</v>
      </c>
      <c r="G675" s="106" t="s">
        <v>4034</v>
      </c>
      <c r="H675" s="105" t="s">
        <v>979</v>
      </c>
      <c r="I675" s="105" t="s">
        <v>4028</v>
      </c>
      <c r="J675" s="104">
        <v>0.31</v>
      </c>
      <c r="K675" s="103" t="s">
        <v>423</v>
      </c>
      <c r="L675" s="102" t="s">
        <v>486</v>
      </c>
      <c r="M675" s="95"/>
      <c r="N675" s="14"/>
      <c r="O675" s="94">
        <v>15</v>
      </c>
      <c r="P675" s="14" t="s">
        <v>596</v>
      </c>
      <c r="Q675" s="14" t="s">
        <v>887</v>
      </c>
      <c r="R675" s="16" t="s">
        <v>496</v>
      </c>
      <c r="S675" s="15">
        <v>6.4</v>
      </c>
      <c r="T675" s="15">
        <v>0.3</v>
      </c>
      <c r="U675" s="15">
        <v>0</v>
      </c>
      <c r="V675" s="14">
        <v>1110</v>
      </c>
      <c r="W675" s="12">
        <v>0</v>
      </c>
      <c r="X675" s="12">
        <v>0</v>
      </c>
      <c r="Y675" s="12">
        <v>0</v>
      </c>
      <c r="Z675" s="12">
        <v>0.31</v>
      </c>
      <c r="AA675" s="12">
        <v>0</v>
      </c>
      <c r="AB675" s="13">
        <f t="shared" si="41"/>
        <v>0</v>
      </c>
      <c r="AE675" s="12">
        <v>0</v>
      </c>
      <c r="AF675" s="12">
        <v>0</v>
      </c>
      <c r="AG675" s="12">
        <v>0</v>
      </c>
      <c r="AH675" s="12">
        <v>0.31</v>
      </c>
      <c r="AI675" s="12">
        <v>0</v>
      </c>
      <c r="AJ675" s="13">
        <f t="shared" si="42"/>
        <v>0</v>
      </c>
      <c r="AN675" s="12">
        <f t="shared" si="43"/>
        <v>345</v>
      </c>
      <c r="AQ675" s="8" t="s">
        <v>419</v>
      </c>
      <c r="AR675" t="str">
        <f t="shared" si="44"/>
        <v>Norte - A03</v>
      </c>
    </row>
    <row r="676" spans="1:44" x14ac:dyDescent="0.2">
      <c r="A676" s="107" t="s">
        <v>4033</v>
      </c>
      <c r="B676" s="106" t="s">
        <v>4032</v>
      </c>
      <c r="C676" s="106" t="s">
        <v>4031</v>
      </c>
      <c r="D676" s="106" t="s">
        <v>3025</v>
      </c>
      <c r="E676" s="106" t="s">
        <v>4030</v>
      </c>
      <c r="F676" s="106" t="s">
        <v>490</v>
      </c>
      <c r="G676" s="106" t="s">
        <v>4029</v>
      </c>
      <c r="H676" s="105" t="s">
        <v>4028</v>
      </c>
      <c r="I676" s="105" t="s">
        <v>4027</v>
      </c>
      <c r="J676" s="104">
        <v>15</v>
      </c>
      <c r="K676" s="103" t="s">
        <v>423</v>
      </c>
      <c r="L676" s="102" t="s">
        <v>486</v>
      </c>
      <c r="M676" s="95"/>
      <c r="N676" s="14"/>
      <c r="O676" s="94">
        <v>15</v>
      </c>
      <c r="P676" s="14" t="s">
        <v>485</v>
      </c>
      <c r="Q676" s="14" t="s">
        <v>887</v>
      </c>
      <c r="R676" s="16" t="s">
        <v>496</v>
      </c>
      <c r="S676" s="15">
        <v>6.7</v>
      </c>
      <c r="T676" s="15">
        <v>1</v>
      </c>
      <c r="U676" s="15">
        <v>0</v>
      </c>
      <c r="V676" s="14">
        <v>1461</v>
      </c>
      <c r="W676" s="12">
        <v>0</v>
      </c>
      <c r="X676" s="12">
        <v>0</v>
      </c>
      <c r="Y676" s="12">
        <v>0</v>
      </c>
      <c r="Z676" s="12">
        <v>15</v>
      </c>
      <c r="AA676" s="12">
        <v>0</v>
      </c>
      <c r="AB676" s="13">
        <f t="shared" si="41"/>
        <v>0</v>
      </c>
      <c r="AE676" s="12">
        <v>0</v>
      </c>
      <c r="AF676" s="12">
        <v>0</v>
      </c>
      <c r="AG676" s="12">
        <v>0</v>
      </c>
      <c r="AH676" s="12">
        <v>15</v>
      </c>
      <c r="AI676" s="12">
        <v>0</v>
      </c>
      <c r="AJ676" s="13">
        <f t="shared" si="42"/>
        <v>0</v>
      </c>
      <c r="AN676" s="12">
        <f t="shared" si="43"/>
        <v>21915</v>
      </c>
      <c r="AQ676" s="8" t="s">
        <v>419</v>
      </c>
      <c r="AR676" t="str">
        <f t="shared" si="44"/>
        <v>Norte - A03</v>
      </c>
    </row>
    <row r="677" spans="1:44" x14ac:dyDescent="0.2">
      <c r="A677" s="107" t="s">
        <v>4026</v>
      </c>
      <c r="B677" s="106" t="s">
        <v>4025</v>
      </c>
      <c r="C677" s="106" t="s">
        <v>4015</v>
      </c>
      <c r="D677" s="106" t="s">
        <v>513</v>
      </c>
      <c r="E677" s="106" t="s">
        <v>4014</v>
      </c>
      <c r="F677" s="106" t="s">
        <v>490</v>
      </c>
      <c r="G677" s="106" t="s">
        <v>4024</v>
      </c>
      <c r="H677" s="105" t="s">
        <v>563</v>
      </c>
      <c r="I677" s="105" t="s">
        <v>4019</v>
      </c>
      <c r="J677" s="104">
        <v>14.64</v>
      </c>
      <c r="K677" s="103" t="s">
        <v>425</v>
      </c>
      <c r="L677" s="102" t="s">
        <v>801</v>
      </c>
      <c r="M677" s="95"/>
      <c r="N677" s="14"/>
      <c r="O677" s="94">
        <v>5</v>
      </c>
      <c r="P677" s="14" t="s">
        <v>485</v>
      </c>
      <c r="Q677" s="14" t="s">
        <v>497</v>
      </c>
      <c r="R677" s="14" t="s">
        <v>496</v>
      </c>
      <c r="S677" s="15">
        <v>6.6</v>
      </c>
      <c r="T677" s="15">
        <v>0</v>
      </c>
      <c r="U677" s="15">
        <v>0</v>
      </c>
      <c r="V677" s="14">
        <v>1128</v>
      </c>
      <c r="W677" s="12">
        <v>0</v>
      </c>
      <c r="X677" s="12">
        <v>0</v>
      </c>
      <c r="Y677" s="12">
        <v>0</v>
      </c>
      <c r="Z677" s="12">
        <v>14.64</v>
      </c>
      <c r="AA677" s="12">
        <v>0</v>
      </c>
      <c r="AB677" s="13">
        <f t="shared" si="41"/>
        <v>0</v>
      </c>
      <c r="AE677" s="12">
        <v>0</v>
      </c>
      <c r="AF677" s="12">
        <v>0</v>
      </c>
      <c r="AG677" s="12">
        <v>0</v>
      </c>
      <c r="AH677" s="12">
        <v>14.64</v>
      </c>
      <c r="AI677" s="12">
        <v>0</v>
      </c>
      <c r="AJ677" s="13">
        <f t="shared" si="42"/>
        <v>0</v>
      </c>
      <c r="AN677" s="12">
        <f t="shared" si="43"/>
        <v>16514</v>
      </c>
      <c r="AQ677" s="8" t="s">
        <v>416</v>
      </c>
      <c r="AR677" t="str">
        <f t="shared" si="44"/>
        <v>Leste - A05</v>
      </c>
    </row>
    <row r="678" spans="1:44" x14ac:dyDescent="0.2">
      <c r="A678" s="107" t="s">
        <v>4023</v>
      </c>
      <c r="B678" s="106" t="s">
        <v>4022</v>
      </c>
      <c r="C678" s="106" t="s">
        <v>4015</v>
      </c>
      <c r="D678" s="106" t="s">
        <v>1324</v>
      </c>
      <c r="E678" s="106" t="s">
        <v>4021</v>
      </c>
      <c r="F678" s="106" t="s">
        <v>590</v>
      </c>
      <c r="G678" s="106" t="s">
        <v>4020</v>
      </c>
      <c r="H678" s="105" t="s">
        <v>4019</v>
      </c>
      <c r="I678" s="105" t="s">
        <v>4018</v>
      </c>
      <c r="J678" s="104">
        <v>1.31</v>
      </c>
      <c r="K678" s="103" t="s">
        <v>425</v>
      </c>
      <c r="L678" s="102" t="s">
        <v>801</v>
      </c>
      <c r="M678" s="95"/>
      <c r="N678" s="14"/>
      <c r="O678" s="94">
        <v>5</v>
      </c>
      <c r="P678" s="14" t="s">
        <v>586</v>
      </c>
      <c r="Q678" s="14" t="s">
        <v>497</v>
      </c>
      <c r="R678" s="14" t="s">
        <v>496</v>
      </c>
      <c r="S678" s="15">
        <v>7.2</v>
      </c>
      <c r="T678" s="15">
        <v>0</v>
      </c>
      <c r="U678" s="15">
        <v>0</v>
      </c>
      <c r="V678" s="14">
        <v>209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3">
        <f t="shared" si="41"/>
        <v>-1.31</v>
      </c>
      <c r="AE678" s="12">
        <f>IF(W678=0,0,W678-$AB678)</f>
        <v>0</v>
      </c>
      <c r="AF678" s="12">
        <f>IF(X678=0,0,X678-$AB678)</f>
        <v>0</v>
      </c>
      <c r="AG678" s="12">
        <v>0.31</v>
      </c>
      <c r="AH678" s="12">
        <v>1</v>
      </c>
      <c r="AI678" s="12">
        <f>IF(AA678=0,0,AA678-$AB678)</f>
        <v>0</v>
      </c>
      <c r="AJ678" s="13">
        <f t="shared" si="42"/>
        <v>0</v>
      </c>
      <c r="AN678" s="12">
        <f t="shared" si="43"/>
        <v>274</v>
      </c>
      <c r="AQ678" s="8" t="s">
        <v>416</v>
      </c>
      <c r="AR678" t="str">
        <f t="shared" si="44"/>
        <v>Leste - A05</v>
      </c>
    </row>
    <row r="679" spans="1:44" x14ac:dyDescent="0.2">
      <c r="A679" s="107" t="s">
        <v>4017</v>
      </c>
      <c r="B679" s="106" t="s">
        <v>4016</v>
      </c>
      <c r="C679" s="106" t="s">
        <v>4015</v>
      </c>
      <c r="D679" s="106" t="s">
        <v>1269</v>
      </c>
      <c r="E679" s="106" t="s">
        <v>4014</v>
      </c>
      <c r="F679" s="106" t="s">
        <v>490</v>
      </c>
      <c r="G679" s="106" t="s">
        <v>4013</v>
      </c>
      <c r="H679" s="105" t="s">
        <v>4012</v>
      </c>
      <c r="I679" s="105" t="s">
        <v>4011</v>
      </c>
      <c r="J679" s="104">
        <v>17.100000000000001</v>
      </c>
      <c r="K679" s="103" t="s">
        <v>425</v>
      </c>
      <c r="L679" s="102" t="s">
        <v>801</v>
      </c>
      <c r="M679" s="95"/>
      <c r="N679" s="14"/>
      <c r="O679" s="94">
        <v>5</v>
      </c>
      <c r="P679" s="14" t="s">
        <v>485</v>
      </c>
      <c r="Q679" s="14" t="s">
        <v>1451</v>
      </c>
      <c r="R679" s="14" t="s">
        <v>496</v>
      </c>
      <c r="S679" s="15">
        <v>6.5</v>
      </c>
      <c r="T679" s="15">
        <v>0</v>
      </c>
      <c r="U679" s="15">
        <v>0</v>
      </c>
      <c r="V679" s="14">
        <v>2752</v>
      </c>
      <c r="W679" s="12">
        <v>0</v>
      </c>
      <c r="X679" s="12">
        <v>4</v>
      </c>
      <c r="Y679" s="12">
        <v>7</v>
      </c>
      <c r="Z679" s="12">
        <v>6.1000000000000014</v>
      </c>
      <c r="AA679" s="12">
        <v>0</v>
      </c>
      <c r="AB679" s="13">
        <f t="shared" si="41"/>
        <v>0</v>
      </c>
      <c r="AE679" s="12">
        <v>0</v>
      </c>
      <c r="AF679" s="12">
        <v>4</v>
      </c>
      <c r="AG679" s="12">
        <v>7</v>
      </c>
      <c r="AH679" s="12">
        <v>6.1000000000000014</v>
      </c>
      <c r="AI679" s="12">
        <v>0</v>
      </c>
      <c r="AJ679" s="13">
        <f t="shared" si="42"/>
        <v>0</v>
      </c>
      <c r="AN679" s="12">
        <f t="shared" si="43"/>
        <v>47060</v>
      </c>
      <c r="AQ679" s="8" t="s">
        <v>416</v>
      </c>
      <c r="AR679" t="str">
        <f t="shared" si="44"/>
        <v>Leste - A05</v>
      </c>
    </row>
    <row r="680" spans="1:44" x14ac:dyDescent="0.2">
      <c r="A680" s="107" t="s">
        <v>4010</v>
      </c>
      <c r="B680" s="106" t="s">
        <v>4009</v>
      </c>
      <c r="C680" s="106" t="s">
        <v>4008</v>
      </c>
      <c r="D680" s="106" t="s">
        <v>513</v>
      </c>
      <c r="E680" s="106" t="s">
        <v>4007</v>
      </c>
      <c r="F680" s="106" t="s">
        <v>490</v>
      </c>
      <c r="G680" s="106" t="s">
        <v>4006</v>
      </c>
      <c r="H680" s="105" t="s">
        <v>4005</v>
      </c>
      <c r="I680" s="105" t="s">
        <v>4004</v>
      </c>
      <c r="J680" s="104">
        <v>45.61</v>
      </c>
      <c r="K680" s="103" t="s">
        <v>425</v>
      </c>
      <c r="L680" s="102" t="s">
        <v>801</v>
      </c>
      <c r="M680" s="95"/>
      <c r="N680" s="14"/>
      <c r="O680" s="18" t="s">
        <v>4003</v>
      </c>
      <c r="P680" s="14" t="s">
        <v>485</v>
      </c>
      <c r="Q680" s="14" t="s">
        <v>497</v>
      </c>
      <c r="R680" s="14" t="s">
        <v>496</v>
      </c>
      <c r="S680" s="15">
        <v>6.6</v>
      </c>
      <c r="T680" s="15">
        <v>0</v>
      </c>
      <c r="U680" s="15">
        <v>0</v>
      </c>
      <c r="V680" s="14">
        <v>2661</v>
      </c>
      <c r="W680" s="12">
        <v>0</v>
      </c>
      <c r="X680" s="12">
        <v>0</v>
      </c>
      <c r="Y680" s="12">
        <v>6</v>
      </c>
      <c r="Z680" s="12">
        <v>39.61</v>
      </c>
      <c r="AA680" s="12">
        <v>0</v>
      </c>
      <c r="AB680" s="13">
        <f t="shared" si="41"/>
        <v>0</v>
      </c>
      <c r="AE680" s="12">
        <v>0</v>
      </c>
      <c r="AF680" s="12">
        <v>0</v>
      </c>
      <c r="AG680" s="12">
        <v>6</v>
      </c>
      <c r="AH680" s="12">
        <v>39.61</v>
      </c>
      <c r="AI680" s="12">
        <v>0</v>
      </c>
      <c r="AJ680" s="13">
        <f t="shared" si="42"/>
        <v>0</v>
      </c>
      <c r="AN680" s="12">
        <f t="shared" si="43"/>
        <v>121369</v>
      </c>
      <c r="AQ680" s="8" t="s">
        <v>416</v>
      </c>
      <c r="AR680" t="str">
        <f t="shared" si="44"/>
        <v>Leste - A05</v>
      </c>
    </row>
    <row r="681" spans="1:44" x14ac:dyDescent="0.2">
      <c r="A681" s="107" t="s">
        <v>4002</v>
      </c>
      <c r="B681" s="106" t="s">
        <v>4001</v>
      </c>
      <c r="C681" s="106" t="s">
        <v>3992</v>
      </c>
      <c r="D681" s="106" t="s">
        <v>513</v>
      </c>
      <c r="E681" s="106" t="s">
        <v>3991</v>
      </c>
      <c r="F681" s="106" t="s">
        <v>490</v>
      </c>
      <c r="G681" s="106" t="s">
        <v>4000</v>
      </c>
      <c r="H681" s="105" t="s">
        <v>3999</v>
      </c>
      <c r="I681" s="105" t="s">
        <v>3995</v>
      </c>
      <c r="J681" s="104">
        <v>4.2</v>
      </c>
      <c r="K681" s="103" t="s">
        <v>428</v>
      </c>
      <c r="L681" s="102" t="s">
        <v>507</v>
      </c>
      <c r="M681" s="95"/>
      <c r="N681" s="14"/>
      <c r="O681" s="94">
        <v>40</v>
      </c>
      <c r="P681" s="14" t="s">
        <v>485</v>
      </c>
      <c r="Q681" s="14" t="s">
        <v>497</v>
      </c>
      <c r="R681" s="14" t="s">
        <v>496</v>
      </c>
      <c r="S681" s="15">
        <v>7</v>
      </c>
      <c r="T681" s="15">
        <v>0.4</v>
      </c>
      <c r="U681" s="15">
        <v>0</v>
      </c>
      <c r="V681" s="14">
        <v>954</v>
      </c>
      <c r="W681" s="12">
        <v>0</v>
      </c>
      <c r="X681" s="12">
        <v>0</v>
      </c>
      <c r="Y681" s="12">
        <v>2</v>
      </c>
      <c r="Z681" s="12">
        <v>2.2000000000000002</v>
      </c>
      <c r="AA681" s="12">
        <v>0</v>
      </c>
      <c r="AB681" s="13">
        <f t="shared" si="41"/>
        <v>0</v>
      </c>
      <c r="AE681" s="12">
        <v>0</v>
      </c>
      <c r="AF681" s="12">
        <v>0</v>
      </c>
      <c r="AG681" s="12">
        <v>2</v>
      </c>
      <c r="AH681" s="12">
        <v>2.2000000000000002</v>
      </c>
      <c r="AI681" s="12">
        <v>0</v>
      </c>
      <c r="AJ681" s="13">
        <f t="shared" si="42"/>
        <v>0</v>
      </c>
      <c r="AN681" s="12">
        <f t="shared" si="43"/>
        <v>4007</v>
      </c>
      <c r="AQ681" s="8" t="s">
        <v>417</v>
      </c>
      <c r="AR681" t="str">
        <f t="shared" si="44"/>
        <v>Oeste - A08</v>
      </c>
    </row>
    <row r="682" spans="1:44" x14ac:dyDescent="0.2">
      <c r="A682" s="107" t="s">
        <v>3998</v>
      </c>
      <c r="B682" s="106" t="s">
        <v>3997</v>
      </c>
      <c r="C682" s="106" t="s">
        <v>3992</v>
      </c>
      <c r="D682" s="106" t="s">
        <v>1324</v>
      </c>
      <c r="E682" s="106" t="s">
        <v>3991</v>
      </c>
      <c r="F682" s="106" t="s">
        <v>490</v>
      </c>
      <c r="G682" s="106" t="s">
        <v>3996</v>
      </c>
      <c r="H682" s="105" t="s">
        <v>3995</v>
      </c>
      <c r="I682" s="105" t="s">
        <v>3989</v>
      </c>
      <c r="J682" s="104">
        <v>26.76</v>
      </c>
      <c r="K682" s="103" t="s">
        <v>428</v>
      </c>
      <c r="L682" s="102" t="s">
        <v>507</v>
      </c>
      <c r="M682" s="95"/>
      <c r="N682" s="14"/>
      <c r="O682" s="94">
        <v>40</v>
      </c>
      <c r="P682" s="14" t="s">
        <v>485</v>
      </c>
      <c r="Q682" s="14" t="s">
        <v>497</v>
      </c>
      <c r="R682" s="14" t="s">
        <v>496</v>
      </c>
      <c r="S682" s="15">
        <v>7</v>
      </c>
      <c r="T682" s="15">
        <v>0.4</v>
      </c>
      <c r="U682" s="15">
        <v>0</v>
      </c>
      <c r="V682" s="14">
        <v>954</v>
      </c>
      <c r="W682" s="12">
        <v>0</v>
      </c>
      <c r="X682" s="12">
        <v>0</v>
      </c>
      <c r="Y682" s="12">
        <v>10.760000000000002</v>
      </c>
      <c r="Z682" s="12">
        <v>16</v>
      </c>
      <c r="AA682" s="12">
        <v>0</v>
      </c>
      <c r="AB682" s="13">
        <f t="shared" si="41"/>
        <v>0</v>
      </c>
      <c r="AE682" s="12">
        <v>0</v>
      </c>
      <c r="AF682" s="12">
        <v>0</v>
      </c>
      <c r="AG682" s="12">
        <v>10.760000000000002</v>
      </c>
      <c r="AH682" s="12">
        <v>16</v>
      </c>
      <c r="AI682" s="12">
        <v>0</v>
      </c>
      <c r="AJ682" s="13">
        <f t="shared" si="42"/>
        <v>0</v>
      </c>
      <c r="AN682" s="12">
        <f t="shared" si="43"/>
        <v>25530</v>
      </c>
      <c r="AQ682" s="8" t="s">
        <v>417</v>
      </c>
      <c r="AR682" t="str">
        <f t="shared" si="44"/>
        <v>Oeste - A08</v>
      </c>
    </row>
    <row r="683" spans="1:44" x14ac:dyDescent="0.2">
      <c r="A683" s="107" t="s">
        <v>3994</v>
      </c>
      <c r="B683" s="106" t="s">
        <v>3993</v>
      </c>
      <c r="C683" s="106" t="s">
        <v>3992</v>
      </c>
      <c r="D683" s="106" t="s">
        <v>989</v>
      </c>
      <c r="E683" s="106" t="s">
        <v>3991</v>
      </c>
      <c r="F683" s="106" t="s">
        <v>490</v>
      </c>
      <c r="G683" s="106" t="s">
        <v>3990</v>
      </c>
      <c r="H683" s="105" t="s">
        <v>3989</v>
      </c>
      <c r="I683" s="105" t="s">
        <v>3988</v>
      </c>
      <c r="J683" s="104">
        <v>6.28</v>
      </c>
      <c r="K683" s="103" t="s">
        <v>428</v>
      </c>
      <c r="L683" s="102" t="s">
        <v>507</v>
      </c>
      <c r="M683" s="95"/>
      <c r="N683" s="14"/>
      <c r="O683" s="94">
        <v>40</v>
      </c>
      <c r="P683" s="14" t="s">
        <v>485</v>
      </c>
      <c r="Q683" s="14" t="s">
        <v>497</v>
      </c>
      <c r="R683" s="14" t="s">
        <v>496</v>
      </c>
      <c r="S683" s="15">
        <v>7</v>
      </c>
      <c r="T683" s="15">
        <v>0.4</v>
      </c>
      <c r="U683" s="15">
        <v>0</v>
      </c>
      <c r="V683" s="14">
        <v>954</v>
      </c>
      <c r="W683" s="12">
        <v>0</v>
      </c>
      <c r="X683" s="12">
        <v>0</v>
      </c>
      <c r="Y683" s="12">
        <v>2</v>
      </c>
      <c r="Z683" s="12">
        <v>4.28</v>
      </c>
      <c r="AA683" s="12">
        <v>0</v>
      </c>
      <c r="AB683" s="13">
        <f t="shared" si="41"/>
        <v>0</v>
      </c>
      <c r="AE683" s="12">
        <v>0</v>
      </c>
      <c r="AF683" s="12">
        <v>0</v>
      </c>
      <c r="AG683" s="12">
        <v>2</v>
      </c>
      <c r="AH683" s="12">
        <v>4.28</v>
      </c>
      <c r="AI683" s="12">
        <v>0</v>
      </c>
      <c r="AJ683" s="13">
        <f t="shared" si="42"/>
        <v>0</v>
      </c>
      <c r="AN683" s="12">
        <f t="shared" si="43"/>
        <v>5992</v>
      </c>
      <c r="AQ683" s="8" t="s">
        <v>417</v>
      </c>
      <c r="AR683" t="str">
        <f t="shared" si="44"/>
        <v>Oeste - A08</v>
      </c>
    </row>
    <row r="684" spans="1:44" x14ac:dyDescent="0.2">
      <c r="A684" s="107" t="s">
        <v>3987</v>
      </c>
      <c r="B684" s="106" t="s">
        <v>3986</v>
      </c>
      <c r="C684" s="106" t="s">
        <v>3973</v>
      </c>
      <c r="D684" s="106" t="s">
        <v>492</v>
      </c>
      <c r="E684" s="106" t="s">
        <v>3981</v>
      </c>
      <c r="F684" s="106" t="s">
        <v>490</v>
      </c>
      <c r="G684" s="106" t="s">
        <v>3985</v>
      </c>
      <c r="H684" s="105" t="s">
        <v>3984</v>
      </c>
      <c r="I684" s="105" t="s">
        <v>3979</v>
      </c>
      <c r="J684" s="104">
        <v>2.54</v>
      </c>
      <c r="K684" s="103" t="s">
        <v>422</v>
      </c>
      <c r="L684" s="102" t="s">
        <v>486</v>
      </c>
      <c r="M684" s="95"/>
      <c r="N684" s="14"/>
      <c r="O684" s="94">
        <v>14</v>
      </c>
      <c r="P684" s="14" t="s">
        <v>485</v>
      </c>
      <c r="Q684" s="14" t="s">
        <v>887</v>
      </c>
      <c r="R684" s="14" t="s">
        <v>496</v>
      </c>
      <c r="S684" s="15">
        <v>7.1</v>
      </c>
      <c r="T684" s="15">
        <v>0.75</v>
      </c>
      <c r="U684" s="15">
        <v>0</v>
      </c>
      <c r="V684" s="14">
        <v>1767</v>
      </c>
      <c r="W684" s="12">
        <v>0</v>
      </c>
      <c r="X684" s="12">
        <v>0</v>
      </c>
      <c r="Y684" s="12">
        <v>0</v>
      </c>
      <c r="Z684" s="12">
        <v>2.54</v>
      </c>
      <c r="AA684" s="12">
        <v>0</v>
      </c>
      <c r="AB684" s="13">
        <f t="shared" si="41"/>
        <v>0</v>
      </c>
      <c r="AE684" s="12">
        <v>0</v>
      </c>
      <c r="AF684" s="12">
        <v>0</v>
      </c>
      <c r="AG684" s="12">
        <v>0</v>
      </c>
      <c r="AH684" s="12">
        <v>2.54</v>
      </c>
      <c r="AI684" s="12">
        <v>0</v>
      </c>
      <c r="AJ684" s="13">
        <f t="shared" si="42"/>
        <v>0</v>
      </c>
      <c r="AN684" s="12">
        <f t="shared" si="43"/>
        <v>4489</v>
      </c>
      <c r="AQ684" s="8" t="s">
        <v>419</v>
      </c>
      <c r="AR684" t="str">
        <f t="shared" si="44"/>
        <v>Norte - A02</v>
      </c>
    </row>
    <row r="685" spans="1:44" x14ac:dyDescent="0.2">
      <c r="A685" s="107" t="s">
        <v>3983</v>
      </c>
      <c r="B685" s="106" t="s">
        <v>3982</v>
      </c>
      <c r="C685" s="106" t="s">
        <v>3973</v>
      </c>
      <c r="D685" s="106" t="s">
        <v>519</v>
      </c>
      <c r="E685" s="106" t="s">
        <v>3981</v>
      </c>
      <c r="F685" s="106" t="s">
        <v>490</v>
      </c>
      <c r="G685" s="106" t="s">
        <v>3980</v>
      </c>
      <c r="H685" s="105" t="s">
        <v>3979</v>
      </c>
      <c r="I685" s="105" t="s">
        <v>1940</v>
      </c>
      <c r="J685" s="104">
        <v>21.7</v>
      </c>
      <c r="K685" s="103" t="s">
        <v>422</v>
      </c>
      <c r="L685" s="102" t="s">
        <v>486</v>
      </c>
      <c r="M685" s="95"/>
      <c r="N685" s="14"/>
      <c r="O685" s="94">
        <v>14</v>
      </c>
      <c r="P685" s="14" t="s">
        <v>485</v>
      </c>
      <c r="Q685" s="14" t="s">
        <v>887</v>
      </c>
      <c r="R685" s="14" t="s">
        <v>496</v>
      </c>
      <c r="S685" s="15">
        <v>7.1</v>
      </c>
      <c r="T685" s="15">
        <v>0.75</v>
      </c>
      <c r="U685" s="15">
        <v>0</v>
      </c>
      <c r="V685" s="14">
        <v>1767</v>
      </c>
      <c r="W685" s="12">
        <v>0</v>
      </c>
      <c r="X685" s="12">
        <v>0</v>
      </c>
      <c r="Y685" s="12">
        <v>0</v>
      </c>
      <c r="Z685" s="12">
        <v>21.7</v>
      </c>
      <c r="AA685" s="12">
        <v>0</v>
      </c>
      <c r="AB685" s="13">
        <f t="shared" si="41"/>
        <v>0</v>
      </c>
      <c r="AE685" s="12">
        <v>0</v>
      </c>
      <c r="AF685" s="12">
        <v>0</v>
      </c>
      <c r="AG685" s="12">
        <v>0</v>
      </c>
      <c r="AH685" s="12">
        <v>21.7</v>
      </c>
      <c r="AI685" s="12">
        <v>0</v>
      </c>
      <c r="AJ685" s="13">
        <f t="shared" si="42"/>
        <v>0</v>
      </c>
      <c r="AN685" s="12">
        <f t="shared" si="43"/>
        <v>38344</v>
      </c>
      <c r="AQ685" s="8" t="s">
        <v>419</v>
      </c>
      <c r="AR685" t="str">
        <f t="shared" si="44"/>
        <v>Norte - A02</v>
      </c>
    </row>
    <row r="686" spans="1:44" x14ac:dyDescent="0.2">
      <c r="A686" s="107" t="s">
        <v>3978</v>
      </c>
      <c r="B686" s="106" t="s">
        <v>3977</v>
      </c>
      <c r="C686" s="106" t="s">
        <v>3973</v>
      </c>
      <c r="D686" s="106" t="s">
        <v>513</v>
      </c>
      <c r="E686" s="106" t="s">
        <v>3972</v>
      </c>
      <c r="F686" s="106" t="s">
        <v>590</v>
      </c>
      <c r="G686" s="106" t="s">
        <v>3976</v>
      </c>
      <c r="H686" s="105" t="s">
        <v>1940</v>
      </c>
      <c r="I686" s="105" t="s">
        <v>3970</v>
      </c>
      <c r="J686" s="104">
        <v>1.71</v>
      </c>
      <c r="K686" s="103" t="s">
        <v>422</v>
      </c>
      <c r="L686" s="102" t="s">
        <v>486</v>
      </c>
      <c r="M686" s="95"/>
      <c r="N686" s="14"/>
      <c r="O686" s="94">
        <v>14</v>
      </c>
      <c r="P686" s="14" t="s">
        <v>586</v>
      </c>
      <c r="Q686" s="14" t="s">
        <v>887</v>
      </c>
      <c r="R686" s="14" t="s">
        <v>496</v>
      </c>
      <c r="S686" s="15">
        <v>10.5</v>
      </c>
      <c r="T686" s="15">
        <v>0</v>
      </c>
      <c r="U686" s="15">
        <v>0</v>
      </c>
      <c r="V686" s="14">
        <v>818</v>
      </c>
      <c r="W686" s="12">
        <v>0</v>
      </c>
      <c r="X686" s="12">
        <v>0</v>
      </c>
      <c r="Y686" s="12">
        <v>0</v>
      </c>
      <c r="Z686" s="12">
        <v>1.71</v>
      </c>
      <c r="AA686" s="12">
        <v>0</v>
      </c>
      <c r="AB686" s="13">
        <f t="shared" si="41"/>
        <v>0</v>
      </c>
      <c r="AE686" s="12">
        <v>0</v>
      </c>
      <c r="AF686" s="12">
        <v>0</v>
      </c>
      <c r="AG686" s="12">
        <v>0</v>
      </c>
      <c r="AH686" s="12">
        <v>1.71</v>
      </c>
      <c r="AI686" s="12">
        <v>0</v>
      </c>
      <c r="AJ686" s="13">
        <f t="shared" si="42"/>
        <v>0</v>
      </c>
      <c r="AN686" s="12">
        <f t="shared" si="43"/>
        <v>1399</v>
      </c>
      <c r="AQ686" s="8" t="s">
        <v>419</v>
      </c>
      <c r="AR686" t="str">
        <f t="shared" si="44"/>
        <v>Norte - A02</v>
      </c>
    </row>
    <row r="687" spans="1:44" x14ac:dyDescent="0.2">
      <c r="A687" s="107" t="s">
        <v>3975</v>
      </c>
      <c r="B687" s="106" t="s">
        <v>3974</v>
      </c>
      <c r="C687" s="106" t="s">
        <v>3973</v>
      </c>
      <c r="D687" s="106" t="s">
        <v>1324</v>
      </c>
      <c r="E687" s="106" t="s">
        <v>3972</v>
      </c>
      <c r="F687" s="106" t="s">
        <v>590</v>
      </c>
      <c r="G687" s="106" t="s">
        <v>3971</v>
      </c>
      <c r="H687" s="105" t="s">
        <v>3970</v>
      </c>
      <c r="I687" s="105" t="s">
        <v>3969</v>
      </c>
      <c r="J687" s="104">
        <v>1.4</v>
      </c>
      <c r="K687" s="103" t="s">
        <v>422</v>
      </c>
      <c r="L687" s="102" t="s">
        <v>486</v>
      </c>
      <c r="M687" s="95"/>
      <c r="N687" s="14"/>
      <c r="O687" s="94">
        <v>14</v>
      </c>
      <c r="P687" s="14" t="s">
        <v>586</v>
      </c>
      <c r="Q687" s="14" t="s">
        <v>887</v>
      </c>
      <c r="R687" s="14" t="s">
        <v>496</v>
      </c>
      <c r="S687" s="15">
        <v>13</v>
      </c>
      <c r="T687" s="15">
        <v>0</v>
      </c>
      <c r="U687" s="15">
        <v>0</v>
      </c>
      <c r="V687" s="14">
        <v>818</v>
      </c>
      <c r="W687" s="12">
        <v>0</v>
      </c>
      <c r="X687" s="12">
        <v>0</v>
      </c>
      <c r="Y687" s="12">
        <v>0</v>
      </c>
      <c r="Z687" s="12">
        <v>1.4</v>
      </c>
      <c r="AA687" s="12">
        <v>0</v>
      </c>
      <c r="AB687" s="13">
        <f t="shared" si="41"/>
        <v>0</v>
      </c>
      <c r="AE687" s="12">
        <v>0</v>
      </c>
      <c r="AF687" s="12">
        <v>0</v>
      </c>
      <c r="AG687" s="12">
        <v>0</v>
      </c>
      <c r="AH687" s="12">
        <v>1.4</v>
      </c>
      <c r="AI687" s="12">
        <v>0</v>
      </c>
      <c r="AJ687" s="13">
        <f t="shared" si="42"/>
        <v>0</v>
      </c>
      <c r="AN687" s="12">
        <f t="shared" si="43"/>
        <v>1146</v>
      </c>
      <c r="AQ687" s="8" t="s">
        <v>419</v>
      </c>
      <c r="AR687" t="str">
        <f t="shared" si="44"/>
        <v>Norte - A02</v>
      </c>
    </row>
    <row r="688" spans="1:44" x14ac:dyDescent="0.2">
      <c r="A688" s="107" t="s">
        <v>3968</v>
      </c>
      <c r="B688" s="106" t="s">
        <v>3967</v>
      </c>
      <c r="C688" s="106" t="s">
        <v>3966</v>
      </c>
      <c r="D688" s="106" t="s">
        <v>492</v>
      </c>
      <c r="E688" s="106" t="s">
        <v>3965</v>
      </c>
      <c r="F688" s="106" t="s">
        <v>490</v>
      </c>
      <c r="G688" s="106" t="s">
        <v>3964</v>
      </c>
      <c r="H688" s="105" t="s">
        <v>570</v>
      </c>
      <c r="I688" s="105" t="s">
        <v>3963</v>
      </c>
      <c r="J688" s="104">
        <v>22.4</v>
      </c>
      <c r="K688" s="103" t="s">
        <v>430</v>
      </c>
      <c r="L688" s="102" t="s">
        <v>486</v>
      </c>
      <c r="M688" s="95"/>
      <c r="N688" s="14"/>
      <c r="O688" s="94">
        <v>22</v>
      </c>
      <c r="P688" s="14" t="s">
        <v>485</v>
      </c>
      <c r="Q688" s="14" t="s">
        <v>497</v>
      </c>
      <c r="R688" s="14" t="s">
        <v>585</v>
      </c>
      <c r="S688" s="15">
        <v>6.6</v>
      </c>
      <c r="T688" s="15">
        <v>1</v>
      </c>
      <c r="U688" s="15">
        <v>0</v>
      </c>
      <c r="V688" s="14">
        <v>1474</v>
      </c>
      <c r="W688" s="12">
        <v>0</v>
      </c>
      <c r="X688" s="12">
        <v>0</v>
      </c>
      <c r="Y688" s="12">
        <v>2</v>
      </c>
      <c r="Z688" s="12">
        <v>20.399999999999999</v>
      </c>
      <c r="AA688" s="12">
        <v>0</v>
      </c>
      <c r="AB688" s="13">
        <f t="shared" si="41"/>
        <v>0</v>
      </c>
      <c r="AE688" s="12">
        <v>0</v>
      </c>
      <c r="AF688" s="12">
        <v>0</v>
      </c>
      <c r="AG688" s="12">
        <v>2</v>
      </c>
      <c r="AH688" s="12">
        <v>20.399999999999999</v>
      </c>
      <c r="AI688" s="12">
        <v>0</v>
      </c>
      <c r="AJ688" s="13">
        <f t="shared" si="42"/>
        <v>0</v>
      </c>
      <c r="AN688" s="12">
        <f t="shared" si="43"/>
        <v>33018</v>
      </c>
      <c r="AQ688" s="8" t="s">
        <v>419</v>
      </c>
      <c r="AR688" t="str">
        <f t="shared" si="44"/>
        <v>Norte - A10</v>
      </c>
    </row>
    <row r="689" spans="1:44" x14ac:dyDescent="0.2">
      <c r="A689" s="107" t="s">
        <v>3962</v>
      </c>
      <c r="B689" s="106" t="s">
        <v>3961</v>
      </c>
      <c r="C689" s="106" t="s">
        <v>3960</v>
      </c>
      <c r="D689" s="106" t="s">
        <v>1269</v>
      </c>
      <c r="E689" s="106" t="s">
        <v>3959</v>
      </c>
      <c r="F689" s="106" t="s">
        <v>490</v>
      </c>
      <c r="G689" s="106" t="s">
        <v>3958</v>
      </c>
      <c r="H689" s="105" t="s">
        <v>1952</v>
      </c>
      <c r="I689" s="105" t="s">
        <v>3957</v>
      </c>
      <c r="J689" s="104">
        <v>6.5</v>
      </c>
      <c r="K689" s="103" t="s">
        <v>427</v>
      </c>
      <c r="L689" s="102" t="s">
        <v>486</v>
      </c>
      <c r="M689" s="95"/>
      <c r="N689" s="14"/>
      <c r="O689" s="94">
        <v>19</v>
      </c>
      <c r="P689" s="14" t="s">
        <v>485</v>
      </c>
      <c r="Q689" s="14" t="s">
        <v>497</v>
      </c>
      <c r="R689" s="14" t="s">
        <v>496</v>
      </c>
      <c r="S689" s="15">
        <v>7</v>
      </c>
      <c r="T689" s="15">
        <v>1</v>
      </c>
      <c r="U689" s="15">
        <v>0</v>
      </c>
      <c r="V689" s="14">
        <v>4791</v>
      </c>
      <c r="W689" s="12">
        <v>0</v>
      </c>
      <c r="X689" s="12">
        <v>0</v>
      </c>
      <c r="Y689" s="12">
        <v>0</v>
      </c>
      <c r="Z689" s="12">
        <v>6.5</v>
      </c>
      <c r="AA689" s="12">
        <v>0</v>
      </c>
      <c r="AB689" s="13">
        <f t="shared" si="41"/>
        <v>0</v>
      </c>
      <c r="AE689" s="12">
        <v>0</v>
      </c>
      <c r="AF689" s="12">
        <v>0</v>
      </c>
      <c r="AG689" s="12">
        <v>0</v>
      </c>
      <c r="AH689" s="12">
        <v>6.5</v>
      </c>
      <c r="AI689" s="12">
        <v>0</v>
      </c>
      <c r="AJ689" s="13">
        <f t="shared" si="42"/>
        <v>0</v>
      </c>
      <c r="AN689" s="12">
        <f t="shared" si="43"/>
        <v>31142</v>
      </c>
      <c r="AQ689" s="8" t="s">
        <v>419</v>
      </c>
      <c r="AR689" t="str">
        <f t="shared" si="44"/>
        <v>Norte - A07</v>
      </c>
    </row>
    <row r="690" spans="1:44" x14ac:dyDescent="0.2">
      <c r="A690" s="107" t="s">
        <v>3956</v>
      </c>
      <c r="B690" s="106" t="s">
        <v>3955</v>
      </c>
      <c r="C690" s="106" t="s">
        <v>3937</v>
      </c>
      <c r="D690" s="106" t="s">
        <v>492</v>
      </c>
      <c r="E690" s="106" t="s">
        <v>3936</v>
      </c>
      <c r="F690" s="106" t="s">
        <v>490</v>
      </c>
      <c r="G690" s="106" t="s">
        <v>3954</v>
      </c>
      <c r="H690" s="105" t="s">
        <v>3953</v>
      </c>
      <c r="I690" s="105" t="s">
        <v>3949</v>
      </c>
      <c r="J690" s="104">
        <v>0.28000000000000003</v>
      </c>
      <c r="K690" s="103" t="s">
        <v>421</v>
      </c>
      <c r="L690" s="102" t="s">
        <v>486</v>
      </c>
      <c r="M690" s="95"/>
      <c r="N690" s="14"/>
      <c r="O690" s="94">
        <v>13</v>
      </c>
      <c r="P690" s="14" t="s">
        <v>485</v>
      </c>
      <c r="Q690" s="14" t="s">
        <v>505</v>
      </c>
      <c r="R690" s="16" t="s">
        <v>496</v>
      </c>
      <c r="S690" s="15">
        <v>6.6</v>
      </c>
      <c r="T690" s="15">
        <v>0</v>
      </c>
      <c r="U690" s="15">
        <v>0</v>
      </c>
      <c r="V690" s="14">
        <v>2820</v>
      </c>
      <c r="W690" s="12">
        <v>0</v>
      </c>
      <c r="X690" s="12">
        <v>0</v>
      </c>
      <c r="Y690" s="12">
        <v>0.28000000000000003</v>
      </c>
      <c r="Z690" s="12">
        <v>0</v>
      </c>
      <c r="AA690" s="12">
        <v>0</v>
      </c>
      <c r="AB690" s="13">
        <f t="shared" si="41"/>
        <v>0</v>
      </c>
      <c r="AE690" s="12">
        <v>0</v>
      </c>
      <c r="AF690" s="12">
        <v>0</v>
      </c>
      <c r="AG690" s="12">
        <v>0.28000000000000003</v>
      </c>
      <c r="AH690" s="12">
        <v>0</v>
      </c>
      <c r="AI690" s="12">
        <v>0</v>
      </c>
      <c r="AJ690" s="13">
        <f t="shared" si="42"/>
        <v>0</v>
      </c>
      <c r="AN690" s="12">
        <f t="shared" si="43"/>
        <v>790</v>
      </c>
      <c r="AQ690" s="8" t="s">
        <v>419</v>
      </c>
      <c r="AR690" t="str">
        <f t="shared" si="44"/>
        <v>Norte - A01</v>
      </c>
    </row>
    <row r="691" spans="1:44" x14ac:dyDescent="0.2">
      <c r="A691" s="107" t="s">
        <v>3952</v>
      </c>
      <c r="B691" s="106" t="s">
        <v>3951</v>
      </c>
      <c r="C691" s="106" t="s">
        <v>3937</v>
      </c>
      <c r="D691" s="106" t="s">
        <v>1128</v>
      </c>
      <c r="E691" s="106" t="s">
        <v>3936</v>
      </c>
      <c r="F691" s="106" t="s">
        <v>490</v>
      </c>
      <c r="G691" s="106" t="s">
        <v>3950</v>
      </c>
      <c r="H691" s="105" t="s">
        <v>3949</v>
      </c>
      <c r="I691" s="105" t="s">
        <v>3945</v>
      </c>
      <c r="J691" s="104">
        <v>20.100000000000001</v>
      </c>
      <c r="K691" s="103" t="s">
        <v>421</v>
      </c>
      <c r="L691" s="102" t="s">
        <v>486</v>
      </c>
      <c r="M691" s="95"/>
      <c r="N691" s="14"/>
      <c r="O691" s="94">
        <v>13</v>
      </c>
      <c r="P691" s="14" t="s">
        <v>485</v>
      </c>
      <c r="Q691" s="14" t="s">
        <v>505</v>
      </c>
      <c r="R691" s="16" t="s">
        <v>496</v>
      </c>
      <c r="S691" s="15">
        <v>6.6</v>
      </c>
      <c r="T691" s="15">
        <v>0</v>
      </c>
      <c r="U691" s="15">
        <v>0</v>
      </c>
      <c r="V691" s="14">
        <v>2031</v>
      </c>
      <c r="W691" s="12">
        <v>0</v>
      </c>
      <c r="X691" s="12">
        <v>4</v>
      </c>
      <c r="Y691" s="12">
        <v>15.100000000000001</v>
      </c>
      <c r="Z691" s="12">
        <v>1</v>
      </c>
      <c r="AA691" s="12">
        <v>0</v>
      </c>
      <c r="AB691" s="13">
        <f t="shared" si="41"/>
        <v>0</v>
      </c>
      <c r="AE691" s="12">
        <v>0</v>
      </c>
      <c r="AF691" s="12">
        <v>4</v>
      </c>
      <c r="AG691" s="12">
        <v>15.100000000000001</v>
      </c>
      <c r="AH691" s="12">
        <v>1</v>
      </c>
      <c r="AI691" s="12">
        <v>0</v>
      </c>
      <c r="AJ691" s="13">
        <f t="shared" si="42"/>
        <v>0</v>
      </c>
      <c r="AN691" s="12">
        <f t="shared" si="43"/>
        <v>40824</v>
      </c>
      <c r="AQ691" s="8" t="s">
        <v>419</v>
      </c>
      <c r="AR691" t="str">
        <f t="shared" si="44"/>
        <v>Norte - A01</v>
      </c>
    </row>
    <row r="692" spans="1:44" x14ac:dyDescent="0.2">
      <c r="A692" s="107" t="s">
        <v>3948</v>
      </c>
      <c r="B692" s="106" t="s">
        <v>3947</v>
      </c>
      <c r="C692" s="106" t="s">
        <v>3937</v>
      </c>
      <c r="D692" s="106" t="s">
        <v>3073</v>
      </c>
      <c r="E692" s="106" t="s">
        <v>3936</v>
      </c>
      <c r="F692" s="106" t="s">
        <v>490</v>
      </c>
      <c r="G692" s="106" t="s">
        <v>3946</v>
      </c>
      <c r="H692" s="105" t="s">
        <v>3945</v>
      </c>
      <c r="I692" s="105" t="s">
        <v>3941</v>
      </c>
      <c r="J692" s="104">
        <v>2.6</v>
      </c>
      <c r="K692" s="103" t="s">
        <v>421</v>
      </c>
      <c r="L692" s="102" t="s">
        <v>533</v>
      </c>
      <c r="M692" s="95"/>
      <c r="N692" s="14"/>
      <c r="O692" s="94">
        <v>23</v>
      </c>
      <c r="P692" s="14" t="s">
        <v>485</v>
      </c>
      <c r="Q692" s="14" t="s">
        <v>887</v>
      </c>
      <c r="R692" s="14" t="s">
        <v>1258</v>
      </c>
      <c r="S692" s="15">
        <v>7</v>
      </c>
      <c r="T692" s="15">
        <v>0.4</v>
      </c>
      <c r="U692" s="15">
        <v>0</v>
      </c>
      <c r="V692" s="14">
        <v>3072</v>
      </c>
      <c r="W692" s="12">
        <v>1.6</v>
      </c>
      <c r="X692" s="12">
        <v>0</v>
      </c>
      <c r="Y692" s="12">
        <v>1</v>
      </c>
      <c r="Z692" s="12">
        <v>0</v>
      </c>
      <c r="AA692" s="12">
        <v>0</v>
      </c>
      <c r="AB692" s="13">
        <f t="shared" si="41"/>
        <v>0</v>
      </c>
      <c r="AE692" s="12">
        <v>1.6</v>
      </c>
      <c r="AF692" s="12">
        <v>0</v>
      </c>
      <c r="AG692" s="12">
        <v>1</v>
      </c>
      <c r="AH692" s="12">
        <v>0</v>
      </c>
      <c r="AI692" s="12">
        <v>0</v>
      </c>
      <c r="AJ692" s="13">
        <f t="shared" si="42"/>
        <v>0</v>
      </c>
      <c r="AN692" s="12">
        <f t="shared" si="43"/>
        <v>7988</v>
      </c>
      <c r="AQ692" s="8" t="s">
        <v>418</v>
      </c>
      <c r="AR692" t="str">
        <f t="shared" si="44"/>
        <v>Noroeste - A01</v>
      </c>
    </row>
    <row r="693" spans="1:44" x14ac:dyDescent="0.2">
      <c r="A693" s="107" t="s">
        <v>3944</v>
      </c>
      <c r="B693" s="106" t="s">
        <v>3943</v>
      </c>
      <c r="C693" s="106" t="s">
        <v>3937</v>
      </c>
      <c r="D693" s="106" t="s">
        <v>1100</v>
      </c>
      <c r="E693" s="106" t="s">
        <v>3936</v>
      </c>
      <c r="F693" s="106" t="s">
        <v>490</v>
      </c>
      <c r="G693" s="106" t="s">
        <v>3942</v>
      </c>
      <c r="H693" s="105" t="s">
        <v>3941</v>
      </c>
      <c r="I693" s="105" t="s">
        <v>3940</v>
      </c>
      <c r="J693" s="104">
        <v>0.4</v>
      </c>
      <c r="K693" s="103" t="s">
        <v>421</v>
      </c>
      <c r="L693" s="102" t="s">
        <v>533</v>
      </c>
      <c r="M693" s="95"/>
      <c r="N693" s="14"/>
      <c r="O693" s="94">
        <v>23</v>
      </c>
      <c r="P693" s="14" t="s">
        <v>485</v>
      </c>
      <c r="Q693" s="14" t="s">
        <v>887</v>
      </c>
      <c r="R693" s="14" t="s">
        <v>1258</v>
      </c>
      <c r="S693" s="15">
        <v>7</v>
      </c>
      <c r="T693" s="15">
        <v>0.4</v>
      </c>
      <c r="U693" s="15">
        <v>0</v>
      </c>
      <c r="V693" s="14">
        <v>3072</v>
      </c>
      <c r="W693" s="12">
        <v>0</v>
      </c>
      <c r="X693" s="12">
        <v>0.4</v>
      </c>
      <c r="Y693" s="12">
        <v>0</v>
      </c>
      <c r="Z693" s="12">
        <v>0</v>
      </c>
      <c r="AA693" s="12">
        <v>0</v>
      </c>
      <c r="AB693" s="13">
        <f t="shared" si="41"/>
        <v>0</v>
      </c>
      <c r="AE693" s="12">
        <v>0</v>
      </c>
      <c r="AF693" s="12">
        <v>0.4</v>
      </c>
      <c r="AG693" s="12">
        <v>0</v>
      </c>
      <c r="AH693" s="12">
        <v>0</v>
      </c>
      <c r="AI693" s="12">
        <v>0</v>
      </c>
      <c r="AJ693" s="13">
        <f t="shared" si="42"/>
        <v>0</v>
      </c>
      <c r="AN693" s="12">
        <f t="shared" si="43"/>
        <v>1229</v>
      </c>
      <c r="AQ693" s="8" t="s">
        <v>418</v>
      </c>
      <c r="AR693" t="str">
        <f t="shared" si="44"/>
        <v>Noroeste - A01</v>
      </c>
    </row>
    <row r="694" spans="1:44" x14ac:dyDescent="0.2">
      <c r="A694" s="107" t="s">
        <v>3939</v>
      </c>
      <c r="B694" s="106" t="s">
        <v>3938</v>
      </c>
      <c r="C694" s="106" t="s">
        <v>3937</v>
      </c>
      <c r="D694" s="106" t="s">
        <v>989</v>
      </c>
      <c r="E694" s="106" t="s">
        <v>3936</v>
      </c>
      <c r="F694" s="106" t="s">
        <v>490</v>
      </c>
      <c r="G694" s="106" t="s">
        <v>3935</v>
      </c>
      <c r="H694" s="105" t="s">
        <v>3934</v>
      </c>
      <c r="I694" s="105" t="s">
        <v>3933</v>
      </c>
      <c r="J694" s="104">
        <v>8.73</v>
      </c>
      <c r="K694" s="103" t="s">
        <v>421</v>
      </c>
      <c r="L694" s="102" t="s">
        <v>533</v>
      </c>
      <c r="M694" s="95"/>
      <c r="N694" s="14"/>
      <c r="O694" s="94">
        <v>23</v>
      </c>
      <c r="P694" s="14" t="s">
        <v>485</v>
      </c>
      <c r="Q694" s="14" t="s">
        <v>887</v>
      </c>
      <c r="R694" s="14" t="s">
        <v>496</v>
      </c>
      <c r="S694" s="15">
        <v>6.2249999999999996</v>
      </c>
      <c r="T694" s="15">
        <v>1</v>
      </c>
      <c r="U694" s="15">
        <v>0</v>
      </c>
      <c r="V694" s="14">
        <v>420</v>
      </c>
      <c r="W694" s="12">
        <v>0</v>
      </c>
      <c r="X694" s="12">
        <v>0</v>
      </c>
      <c r="Y694" s="12">
        <v>1</v>
      </c>
      <c r="Z694" s="12">
        <v>7.73</v>
      </c>
      <c r="AA694" s="12">
        <v>0</v>
      </c>
      <c r="AB694" s="13">
        <f t="shared" si="41"/>
        <v>0</v>
      </c>
      <c r="AE694" s="12">
        <v>0</v>
      </c>
      <c r="AF694" s="12">
        <v>0</v>
      </c>
      <c r="AG694" s="12">
        <v>1</v>
      </c>
      <c r="AH694" s="12">
        <v>7.73</v>
      </c>
      <c r="AI694" s="12">
        <v>0</v>
      </c>
      <c r="AJ694" s="13">
        <f t="shared" si="42"/>
        <v>0</v>
      </c>
      <c r="AN694" s="12">
        <f t="shared" si="43"/>
        <v>3667</v>
      </c>
      <c r="AQ694" s="8" t="s">
        <v>418</v>
      </c>
      <c r="AR694" t="str">
        <f t="shared" si="44"/>
        <v>Noroeste - A01</v>
      </c>
    </row>
    <row r="695" spans="1:44" s="21" customFormat="1" x14ac:dyDescent="0.2">
      <c r="A695" s="31" t="s">
        <v>3932</v>
      </c>
      <c r="B695" s="30"/>
      <c r="C695" s="30">
        <v>454</v>
      </c>
      <c r="D695" s="30"/>
      <c r="E695" s="30"/>
      <c r="F695" s="30"/>
      <c r="G695" s="30"/>
      <c r="H695" s="29" t="s">
        <v>3931</v>
      </c>
      <c r="I695" s="29" t="s">
        <v>3930</v>
      </c>
      <c r="J695" s="19">
        <v>3.46</v>
      </c>
      <c r="K695" s="28" t="s">
        <v>421</v>
      </c>
      <c r="L695" s="27" t="s">
        <v>533</v>
      </c>
      <c r="M695" s="26"/>
      <c r="N695" s="24"/>
      <c r="O695" s="108">
        <v>23</v>
      </c>
      <c r="P695" s="24" t="s">
        <v>485</v>
      </c>
      <c r="Q695" s="24" t="s">
        <v>887</v>
      </c>
      <c r="R695" s="24" t="s">
        <v>496</v>
      </c>
      <c r="S695" s="25">
        <v>7</v>
      </c>
      <c r="T695" s="25">
        <v>0</v>
      </c>
      <c r="U695" s="25">
        <v>0</v>
      </c>
      <c r="V695" s="24">
        <v>21</v>
      </c>
      <c r="W695" s="23">
        <v>0</v>
      </c>
      <c r="X695" s="23">
        <v>0</v>
      </c>
      <c r="Y695" s="23">
        <v>3.46</v>
      </c>
      <c r="Z695" s="23">
        <v>0</v>
      </c>
      <c r="AA695" s="23">
        <v>0</v>
      </c>
      <c r="AB695" s="22">
        <f t="shared" si="41"/>
        <v>0</v>
      </c>
      <c r="AE695" s="23">
        <v>0</v>
      </c>
      <c r="AF695" s="23">
        <v>0</v>
      </c>
      <c r="AG695" s="23">
        <v>3.46</v>
      </c>
      <c r="AH695" s="23">
        <v>0</v>
      </c>
      <c r="AI695" s="23">
        <v>0</v>
      </c>
      <c r="AJ695" s="22">
        <f t="shared" si="42"/>
        <v>0</v>
      </c>
      <c r="AN695" s="12">
        <f t="shared" si="43"/>
        <v>73</v>
      </c>
      <c r="AQ695" s="8" t="s">
        <v>418</v>
      </c>
      <c r="AR695" t="str">
        <f t="shared" si="44"/>
        <v>Noroeste - A01</v>
      </c>
    </row>
    <row r="696" spans="1:44" x14ac:dyDescent="0.2">
      <c r="A696" s="107" t="s">
        <v>3929</v>
      </c>
      <c r="B696" s="106" t="s">
        <v>3928</v>
      </c>
      <c r="C696" s="106" t="s">
        <v>3919</v>
      </c>
      <c r="D696" s="106" t="s">
        <v>519</v>
      </c>
      <c r="E696" s="106" t="s">
        <v>3917</v>
      </c>
      <c r="F696" s="106" t="s">
        <v>490</v>
      </c>
      <c r="G696" s="106" t="s">
        <v>3927</v>
      </c>
      <c r="H696" s="105" t="s">
        <v>3926</v>
      </c>
      <c r="I696" s="105" t="s">
        <v>3922</v>
      </c>
      <c r="J696" s="104">
        <v>0.18</v>
      </c>
      <c r="K696" s="103" t="s">
        <v>422</v>
      </c>
      <c r="L696" s="102" t="s">
        <v>533</v>
      </c>
      <c r="M696" s="95"/>
      <c r="N696" s="14"/>
      <c r="O696" s="94">
        <v>24</v>
      </c>
      <c r="P696" s="14" t="s">
        <v>485</v>
      </c>
      <c r="Q696" s="14" t="s">
        <v>887</v>
      </c>
      <c r="R696" s="14" t="s">
        <v>496</v>
      </c>
      <c r="S696" s="15">
        <v>6.6</v>
      </c>
      <c r="T696" s="15">
        <v>0.65</v>
      </c>
      <c r="U696" s="15">
        <v>0</v>
      </c>
      <c r="V696" s="14">
        <v>420</v>
      </c>
      <c r="W696" s="12">
        <v>0</v>
      </c>
      <c r="X696" s="12">
        <v>0</v>
      </c>
      <c r="Y696" s="12">
        <v>0</v>
      </c>
      <c r="Z696" s="12">
        <v>0.18</v>
      </c>
      <c r="AA696" s="12">
        <v>0</v>
      </c>
      <c r="AB696" s="13">
        <f t="shared" si="41"/>
        <v>0</v>
      </c>
      <c r="AE696" s="12">
        <v>0</v>
      </c>
      <c r="AF696" s="12">
        <v>0</v>
      </c>
      <c r="AG696" s="12">
        <v>0</v>
      </c>
      <c r="AH696" s="12">
        <v>0.18</v>
      </c>
      <c r="AI696" s="12">
        <v>0</v>
      </c>
      <c r="AJ696" s="13">
        <f t="shared" si="42"/>
        <v>0</v>
      </c>
      <c r="AN696" s="12">
        <f t="shared" si="43"/>
        <v>76</v>
      </c>
      <c r="AQ696" s="8" t="s">
        <v>418</v>
      </c>
      <c r="AR696" t="str">
        <f t="shared" si="44"/>
        <v>Noroeste - A02</v>
      </c>
    </row>
    <row r="697" spans="1:44" x14ac:dyDescent="0.2">
      <c r="A697" s="107" t="s">
        <v>3925</v>
      </c>
      <c r="B697" s="106" t="s">
        <v>3924</v>
      </c>
      <c r="C697" s="106" t="s">
        <v>3919</v>
      </c>
      <c r="D697" s="106" t="s">
        <v>1032</v>
      </c>
      <c r="E697" s="106" t="s">
        <v>3917</v>
      </c>
      <c r="F697" s="106" t="s">
        <v>490</v>
      </c>
      <c r="G697" s="106" t="s">
        <v>3923</v>
      </c>
      <c r="H697" s="105" t="s">
        <v>3922</v>
      </c>
      <c r="I697" s="105" t="s">
        <v>3915</v>
      </c>
      <c r="J697" s="104">
        <v>13.78</v>
      </c>
      <c r="K697" s="103" t="s">
        <v>422</v>
      </c>
      <c r="L697" s="102" t="s">
        <v>533</v>
      </c>
      <c r="M697" s="95"/>
      <c r="N697" s="14"/>
      <c r="O697" s="94">
        <v>24</v>
      </c>
      <c r="P697" s="14" t="s">
        <v>485</v>
      </c>
      <c r="Q697" s="14" t="s">
        <v>887</v>
      </c>
      <c r="R697" s="14" t="s">
        <v>496</v>
      </c>
      <c r="S697" s="15">
        <v>6.6</v>
      </c>
      <c r="T697" s="15">
        <v>0.5</v>
      </c>
      <c r="U697" s="15">
        <v>0</v>
      </c>
      <c r="V697" s="14">
        <v>420</v>
      </c>
      <c r="W697" s="12">
        <v>0</v>
      </c>
      <c r="X697" s="12">
        <v>0</v>
      </c>
      <c r="Y697" s="12">
        <v>0</v>
      </c>
      <c r="Z697" s="12">
        <v>13.78</v>
      </c>
      <c r="AA697" s="12">
        <v>0</v>
      </c>
      <c r="AB697" s="13">
        <f t="shared" si="41"/>
        <v>0</v>
      </c>
      <c r="AE697" s="12">
        <v>0</v>
      </c>
      <c r="AF697" s="12">
        <v>0</v>
      </c>
      <c r="AG697" s="12">
        <v>0</v>
      </c>
      <c r="AH697" s="12">
        <v>13.78</v>
      </c>
      <c r="AI697" s="12">
        <v>0</v>
      </c>
      <c r="AJ697" s="13">
        <f t="shared" si="42"/>
        <v>0</v>
      </c>
      <c r="AN697" s="12">
        <f t="shared" si="43"/>
        <v>5788</v>
      </c>
      <c r="AQ697" s="8" t="s">
        <v>418</v>
      </c>
      <c r="AR697" t="str">
        <f t="shared" si="44"/>
        <v>Noroeste - A02</v>
      </c>
    </row>
    <row r="698" spans="1:44" x14ac:dyDescent="0.2">
      <c r="A698" s="107" t="s">
        <v>3921</v>
      </c>
      <c r="B698" s="106" t="s">
        <v>3920</v>
      </c>
      <c r="C698" s="106" t="s">
        <v>3919</v>
      </c>
      <c r="D698" s="106" t="s">
        <v>3918</v>
      </c>
      <c r="E698" s="106" t="s">
        <v>3917</v>
      </c>
      <c r="F698" s="106" t="s">
        <v>490</v>
      </c>
      <c r="G698" s="106" t="s">
        <v>3916</v>
      </c>
      <c r="H698" s="105" t="s">
        <v>3915</v>
      </c>
      <c r="I698" s="105" t="s">
        <v>3914</v>
      </c>
      <c r="J698" s="104">
        <v>1.02</v>
      </c>
      <c r="K698" s="103" t="s">
        <v>422</v>
      </c>
      <c r="L698" s="102" t="s">
        <v>533</v>
      </c>
      <c r="M698" s="95"/>
      <c r="N698" s="14"/>
      <c r="O698" s="94">
        <v>24</v>
      </c>
      <c r="P698" s="14" t="s">
        <v>485</v>
      </c>
      <c r="Q698" s="14" t="s">
        <v>887</v>
      </c>
      <c r="R698" s="14" t="s">
        <v>496</v>
      </c>
      <c r="S698" s="15">
        <v>6.6</v>
      </c>
      <c r="T698" s="15">
        <v>0.5</v>
      </c>
      <c r="U698" s="15">
        <v>0</v>
      </c>
      <c r="V698" s="14">
        <v>420</v>
      </c>
      <c r="W698" s="12">
        <v>0</v>
      </c>
      <c r="X698" s="12">
        <v>0</v>
      </c>
      <c r="Y698" s="12">
        <v>0</v>
      </c>
      <c r="Z698" s="12">
        <v>1.02</v>
      </c>
      <c r="AA698" s="12">
        <v>0</v>
      </c>
      <c r="AB698" s="13">
        <f t="shared" si="41"/>
        <v>0</v>
      </c>
      <c r="AE698" s="12">
        <v>0</v>
      </c>
      <c r="AF698" s="12">
        <v>0</v>
      </c>
      <c r="AG698" s="12">
        <v>0</v>
      </c>
      <c r="AH698" s="12">
        <v>1.02</v>
      </c>
      <c r="AI698" s="12">
        <v>0</v>
      </c>
      <c r="AJ698" s="13">
        <f t="shared" si="42"/>
        <v>0</v>
      </c>
      <c r="AN698" s="12">
        <f t="shared" si="43"/>
        <v>429</v>
      </c>
      <c r="AQ698" s="8" t="s">
        <v>418</v>
      </c>
      <c r="AR698" t="str">
        <f t="shared" si="44"/>
        <v>Noroeste - A02</v>
      </c>
    </row>
    <row r="699" spans="1:44" x14ac:dyDescent="0.2">
      <c r="A699" s="107" t="s">
        <v>3913</v>
      </c>
      <c r="B699" s="106" t="s">
        <v>3912</v>
      </c>
      <c r="C699" s="106" t="s">
        <v>3898</v>
      </c>
      <c r="D699" s="106" t="s">
        <v>492</v>
      </c>
      <c r="E699" s="106" t="s">
        <v>3897</v>
      </c>
      <c r="F699" s="106" t="s">
        <v>490</v>
      </c>
      <c r="G699" s="106" t="s">
        <v>3911</v>
      </c>
      <c r="H699" s="105" t="s">
        <v>3737</v>
      </c>
      <c r="I699" s="105" t="s">
        <v>3907</v>
      </c>
      <c r="J699" s="104">
        <v>19.41</v>
      </c>
      <c r="K699" s="103" t="s">
        <v>426</v>
      </c>
      <c r="L699" s="102" t="s">
        <v>577</v>
      </c>
      <c r="M699" s="95"/>
      <c r="N699" s="14"/>
      <c r="O699" s="94">
        <v>11</v>
      </c>
      <c r="P699" s="14" t="s">
        <v>485</v>
      </c>
      <c r="Q699" s="14" t="s">
        <v>497</v>
      </c>
      <c r="R699" s="14" t="s">
        <v>496</v>
      </c>
      <c r="S699" s="15">
        <v>6.6</v>
      </c>
      <c r="T699" s="15">
        <v>0.4</v>
      </c>
      <c r="U699" s="15">
        <v>0</v>
      </c>
      <c r="V699" s="14">
        <v>1516</v>
      </c>
      <c r="W699" s="12">
        <v>0</v>
      </c>
      <c r="X699" s="12">
        <v>0</v>
      </c>
      <c r="Y699" s="12">
        <v>16</v>
      </c>
      <c r="Z699" s="12">
        <v>3.41</v>
      </c>
      <c r="AA699" s="12">
        <v>0</v>
      </c>
      <c r="AB699" s="13">
        <f t="shared" si="41"/>
        <v>0</v>
      </c>
      <c r="AE699" s="12">
        <v>0</v>
      </c>
      <c r="AF699" s="12">
        <v>0</v>
      </c>
      <c r="AG699" s="12">
        <v>16</v>
      </c>
      <c r="AH699" s="12">
        <v>3.41</v>
      </c>
      <c r="AI699" s="12">
        <v>0</v>
      </c>
      <c r="AJ699" s="13">
        <f t="shared" si="42"/>
        <v>0</v>
      </c>
      <c r="AN699" s="12">
        <f t="shared" si="43"/>
        <v>29426</v>
      </c>
      <c r="AQ699" s="8" t="s">
        <v>420</v>
      </c>
      <c r="AR699" t="str">
        <f t="shared" si="44"/>
        <v>Campos Gerais - A06</v>
      </c>
    </row>
    <row r="700" spans="1:44" x14ac:dyDescent="0.2">
      <c r="A700" s="107" t="s">
        <v>3910</v>
      </c>
      <c r="B700" s="106" t="s">
        <v>3909</v>
      </c>
      <c r="C700" s="106" t="s">
        <v>3898</v>
      </c>
      <c r="D700" s="106" t="s">
        <v>513</v>
      </c>
      <c r="E700" s="106" t="s">
        <v>3897</v>
      </c>
      <c r="F700" s="106" t="s">
        <v>490</v>
      </c>
      <c r="G700" s="106" t="s">
        <v>3908</v>
      </c>
      <c r="H700" s="105" t="s">
        <v>3907</v>
      </c>
      <c r="I700" s="105" t="s">
        <v>3901</v>
      </c>
      <c r="J700" s="104">
        <v>38.76</v>
      </c>
      <c r="K700" s="103" t="s">
        <v>426</v>
      </c>
      <c r="L700" s="102" t="s">
        <v>577</v>
      </c>
      <c r="M700" s="95"/>
      <c r="N700" s="14"/>
      <c r="O700" s="94">
        <v>11</v>
      </c>
      <c r="P700" s="14" t="s">
        <v>485</v>
      </c>
      <c r="Q700" s="14" t="s">
        <v>497</v>
      </c>
      <c r="R700" s="14" t="s">
        <v>496</v>
      </c>
      <c r="S700" s="15">
        <v>6.6</v>
      </c>
      <c r="T700" s="15">
        <v>0.4</v>
      </c>
      <c r="U700" s="15">
        <v>0</v>
      </c>
      <c r="V700" s="14">
        <v>1265</v>
      </c>
      <c r="W700" s="12">
        <v>0</v>
      </c>
      <c r="X700" s="12">
        <v>0</v>
      </c>
      <c r="Y700" s="12">
        <v>7</v>
      </c>
      <c r="Z700" s="12">
        <v>31.759999999999998</v>
      </c>
      <c r="AA700" s="12">
        <v>0</v>
      </c>
      <c r="AB700" s="13">
        <f t="shared" si="41"/>
        <v>0</v>
      </c>
      <c r="AE700" s="12">
        <v>0</v>
      </c>
      <c r="AF700" s="12">
        <v>0</v>
      </c>
      <c r="AG700" s="12">
        <v>7</v>
      </c>
      <c r="AH700" s="12">
        <v>31.759999999999998</v>
      </c>
      <c r="AI700" s="12">
        <v>0</v>
      </c>
      <c r="AJ700" s="13">
        <f t="shared" si="42"/>
        <v>0</v>
      </c>
      <c r="AN700" s="12">
        <f t="shared" si="43"/>
        <v>49032</v>
      </c>
      <c r="AQ700" s="8" t="s">
        <v>420</v>
      </c>
      <c r="AR700" t="str">
        <f t="shared" si="44"/>
        <v>Campos Gerais - A06</v>
      </c>
    </row>
    <row r="701" spans="1:44" x14ac:dyDescent="0.2">
      <c r="A701" s="107" t="s">
        <v>3906</v>
      </c>
      <c r="B701" s="106" t="s">
        <v>3905</v>
      </c>
      <c r="C701" s="106" t="s">
        <v>3898</v>
      </c>
      <c r="D701" s="106" t="s">
        <v>3904</v>
      </c>
      <c r="E701" s="106" t="s">
        <v>3903</v>
      </c>
      <c r="F701" s="106" t="s">
        <v>590</v>
      </c>
      <c r="G701" s="106" t="s">
        <v>3902</v>
      </c>
      <c r="H701" s="105" t="s">
        <v>3901</v>
      </c>
      <c r="I701" s="105" t="s">
        <v>3895</v>
      </c>
      <c r="J701" s="104">
        <v>1.9</v>
      </c>
      <c r="K701" s="103" t="s">
        <v>426</v>
      </c>
      <c r="L701" s="102" t="s">
        <v>577</v>
      </c>
      <c r="M701" s="95"/>
      <c r="N701" s="14"/>
      <c r="O701" s="94">
        <v>11</v>
      </c>
      <c r="P701" s="14" t="s">
        <v>586</v>
      </c>
      <c r="Q701" s="14" t="s">
        <v>497</v>
      </c>
      <c r="R701" s="14" t="s">
        <v>496</v>
      </c>
      <c r="S701" s="15">
        <v>9.1999999999999993</v>
      </c>
      <c r="T701" s="15">
        <v>0</v>
      </c>
      <c r="U701" s="15">
        <v>0</v>
      </c>
      <c r="V701" s="14">
        <v>555</v>
      </c>
      <c r="W701" s="12">
        <v>0</v>
      </c>
      <c r="X701" s="12">
        <v>0</v>
      </c>
      <c r="Y701" s="12">
        <v>0</v>
      </c>
      <c r="Z701" s="12">
        <v>1.9</v>
      </c>
      <c r="AA701" s="12">
        <v>0</v>
      </c>
      <c r="AB701" s="13">
        <f t="shared" si="41"/>
        <v>0</v>
      </c>
      <c r="AE701" s="12">
        <v>0</v>
      </c>
      <c r="AF701" s="12">
        <v>0</v>
      </c>
      <c r="AG701" s="12">
        <v>0</v>
      </c>
      <c r="AH701" s="12">
        <v>1.9</v>
      </c>
      <c r="AI701" s="12">
        <v>0</v>
      </c>
      <c r="AJ701" s="13">
        <f t="shared" si="42"/>
        <v>0</v>
      </c>
      <c r="AN701" s="12">
        <f t="shared" si="43"/>
        <v>1055</v>
      </c>
      <c r="AQ701" s="8" t="s">
        <v>420</v>
      </c>
      <c r="AR701" t="str">
        <f t="shared" si="44"/>
        <v>Campos Gerais - A06</v>
      </c>
    </row>
    <row r="702" spans="1:44" x14ac:dyDescent="0.2">
      <c r="A702" s="107" t="s">
        <v>3900</v>
      </c>
      <c r="B702" s="106" t="s">
        <v>3899</v>
      </c>
      <c r="C702" s="106" t="s">
        <v>3898</v>
      </c>
      <c r="D702" s="106" t="s">
        <v>989</v>
      </c>
      <c r="E702" s="106" t="s">
        <v>3897</v>
      </c>
      <c r="F702" s="106" t="s">
        <v>490</v>
      </c>
      <c r="G702" s="106" t="s">
        <v>3896</v>
      </c>
      <c r="H702" s="105" t="s">
        <v>3895</v>
      </c>
      <c r="I702" s="105" t="s">
        <v>3894</v>
      </c>
      <c r="J702" s="104">
        <v>4.8899999999999997</v>
      </c>
      <c r="K702" s="103" t="s">
        <v>426</v>
      </c>
      <c r="L702" s="102" t="s">
        <v>577</v>
      </c>
      <c r="M702" s="95"/>
      <c r="N702" s="14"/>
      <c r="O702" s="94">
        <v>11</v>
      </c>
      <c r="P702" s="14" t="s">
        <v>485</v>
      </c>
      <c r="Q702" s="14" t="s">
        <v>497</v>
      </c>
      <c r="R702" s="14" t="s">
        <v>496</v>
      </c>
      <c r="S702" s="15">
        <v>6.6</v>
      </c>
      <c r="T702" s="15">
        <v>0.4</v>
      </c>
      <c r="U702" s="15">
        <v>0</v>
      </c>
      <c r="V702" s="14">
        <v>1265</v>
      </c>
      <c r="W702" s="12">
        <v>0</v>
      </c>
      <c r="X702" s="12">
        <v>0</v>
      </c>
      <c r="Y702" s="12">
        <v>3</v>
      </c>
      <c r="Z702" s="12">
        <v>1.8899999999999997</v>
      </c>
      <c r="AA702" s="12">
        <v>0</v>
      </c>
      <c r="AB702" s="13">
        <f t="shared" si="41"/>
        <v>0</v>
      </c>
      <c r="AE702" s="12">
        <v>0</v>
      </c>
      <c r="AF702" s="12">
        <v>0</v>
      </c>
      <c r="AG702" s="12">
        <v>3</v>
      </c>
      <c r="AH702" s="12">
        <v>1.8899999999999997</v>
      </c>
      <c r="AI702" s="12">
        <v>0</v>
      </c>
      <c r="AJ702" s="13">
        <f t="shared" si="42"/>
        <v>0</v>
      </c>
      <c r="AN702" s="12">
        <f t="shared" si="43"/>
        <v>6186</v>
      </c>
      <c r="AQ702" s="8" t="s">
        <v>420</v>
      </c>
      <c r="AR702" t="str">
        <f t="shared" si="44"/>
        <v>Campos Gerais - A06</v>
      </c>
    </row>
    <row r="703" spans="1:44" x14ac:dyDescent="0.2">
      <c r="A703" s="107" t="s">
        <v>3893</v>
      </c>
      <c r="B703" s="106" t="s">
        <v>3892</v>
      </c>
      <c r="C703" s="106" t="s">
        <v>3860</v>
      </c>
      <c r="D703" s="106" t="s">
        <v>513</v>
      </c>
      <c r="E703" s="106" t="s">
        <v>3859</v>
      </c>
      <c r="F703" s="106" t="s">
        <v>490</v>
      </c>
      <c r="G703" s="106" t="s">
        <v>3891</v>
      </c>
      <c r="H703" s="105" t="s">
        <v>3890</v>
      </c>
      <c r="I703" s="105" t="s">
        <v>3885</v>
      </c>
      <c r="J703" s="104">
        <v>16.5</v>
      </c>
      <c r="K703" s="103" t="s">
        <v>422</v>
      </c>
      <c r="L703" s="102" t="s">
        <v>533</v>
      </c>
      <c r="M703" s="95"/>
      <c r="N703" s="14"/>
      <c r="O703" s="94">
        <v>24</v>
      </c>
      <c r="P703" s="14" t="s">
        <v>485</v>
      </c>
      <c r="Q703" s="14" t="s">
        <v>3889</v>
      </c>
      <c r="R703" s="14" t="s">
        <v>1228</v>
      </c>
      <c r="S703" s="15" t="s">
        <v>1228</v>
      </c>
      <c r="T703" s="15">
        <v>1.1000000000000001</v>
      </c>
      <c r="U703" s="15">
        <v>0</v>
      </c>
      <c r="V703" s="14">
        <v>420</v>
      </c>
      <c r="W703" s="12">
        <v>12</v>
      </c>
      <c r="X703" s="12">
        <v>0</v>
      </c>
      <c r="Y703" s="12">
        <v>2</v>
      </c>
      <c r="Z703" s="12">
        <v>2.5</v>
      </c>
      <c r="AA703" s="12">
        <v>0</v>
      </c>
      <c r="AB703" s="13">
        <f t="shared" si="41"/>
        <v>0</v>
      </c>
      <c r="AE703" s="12">
        <v>12</v>
      </c>
      <c r="AF703" s="12">
        <v>0</v>
      </c>
      <c r="AG703" s="12">
        <v>2</v>
      </c>
      <c r="AH703" s="12">
        <v>2.5</v>
      </c>
      <c r="AI703" s="12">
        <v>0</v>
      </c>
      <c r="AJ703" s="13">
        <f t="shared" si="42"/>
        <v>0</v>
      </c>
      <c r="AN703" s="12">
        <f t="shared" si="43"/>
        <v>6930</v>
      </c>
      <c r="AQ703" s="8" t="s">
        <v>418</v>
      </c>
      <c r="AR703" t="str">
        <f t="shared" si="44"/>
        <v>Noroeste - A02</v>
      </c>
    </row>
    <row r="704" spans="1:44" x14ac:dyDescent="0.2">
      <c r="A704" s="107" t="s">
        <v>3888</v>
      </c>
      <c r="B704" s="106" t="s">
        <v>3887</v>
      </c>
      <c r="C704" s="106" t="s">
        <v>3860</v>
      </c>
      <c r="D704" s="106" t="s">
        <v>981</v>
      </c>
      <c r="E704" s="106" t="s">
        <v>3859</v>
      </c>
      <c r="F704" s="106" t="s">
        <v>490</v>
      </c>
      <c r="G704" s="106" t="s">
        <v>3886</v>
      </c>
      <c r="H704" s="105" t="s">
        <v>3885</v>
      </c>
      <c r="I704" s="105" t="s">
        <v>3881</v>
      </c>
      <c r="J704" s="104">
        <v>15.36</v>
      </c>
      <c r="K704" s="103" t="s">
        <v>422</v>
      </c>
      <c r="L704" s="102" t="s">
        <v>533</v>
      </c>
      <c r="M704" s="95"/>
      <c r="N704" s="14"/>
      <c r="O704" s="94">
        <v>24</v>
      </c>
      <c r="P704" s="14" t="s">
        <v>485</v>
      </c>
      <c r="Q704" s="14" t="s">
        <v>497</v>
      </c>
      <c r="R704" s="14" t="s">
        <v>496</v>
      </c>
      <c r="S704" s="15">
        <v>7.2</v>
      </c>
      <c r="T704" s="15">
        <v>1.2</v>
      </c>
      <c r="U704" s="15">
        <v>0</v>
      </c>
      <c r="V704" s="14">
        <v>420</v>
      </c>
      <c r="W704" s="12">
        <v>0</v>
      </c>
      <c r="X704" s="12">
        <v>0</v>
      </c>
      <c r="Y704" s="12">
        <v>0</v>
      </c>
      <c r="Z704" s="12">
        <v>15.36</v>
      </c>
      <c r="AA704" s="12">
        <v>0</v>
      </c>
      <c r="AB704" s="13">
        <f t="shared" si="41"/>
        <v>0</v>
      </c>
      <c r="AE704" s="12">
        <v>0</v>
      </c>
      <c r="AF704" s="12">
        <v>0</v>
      </c>
      <c r="AG704" s="12">
        <v>0</v>
      </c>
      <c r="AH704" s="12">
        <v>15.36</v>
      </c>
      <c r="AI704" s="12">
        <v>0</v>
      </c>
      <c r="AJ704" s="13">
        <f t="shared" si="42"/>
        <v>0</v>
      </c>
      <c r="AN704" s="12">
        <f t="shared" si="43"/>
        <v>6452</v>
      </c>
      <c r="AQ704" s="8" t="s">
        <v>418</v>
      </c>
      <c r="AR704" t="str">
        <f t="shared" si="44"/>
        <v>Noroeste - A02</v>
      </c>
    </row>
    <row r="705" spans="1:44" x14ac:dyDescent="0.2">
      <c r="A705" s="107" t="s">
        <v>3884</v>
      </c>
      <c r="B705" s="106" t="s">
        <v>3883</v>
      </c>
      <c r="C705" s="106" t="s">
        <v>3860</v>
      </c>
      <c r="D705" s="106" t="s">
        <v>1304</v>
      </c>
      <c r="E705" s="106" t="s">
        <v>3859</v>
      </c>
      <c r="F705" s="106" t="s">
        <v>490</v>
      </c>
      <c r="G705" s="106" t="s">
        <v>3882</v>
      </c>
      <c r="H705" s="105" t="s">
        <v>3881</v>
      </c>
      <c r="I705" s="105" t="s">
        <v>3880</v>
      </c>
      <c r="J705" s="104">
        <v>2.17</v>
      </c>
      <c r="K705" s="103" t="s">
        <v>422</v>
      </c>
      <c r="L705" s="102" t="s">
        <v>533</v>
      </c>
      <c r="M705" s="95"/>
      <c r="N705" s="14"/>
      <c r="O705" s="94">
        <v>24</v>
      </c>
      <c r="P705" s="14" t="s">
        <v>485</v>
      </c>
      <c r="Q705" s="14" t="s">
        <v>497</v>
      </c>
      <c r="R705" s="14" t="s">
        <v>496</v>
      </c>
      <c r="S705" s="15">
        <v>7.2</v>
      </c>
      <c r="T705" s="15">
        <v>1.2</v>
      </c>
      <c r="U705" s="15">
        <v>0</v>
      </c>
      <c r="V705" s="14">
        <v>420</v>
      </c>
      <c r="W705" s="12">
        <v>0</v>
      </c>
      <c r="X705" s="12">
        <v>0</v>
      </c>
      <c r="Y705" s="12">
        <v>0</v>
      </c>
      <c r="Z705" s="12">
        <v>2.17</v>
      </c>
      <c r="AA705" s="12">
        <v>0</v>
      </c>
      <c r="AB705" s="13">
        <f t="shared" si="41"/>
        <v>0</v>
      </c>
      <c r="AE705" s="12">
        <v>0</v>
      </c>
      <c r="AF705" s="12">
        <v>0</v>
      </c>
      <c r="AG705" s="12">
        <v>0</v>
      </c>
      <c r="AH705" s="12">
        <v>2.17</v>
      </c>
      <c r="AI705" s="12">
        <v>0</v>
      </c>
      <c r="AJ705" s="13">
        <f t="shared" si="42"/>
        <v>0</v>
      </c>
      <c r="AN705" s="12">
        <f t="shared" si="43"/>
        <v>912</v>
      </c>
      <c r="AQ705" s="8" t="s">
        <v>418</v>
      </c>
      <c r="AR705" t="str">
        <f t="shared" si="44"/>
        <v>Noroeste - A02</v>
      </c>
    </row>
    <row r="706" spans="1:44" x14ac:dyDescent="0.2">
      <c r="A706" s="107" t="s">
        <v>3879</v>
      </c>
      <c r="B706" s="106" t="s">
        <v>3878</v>
      </c>
      <c r="C706" s="106" t="s">
        <v>3860</v>
      </c>
      <c r="D706" s="106" t="s">
        <v>1269</v>
      </c>
      <c r="E706" s="106" t="s">
        <v>3859</v>
      </c>
      <c r="F706" s="106" t="s">
        <v>490</v>
      </c>
      <c r="G706" s="106" t="s">
        <v>3877</v>
      </c>
      <c r="H706" s="105" t="s">
        <v>3876</v>
      </c>
      <c r="I706" s="105" t="s">
        <v>3875</v>
      </c>
      <c r="J706" s="104">
        <v>0.75</v>
      </c>
      <c r="K706" s="103" t="s">
        <v>422</v>
      </c>
      <c r="L706" s="102" t="s">
        <v>533</v>
      </c>
      <c r="M706" s="95"/>
      <c r="N706" s="14"/>
      <c r="O706" s="94">
        <v>24</v>
      </c>
      <c r="P706" s="14" t="s">
        <v>485</v>
      </c>
      <c r="Q706" s="14" t="s">
        <v>497</v>
      </c>
      <c r="R706" s="14" t="s">
        <v>496</v>
      </c>
      <c r="S706" s="15">
        <v>7.35</v>
      </c>
      <c r="T706" s="15">
        <v>1</v>
      </c>
      <c r="U706" s="15">
        <v>0</v>
      </c>
      <c r="V706" s="14">
        <v>3260</v>
      </c>
      <c r="W706" s="12">
        <v>0</v>
      </c>
      <c r="X706" s="12">
        <v>0</v>
      </c>
      <c r="Y706" s="12">
        <v>0</v>
      </c>
      <c r="Z706" s="12">
        <v>0.75</v>
      </c>
      <c r="AA706" s="12">
        <v>0</v>
      </c>
      <c r="AB706" s="13">
        <f t="shared" si="41"/>
        <v>0</v>
      </c>
      <c r="AE706" s="12">
        <v>0</v>
      </c>
      <c r="AF706" s="12">
        <v>0</v>
      </c>
      <c r="AG706" s="12">
        <v>0</v>
      </c>
      <c r="AH706" s="12">
        <v>0.75</v>
      </c>
      <c r="AI706" s="12">
        <v>0</v>
      </c>
      <c r="AJ706" s="13">
        <f t="shared" si="42"/>
        <v>0</v>
      </c>
      <c r="AN706" s="12">
        <f t="shared" si="43"/>
        <v>2445</v>
      </c>
      <c r="AQ706" s="8" t="s">
        <v>418</v>
      </c>
      <c r="AR706" t="str">
        <f t="shared" si="44"/>
        <v>Noroeste - A02</v>
      </c>
    </row>
    <row r="707" spans="1:44" x14ac:dyDescent="0.2">
      <c r="A707" s="107" t="s">
        <v>3874</v>
      </c>
      <c r="B707" s="106" t="s">
        <v>3873</v>
      </c>
      <c r="C707" s="106" t="s">
        <v>3860</v>
      </c>
      <c r="D707" s="106" t="s">
        <v>1820</v>
      </c>
      <c r="E707" s="106" t="s">
        <v>3872</v>
      </c>
      <c r="F707" s="106" t="s">
        <v>606</v>
      </c>
      <c r="G707" s="106" t="s">
        <v>3871</v>
      </c>
      <c r="H707" s="105" t="s">
        <v>979</v>
      </c>
      <c r="I707" s="105" t="s">
        <v>3863</v>
      </c>
      <c r="J707" s="104">
        <v>0.55000000000000004</v>
      </c>
      <c r="K707" s="103" t="s">
        <v>422</v>
      </c>
      <c r="L707" s="102" t="s">
        <v>533</v>
      </c>
      <c r="M707" s="95"/>
      <c r="N707" s="14"/>
      <c r="O707" s="94">
        <v>24</v>
      </c>
      <c r="P707" s="14" t="s">
        <v>596</v>
      </c>
      <c r="Q707" s="14" t="s">
        <v>497</v>
      </c>
      <c r="R707" s="14" t="s">
        <v>496</v>
      </c>
      <c r="S707" s="15">
        <v>6.36</v>
      </c>
      <c r="T707" s="15">
        <v>1</v>
      </c>
      <c r="U707" s="15">
        <v>0</v>
      </c>
      <c r="V707" s="14">
        <v>2532</v>
      </c>
      <c r="W707" s="12">
        <v>0</v>
      </c>
      <c r="X707" s="12">
        <v>0</v>
      </c>
      <c r="Y707" s="12">
        <v>0</v>
      </c>
      <c r="Z707" s="12">
        <v>0.55000000000000004</v>
      </c>
      <c r="AA707" s="12">
        <v>0</v>
      </c>
      <c r="AB707" s="13">
        <f t="shared" si="41"/>
        <v>0</v>
      </c>
      <c r="AE707" s="12">
        <v>0</v>
      </c>
      <c r="AF707" s="12">
        <v>0</v>
      </c>
      <c r="AG707" s="12">
        <v>0</v>
      </c>
      <c r="AH707" s="12">
        <v>0.55000000000000004</v>
      </c>
      <c r="AI707" s="12">
        <v>0</v>
      </c>
      <c r="AJ707" s="13">
        <f t="shared" si="42"/>
        <v>0</v>
      </c>
      <c r="AN707" s="12">
        <f t="shared" si="43"/>
        <v>1393</v>
      </c>
      <c r="AQ707" s="8" t="s">
        <v>418</v>
      </c>
      <c r="AR707" t="str">
        <f t="shared" si="44"/>
        <v>Noroeste - A02</v>
      </c>
    </row>
    <row r="708" spans="1:44" x14ac:dyDescent="0.2">
      <c r="A708" s="107" t="s">
        <v>3870</v>
      </c>
      <c r="B708" s="106" t="s">
        <v>3869</v>
      </c>
      <c r="C708" s="106" t="s">
        <v>3860</v>
      </c>
      <c r="D708" s="106" t="s">
        <v>1820</v>
      </c>
      <c r="E708" s="106" t="s">
        <v>3868</v>
      </c>
      <c r="F708" s="106" t="s">
        <v>600</v>
      </c>
      <c r="G708" s="106" t="s">
        <v>3867</v>
      </c>
      <c r="H708" s="105" t="s">
        <v>979</v>
      </c>
      <c r="I708" s="105" t="s">
        <v>3863</v>
      </c>
      <c r="J708" s="104">
        <v>0.55000000000000004</v>
      </c>
      <c r="K708" s="103" t="s">
        <v>422</v>
      </c>
      <c r="L708" s="102" t="s">
        <v>533</v>
      </c>
      <c r="M708" s="95"/>
      <c r="N708" s="14"/>
      <c r="O708" s="94">
        <v>24</v>
      </c>
      <c r="P708" s="14" t="s">
        <v>596</v>
      </c>
      <c r="Q708" s="14" t="s">
        <v>497</v>
      </c>
      <c r="R708" s="14" t="s">
        <v>496</v>
      </c>
      <c r="S708" s="15">
        <v>6.3599999999999994</v>
      </c>
      <c r="T708" s="15">
        <v>1</v>
      </c>
      <c r="U708" s="15">
        <v>0</v>
      </c>
      <c r="V708" s="14">
        <v>2532</v>
      </c>
      <c r="W708" s="12">
        <v>0</v>
      </c>
      <c r="X708" s="12">
        <v>0</v>
      </c>
      <c r="Y708" s="12">
        <v>0</v>
      </c>
      <c r="Z708" s="12">
        <v>0.55000000000000004</v>
      </c>
      <c r="AA708" s="12">
        <v>0</v>
      </c>
      <c r="AB708" s="13">
        <f t="shared" si="41"/>
        <v>0</v>
      </c>
      <c r="AE708" s="12">
        <v>0</v>
      </c>
      <c r="AF708" s="12">
        <v>0</v>
      </c>
      <c r="AG708" s="12">
        <v>0</v>
      </c>
      <c r="AH708" s="12">
        <v>0.55000000000000004</v>
      </c>
      <c r="AI708" s="12">
        <v>0</v>
      </c>
      <c r="AJ708" s="13">
        <f t="shared" si="42"/>
        <v>0</v>
      </c>
      <c r="AN708" s="12">
        <f t="shared" si="43"/>
        <v>1393</v>
      </c>
      <c r="AQ708" s="8" t="s">
        <v>418</v>
      </c>
      <c r="AR708" t="str">
        <f t="shared" si="44"/>
        <v>Noroeste - A02</v>
      </c>
    </row>
    <row r="709" spans="1:44" x14ac:dyDescent="0.2">
      <c r="A709" s="107" t="s">
        <v>3866</v>
      </c>
      <c r="B709" s="106" t="s">
        <v>3865</v>
      </c>
      <c r="C709" s="106" t="s">
        <v>3860</v>
      </c>
      <c r="D709" s="106" t="s">
        <v>1263</v>
      </c>
      <c r="E709" s="106" t="s">
        <v>3859</v>
      </c>
      <c r="F709" s="106" t="s">
        <v>490</v>
      </c>
      <c r="G709" s="106" t="s">
        <v>3864</v>
      </c>
      <c r="H709" s="105" t="s">
        <v>3863</v>
      </c>
      <c r="I709" s="105" t="s">
        <v>1288</v>
      </c>
      <c r="J709" s="104">
        <v>7.13</v>
      </c>
      <c r="K709" s="103" t="s">
        <v>422</v>
      </c>
      <c r="L709" s="102" t="s">
        <v>533</v>
      </c>
      <c r="M709" s="95"/>
      <c r="N709" s="14"/>
      <c r="O709" s="94">
        <v>24</v>
      </c>
      <c r="P709" s="14" t="s">
        <v>485</v>
      </c>
      <c r="Q709" s="14" t="s">
        <v>497</v>
      </c>
      <c r="R709" s="14" t="s">
        <v>496</v>
      </c>
      <c r="S709" s="15">
        <v>7.2714285714285722</v>
      </c>
      <c r="T709" s="15">
        <v>0.8</v>
      </c>
      <c r="U709" s="15">
        <v>0</v>
      </c>
      <c r="V709" s="14">
        <v>1088</v>
      </c>
      <c r="W709" s="12">
        <v>0</v>
      </c>
      <c r="X709" s="12">
        <v>0</v>
      </c>
      <c r="Y709" s="12">
        <v>0</v>
      </c>
      <c r="Z709" s="12">
        <v>7.13</v>
      </c>
      <c r="AA709" s="12">
        <v>0</v>
      </c>
      <c r="AB709" s="13">
        <f t="shared" si="41"/>
        <v>0</v>
      </c>
      <c r="AE709" s="12">
        <v>0</v>
      </c>
      <c r="AF709" s="12">
        <v>0</v>
      </c>
      <c r="AG709" s="12">
        <v>0</v>
      </c>
      <c r="AH709" s="12">
        <v>7.13</v>
      </c>
      <c r="AI709" s="12">
        <v>0</v>
      </c>
      <c r="AJ709" s="13">
        <f t="shared" si="42"/>
        <v>0</v>
      </c>
      <c r="AN709" s="12">
        <f t="shared" si="43"/>
        <v>7758</v>
      </c>
      <c r="AQ709" s="8" t="s">
        <v>418</v>
      </c>
      <c r="AR709" t="str">
        <f t="shared" si="44"/>
        <v>Noroeste - A02</v>
      </c>
    </row>
    <row r="710" spans="1:44" x14ac:dyDescent="0.2">
      <c r="A710" s="107" t="s">
        <v>3862</v>
      </c>
      <c r="B710" s="106" t="s">
        <v>3861</v>
      </c>
      <c r="C710" s="106" t="s">
        <v>3860</v>
      </c>
      <c r="D710" s="106" t="s">
        <v>965</v>
      </c>
      <c r="E710" s="106" t="s">
        <v>3859</v>
      </c>
      <c r="F710" s="106" t="s">
        <v>490</v>
      </c>
      <c r="G710" s="106" t="s">
        <v>3858</v>
      </c>
      <c r="H710" s="105" t="s">
        <v>1288</v>
      </c>
      <c r="I710" s="105" t="s">
        <v>3857</v>
      </c>
      <c r="J710" s="104">
        <v>3.01</v>
      </c>
      <c r="K710" s="103" t="s">
        <v>427</v>
      </c>
      <c r="L710" s="102" t="s">
        <v>486</v>
      </c>
      <c r="M710" s="95"/>
      <c r="N710" s="14"/>
      <c r="O710" s="94">
        <v>19</v>
      </c>
      <c r="P710" s="14" t="s">
        <v>485</v>
      </c>
      <c r="Q710" s="14" t="s">
        <v>497</v>
      </c>
      <c r="R710" s="14" t="s">
        <v>585</v>
      </c>
      <c r="S710" s="15">
        <v>7.2</v>
      </c>
      <c r="T710" s="15">
        <v>1.4</v>
      </c>
      <c r="U710" s="15">
        <v>0</v>
      </c>
      <c r="V710" s="14">
        <v>3274</v>
      </c>
      <c r="W710" s="12">
        <v>0</v>
      </c>
      <c r="X710" s="12">
        <v>0</v>
      </c>
      <c r="Y710" s="12">
        <v>0</v>
      </c>
      <c r="Z710" s="12">
        <v>3.01</v>
      </c>
      <c r="AA710" s="12">
        <v>0</v>
      </c>
      <c r="AB710" s="13">
        <f t="shared" ref="AB710:AB773" si="45">SUM(W710:AA710)-J710</f>
        <v>0</v>
      </c>
      <c r="AE710" s="12">
        <v>0</v>
      </c>
      <c r="AF710" s="12">
        <v>0</v>
      </c>
      <c r="AG710" s="12">
        <v>0</v>
      </c>
      <c r="AH710" s="12">
        <v>3.01</v>
      </c>
      <c r="AI710" s="12">
        <v>0</v>
      </c>
      <c r="AJ710" s="13">
        <f t="shared" ref="AJ710:AJ773" si="46">SUM(AE710:AI710)-J710</f>
        <v>0</v>
      </c>
      <c r="AN710" s="12">
        <f t="shared" ref="AN710:AN773" si="47">ROUNDUP(V710*J710,0)</f>
        <v>9855</v>
      </c>
      <c r="AQ710" s="8" t="s">
        <v>419</v>
      </c>
      <c r="AR710" t="str">
        <f t="shared" ref="AR710:AR773" si="48">AQ710&amp;" - "&amp;K710</f>
        <v>Norte - A07</v>
      </c>
    </row>
    <row r="711" spans="1:44" x14ac:dyDescent="0.2">
      <c r="A711" s="107" t="s">
        <v>3856</v>
      </c>
      <c r="B711" s="106" t="s">
        <v>3855</v>
      </c>
      <c r="C711" s="106" t="s">
        <v>3822</v>
      </c>
      <c r="D711" s="106" t="s">
        <v>592</v>
      </c>
      <c r="E711" s="106" t="s">
        <v>3821</v>
      </c>
      <c r="F711" s="106" t="s">
        <v>590</v>
      </c>
      <c r="G711" s="106" t="s">
        <v>3854</v>
      </c>
      <c r="H711" s="105" t="s">
        <v>3853</v>
      </c>
      <c r="I711" s="105" t="s">
        <v>3849</v>
      </c>
      <c r="J711" s="104">
        <v>0.41</v>
      </c>
      <c r="K711" s="103" t="s">
        <v>421</v>
      </c>
      <c r="L711" s="102" t="s">
        <v>533</v>
      </c>
      <c r="M711" s="95"/>
      <c r="N711" s="14"/>
      <c r="O711" s="94">
        <v>23</v>
      </c>
      <c r="P711" s="14" t="s">
        <v>586</v>
      </c>
      <c r="Q711" s="14" t="s">
        <v>561</v>
      </c>
      <c r="R711" s="14" t="s">
        <v>585</v>
      </c>
      <c r="S711" s="15">
        <v>9.9</v>
      </c>
      <c r="T711" s="15">
        <v>0</v>
      </c>
      <c r="U711" s="15">
        <v>0</v>
      </c>
      <c r="V711" s="14">
        <v>671</v>
      </c>
      <c r="W711" s="12">
        <v>0</v>
      </c>
      <c r="X711" s="12">
        <v>0</v>
      </c>
      <c r="Y711" s="12">
        <v>0</v>
      </c>
      <c r="Z711" s="12">
        <v>0.67</v>
      </c>
      <c r="AA711" s="12">
        <v>0</v>
      </c>
      <c r="AB711" s="13">
        <f t="shared" si="45"/>
        <v>0.26000000000000006</v>
      </c>
      <c r="AE711" s="12">
        <f>IF(W711=0,0,W711-$AB711)</f>
        <v>0</v>
      </c>
      <c r="AF711" s="12">
        <f>IF(X711=0,0,X711-$AB711)</f>
        <v>0</v>
      </c>
      <c r="AG711" s="12">
        <f>IF(Y711=0,0,Y711-$AB711)</f>
        <v>0</v>
      </c>
      <c r="AH711" s="12">
        <f>IF(Z711=0,0,Z711-$AB711)</f>
        <v>0.41</v>
      </c>
      <c r="AI711" s="12">
        <f>IF(AA711=0,0,AA711-$AB711)</f>
        <v>0</v>
      </c>
      <c r="AJ711" s="13">
        <f t="shared" si="46"/>
        <v>0</v>
      </c>
      <c r="AN711" s="12">
        <f t="shared" si="47"/>
        <v>276</v>
      </c>
      <c r="AQ711" s="8" t="s">
        <v>418</v>
      </c>
      <c r="AR711" t="str">
        <f t="shared" si="48"/>
        <v>Noroeste - A01</v>
      </c>
    </row>
    <row r="712" spans="1:44" x14ac:dyDescent="0.2">
      <c r="A712" s="107" t="s">
        <v>3852</v>
      </c>
      <c r="B712" s="106" t="s">
        <v>3851</v>
      </c>
      <c r="C712" s="106" t="s">
        <v>3822</v>
      </c>
      <c r="D712" s="106" t="s">
        <v>519</v>
      </c>
      <c r="E712" s="106" t="s">
        <v>3827</v>
      </c>
      <c r="F712" s="106" t="s">
        <v>490</v>
      </c>
      <c r="G712" s="106" t="s">
        <v>3850</v>
      </c>
      <c r="H712" s="105" t="s">
        <v>3849</v>
      </c>
      <c r="I712" s="105" t="s">
        <v>3845</v>
      </c>
      <c r="J712" s="104">
        <v>20.12</v>
      </c>
      <c r="K712" s="103" t="s">
        <v>421</v>
      </c>
      <c r="L712" s="102" t="s">
        <v>533</v>
      </c>
      <c r="M712" s="95"/>
      <c r="N712" s="14"/>
      <c r="O712" s="94">
        <v>23</v>
      </c>
      <c r="P712" s="14" t="s">
        <v>485</v>
      </c>
      <c r="Q712" s="14" t="s">
        <v>561</v>
      </c>
      <c r="R712" s="14" t="s">
        <v>585</v>
      </c>
      <c r="S712" s="15">
        <v>7.7714285714285722</v>
      </c>
      <c r="T712" s="15">
        <v>1</v>
      </c>
      <c r="U712" s="15">
        <v>0</v>
      </c>
      <c r="V712" s="14">
        <v>1130</v>
      </c>
      <c r="W712" s="12">
        <v>0</v>
      </c>
      <c r="X712" s="12">
        <v>0</v>
      </c>
      <c r="Y712" s="12">
        <v>0</v>
      </c>
      <c r="Z712" s="12">
        <v>20.123000000000001</v>
      </c>
      <c r="AA712" s="12">
        <v>0</v>
      </c>
      <c r="AB712" s="13">
        <f t="shared" si="45"/>
        <v>3.0000000000001137E-3</v>
      </c>
      <c r="AE712" s="12">
        <v>0</v>
      </c>
      <c r="AF712" s="12">
        <v>0</v>
      </c>
      <c r="AG712" s="12">
        <v>0</v>
      </c>
      <c r="AH712" s="12">
        <v>20.123000000000001</v>
      </c>
      <c r="AI712" s="12">
        <v>0</v>
      </c>
      <c r="AJ712" s="13">
        <f t="shared" si="46"/>
        <v>3.0000000000001137E-3</v>
      </c>
      <c r="AN712" s="12">
        <f t="shared" si="47"/>
        <v>22736</v>
      </c>
      <c r="AQ712" s="8" t="s">
        <v>418</v>
      </c>
      <c r="AR712" t="str">
        <f t="shared" si="48"/>
        <v>Noroeste - A01</v>
      </c>
    </row>
    <row r="713" spans="1:44" x14ac:dyDescent="0.2">
      <c r="A713" s="107" t="s">
        <v>3848</v>
      </c>
      <c r="B713" s="106" t="s">
        <v>3847</v>
      </c>
      <c r="C713" s="106" t="s">
        <v>3822</v>
      </c>
      <c r="D713" s="106" t="s">
        <v>1032</v>
      </c>
      <c r="E713" s="106" t="s">
        <v>3821</v>
      </c>
      <c r="F713" s="106" t="s">
        <v>590</v>
      </c>
      <c r="G713" s="106" t="s">
        <v>3846</v>
      </c>
      <c r="H713" s="105" t="s">
        <v>3845</v>
      </c>
      <c r="I713" s="105" t="s">
        <v>3841</v>
      </c>
      <c r="J713" s="104">
        <v>1.74</v>
      </c>
      <c r="K713" s="103" t="s">
        <v>421</v>
      </c>
      <c r="L713" s="102" t="s">
        <v>533</v>
      </c>
      <c r="M713" s="95"/>
      <c r="N713" s="14"/>
      <c r="O713" s="94">
        <v>23</v>
      </c>
      <c r="P713" s="14" t="s">
        <v>586</v>
      </c>
      <c r="Q713" s="14" t="s">
        <v>561</v>
      </c>
      <c r="R713" s="14" t="s">
        <v>585</v>
      </c>
      <c r="S713" s="15">
        <v>13.4</v>
      </c>
      <c r="T713" s="15">
        <v>0</v>
      </c>
      <c r="U713" s="15">
        <v>0</v>
      </c>
      <c r="V713" s="14">
        <v>671</v>
      </c>
      <c r="W713" s="12">
        <v>0</v>
      </c>
      <c r="X713" s="12">
        <v>0</v>
      </c>
      <c r="Y713" s="12">
        <v>0</v>
      </c>
      <c r="Z713" s="12">
        <v>1.74</v>
      </c>
      <c r="AA713" s="12">
        <v>0</v>
      </c>
      <c r="AB713" s="13">
        <f t="shared" si="45"/>
        <v>0</v>
      </c>
      <c r="AE713" s="12">
        <v>0</v>
      </c>
      <c r="AF713" s="12">
        <v>0</v>
      </c>
      <c r="AG713" s="12">
        <v>0</v>
      </c>
      <c r="AH713" s="12">
        <v>1.74</v>
      </c>
      <c r="AI713" s="12">
        <v>0</v>
      </c>
      <c r="AJ713" s="13">
        <f t="shared" si="46"/>
        <v>0</v>
      </c>
      <c r="AN713" s="12">
        <f t="shared" si="47"/>
        <v>1168</v>
      </c>
      <c r="AQ713" s="8" t="s">
        <v>418</v>
      </c>
      <c r="AR713" t="str">
        <f t="shared" si="48"/>
        <v>Noroeste - A01</v>
      </c>
    </row>
    <row r="714" spans="1:44" x14ac:dyDescent="0.2">
      <c r="A714" s="107" t="s">
        <v>3844</v>
      </c>
      <c r="B714" s="106" t="s">
        <v>3843</v>
      </c>
      <c r="C714" s="106" t="s">
        <v>3822</v>
      </c>
      <c r="D714" s="106" t="s">
        <v>989</v>
      </c>
      <c r="E714" s="106" t="s">
        <v>3827</v>
      </c>
      <c r="F714" s="106" t="s">
        <v>490</v>
      </c>
      <c r="G714" s="106" t="s">
        <v>3842</v>
      </c>
      <c r="H714" s="105" t="s">
        <v>3841</v>
      </c>
      <c r="I714" s="105" t="s">
        <v>3840</v>
      </c>
      <c r="J714" s="104">
        <v>1.86</v>
      </c>
      <c r="K714" s="103" t="s">
        <v>421</v>
      </c>
      <c r="L714" s="102" t="s">
        <v>533</v>
      </c>
      <c r="M714" s="95"/>
      <c r="N714" s="14"/>
      <c r="O714" s="94">
        <v>23</v>
      </c>
      <c r="P714" s="14" t="s">
        <v>485</v>
      </c>
      <c r="Q714" s="14" t="s">
        <v>561</v>
      </c>
      <c r="R714" s="14" t="s">
        <v>496</v>
      </c>
      <c r="S714" s="15">
        <v>7.3999999999999995</v>
      </c>
      <c r="T714" s="15">
        <v>1</v>
      </c>
      <c r="U714" s="15">
        <v>0</v>
      </c>
      <c r="V714" s="14">
        <v>1130</v>
      </c>
      <c r="W714" s="12">
        <v>0</v>
      </c>
      <c r="X714" s="12">
        <v>0</v>
      </c>
      <c r="Y714" s="12">
        <v>0</v>
      </c>
      <c r="Z714" s="12">
        <v>1.86</v>
      </c>
      <c r="AA714" s="12">
        <v>0</v>
      </c>
      <c r="AB714" s="13">
        <f t="shared" si="45"/>
        <v>0</v>
      </c>
      <c r="AE714" s="12">
        <v>0</v>
      </c>
      <c r="AF714" s="12">
        <v>0</v>
      </c>
      <c r="AG714" s="12">
        <v>0</v>
      </c>
      <c r="AH714" s="12">
        <v>1.86</v>
      </c>
      <c r="AI714" s="12">
        <v>0</v>
      </c>
      <c r="AJ714" s="13">
        <f t="shared" si="46"/>
        <v>0</v>
      </c>
      <c r="AN714" s="12">
        <f t="shared" si="47"/>
        <v>2102</v>
      </c>
      <c r="AQ714" s="8" t="s">
        <v>418</v>
      </c>
      <c r="AR714" t="str">
        <f t="shared" si="48"/>
        <v>Noroeste - A01</v>
      </c>
    </row>
    <row r="715" spans="1:44" x14ac:dyDescent="0.2">
      <c r="A715" s="107" t="s">
        <v>3839</v>
      </c>
      <c r="B715" s="106" t="s">
        <v>3838</v>
      </c>
      <c r="C715" s="106" t="s">
        <v>3822</v>
      </c>
      <c r="D715" s="106" t="s">
        <v>981</v>
      </c>
      <c r="E715" s="106" t="s">
        <v>3827</v>
      </c>
      <c r="F715" s="106" t="s">
        <v>490</v>
      </c>
      <c r="G715" s="106" t="s">
        <v>3837</v>
      </c>
      <c r="H715" s="105" t="s">
        <v>3836</v>
      </c>
      <c r="I715" s="105" t="s">
        <v>3618</v>
      </c>
      <c r="J715" s="104">
        <v>11.54</v>
      </c>
      <c r="K715" s="103" t="s">
        <v>421</v>
      </c>
      <c r="L715" s="102" t="s">
        <v>533</v>
      </c>
      <c r="M715" s="95"/>
      <c r="N715" s="14"/>
      <c r="O715" s="94">
        <v>23</v>
      </c>
      <c r="P715" s="14" t="s">
        <v>485</v>
      </c>
      <c r="Q715" s="14" t="s">
        <v>561</v>
      </c>
      <c r="R715" s="14" t="s">
        <v>1258</v>
      </c>
      <c r="S715" s="15">
        <v>7.1</v>
      </c>
      <c r="T715" s="15">
        <v>0</v>
      </c>
      <c r="U715" s="15">
        <v>0</v>
      </c>
      <c r="V715" s="14">
        <v>1838</v>
      </c>
      <c r="W715" s="12">
        <v>0</v>
      </c>
      <c r="X715" s="12">
        <v>0</v>
      </c>
      <c r="Y715" s="12">
        <v>0</v>
      </c>
      <c r="Z715" s="12">
        <v>11.54</v>
      </c>
      <c r="AA715" s="12">
        <v>0</v>
      </c>
      <c r="AB715" s="13">
        <f t="shared" si="45"/>
        <v>0</v>
      </c>
      <c r="AE715" s="12">
        <v>0</v>
      </c>
      <c r="AF715" s="12">
        <v>0</v>
      </c>
      <c r="AG715" s="12">
        <v>0</v>
      </c>
      <c r="AH715" s="12">
        <v>11.54</v>
      </c>
      <c r="AI715" s="12">
        <v>0</v>
      </c>
      <c r="AJ715" s="13">
        <f t="shared" si="46"/>
        <v>0</v>
      </c>
      <c r="AN715" s="12">
        <f t="shared" si="47"/>
        <v>21211</v>
      </c>
      <c r="AQ715" s="8" t="s">
        <v>418</v>
      </c>
      <c r="AR715" t="str">
        <f t="shared" si="48"/>
        <v>Noroeste - A01</v>
      </c>
    </row>
    <row r="716" spans="1:44" x14ac:dyDescent="0.2">
      <c r="A716" s="107" t="s">
        <v>3835</v>
      </c>
      <c r="B716" s="106" t="s">
        <v>3834</v>
      </c>
      <c r="C716" s="106" t="s">
        <v>3822</v>
      </c>
      <c r="D716" s="106" t="s">
        <v>975</v>
      </c>
      <c r="E716" s="106" t="s">
        <v>3827</v>
      </c>
      <c r="F716" s="106" t="s">
        <v>490</v>
      </c>
      <c r="G716" s="106" t="s">
        <v>3833</v>
      </c>
      <c r="H716" s="105" t="s">
        <v>3618</v>
      </c>
      <c r="I716" s="105" t="s">
        <v>3715</v>
      </c>
      <c r="J716" s="104">
        <v>5.25</v>
      </c>
      <c r="K716" s="103" t="s">
        <v>424</v>
      </c>
      <c r="L716" s="102" t="s">
        <v>533</v>
      </c>
      <c r="M716" s="95"/>
      <c r="N716" s="14"/>
      <c r="O716" s="94">
        <v>26</v>
      </c>
      <c r="P716" s="14" t="s">
        <v>485</v>
      </c>
      <c r="Q716" s="14" t="s">
        <v>561</v>
      </c>
      <c r="R716" s="14" t="s">
        <v>585</v>
      </c>
      <c r="S716" s="15">
        <v>7.2428571428571429</v>
      </c>
      <c r="T716" s="15">
        <v>1</v>
      </c>
      <c r="U716" s="15">
        <v>0</v>
      </c>
      <c r="V716" s="14">
        <v>1844</v>
      </c>
      <c r="W716" s="12">
        <v>0</v>
      </c>
      <c r="X716" s="12">
        <v>0</v>
      </c>
      <c r="Y716" s="12">
        <v>0</v>
      </c>
      <c r="Z716" s="12">
        <v>5.25</v>
      </c>
      <c r="AA716" s="12">
        <v>0</v>
      </c>
      <c r="AB716" s="13">
        <f t="shared" si="45"/>
        <v>0</v>
      </c>
      <c r="AE716" s="12">
        <v>0</v>
      </c>
      <c r="AF716" s="12">
        <v>0</v>
      </c>
      <c r="AG716" s="12">
        <v>0</v>
      </c>
      <c r="AH716" s="12">
        <v>5.25</v>
      </c>
      <c r="AI716" s="12">
        <v>0</v>
      </c>
      <c r="AJ716" s="13">
        <f t="shared" si="46"/>
        <v>0</v>
      </c>
      <c r="AN716" s="12">
        <f t="shared" si="47"/>
        <v>9681</v>
      </c>
      <c r="AQ716" s="8" t="s">
        <v>418</v>
      </c>
      <c r="AR716" t="str">
        <f t="shared" si="48"/>
        <v>Noroeste - A04</v>
      </c>
    </row>
    <row r="717" spans="1:44" x14ac:dyDescent="0.2">
      <c r="A717" s="107" t="s">
        <v>3832</v>
      </c>
      <c r="B717" s="106" t="s">
        <v>3831</v>
      </c>
      <c r="C717" s="106" t="s">
        <v>3822</v>
      </c>
      <c r="D717" s="106" t="s">
        <v>1284</v>
      </c>
      <c r="E717" s="106" t="s">
        <v>3821</v>
      </c>
      <c r="F717" s="106" t="s">
        <v>590</v>
      </c>
      <c r="G717" s="106" t="s">
        <v>3830</v>
      </c>
      <c r="H717" s="105" t="s">
        <v>3715</v>
      </c>
      <c r="I717" s="105" t="s">
        <v>3825</v>
      </c>
      <c r="J717" s="104">
        <v>0.63</v>
      </c>
      <c r="K717" s="103" t="s">
        <v>424</v>
      </c>
      <c r="L717" s="102" t="s">
        <v>533</v>
      </c>
      <c r="M717" s="95"/>
      <c r="N717" s="14"/>
      <c r="O717" s="94">
        <v>26</v>
      </c>
      <c r="P717" s="14" t="s">
        <v>586</v>
      </c>
      <c r="Q717" s="14" t="s">
        <v>561</v>
      </c>
      <c r="R717" s="14" t="s">
        <v>585</v>
      </c>
      <c r="S717" s="15">
        <v>9.5</v>
      </c>
      <c r="T717" s="15">
        <v>0</v>
      </c>
      <c r="U717" s="15">
        <v>0</v>
      </c>
      <c r="V717" s="14">
        <v>429</v>
      </c>
      <c r="W717" s="12">
        <v>0</v>
      </c>
      <c r="X717" s="12">
        <v>0</v>
      </c>
      <c r="Y717" s="12">
        <v>0</v>
      </c>
      <c r="Z717" s="12">
        <v>0.63</v>
      </c>
      <c r="AA717" s="12">
        <v>0</v>
      </c>
      <c r="AB717" s="13">
        <f t="shared" si="45"/>
        <v>0</v>
      </c>
      <c r="AE717" s="12">
        <v>0</v>
      </c>
      <c r="AF717" s="12">
        <v>0</v>
      </c>
      <c r="AG717" s="12">
        <v>0</v>
      </c>
      <c r="AH717" s="12">
        <v>0.63</v>
      </c>
      <c r="AI717" s="12">
        <v>0</v>
      </c>
      <c r="AJ717" s="13">
        <f t="shared" si="46"/>
        <v>0</v>
      </c>
      <c r="AN717" s="12">
        <f t="shared" si="47"/>
        <v>271</v>
      </c>
      <c r="AQ717" s="8" t="s">
        <v>418</v>
      </c>
      <c r="AR717" t="str">
        <f t="shared" si="48"/>
        <v>Noroeste - A04</v>
      </c>
    </row>
    <row r="718" spans="1:44" x14ac:dyDescent="0.2">
      <c r="A718" s="107" t="s">
        <v>3829</v>
      </c>
      <c r="B718" s="106" t="s">
        <v>3828</v>
      </c>
      <c r="C718" s="106" t="s">
        <v>3822</v>
      </c>
      <c r="D718" s="106" t="s">
        <v>1263</v>
      </c>
      <c r="E718" s="106" t="s">
        <v>3827</v>
      </c>
      <c r="F718" s="106" t="s">
        <v>490</v>
      </c>
      <c r="G718" s="106" t="s">
        <v>3826</v>
      </c>
      <c r="H718" s="105" t="s">
        <v>3825</v>
      </c>
      <c r="I718" s="105" t="s">
        <v>3819</v>
      </c>
      <c r="J718" s="104">
        <v>12.78</v>
      </c>
      <c r="K718" s="103" t="s">
        <v>424</v>
      </c>
      <c r="L718" s="102" t="s">
        <v>533</v>
      </c>
      <c r="M718" s="95"/>
      <c r="N718" s="14"/>
      <c r="O718" s="94">
        <v>26</v>
      </c>
      <c r="P718" s="14" t="s">
        <v>485</v>
      </c>
      <c r="Q718" s="14" t="s">
        <v>561</v>
      </c>
      <c r="R718" s="14" t="s">
        <v>585</v>
      </c>
      <c r="S718" s="15">
        <v>6.9857142857142858</v>
      </c>
      <c r="T718" s="15">
        <v>1</v>
      </c>
      <c r="U718" s="15">
        <v>0</v>
      </c>
      <c r="V718" s="14">
        <v>1114</v>
      </c>
      <c r="W718" s="12">
        <v>0</v>
      </c>
      <c r="X718" s="12">
        <v>0</v>
      </c>
      <c r="Y718" s="12">
        <v>0</v>
      </c>
      <c r="Z718" s="12">
        <v>12.78</v>
      </c>
      <c r="AA718" s="12">
        <v>0</v>
      </c>
      <c r="AB718" s="13">
        <f t="shared" si="45"/>
        <v>0</v>
      </c>
      <c r="AE718" s="12">
        <v>0</v>
      </c>
      <c r="AF718" s="12">
        <v>0</v>
      </c>
      <c r="AG718" s="12">
        <v>0</v>
      </c>
      <c r="AH718" s="12">
        <v>12.78</v>
      </c>
      <c r="AI718" s="12">
        <v>0</v>
      </c>
      <c r="AJ718" s="13">
        <f t="shared" si="46"/>
        <v>0</v>
      </c>
      <c r="AN718" s="12">
        <f t="shared" si="47"/>
        <v>14237</v>
      </c>
      <c r="AQ718" s="8" t="s">
        <v>418</v>
      </c>
      <c r="AR718" t="str">
        <f t="shared" si="48"/>
        <v>Noroeste - A04</v>
      </c>
    </row>
    <row r="719" spans="1:44" x14ac:dyDescent="0.2">
      <c r="A719" s="107" t="s">
        <v>3824</v>
      </c>
      <c r="B719" s="106" t="s">
        <v>3823</v>
      </c>
      <c r="C719" s="106" t="s">
        <v>3822</v>
      </c>
      <c r="D719" s="106" t="s">
        <v>2859</v>
      </c>
      <c r="E719" s="106" t="s">
        <v>3821</v>
      </c>
      <c r="F719" s="106" t="s">
        <v>590</v>
      </c>
      <c r="G719" s="106" t="s">
        <v>3820</v>
      </c>
      <c r="H719" s="105" t="s">
        <v>3819</v>
      </c>
      <c r="I719" s="105" t="s">
        <v>3818</v>
      </c>
      <c r="J719" s="104">
        <v>1.1000000000000001</v>
      </c>
      <c r="K719" s="103" t="s">
        <v>424</v>
      </c>
      <c r="L719" s="102" t="s">
        <v>533</v>
      </c>
      <c r="M719" s="95"/>
      <c r="N719" s="14"/>
      <c r="O719" s="94">
        <v>26</v>
      </c>
      <c r="P719" s="14" t="s">
        <v>586</v>
      </c>
      <c r="Q719" s="14" t="s">
        <v>561</v>
      </c>
      <c r="R719" s="14" t="s">
        <v>585</v>
      </c>
      <c r="S719" s="15">
        <v>12.2</v>
      </c>
      <c r="T719" s="15">
        <v>0</v>
      </c>
      <c r="U719" s="15">
        <v>0</v>
      </c>
      <c r="V719" s="14">
        <v>429</v>
      </c>
      <c r="W719" s="12">
        <v>0</v>
      </c>
      <c r="X719" s="12">
        <v>0</v>
      </c>
      <c r="Y719" s="12">
        <v>0</v>
      </c>
      <c r="Z719" s="12">
        <v>1.1000000000000001</v>
      </c>
      <c r="AA719" s="12">
        <v>0</v>
      </c>
      <c r="AB719" s="13">
        <f t="shared" si="45"/>
        <v>0</v>
      </c>
      <c r="AE719" s="12">
        <v>0</v>
      </c>
      <c r="AF719" s="12">
        <v>0</v>
      </c>
      <c r="AG719" s="12">
        <v>0</v>
      </c>
      <c r="AH719" s="12">
        <v>1.1000000000000001</v>
      </c>
      <c r="AI719" s="12">
        <v>0</v>
      </c>
      <c r="AJ719" s="13">
        <f t="shared" si="46"/>
        <v>0</v>
      </c>
      <c r="AN719" s="12">
        <f t="shared" si="47"/>
        <v>472</v>
      </c>
      <c r="AQ719" s="8" t="s">
        <v>418</v>
      </c>
      <c r="AR719" t="str">
        <f t="shared" si="48"/>
        <v>Noroeste - A04</v>
      </c>
    </row>
    <row r="720" spans="1:44" x14ac:dyDescent="0.2">
      <c r="A720" s="107" t="s">
        <v>3817</v>
      </c>
      <c r="B720" s="106" t="s">
        <v>3816</v>
      </c>
      <c r="C720" s="106" t="s">
        <v>3745</v>
      </c>
      <c r="D720" s="106" t="s">
        <v>751</v>
      </c>
      <c r="E720" s="106" t="s">
        <v>3744</v>
      </c>
      <c r="F720" s="106" t="s">
        <v>490</v>
      </c>
      <c r="G720" s="106" t="s">
        <v>3815</v>
      </c>
      <c r="H720" s="105" t="s">
        <v>1952</v>
      </c>
      <c r="I720" s="105" t="s">
        <v>3814</v>
      </c>
      <c r="J720" s="104">
        <v>1.48</v>
      </c>
      <c r="K720" s="103" t="s">
        <v>425</v>
      </c>
      <c r="L720" s="102" t="s">
        <v>577</v>
      </c>
      <c r="M720" s="95"/>
      <c r="N720" s="14"/>
      <c r="O720" s="94">
        <v>10</v>
      </c>
      <c r="P720" s="14" t="s">
        <v>485</v>
      </c>
      <c r="Q720" s="14" t="s">
        <v>497</v>
      </c>
      <c r="R720" s="14" t="s">
        <v>496</v>
      </c>
      <c r="S720" s="15">
        <v>7</v>
      </c>
      <c r="T720" s="15">
        <v>0</v>
      </c>
      <c r="U720" s="15">
        <v>0</v>
      </c>
      <c r="V720" s="14">
        <v>744</v>
      </c>
      <c r="W720" s="12">
        <v>0</v>
      </c>
      <c r="X720" s="12">
        <v>0.48</v>
      </c>
      <c r="Y720" s="12">
        <v>1</v>
      </c>
      <c r="Z720" s="12">
        <v>0</v>
      </c>
      <c r="AA720" s="12">
        <v>0</v>
      </c>
      <c r="AB720" s="13">
        <f t="shared" si="45"/>
        <v>0</v>
      </c>
      <c r="AE720" s="12">
        <v>0</v>
      </c>
      <c r="AF720" s="12">
        <v>0.48</v>
      </c>
      <c r="AG720" s="12">
        <v>1</v>
      </c>
      <c r="AH720" s="12">
        <v>0</v>
      </c>
      <c r="AI720" s="12">
        <v>0</v>
      </c>
      <c r="AJ720" s="13">
        <f t="shared" si="46"/>
        <v>0</v>
      </c>
      <c r="AN720" s="12">
        <f t="shared" si="47"/>
        <v>1102</v>
      </c>
      <c r="AQ720" s="8" t="s">
        <v>420</v>
      </c>
      <c r="AR720" t="str">
        <f t="shared" si="48"/>
        <v>Campos Gerais - A05</v>
      </c>
    </row>
    <row r="721" spans="1:44" x14ac:dyDescent="0.2">
      <c r="A721" s="107" t="s">
        <v>3813</v>
      </c>
      <c r="B721" s="106" t="s">
        <v>3812</v>
      </c>
      <c r="C721" s="106" t="s">
        <v>3745</v>
      </c>
      <c r="D721" s="106" t="s">
        <v>1367</v>
      </c>
      <c r="E721" s="106" t="s">
        <v>3811</v>
      </c>
      <c r="F721" s="106" t="s">
        <v>606</v>
      </c>
      <c r="G721" s="106" t="s">
        <v>3810</v>
      </c>
      <c r="H721" s="105" t="s">
        <v>979</v>
      </c>
      <c r="I721" s="105" t="s">
        <v>3805</v>
      </c>
      <c r="J721" s="104">
        <v>0.27</v>
      </c>
      <c r="K721" s="103" t="s">
        <v>425</v>
      </c>
      <c r="L721" s="102" t="s">
        <v>577</v>
      </c>
      <c r="M721" s="95"/>
      <c r="N721" s="14"/>
      <c r="O721" s="94">
        <v>10</v>
      </c>
      <c r="P721" s="14" t="s">
        <v>596</v>
      </c>
      <c r="Q721" s="14" t="s">
        <v>497</v>
      </c>
      <c r="R721" s="14" t="s">
        <v>496</v>
      </c>
      <c r="S721" s="15">
        <v>4</v>
      </c>
      <c r="T721" s="15">
        <v>0</v>
      </c>
      <c r="U721" s="15">
        <v>0</v>
      </c>
      <c r="V721" s="14">
        <v>934</v>
      </c>
      <c r="W721" s="12">
        <v>0</v>
      </c>
      <c r="X721" s="12">
        <v>0</v>
      </c>
      <c r="Y721" s="12">
        <v>0</v>
      </c>
      <c r="Z721" s="12">
        <v>0.27</v>
      </c>
      <c r="AA721" s="12">
        <v>0</v>
      </c>
      <c r="AB721" s="13">
        <f t="shared" si="45"/>
        <v>0</v>
      </c>
      <c r="AE721" s="12">
        <v>0</v>
      </c>
      <c r="AF721" s="12">
        <v>0</v>
      </c>
      <c r="AG721" s="12">
        <v>0</v>
      </c>
      <c r="AH721" s="12">
        <v>0.27</v>
      </c>
      <c r="AI721" s="12">
        <v>0</v>
      </c>
      <c r="AJ721" s="13">
        <f t="shared" si="46"/>
        <v>0</v>
      </c>
      <c r="AN721" s="12">
        <f t="shared" si="47"/>
        <v>253</v>
      </c>
      <c r="AQ721" s="8" t="s">
        <v>420</v>
      </c>
      <c r="AR721" t="str">
        <f t="shared" si="48"/>
        <v>Campos Gerais - A05</v>
      </c>
    </row>
    <row r="722" spans="1:44" x14ac:dyDescent="0.2">
      <c r="A722" s="107" t="s">
        <v>3809</v>
      </c>
      <c r="B722" s="106" t="s">
        <v>3808</v>
      </c>
      <c r="C722" s="106" t="s">
        <v>3745</v>
      </c>
      <c r="D722" s="106" t="s">
        <v>1367</v>
      </c>
      <c r="E722" s="106" t="s">
        <v>3807</v>
      </c>
      <c r="F722" s="106" t="s">
        <v>600</v>
      </c>
      <c r="G722" s="106" t="s">
        <v>3806</v>
      </c>
      <c r="H722" s="105" t="s">
        <v>979</v>
      </c>
      <c r="I722" s="105" t="s">
        <v>3805</v>
      </c>
      <c r="J722" s="104">
        <v>0.27</v>
      </c>
      <c r="K722" s="103" t="s">
        <v>425</v>
      </c>
      <c r="L722" s="102" t="s">
        <v>577</v>
      </c>
      <c r="M722" s="95"/>
      <c r="N722" s="14"/>
      <c r="O722" s="94">
        <v>10</v>
      </c>
      <c r="P722" s="14" t="s">
        <v>596</v>
      </c>
      <c r="Q722" s="14" t="s">
        <v>497</v>
      </c>
      <c r="R722" s="14" t="s">
        <v>496</v>
      </c>
      <c r="S722" s="15">
        <v>4</v>
      </c>
      <c r="T722" s="15">
        <v>0</v>
      </c>
      <c r="U722" s="15">
        <v>0</v>
      </c>
      <c r="V722" s="14">
        <v>934</v>
      </c>
      <c r="W722" s="12">
        <v>0</v>
      </c>
      <c r="X722" s="12">
        <v>0</v>
      </c>
      <c r="Y722" s="12">
        <v>0</v>
      </c>
      <c r="Z722" s="12">
        <v>0.27</v>
      </c>
      <c r="AA722" s="12">
        <v>0</v>
      </c>
      <c r="AB722" s="13">
        <f t="shared" si="45"/>
        <v>0</v>
      </c>
      <c r="AE722" s="12">
        <v>0</v>
      </c>
      <c r="AF722" s="12">
        <v>0</v>
      </c>
      <c r="AG722" s="12">
        <v>0</v>
      </c>
      <c r="AH722" s="12">
        <v>0.27</v>
      </c>
      <c r="AI722" s="12">
        <v>0</v>
      </c>
      <c r="AJ722" s="13">
        <f t="shared" si="46"/>
        <v>0</v>
      </c>
      <c r="AN722" s="12">
        <f t="shared" si="47"/>
        <v>253</v>
      </c>
      <c r="AQ722" s="8" t="s">
        <v>420</v>
      </c>
      <c r="AR722" t="str">
        <f t="shared" si="48"/>
        <v>Campos Gerais - A05</v>
      </c>
    </row>
    <row r="723" spans="1:44" x14ac:dyDescent="0.2">
      <c r="A723" s="107" t="s">
        <v>3804</v>
      </c>
      <c r="B723" s="106" t="s">
        <v>3803</v>
      </c>
      <c r="C723" s="106" t="s">
        <v>3745</v>
      </c>
      <c r="D723" s="106" t="s">
        <v>1503</v>
      </c>
      <c r="E723" s="106" t="s">
        <v>3744</v>
      </c>
      <c r="F723" s="106" t="s">
        <v>490</v>
      </c>
      <c r="G723" s="106" t="s">
        <v>3802</v>
      </c>
      <c r="H723" s="105" t="s">
        <v>1483</v>
      </c>
      <c r="I723" s="105" t="s">
        <v>3798</v>
      </c>
      <c r="J723" s="104">
        <v>0.6</v>
      </c>
      <c r="K723" s="103" t="s">
        <v>425</v>
      </c>
      <c r="L723" s="102" t="s">
        <v>577</v>
      </c>
      <c r="M723" s="95"/>
      <c r="N723" s="14"/>
      <c r="O723" s="94">
        <v>10</v>
      </c>
      <c r="P723" s="14" t="s">
        <v>485</v>
      </c>
      <c r="Q723" s="14" t="s">
        <v>497</v>
      </c>
      <c r="R723" s="14" t="s">
        <v>496</v>
      </c>
      <c r="S723" s="15">
        <v>8</v>
      </c>
      <c r="T723" s="15">
        <v>0</v>
      </c>
      <c r="U723" s="15">
        <v>0</v>
      </c>
      <c r="V723" s="14">
        <v>1196</v>
      </c>
      <c r="W723" s="12">
        <v>0</v>
      </c>
      <c r="X723" s="12">
        <v>0.6</v>
      </c>
      <c r="Y723" s="12">
        <v>0</v>
      </c>
      <c r="Z723" s="12">
        <v>0</v>
      </c>
      <c r="AA723" s="12">
        <v>0</v>
      </c>
      <c r="AB723" s="13">
        <f t="shared" si="45"/>
        <v>0</v>
      </c>
      <c r="AE723" s="12">
        <v>0</v>
      </c>
      <c r="AF723" s="12">
        <v>0.6</v>
      </c>
      <c r="AG723" s="12">
        <v>0</v>
      </c>
      <c r="AH723" s="12">
        <v>0</v>
      </c>
      <c r="AI723" s="12">
        <v>0</v>
      </c>
      <c r="AJ723" s="13">
        <f t="shared" si="46"/>
        <v>0</v>
      </c>
      <c r="AN723" s="12">
        <f t="shared" si="47"/>
        <v>718</v>
      </c>
      <c r="AQ723" s="8" t="s">
        <v>420</v>
      </c>
      <c r="AR723" t="str">
        <f t="shared" si="48"/>
        <v>Campos Gerais - A05</v>
      </c>
    </row>
    <row r="724" spans="1:44" x14ac:dyDescent="0.2">
      <c r="A724" s="107" t="s">
        <v>3801</v>
      </c>
      <c r="B724" s="106" t="s">
        <v>3800</v>
      </c>
      <c r="C724" s="106" t="s">
        <v>3745</v>
      </c>
      <c r="D724" s="106" t="s">
        <v>492</v>
      </c>
      <c r="E724" s="106" t="s">
        <v>3744</v>
      </c>
      <c r="F724" s="106" t="s">
        <v>490</v>
      </c>
      <c r="G724" s="106" t="s">
        <v>3799</v>
      </c>
      <c r="H724" s="105" t="s">
        <v>3798</v>
      </c>
      <c r="I724" s="105" t="s">
        <v>3794</v>
      </c>
      <c r="J724" s="104">
        <v>18.489999999999998</v>
      </c>
      <c r="K724" s="103" t="s">
        <v>425</v>
      </c>
      <c r="L724" s="102" t="s">
        <v>577</v>
      </c>
      <c r="M724" s="95"/>
      <c r="N724" s="14"/>
      <c r="O724" s="94">
        <v>10</v>
      </c>
      <c r="P724" s="14" t="s">
        <v>485</v>
      </c>
      <c r="Q724" s="14" t="s">
        <v>497</v>
      </c>
      <c r="R724" s="14" t="s">
        <v>496</v>
      </c>
      <c r="S724" s="15">
        <v>7</v>
      </c>
      <c r="T724" s="15">
        <v>0</v>
      </c>
      <c r="U724" s="15">
        <v>0</v>
      </c>
      <c r="V724" s="14">
        <v>1196</v>
      </c>
      <c r="W724" s="12">
        <v>0</v>
      </c>
      <c r="X724" s="12">
        <v>0</v>
      </c>
      <c r="Y724" s="12">
        <v>4</v>
      </c>
      <c r="Z724" s="12">
        <v>14.489999999999998</v>
      </c>
      <c r="AA724" s="12">
        <v>0</v>
      </c>
      <c r="AB724" s="13">
        <f t="shared" si="45"/>
        <v>0</v>
      </c>
      <c r="AE724" s="12">
        <v>0</v>
      </c>
      <c r="AF724" s="12">
        <v>0</v>
      </c>
      <c r="AG724" s="12">
        <v>4</v>
      </c>
      <c r="AH724" s="12">
        <v>14.489999999999998</v>
      </c>
      <c r="AI724" s="12">
        <v>0</v>
      </c>
      <c r="AJ724" s="13">
        <f t="shared" si="46"/>
        <v>0</v>
      </c>
      <c r="AN724" s="12">
        <f t="shared" si="47"/>
        <v>22115</v>
      </c>
      <c r="AQ724" s="8" t="s">
        <v>420</v>
      </c>
      <c r="AR724" t="str">
        <f t="shared" si="48"/>
        <v>Campos Gerais - A05</v>
      </c>
    </row>
    <row r="725" spans="1:44" x14ac:dyDescent="0.2">
      <c r="A725" s="107" t="s">
        <v>3797</v>
      </c>
      <c r="B725" s="106" t="s">
        <v>3796</v>
      </c>
      <c r="C725" s="106" t="s">
        <v>3745</v>
      </c>
      <c r="D725" s="106" t="s">
        <v>519</v>
      </c>
      <c r="E725" s="106" t="s">
        <v>3744</v>
      </c>
      <c r="F725" s="106" t="s">
        <v>490</v>
      </c>
      <c r="G725" s="106" t="s">
        <v>3795</v>
      </c>
      <c r="H725" s="105" t="s">
        <v>3794</v>
      </c>
      <c r="I725" s="105" t="s">
        <v>3790</v>
      </c>
      <c r="J725" s="104">
        <v>25.64</v>
      </c>
      <c r="K725" s="103" t="s">
        <v>425</v>
      </c>
      <c r="L725" s="102" t="s">
        <v>577</v>
      </c>
      <c r="M725" s="95"/>
      <c r="N725" s="14"/>
      <c r="O725" s="94">
        <v>10</v>
      </c>
      <c r="P725" s="14" t="s">
        <v>485</v>
      </c>
      <c r="Q725" s="14" t="s">
        <v>497</v>
      </c>
      <c r="R725" s="14" t="s">
        <v>496</v>
      </c>
      <c r="S725" s="15">
        <v>7</v>
      </c>
      <c r="T725" s="15">
        <v>0</v>
      </c>
      <c r="U725" s="15">
        <v>0</v>
      </c>
      <c r="V725" s="14">
        <v>384</v>
      </c>
      <c r="W725" s="12">
        <v>0</v>
      </c>
      <c r="X725" s="12">
        <v>0</v>
      </c>
      <c r="Y725" s="12">
        <v>2</v>
      </c>
      <c r="Z725" s="12">
        <v>23.64</v>
      </c>
      <c r="AA725" s="12">
        <v>0</v>
      </c>
      <c r="AB725" s="13">
        <f t="shared" si="45"/>
        <v>0</v>
      </c>
      <c r="AE725" s="12">
        <v>0</v>
      </c>
      <c r="AF725" s="12">
        <v>0</v>
      </c>
      <c r="AG725" s="12">
        <v>2</v>
      </c>
      <c r="AH725" s="12">
        <v>23.64</v>
      </c>
      <c r="AI725" s="12">
        <v>0</v>
      </c>
      <c r="AJ725" s="13">
        <f t="shared" si="46"/>
        <v>0</v>
      </c>
      <c r="AN725" s="12">
        <f t="shared" si="47"/>
        <v>9846</v>
      </c>
      <c r="AQ725" s="8" t="s">
        <v>420</v>
      </c>
      <c r="AR725" t="str">
        <f t="shared" si="48"/>
        <v>Campos Gerais - A05</v>
      </c>
    </row>
    <row r="726" spans="1:44" x14ac:dyDescent="0.2">
      <c r="A726" s="107" t="s">
        <v>3793</v>
      </c>
      <c r="B726" s="106" t="s">
        <v>3792</v>
      </c>
      <c r="C726" s="106" t="s">
        <v>3745</v>
      </c>
      <c r="D726" s="106" t="s">
        <v>2454</v>
      </c>
      <c r="E726" s="106" t="s">
        <v>3759</v>
      </c>
      <c r="F726" s="106" t="s">
        <v>590</v>
      </c>
      <c r="G726" s="106" t="s">
        <v>3791</v>
      </c>
      <c r="H726" s="105" t="s">
        <v>3790</v>
      </c>
      <c r="I726" s="105" t="s">
        <v>3786</v>
      </c>
      <c r="J726" s="104">
        <v>0.88</v>
      </c>
      <c r="K726" s="103" t="s">
        <v>425</v>
      </c>
      <c r="L726" s="102" t="s">
        <v>577</v>
      </c>
      <c r="M726" s="95"/>
      <c r="N726" s="14"/>
      <c r="O726" s="94">
        <v>10</v>
      </c>
      <c r="P726" s="14" t="s">
        <v>586</v>
      </c>
      <c r="Q726" s="14" t="s">
        <v>497</v>
      </c>
      <c r="R726" s="14" t="s">
        <v>496</v>
      </c>
      <c r="S726" s="15">
        <v>7.5</v>
      </c>
      <c r="T726" s="15">
        <v>0</v>
      </c>
      <c r="U726" s="15">
        <v>0</v>
      </c>
      <c r="V726" s="14">
        <v>100</v>
      </c>
      <c r="W726" s="12">
        <v>0</v>
      </c>
      <c r="X726" s="12">
        <v>0</v>
      </c>
      <c r="Y726" s="12">
        <v>0</v>
      </c>
      <c r="Z726" s="12">
        <v>1.37</v>
      </c>
      <c r="AA726" s="12">
        <v>0</v>
      </c>
      <c r="AB726" s="13">
        <f t="shared" si="45"/>
        <v>0.4900000000000001</v>
      </c>
      <c r="AE726" s="12">
        <f>IF(W726=0,0,W726-$AB726)</f>
        <v>0</v>
      </c>
      <c r="AF726" s="12">
        <f>IF(X726=0,0,X726-$AB726)</f>
        <v>0</v>
      </c>
      <c r="AG726" s="12">
        <f>IF(Y726=0,0,Y726-$AB726)</f>
        <v>0</v>
      </c>
      <c r="AH726" s="12">
        <f>IF(Z726=0,0,Z726-$AB726)</f>
        <v>0.88</v>
      </c>
      <c r="AI726" s="12">
        <f>IF(AA726=0,0,AA726-$AB726)</f>
        <v>0</v>
      </c>
      <c r="AJ726" s="13">
        <f t="shared" si="46"/>
        <v>0</v>
      </c>
      <c r="AN726" s="12">
        <f t="shared" si="47"/>
        <v>88</v>
      </c>
      <c r="AQ726" s="8" t="s">
        <v>420</v>
      </c>
      <c r="AR726" t="str">
        <f t="shared" si="48"/>
        <v>Campos Gerais - A05</v>
      </c>
    </row>
    <row r="727" spans="1:44" x14ac:dyDescent="0.2">
      <c r="A727" s="107" t="s">
        <v>3789</v>
      </c>
      <c r="B727" s="106" t="s">
        <v>3788</v>
      </c>
      <c r="C727" s="106" t="s">
        <v>3745</v>
      </c>
      <c r="D727" s="106" t="s">
        <v>2337</v>
      </c>
      <c r="E727" s="106" t="s">
        <v>3744</v>
      </c>
      <c r="F727" s="106" t="s">
        <v>490</v>
      </c>
      <c r="G727" s="106" t="s">
        <v>3787</v>
      </c>
      <c r="H727" s="105" t="s">
        <v>3786</v>
      </c>
      <c r="I727" s="105" t="s">
        <v>3782</v>
      </c>
      <c r="J727" s="104">
        <v>7.88</v>
      </c>
      <c r="K727" s="103" t="s">
        <v>425</v>
      </c>
      <c r="L727" s="102" t="s">
        <v>577</v>
      </c>
      <c r="M727" s="95"/>
      <c r="N727" s="14"/>
      <c r="O727" s="94">
        <v>10</v>
      </c>
      <c r="P727" s="14" t="s">
        <v>485</v>
      </c>
      <c r="Q727" s="14" t="s">
        <v>497</v>
      </c>
      <c r="R727" s="14" t="s">
        <v>496</v>
      </c>
      <c r="S727" s="15">
        <v>7</v>
      </c>
      <c r="T727" s="15">
        <v>0</v>
      </c>
      <c r="U727" s="15">
        <v>0</v>
      </c>
      <c r="V727" s="14">
        <v>1202</v>
      </c>
      <c r="W727" s="12">
        <v>0</v>
      </c>
      <c r="X727" s="12">
        <v>0</v>
      </c>
      <c r="Y727" s="12">
        <v>3</v>
      </c>
      <c r="Z727" s="12">
        <v>4.88</v>
      </c>
      <c r="AA727" s="12">
        <v>0</v>
      </c>
      <c r="AB727" s="13">
        <f t="shared" si="45"/>
        <v>0</v>
      </c>
      <c r="AE727" s="12">
        <v>0</v>
      </c>
      <c r="AF727" s="12">
        <v>0</v>
      </c>
      <c r="AG727" s="12">
        <v>3</v>
      </c>
      <c r="AH727" s="12">
        <v>4.88</v>
      </c>
      <c r="AI727" s="12">
        <v>0</v>
      </c>
      <c r="AJ727" s="13">
        <f t="shared" si="46"/>
        <v>0</v>
      </c>
      <c r="AN727" s="12">
        <f t="shared" si="47"/>
        <v>9472</v>
      </c>
      <c r="AQ727" s="8" t="s">
        <v>420</v>
      </c>
      <c r="AR727" t="str">
        <f t="shared" si="48"/>
        <v>Campos Gerais - A05</v>
      </c>
    </row>
    <row r="728" spans="1:44" x14ac:dyDescent="0.2">
      <c r="A728" s="107" t="s">
        <v>3785</v>
      </c>
      <c r="B728" s="106" t="s">
        <v>3784</v>
      </c>
      <c r="C728" s="106" t="s">
        <v>3745</v>
      </c>
      <c r="D728" s="106" t="s">
        <v>2332</v>
      </c>
      <c r="E728" s="106" t="s">
        <v>3744</v>
      </c>
      <c r="F728" s="106" t="s">
        <v>490</v>
      </c>
      <c r="G728" s="106" t="s">
        <v>3783</v>
      </c>
      <c r="H728" s="105" t="s">
        <v>3782</v>
      </c>
      <c r="I728" s="105" t="s">
        <v>3778</v>
      </c>
      <c r="J728" s="104">
        <v>0.98</v>
      </c>
      <c r="K728" s="103" t="s">
        <v>425</v>
      </c>
      <c r="L728" s="102" t="s">
        <v>577</v>
      </c>
      <c r="M728" s="95"/>
      <c r="N728" s="14"/>
      <c r="O728" s="94">
        <v>10</v>
      </c>
      <c r="P728" s="14" t="s">
        <v>485</v>
      </c>
      <c r="Q728" s="14" t="s">
        <v>497</v>
      </c>
      <c r="R728" s="14" t="s">
        <v>496</v>
      </c>
      <c r="S728" s="15">
        <v>7</v>
      </c>
      <c r="T728" s="15">
        <v>0</v>
      </c>
      <c r="U728" s="15">
        <v>0</v>
      </c>
      <c r="V728" s="14">
        <v>256</v>
      </c>
      <c r="W728" s="12">
        <v>0</v>
      </c>
      <c r="X728" s="12">
        <v>0</v>
      </c>
      <c r="Y728" s="12">
        <v>0</v>
      </c>
      <c r="Z728" s="12">
        <v>0.98</v>
      </c>
      <c r="AA728" s="12">
        <v>0</v>
      </c>
      <c r="AB728" s="13">
        <f t="shared" si="45"/>
        <v>0</v>
      </c>
      <c r="AE728" s="12">
        <v>0</v>
      </c>
      <c r="AF728" s="12">
        <v>0</v>
      </c>
      <c r="AG728" s="12">
        <v>0</v>
      </c>
      <c r="AH728" s="12">
        <v>0.98</v>
      </c>
      <c r="AI728" s="12">
        <v>0</v>
      </c>
      <c r="AJ728" s="13">
        <f t="shared" si="46"/>
        <v>0</v>
      </c>
      <c r="AN728" s="12">
        <f t="shared" si="47"/>
        <v>251</v>
      </c>
      <c r="AQ728" s="8" t="s">
        <v>420</v>
      </c>
      <c r="AR728" t="str">
        <f t="shared" si="48"/>
        <v>Campos Gerais - A05</v>
      </c>
    </row>
    <row r="729" spans="1:44" x14ac:dyDescent="0.2">
      <c r="A729" s="107" t="s">
        <v>3781</v>
      </c>
      <c r="B729" s="106" t="s">
        <v>3780</v>
      </c>
      <c r="C729" s="106" t="s">
        <v>3745</v>
      </c>
      <c r="D729" s="106" t="s">
        <v>2327</v>
      </c>
      <c r="E729" s="106" t="s">
        <v>3744</v>
      </c>
      <c r="F729" s="106" t="s">
        <v>490</v>
      </c>
      <c r="G729" s="106" t="s">
        <v>3779</v>
      </c>
      <c r="H729" s="105" t="s">
        <v>3778</v>
      </c>
      <c r="I729" s="105" t="s">
        <v>3774</v>
      </c>
      <c r="J729" s="104">
        <v>1.86</v>
      </c>
      <c r="K729" s="103" t="s">
        <v>425</v>
      </c>
      <c r="L729" s="102" t="s">
        <v>577</v>
      </c>
      <c r="M729" s="95"/>
      <c r="N729" s="14"/>
      <c r="O729" s="94">
        <v>10</v>
      </c>
      <c r="P729" s="14" t="s">
        <v>485</v>
      </c>
      <c r="Q729" s="14" t="s">
        <v>497</v>
      </c>
      <c r="R729" s="14" t="s">
        <v>496</v>
      </c>
      <c r="S729" s="15">
        <v>7</v>
      </c>
      <c r="T729" s="15">
        <v>0</v>
      </c>
      <c r="U729" s="15">
        <v>0</v>
      </c>
      <c r="V729" s="14">
        <v>256</v>
      </c>
      <c r="W729" s="12">
        <v>0</v>
      </c>
      <c r="X729" s="12">
        <v>0</v>
      </c>
      <c r="Y729" s="12">
        <v>0</v>
      </c>
      <c r="Z729" s="12">
        <v>1.86</v>
      </c>
      <c r="AA729" s="12">
        <v>0</v>
      </c>
      <c r="AB729" s="13">
        <f t="shared" si="45"/>
        <v>0</v>
      </c>
      <c r="AE729" s="12">
        <v>0</v>
      </c>
      <c r="AF729" s="12">
        <v>0</v>
      </c>
      <c r="AG729" s="12">
        <v>0</v>
      </c>
      <c r="AH729" s="12">
        <v>1.86</v>
      </c>
      <c r="AI729" s="12">
        <v>0</v>
      </c>
      <c r="AJ729" s="13">
        <f t="shared" si="46"/>
        <v>0</v>
      </c>
      <c r="AN729" s="12">
        <f t="shared" si="47"/>
        <v>477</v>
      </c>
      <c r="AQ729" s="8" t="s">
        <v>420</v>
      </c>
      <c r="AR729" t="str">
        <f t="shared" si="48"/>
        <v>Campos Gerais - A05</v>
      </c>
    </row>
    <row r="730" spans="1:44" x14ac:dyDescent="0.2">
      <c r="A730" s="107" t="s">
        <v>3777</v>
      </c>
      <c r="B730" s="106" t="s">
        <v>3776</v>
      </c>
      <c r="C730" s="106" t="s">
        <v>3745</v>
      </c>
      <c r="D730" s="106" t="s">
        <v>513</v>
      </c>
      <c r="E730" s="106" t="s">
        <v>3744</v>
      </c>
      <c r="F730" s="106" t="s">
        <v>490</v>
      </c>
      <c r="G730" s="106" t="s">
        <v>3775</v>
      </c>
      <c r="H730" s="105" t="s">
        <v>3774</v>
      </c>
      <c r="I730" s="105" t="s">
        <v>3769</v>
      </c>
      <c r="J730" s="104">
        <v>2.06</v>
      </c>
      <c r="K730" s="103" t="s">
        <v>425</v>
      </c>
      <c r="L730" s="102" t="s">
        <v>577</v>
      </c>
      <c r="M730" s="95"/>
      <c r="N730" s="14"/>
      <c r="O730" s="94">
        <v>10</v>
      </c>
      <c r="P730" s="14" t="s">
        <v>485</v>
      </c>
      <c r="Q730" s="14" t="s">
        <v>497</v>
      </c>
      <c r="R730" s="14" t="s">
        <v>496</v>
      </c>
      <c r="S730" s="15">
        <v>7</v>
      </c>
      <c r="T730" s="15">
        <v>0</v>
      </c>
      <c r="U730" s="15">
        <v>0</v>
      </c>
      <c r="V730" s="14">
        <v>2860</v>
      </c>
      <c r="W730" s="12">
        <v>0</v>
      </c>
      <c r="X730" s="12">
        <v>0</v>
      </c>
      <c r="Y730" s="12">
        <v>0</v>
      </c>
      <c r="Z730" s="12">
        <v>2.06</v>
      </c>
      <c r="AA730" s="12">
        <v>0</v>
      </c>
      <c r="AB730" s="13">
        <f t="shared" si="45"/>
        <v>0</v>
      </c>
      <c r="AE730" s="12">
        <v>0</v>
      </c>
      <c r="AF730" s="12">
        <v>0</v>
      </c>
      <c r="AG730" s="12">
        <v>0</v>
      </c>
      <c r="AH730" s="12">
        <v>2.06</v>
      </c>
      <c r="AI730" s="12">
        <v>0</v>
      </c>
      <c r="AJ730" s="13">
        <f t="shared" si="46"/>
        <v>0</v>
      </c>
      <c r="AN730" s="12">
        <f t="shared" si="47"/>
        <v>5892</v>
      </c>
      <c r="AQ730" s="8" t="s">
        <v>420</v>
      </c>
      <c r="AR730" t="str">
        <f t="shared" si="48"/>
        <v>Campos Gerais - A05</v>
      </c>
    </row>
    <row r="731" spans="1:44" x14ac:dyDescent="0.2">
      <c r="A731" s="107" t="s">
        <v>3773</v>
      </c>
      <c r="B731" s="106" t="s">
        <v>3772</v>
      </c>
      <c r="C731" s="106" t="s">
        <v>3745</v>
      </c>
      <c r="D731" s="106" t="s">
        <v>3771</v>
      </c>
      <c r="E731" s="106" t="s">
        <v>3744</v>
      </c>
      <c r="F731" s="106" t="s">
        <v>490</v>
      </c>
      <c r="G731" s="106" t="s">
        <v>3770</v>
      </c>
      <c r="H731" s="105" t="s">
        <v>3769</v>
      </c>
      <c r="I731" s="105" t="s">
        <v>3768</v>
      </c>
      <c r="J731" s="104">
        <v>3.43</v>
      </c>
      <c r="K731" s="103" t="s">
        <v>425</v>
      </c>
      <c r="L731" s="102" t="s">
        <v>577</v>
      </c>
      <c r="M731" s="95"/>
      <c r="N731" s="14"/>
      <c r="O731" s="94">
        <v>10</v>
      </c>
      <c r="P731" s="14" t="s">
        <v>485</v>
      </c>
      <c r="Q731" s="14" t="s">
        <v>497</v>
      </c>
      <c r="R731" s="14" t="s">
        <v>496</v>
      </c>
      <c r="S731" s="15">
        <v>7</v>
      </c>
      <c r="T731" s="15">
        <v>0</v>
      </c>
      <c r="U731" s="15">
        <v>0</v>
      </c>
      <c r="V731" s="14">
        <v>4465</v>
      </c>
      <c r="W731" s="12">
        <v>0</v>
      </c>
      <c r="X731" s="12">
        <v>0</v>
      </c>
      <c r="Y731" s="12">
        <v>0</v>
      </c>
      <c r="Z731" s="12">
        <v>3.43</v>
      </c>
      <c r="AA731" s="12">
        <v>0</v>
      </c>
      <c r="AB731" s="13">
        <f t="shared" si="45"/>
        <v>0</v>
      </c>
      <c r="AE731" s="12">
        <v>0</v>
      </c>
      <c r="AF731" s="12">
        <v>0</v>
      </c>
      <c r="AG731" s="12">
        <v>0</v>
      </c>
      <c r="AH731" s="12">
        <v>3.43</v>
      </c>
      <c r="AI731" s="12">
        <v>0</v>
      </c>
      <c r="AJ731" s="13">
        <f t="shared" si="46"/>
        <v>0</v>
      </c>
      <c r="AN731" s="12">
        <f t="shared" si="47"/>
        <v>15315</v>
      </c>
      <c r="AQ731" s="8" t="s">
        <v>420</v>
      </c>
      <c r="AR731" t="str">
        <f t="shared" si="48"/>
        <v>Campos Gerais - A05</v>
      </c>
    </row>
    <row r="732" spans="1:44" x14ac:dyDescent="0.2">
      <c r="A732" s="107" t="s">
        <v>3767</v>
      </c>
      <c r="B732" s="106" t="s">
        <v>3766</v>
      </c>
      <c r="C732" s="106" t="s">
        <v>3745</v>
      </c>
      <c r="D732" s="106" t="s">
        <v>3765</v>
      </c>
      <c r="E732" s="106" t="s">
        <v>3744</v>
      </c>
      <c r="F732" s="106" t="s">
        <v>490</v>
      </c>
      <c r="G732" s="106" t="s">
        <v>3764</v>
      </c>
      <c r="H732" s="105" t="s">
        <v>3763</v>
      </c>
      <c r="I732" s="105" t="s">
        <v>3757</v>
      </c>
      <c r="J732" s="104">
        <v>28.95</v>
      </c>
      <c r="K732" s="103" t="s">
        <v>428</v>
      </c>
      <c r="L732" s="102" t="s">
        <v>507</v>
      </c>
      <c r="M732" s="95"/>
      <c r="N732" s="14"/>
      <c r="O732" s="94">
        <v>40</v>
      </c>
      <c r="P732" s="14" t="s">
        <v>485</v>
      </c>
      <c r="Q732" s="14" t="s">
        <v>497</v>
      </c>
      <c r="R732" s="14" t="s">
        <v>496</v>
      </c>
      <c r="S732" s="15">
        <v>7</v>
      </c>
      <c r="T732" s="15">
        <v>0.4</v>
      </c>
      <c r="U732" s="15">
        <v>0</v>
      </c>
      <c r="V732" s="14">
        <v>386</v>
      </c>
      <c r="W732" s="12">
        <v>0</v>
      </c>
      <c r="X732" s="12">
        <v>0</v>
      </c>
      <c r="Y732" s="12">
        <v>0</v>
      </c>
      <c r="Z732" s="12">
        <v>28.95</v>
      </c>
      <c r="AA732" s="12">
        <v>0</v>
      </c>
      <c r="AB732" s="13">
        <f t="shared" si="45"/>
        <v>0</v>
      </c>
      <c r="AE732" s="12">
        <v>0</v>
      </c>
      <c r="AF732" s="12">
        <v>0</v>
      </c>
      <c r="AG732" s="12">
        <v>0</v>
      </c>
      <c r="AH732" s="12">
        <v>28.95</v>
      </c>
      <c r="AI732" s="12">
        <v>0</v>
      </c>
      <c r="AJ732" s="13">
        <f t="shared" si="46"/>
        <v>0</v>
      </c>
      <c r="AN732" s="12">
        <f t="shared" si="47"/>
        <v>11175</v>
      </c>
      <c r="AQ732" s="8" t="s">
        <v>417</v>
      </c>
      <c r="AR732" t="str">
        <f t="shared" si="48"/>
        <v>Oeste - A08</v>
      </c>
    </row>
    <row r="733" spans="1:44" x14ac:dyDescent="0.2">
      <c r="A733" s="107" t="s">
        <v>3762</v>
      </c>
      <c r="B733" s="106" t="s">
        <v>3761</v>
      </c>
      <c r="C733" s="106" t="s">
        <v>3745</v>
      </c>
      <c r="D733" s="106" t="s">
        <v>3760</v>
      </c>
      <c r="E733" s="106" t="s">
        <v>3759</v>
      </c>
      <c r="F733" s="106" t="s">
        <v>590</v>
      </c>
      <c r="G733" s="106" t="s">
        <v>3758</v>
      </c>
      <c r="H733" s="105" t="s">
        <v>3757</v>
      </c>
      <c r="I733" s="105" t="s">
        <v>3756</v>
      </c>
      <c r="J733" s="104">
        <v>0.98</v>
      </c>
      <c r="K733" s="103" t="s">
        <v>428</v>
      </c>
      <c r="L733" s="102" t="s">
        <v>507</v>
      </c>
      <c r="M733" s="95"/>
      <c r="N733" s="14"/>
      <c r="O733" s="94">
        <v>40</v>
      </c>
      <c r="P733" s="14" t="s">
        <v>586</v>
      </c>
      <c r="Q733" s="14" t="s">
        <v>691</v>
      </c>
      <c r="R733" s="14" t="s">
        <v>496</v>
      </c>
      <c r="S733" s="15">
        <v>12.4</v>
      </c>
      <c r="T733" s="15">
        <v>2</v>
      </c>
      <c r="U733" s="15">
        <v>0</v>
      </c>
      <c r="V733" s="14">
        <v>300</v>
      </c>
      <c r="W733" s="12">
        <v>0</v>
      </c>
      <c r="X733" s="12">
        <v>0</v>
      </c>
      <c r="Y733" s="12">
        <v>0</v>
      </c>
      <c r="Z733" s="12">
        <v>0.98</v>
      </c>
      <c r="AA733" s="12">
        <v>0</v>
      </c>
      <c r="AB733" s="13">
        <f t="shared" si="45"/>
        <v>0</v>
      </c>
      <c r="AE733" s="12">
        <v>0</v>
      </c>
      <c r="AF733" s="12">
        <v>0</v>
      </c>
      <c r="AG733" s="12">
        <v>0</v>
      </c>
      <c r="AH733" s="12">
        <v>0.98</v>
      </c>
      <c r="AI733" s="12">
        <v>0</v>
      </c>
      <c r="AJ733" s="13">
        <f t="shared" si="46"/>
        <v>0</v>
      </c>
      <c r="AN733" s="12">
        <f t="shared" si="47"/>
        <v>294</v>
      </c>
      <c r="AQ733" s="8" t="s">
        <v>417</v>
      </c>
      <c r="AR733" t="str">
        <f t="shared" si="48"/>
        <v>Oeste - A08</v>
      </c>
    </row>
    <row r="734" spans="1:44" x14ac:dyDescent="0.2">
      <c r="A734" s="107" t="s">
        <v>3755</v>
      </c>
      <c r="B734" s="106" t="s">
        <v>3754</v>
      </c>
      <c r="C734" s="106" t="s">
        <v>3745</v>
      </c>
      <c r="D734" s="106" t="s">
        <v>981</v>
      </c>
      <c r="E734" s="106" t="s">
        <v>3744</v>
      </c>
      <c r="F734" s="106" t="s">
        <v>490</v>
      </c>
      <c r="G734" s="106" t="s">
        <v>3753</v>
      </c>
      <c r="H734" s="105" t="s">
        <v>679</v>
      </c>
      <c r="I734" s="105" t="s">
        <v>3752</v>
      </c>
      <c r="J734" s="104">
        <v>34.119999999999997</v>
      </c>
      <c r="K734" s="103" t="s">
        <v>428</v>
      </c>
      <c r="L734" s="102" t="s">
        <v>507</v>
      </c>
      <c r="M734" s="95"/>
      <c r="N734" s="14"/>
      <c r="O734" s="94">
        <v>40</v>
      </c>
      <c r="P734" s="14" t="s">
        <v>485</v>
      </c>
      <c r="Q734" s="14" t="s">
        <v>497</v>
      </c>
      <c r="R734" s="14" t="s">
        <v>496</v>
      </c>
      <c r="S734" s="15">
        <v>7</v>
      </c>
      <c r="T734" s="15">
        <v>0.4</v>
      </c>
      <c r="U734" s="15">
        <v>0</v>
      </c>
      <c r="V734" s="14">
        <v>954</v>
      </c>
      <c r="W734" s="12">
        <v>0</v>
      </c>
      <c r="X734" s="12">
        <v>0</v>
      </c>
      <c r="Y734" s="12">
        <v>5.1199999999999974</v>
      </c>
      <c r="Z734" s="12">
        <v>29</v>
      </c>
      <c r="AA734" s="12">
        <v>0</v>
      </c>
      <c r="AB734" s="13">
        <f t="shared" si="45"/>
        <v>0</v>
      </c>
      <c r="AE734" s="12">
        <v>0</v>
      </c>
      <c r="AF734" s="12">
        <v>0</v>
      </c>
      <c r="AG734" s="12">
        <v>5.1199999999999974</v>
      </c>
      <c r="AH734" s="12">
        <v>29</v>
      </c>
      <c r="AI734" s="12">
        <v>0</v>
      </c>
      <c r="AJ734" s="13">
        <f t="shared" si="46"/>
        <v>0</v>
      </c>
      <c r="AN734" s="12">
        <f t="shared" si="47"/>
        <v>32551</v>
      </c>
      <c r="AQ734" s="8" t="s">
        <v>417</v>
      </c>
      <c r="AR734" t="str">
        <f t="shared" si="48"/>
        <v>Oeste - A08</v>
      </c>
    </row>
    <row r="735" spans="1:44" x14ac:dyDescent="0.2">
      <c r="A735" s="107" t="s">
        <v>3751</v>
      </c>
      <c r="B735" s="106" t="s">
        <v>3750</v>
      </c>
      <c r="C735" s="106" t="s">
        <v>3745</v>
      </c>
      <c r="D735" s="106" t="s">
        <v>2859</v>
      </c>
      <c r="E735" s="106" t="s">
        <v>3744</v>
      </c>
      <c r="F735" s="106" t="s">
        <v>490</v>
      </c>
      <c r="G735" s="106" t="s">
        <v>3749</v>
      </c>
      <c r="H735" s="105" t="s">
        <v>3748</v>
      </c>
      <c r="I735" s="105" t="s">
        <v>3742</v>
      </c>
      <c r="J735" s="104">
        <v>4.45</v>
      </c>
      <c r="K735" s="103" t="s">
        <v>428</v>
      </c>
      <c r="L735" s="102" t="s">
        <v>507</v>
      </c>
      <c r="M735" s="95"/>
      <c r="N735" s="14"/>
      <c r="O735" s="94">
        <v>40</v>
      </c>
      <c r="P735" s="14" t="s">
        <v>485</v>
      </c>
      <c r="Q735" s="14" t="s">
        <v>691</v>
      </c>
      <c r="R735" s="14" t="s">
        <v>496</v>
      </c>
      <c r="S735" s="15">
        <v>7</v>
      </c>
      <c r="T735" s="15">
        <v>0</v>
      </c>
      <c r="U735" s="15">
        <v>0</v>
      </c>
      <c r="V735" s="14">
        <v>348</v>
      </c>
      <c r="W735" s="12">
        <v>0</v>
      </c>
      <c r="X735" s="12">
        <v>0</v>
      </c>
      <c r="Y735" s="12">
        <v>1</v>
      </c>
      <c r="Z735" s="12">
        <v>3.45</v>
      </c>
      <c r="AA735" s="12">
        <v>0</v>
      </c>
      <c r="AB735" s="13">
        <f t="shared" si="45"/>
        <v>0</v>
      </c>
      <c r="AE735" s="12">
        <v>0</v>
      </c>
      <c r="AF735" s="12">
        <v>0</v>
      </c>
      <c r="AG735" s="12">
        <v>1</v>
      </c>
      <c r="AH735" s="12">
        <v>3.45</v>
      </c>
      <c r="AI735" s="12">
        <v>0</v>
      </c>
      <c r="AJ735" s="13">
        <f t="shared" si="46"/>
        <v>0</v>
      </c>
      <c r="AN735" s="12">
        <f t="shared" si="47"/>
        <v>1549</v>
      </c>
      <c r="AQ735" s="8" t="s">
        <v>417</v>
      </c>
      <c r="AR735" t="str">
        <f t="shared" si="48"/>
        <v>Oeste - A08</v>
      </c>
    </row>
    <row r="736" spans="1:44" x14ac:dyDescent="0.2">
      <c r="A736" s="107" t="s">
        <v>3747</v>
      </c>
      <c r="B736" s="106" t="s">
        <v>3746</v>
      </c>
      <c r="C736" s="106" t="s">
        <v>3745</v>
      </c>
      <c r="D736" s="106" t="s">
        <v>965</v>
      </c>
      <c r="E736" s="106" t="s">
        <v>3744</v>
      </c>
      <c r="F736" s="106" t="s">
        <v>490</v>
      </c>
      <c r="G736" s="106" t="s">
        <v>3743</v>
      </c>
      <c r="H736" s="105" t="s">
        <v>3742</v>
      </c>
      <c r="I736" s="105" t="s">
        <v>3741</v>
      </c>
      <c r="J736" s="104">
        <v>4.3</v>
      </c>
      <c r="K736" s="103" t="s">
        <v>428</v>
      </c>
      <c r="L736" s="102" t="s">
        <v>507</v>
      </c>
      <c r="M736" s="95"/>
      <c r="N736" s="14"/>
      <c r="O736" s="94">
        <v>40</v>
      </c>
      <c r="P736" s="14" t="s">
        <v>485</v>
      </c>
      <c r="Q736" s="14" t="s">
        <v>497</v>
      </c>
      <c r="R736" s="16" t="s">
        <v>496</v>
      </c>
      <c r="S736" s="15">
        <v>7</v>
      </c>
      <c r="T736" s="15">
        <v>0</v>
      </c>
      <c r="U736" s="15">
        <v>0</v>
      </c>
      <c r="V736" s="14">
        <v>348</v>
      </c>
      <c r="W736" s="12">
        <v>0</v>
      </c>
      <c r="X736" s="12">
        <v>0</v>
      </c>
      <c r="Y736" s="12">
        <v>0</v>
      </c>
      <c r="Z736" s="12">
        <v>4.3</v>
      </c>
      <c r="AA736" s="12">
        <v>0</v>
      </c>
      <c r="AB736" s="13">
        <f t="shared" si="45"/>
        <v>0</v>
      </c>
      <c r="AE736" s="12">
        <v>0</v>
      </c>
      <c r="AF736" s="12">
        <v>0</v>
      </c>
      <c r="AG736" s="12">
        <v>0</v>
      </c>
      <c r="AH736" s="12">
        <v>4.3</v>
      </c>
      <c r="AI736" s="12">
        <v>0</v>
      </c>
      <c r="AJ736" s="13">
        <f t="shared" si="46"/>
        <v>0</v>
      </c>
      <c r="AN736" s="12">
        <f t="shared" si="47"/>
        <v>1497</v>
      </c>
      <c r="AQ736" s="8" t="s">
        <v>417</v>
      </c>
      <c r="AR736" t="str">
        <f t="shared" si="48"/>
        <v>Oeste - A08</v>
      </c>
    </row>
    <row r="737" spans="1:44" x14ac:dyDescent="0.2">
      <c r="A737" s="107" t="s">
        <v>3740</v>
      </c>
      <c r="B737" s="106" t="s">
        <v>3739</v>
      </c>
      <c r="C737" s="106" t="s">
        <v>3734</v>
      </c>
      <c r="D737" s="106" t="s">
        <v>751</v>
      </c>
      <c r="E737" s="106" t="s">
        <v>3733</v>
      </c>
      <c r="F737" s="106" t="s">
        <v>490</v>
      </c>
      <c r="G737" s="106" t="s">
        <v>3738</v>
      </c>
      <c r="H737" s="105" t="s">
        <v>3737</v>
      </c>
      <c r="I737" s="105" t="s">
        <v>3731</v>
      </c>
      <c r="J737" s="104">
        <v>7.35</v>
      </c>
      <c r="K737" s="103" t="s">
        <v>426</v>
      </c>
      <c r="L737" s="102" t="s">
        <v>577</v>
      </c>
      <c r="M737" s="95"/>
      <c r="N737" s="14"/>
      <c r="O737" s="94">
        <v>11</v>
      </c>
      <c r="P737" s="14" t="s">
        <v>485</v>
      </c>
      <c r="Q737" s="14" t="s">
        <v>497</v>
      </c>
      <c r="R737" s="14" t="s">
        <v>496</v>
      </c>
      <c r="S737" s="15">
        <v>7</v>
      </c>
      <c r="T737" s="15">
        <v>1.2</v>
      </c>
      <c r="U737" s="15">
        <v>3.8</v>
      </c>
      <c r="V737" s="14">
        <v>8108</v>
      </c>
      <c r="W737" s="12">
        <v>0</v>
      </c>
      <c r="X737" s="12">
        <v>3</v>
      </c>
      <c r="Y737" s="12">
        <v>4.3499999999999996</v>
      </c>
      <c r="Z737" s="12">
        <v>0</v>
      </c>
      <c r="AA737" s="12">
        <v>0</v>
      </c>
      <c r="AB737" s="13">
        <f t="shared" si="45"/>
        <v>0</v>
      </c>
      <c r="AE737" s="12">
        <v>0</v>
      </c>
      <c r="AF737" s="12">
        <v>3</v>
      </c>
      <c r="AG737" s="12">
        <v>4.3499999999999996</v>
      </c>
      <c r="AH737" s="12">
        <v>0</v>
      </c>
      <c r="AI737" s="12">
        <v>0</v>
      </c>
      <c r="AJ737" s="13">
        <f t="shared" si="46"/>
        <v>0</v>
      </c>
      <c r="AN737" s="12">
        <f t="shared" si="47"/>
        <v>59594</v>
      </c>
      <c r="AQ737" s="8" t="s">
        <v>420</v>
      </c>
      <c r="AR737" t="str">
        <f t="shared" si="48"/>
        <v>Campos Gerais - A06</v>
      </c>
    </row>
    <row r="738" spans="1:44" x14ac:dyDescent="0.2">
      <c r="A738" s="107" t="s">
        <v>3736</v>
      </c>
      <c r="B738" s="106" t="s">
        <v>3735</v>
      </c>
      <c r="C738" s="106" t="s">
        <v>3734</v>
      </c>
      <c r="D738" s="106" t="s">
        <v>492</v>
      </c>
      <c r="E738" s="106" t="s">
        <v>3733</v>
      </c>
      <c r="F738" s="106" t="s">
        <v>490</v>
      </c>
      <c r="G738" s="106" t="s">
        <v>3732</v>
      </c>
      <c r="H738" s="105" t="s">
        <v>3731</v>
      </c>
      <c r="I738" s="105" t="s">
        <v>3730</v>
      </c>
      <c r="J738" s="104">
        <v>24.55</v>
      </c>
      <c r="K738" s="103" t="s">
        <v>426</v>
      </c>
      <c r="L738" s="102" t="s">
        <v>577</v>
      </c>
      <c r="M738" s="95"/>
      <c r="N738" s="14"/>
      <c r="O738" s="94">
        <v>11</v>
      </c>
      <c r="P738" s="14" t="s">
        <v>485</v>
      </c>
      <c r="Q738" s="14" t="s">
        <v>497</v>
      </c>
      <c r="R738" s="14" t="s">
        <v>496</v>
      </c>
      <c r="S738" s="15">
        <v>7</v>
      </c>
      <c r="T738" s="15">
        <v>1.2</v>
      </c>
      <c r="U738" s="15">
        <v>11.700000000000001</v>
      </c>
      <c r="V738" s="14">
        <v>1886</v>
      </c>
      <c r="W738" s="12">
        <v>1</v>
      </c>
      <c r="X738" s="12">
        <v>14.55</v>
      </c>
      <c r="Y738" s="12">
        <v>9</v>
      </c>
      <c r="Z738" s="12">
        <v>0</v>
      </c>
      <c r="AA738" s="12">
        <v>0</v>
      </c>
      <c r="AB738" s="13">
        <f t="shared" si="45"/>
        <v>0</v>
      </c>
      <c r="AE738" s="12">
        <v>1</v>
      </c>
      <c r="AF738" s="12">
        <v>14.55</v>
      </c>
      <c r="AG738" s="12">
        <v>9</v>
      </c>
      <c r="AH738" s="12">
        <v>0</v>
      </c>
      <c r="AI738" s="12">
        <v>0</v>
      </c>
      <c r="AJ738" s="13">
        <f t="shared" si="46"/>
        <v>0</v>
      </c>
      <c r="AN738" s="12">
        <f t="shared" si="47"/>
        <v>46302</v>
      </c>
      <c r="AQ738" s="8" t="s">
        <v>420</v>
      </c>
      <c r="AR738" t="str">
        <f t="shared" si="48"/>
        <v>Campos Gerais - A06</v>
      </c>
    </row>
    <row r="739" spans="1:44" x14ac:dyDescent="0.2">
      <c r="A739" s="107" t="s">
        <v>3729</v>
      </c>
      <c r="B739" s="106" t="s">
        <v>3726</v>
      </c>
      <c r="C739" s="106" t="s">
        <v>3694</v>
      </c>
      <c r="D739" s="106" t="s">
        <v>519</v>
      </c>
      <c r="E739" s="106" t="s">
        <v>3699</v>
      </c>
      <c r="F739" s="106" t="s">
        <v>590</v>
      </c>
      <c r="G739" s="106" t="s">
        <v>3728</v>
      </c>
      <c r="H739" s="105" t="s">
        <v>3724</v>
      </c>
      <c r="I739" s="105" t="s">
        <v>3719</v>
      </c>
      <c r="J739" s="104">
        <v>0.72</v>
      </c>
      <c r="K739" s="103" t="s">
        <v>424</v>
      </c>
      <c r="L739" s="102" t="s">
        <v>533</v>
      </c>
      <c r="M739" s="95"/>
      <c r="N739" s="14"/>
      <c r="O739" s="94">
        <v>26</v>
      </c>
      <c r="P739" s="14" t="s">
        <v>586</v>
      </c>
      <c r="Q739" s="14" t="s">
        <v>887</v>
      </c>
      <c r="R739" s="14" t="s">
        <v>496</v>
      </c>
      <c r="S739" s="15">
        <v>8.9</v>
      </c>
      <c r="T739" s="15">
        <v>0</v>
      </c>
      <c r="U739" s="15">
        <v>0</v>
      </c>
      <c r="V739" s="14">
        <v>205</v>
      </c>
      <c r="W739" s="12">
        <v>0</v>
      </c>
      <c r="X739" s="12">
        <v>0</v>
      </c>
      <c r="Y739" s="12">
        <v>0</v>
      </c>
      <c r="Z739" s="12">
        <v>0.72</v>
      </c>
      <c r="AA739" s="12">
        <v>0</v>
      </c>
      <c r="AB739" s="13">
        <f t="shared" si="45"/>
        <v>0</v>
      </c>
      <c r="AE739" s="12">
        <v>0</v>
      </c>
      <c r="AF739" s="12">
        <v>0</v>
      </c>
      <c r="AG739" s="12">
        <v>0</v>
      </c>
      <c r="AH739" s="12">
        <v>0.72</v>
      </c>
      <c r="AI739" s="12">
        <v>0</v>
      </c>
      <c r="AJ739" s="13">
        <f t="shared" si="46"/>
        <v>0</v>
      </c>
      <c r="AN739" s="12">
        <f t="shared" si="47"/>
        <v>148</v>
      </c>
      <c r="AQ739" s="8" t="s">
        <v>418</v>
      </c>
      <c r="AR739" t="str">
        <f t="shared" si="48"/>
        <v>Noroeste - A04</v>
      </c>
    </row>
    <row r="740" spans="1:44" x14ac:dyDescent="0.2">
      <c r="A740" s="107" t="s">
        <v>3727</v>
      </c>
      <c r="B740" s="106" t="s">
        <v>3726</v>
      </c>
      <c r="C740" s="106" t="s">
        <v>3694</v>
      </c>
      <c r="D740" s="106" t="s">
        <v>519</v>
      </c>
      <c r="E740" s="106" t="s">
        <v>3699</v>
      </c>
      <c r="F740" s="106" t="s">
        <v>590</v>
      </c>
      <c r="G740" s="106" t="s">
        <v>3725</v>
      </c>
      <c r="H740" s="105" t="s">
        <v>3724</v>
      </c>
      <c r="I740" s="105" t="s">
        <v>3719</v>
      </c>
      <c r="J740" s="104">
        <v>0.74</v>
      </c>
      <c r="K740" s="103" t="s">
        <v>424</v>
      </c>
      <c r="L740" s="102" t="s">
        <v>533</v>
      </c>
      <c r="M740" s="95"/>
      <c r="N740" s="14"/>
      <c r="O740" s="94">
        <v>26</v>
      </c>
      <c r="P740" s="14" t="s">
        <v>586</v>
      </c>
      <c r="Q740" s="14" t="s">
        <v>887</v>
      </c>
      <c r="R740" s="14" t="s">
        <v>496</v>
      </c>
      <c r="S740" s="15">
        <v>8.9</v>
      </c>
      <c r="T740" s="15">
        <v>0</v>
      </c>
      <c r="U740" s="15">
        <v>0</v>
      </c>
      <c r="V740" s="14">
        <v>205</v>
      </c>
      <c r="W740" s="12">
        <v>0</v>
      </c>
      <c r="X740" s="12">
        <v>0</v>
      </c>
      <c r="Y740" s="12">
        <v>0</v>
      </c>
      <c r="Z740" s="12">
        <v>0.72</v>
      </c>
      <c r="AA740" s="12">
        <v>0</v>
      </c>
      <c r="AB740" s="13">
        <f t="shared" si="45"/>
        <v>-2.0000000000000018E-2</v>
      </c>
      <c r="AE740" s="12">
        <f>IF(W740=0,0,W740-$AB740)</f>
        <v>0</v>
      </c>
      <c r="AF740" s="12">
        <f>IF(X740=0,0,X740-$AB740)</f>
        <v>0</v>
      </c>
      <c r="AG740" s="12">
        <f>IF(Y740=0,0,Y740-$AB740)</f>
        <v>0</v>
      </c>
      <c r="AH740" s="12">
        <f>IF(Z740=0,0,Z740-$AB740)</f>
        <v>0.74</v>
      </c>
      <c r="AI740" s="12">
        <f>IF(AA740=0,0,AA740-$AB740)</f>
        <v>0</v>
      </c>
      <c r="AJ740" s="13">
        <f t="shared" si="46"/>
        <v>0</v>
      </c>
      <c r="AN740" s="12">
        <f t="shared" si="47"/>
        <v>152</v>
      </c>
      <c r="AQ740" s="8" t="s">
        <v>418</v>
      </c>
      <c r="AR740" t="str">
        <f t="shared" si="48"/>
        <v>Noroeste - A04</v>
      </c>
    </row>
    <row r="741" spans="1:44" x14ac:dyDescent="0.2">
      <c r="A741" s="107" t="s">
        <v>3723</v>
      </c>
      <c r="B741" s="106" t="s">
        <v>3722</v>
      </c>
      <c r="C741" s="106" t="s">
        <v>3694</v>
      </c>
      <c r="D741" s="106" t="s">
        <v>3721</v>
      </c>
      <c r="E741" s="106" t="s">
        <v>3693</v>
      </c>
      <c r="F741" s="106" t="s">
        <v>490</v>
      </c>
      <c r="G741" s="106" t="s">
        <v>3720</v>
      </c>
      <c r="H741" s="105" t="s">
        <v>3719</v>
      </c>
      <c r="I741" s="105" t="s">
        <v>3715</v>
      </c>
      <c r="J741" s="104">
        <v>12.93</v>
      </c>
      <c r="K741" s="103" t="s">
        <v>424</v>
      </c>
      <c r="L741" s="102" t="s">
        <v>533</v>
      </c>
      <c r="M741" s="95"/>
      <c r="N741" s="14"/>
      <c r="O741" s="94">
        <v>26</v>
      </c>
      <c r="P741" s="14" t="s">
        <v>485</v>
      </c>
      <c r="Q741" s="14" t="s">
        <v>887</v>
      </c>
      <c r="R741" s="14" t="s">
        <v>496</v>
      </c>
      <c r="S741" s="15">
        <v>7.7285714285714286</v>
      </c>
      <c r="T741" s="15">
        <v>1</v>
      </c>
      <c r="U741" s="15">
        <v>0</v>
      </c>
      <c r="V741" s="14">
        <v>906</v>
      </c>
      <c r="W741" s="12">
        <v>0</v>
      </c>
      <c r="X741" s="12">
        <v>0</v>
      </c>
      <c r="Y741" s="12">
        <v>0</v>
      </c>
      <c r="Z741" s="12">
        <v>12.93</v>
      </c>
      <c r="AA741" s="12">
        <v>0</v>
      </c>
      <c r="AB741" s="13">
        <f t="shared" si="45"/>
        <v>0</v>
      </c>
      <c r="AE741" s="12">
        <v>0</v>
      </c>
      <c r="AF741" s="12">
        <v>0</v>
      </c>
      <c r="AG741" s="12">
        <v>0</v>
      </c>
      <c r="AH741" s="12">
        <v>12.93</v>
      </c>
      <c r="AI741" s="12">
        <v>0</v>
      </c>
      <c r="AJ741" s="13">
        <f t="shared" si="46"/>
        <v>0</v>
      </c>
      <c r="AN741" s="12">
        <f t="shared" si="47"/>
        <v>11715</v>
      </c>
      <c r="AQ741" s="8" t="s">
        <v>418</v>
      </c>
      <c r="AR741" t="str">
        <f t="shared" si="48"/>
        <v>Noroeste - A04</v>
      </c>
    </row>
    <row r="742" spans="1:44" x14ac:dyDescent="0.2">
      <c r="A742" s="107" t="s">
        <v>3718</v>
      </c>
      <c r="B742" s="106" t="s">
        <v>3717</v>
      </c>
      <c r="C742" s="106" t="s">
        <v>3694</v>
      </c>
      <c r="D742" s="106" t="s">
        <v>1032</v>
      </c>
      <c r="E742" s="106" t="s">
        <v>3699</v>
      </c>
      <c r="F742" s="106" t="s">
        <v>590</v>
      </c>
      <c r="G742" s="106" t="s">
        <v>3716</v>
      </c>
      <c r="H742" s="105" t="s">
        <v>3715</v>
      </c>
      <c r="I742" s="105" t="s">
        <v>3714</v>
      </c>
      <c r="J742" s="104">
        <v>0.96</v>
      </c>
      <c r="K742" s="103" t="s">
        <v>424</v>
      </c>
      <c r="L742" s="102" t="s">
        <v>533</v>
      </c>
      <c r="M742" s="95"/>
      <c r="N742" s="14"/>
      <c r="O742" s="94">
        <v>26</v>
      </c>
      <c r="P742" s="14" t="s">
        <v>586</v>
      </c>
      <c r="Q742" s="14" t="s">
        <v>887</v>
      </c>
      <c r="R742" s="14" t="s">
        <v>496</v>
      </c>
      <c r="S742" s="15">
        <v>12.6</v>
      </c>
      <c r="T742" s="15">
        <v>0</v>
      </c>
      <c r="U742" s="15">
        <v>0</v>
      </c>
      <c r="V742" s="14">
        <v>205</v>
      </c>
      <c r="W742" s="12">
        <v>0</v>
      </c>
      <c r="X742" s="12">
        <v>0</v>
      </c>
      <c r="Y742" s="12">
        <v>0</v>
      </c>
      <c r="Z742" s="12">
        <v>0.96</v>
      </c>
      <c r="AA742" s="12">
        <v>0</v>
      </c>
      <c r="AB742" s="13">
        <f t="shared" si="45"/>
        <v>0</v>
      </c>
      <c r="AE742" s="12">
        <v>0</v>
      </c>
      <c r="AF742" s="12">
        <v>0</v>
      </c>
      <c r="AG742" s="12">
        <v>0</v>
      </c>
      <c r="AH742" s="12">
        <v>0.96</v>
      </c>
      <c r="AI742" s="12">
        <v>0</v>
      </c>
      <c r="AJ742" s="13">
        <f t="shared" si="46"/>
        <v>0</v>
      </c>
      <c r="AN742" s="12">
        <f t="shared" si="47"/>
        <v>197</v>
      </c>
      <c r="AQ742" s="8" t="s">
        <v>418</v>
      </c>
      <c r="AR742" t="str">
        <f t="shared" si="48"/>
        <v>Noroeste - A04</v>
      </c>
    </row>
    <row r="743" spans="1:44" x14ac:dyDescent="0.2">
      <c r="A743" s="107" t="s">
        <v>3713</v>
      </c>
      <c r="B743" s="106" t="s">
        <v>3712</v>
      </c>
      <c r="C743" s="106" t="s">
        <v>3694</v>
      </c>
      <c r="D743" s="106" t="s">
        <v>981</v>
      </c>
      <c r="E743" s="106" t="s">
        <v>3693</v>
      </c>
      <c r="F743" s="106" t="s">
        <v>490</v>
      </c>
      <c r="G743" s="106" t="s">
        <v>3711</v>
      </c>
      <c r="H743" s="105" t="s">
        <v>3710</v>
      </c>
      <c r="I743" s="105" t="s">
        <v>3705</v>
      </c>
      <c r="J743" s="104">
        <v>2.71</v>
      </c>
      <c r="K743" s="103" t="s">
        <v>424</v>
      </c>
      <c r="L743" s="102" t="s">
        <v>533</v>
      </c>
      <c r="M743" s="95"/>
      <c r="N743" s="14"/>
      <c r="O743" s="94">
        <v>26</v>
      </c>
      <c r="P743" s="14" t="s">
        <v>485</v>
      </c>
      <c r="Q743" s="14" t="s">
        <v>887</v>
      </c>
      <c r="R743" s="14" t="s">
        <v>496</v>
      </c>
      <c r="S743" s="15">
        <v>7.1857142857142851</v>
      </c>
      <c r="T743" s="15">
        <v>1</v>
      </c>
      <c r="U743" s="15">
        <v>0</v>
      </c>
      <c r="V743" s="14">
        <v>1064</v>
      </c>
      <c r="W743" s="12">
        <v>0</v>
      </c>
      <c r="X743" s="12">
        <v>0</v>
      </c>
      <c r="Y743" s="12">
        <v>0</v>
      </c>
      <c r="Z743" s="12">
        <v>2.71</v>
      </c>
      <c r="AA743" s="12">
        <v>0</v>
      </c>
      <c r="AB743" s="13">
        <f t="shared" si="45"/>
        <v>0</v>
      </c>
      <c r="AE743" s="12">
        <v>0</v>
      </c>
      <c r="AF743" s="12">
        <v>0</v>
      </c>
      <c r="AG743" s="12">
        <v>0</v>
      </c>
      <c r="AH743" s="12">
        <v>2.71</v>
      </c>
      <c r="AI743" s="12">
        <v>0</v>
      </c>
      <c r="AJ743" s="13">
        <f t="shared" si="46"/>
        <v>0</v>
      </c>
      <c r="AN743" s="12">
        <f t="shared" si="47"/>
        <v>2884</v>
      </c>
      <c r="AQ743" s="8" t="s">
        <v>418</v>
      </c>
      <c r="AR743" t="str">
        <f t="shared" si="48"/>
        <v>Noroeste - A04</v>
      </c>
    </row>
    <row r="744" spans="1:44" x14ac:dyDescent="0.2">
      <c r="A744" s="107" t="s">
        <v>3709</v>
      </c>
      <c r="B744" s="106" t="s">
        <v>3708</v>
      </c>
      <c r="C744" s="106" t="s">
        <v>3694</v>
      </c>
      <c r="D744" s="106" t="s">
        <v>3707</v>
      </c>
      <c r="E744" s="106" t="s">
        <v>3699</v>
      </c>
      <c r="F744" s="106" t="s">
        <v>590</v>
      </c>
      <c r="G744" s="106" t="s">
        <v>3706</v>
      </c>
      <c r="H744" s="105" t="s">
        <v>3705</v>
      </c>
      <c r="I744" s="105" t="s">
        <v>3702</v>
      </c>
      <c r="J744" s="104">
        <v>0.97</v>
      </c>
      <c r="K744" s="103" t="s">
        <v>424</v>
      </c>
      <c r="L744" s="102" t="s">
        <v>533</v>
      </c>
      <c r="M744" s="95"/>
      <c r="N744" s="14"/>
      <c r="O744" s="94">
        <v>26</v>
      </c>
      <c r="P744" s="14" t="s">
        <v>586</v>
      </c>
      <c r="Q744" s="14" t="s">
        <v>561</v>
      </c>
      <c r="R744" s="14" t="s">
        <v>1258</v>
      </c>
      <c r="S744" s="15">
        <v>9.6999999999999993</v>
      </c>
      <c r="T744" s="15">
        <v>0</v>
      </c>
      <c r="U744" s="15">
        <v>0</v>
      </c>
      <c r="V744" s="14">
        <v>894</v>
      </c>
      <c r="W744" s="12">
        <v>0</v>
      </c>
      <c r="X744" s="12">
        <v>0</v>
      </c>
      <c r="Y744" s="12">
        <v>0.97</v>
      </c>
      <c r="Z744" s="12">
        <v>0</v>
      </c>
      <c r="AA744" s="12">
        <v>0</v>
      </c>
      <c r="AB744" s="13">
        <f t="shared" si="45"/>
        <v>0</v>
      </c>
      <c r="AE744" s="12">
        <v>0</v>
      </c>
      <c r="AF744" s="12">
        <v>0</v>
      </c>
      <c r="AG744" s="12">
        <v>0.97</v>
      </c>
      <c r="AH744" s="12">
        <v>0</v>
      </c>
      <c r="AI744" s="12">
        <v>0</v>
      </c>
      <c r="AJ744" s="13">
        <f t="shared" si="46"/>
        <v>0</v>
      </c>
      <c r="AN744" s="12">
        <f t="shared" si="47"/>
        <v>868</v>
      </c>
      <c r="AQ744" s="8" t="s">
        <v>418</v>
      </c>
      <c r="AR744" t="str">
        <f t="shared" si="48"/>
        <v>Noroeste - A04</v>
      </c>
    </row>
    <row r="745" spans="1:44" x14ac:dyDescent="0.2">
      <c r="A745" s="107" t="s">
        <v>3704</v>
      </c>
      <c r="B745" s="106" t="s">
        <v>3700</v>
      </c>
      <c r="C745" s="106" t="s">
        <v>3694</v>
      </c>
      <c r="D745" s="106" t="s">
        <v>1304</v>
      </c>
      <c r="E745" s="106" t="s">
        <v>3699</v>
      </c>
      <c r="F745" s="106" t="s">
        <v>590</v>
      </c>
      <c r="G745" s="106" t="s">
        <v>3703</v>
      </c>
      <c r="H745" s="105" t="s">
        <v>3702</v>
      </c>
      <c r="I745" s="105" t="s">
        <v>3691</v>
      </c>
      <c r="J745" s="104">
        <v>0.38</v>
      </c>
      <c r="K745" s="103" t="s">
        <v>424</v>
      </c>
      <c r="L745" s="102" t="s">
        <v>533</v>
      </c>
      <c r="M745" s="95"/>
      <c r="N745" s="14"/>
      <c r="O745" s="94">
        <v>26</v>
      </c>
      <c r="P745" s="14" t="s">
        <v>586</v>
      </c>
      <c r="Q745" s="14" t="s">
        <v>561</v>
      </c>
      <c r="R745" s="14" t="s">
        <v>1258</v>
      </c>
      <c r="S745" s="15">
        <v>9</v>
      </c>
      <c r="T745" s="15">
        <v>0</v>
      </c>
      <c r="U745" s="15">
        <v>0</v>
      </c>
      <c r="V745" s="14">
        <v>894</v>
      </c>
      <c r="W745" s="12">
        <v>0</v>
      </c>
      <c r="X745" s="12">
        <v>0</v>
      </c>
      <c r="Y745" s="12">
        <v>0.38</v>
      </c>
      <c r="Z745" s="12">
        <v>0</v>
      </c>
      <c r="AA745" s="12">
        <v>0</v>
      </c>
      <c r="AB745" s="13">
        <f t="shared" si="45"/>
        <v>0</v>
      </c>
      <c r="AE745" s="12">
        <v>0</v>
      </c>
      <c r="AF745" s="12">
        <v>0</v>
      </c>
      <c r="AG745" s="12">
        <v>0.38</v>
      </c>
      <c r="AH745" s="12">
        <v>0</v>
      </c>
      <c r="AI745" s="12">
        <v>0</v>
      </c>
      <c r="AJ745" s="13">
        <f t="shared" si="46"/>
        <v>0</v>
      </c>
      <c r="AN745" s="12">
        <f t="shared" si="47"/>
        <v>340</v>
      </c>
      <c r="AQ745" s="8" t="s">
        <v>418</v>
      </c>
      <c r="AR745" t="str">
        <f t="shared" si="48"/>
        <v>Noroeste - A04</v>
      </c>
    </row>
    <row r="746" spans="1:44" x14ac:dyDescent="0.2">
      <c r="A746" s="107" t="s">
        <v>3701</v>
      </c>
      <c r="B746" s="106" t="s">
        <v>3700</v>
      </c>
      <c r="C746" s="106" t="s">
        <v>3694</v>
      </c>
      <c r="D746" s="106" t="s">
        <v>1304</v>
      </c>
      <c r="E746" s="106" t="s">
        <v>3699</v>
      </c>
      <c r="F746" s="106" t="s">
        <v>590</v>
      </c>
      <c r="G746" s="106" t="s">
        <v>3698</v>
      </c>
      <c r="H746" s="105" t="s">
        <v>3691</v>
      </c>
      <c r="I746" s="105" t="s">
        <v>3697</v>
      </c>
      <c r="J746" s="104">
        <v>0.53</v>
      </c>
      <c r="K746" s="103" t="s">
        <v>424</v>
      </c>
      <c r="L746" s="102" t="s">
        <v>533</v>
      </c>
      <c r="M746" s="95"/>
      <c r="N746" s="14"/>
      <c r="O746" s="94">
        <v>26</v>
      </c>
      <c r="P746" s="14" t="s">
        <v>586</v>
      </c>
      <c r="Q746" s="14" t="s">
        <v>561</v>
      </c>
      <c r="R746" s="14" t="s">
        <v>1258</v>
      </c>
      <c r="S746" s="15">
        <v>8.6</v>
      </c>
      <c r="T746" s="15">
        <v>0</v>
      </c>
      <c r="U746" s="15">
        <v>0</v>
      </c>
      <c r="V746" s="14">
        <v>894</v>
      </c>
      <c r="W746" s="12">
        <v>0</v>
      </c>
      <c r="X746" s="12">
        <v>0</v>
      </c>
      <c r="Y746" s="12">
        <v>0.53</v>
      </c>
      <c r="Z746" s="12">
        <v>0</v>
      </c>
      <c r="AA746" s="12">
        <v>0</v>
      </c>
      <c r="AB746" s="13">
        <f t="shared" si="45"/>
        <v>0</v>
      </c>
      <c r="AE746" s="12">
        <v>0</v>
      </c>
      <c r="AF746" s="12">
        <v>0</v>
      </c>
      <c r="AG746" s="12">
        <v>0.53</v>
      </c>
      <c r="AH746" s="12">
        <v>0</v>
      </c>
      <c r="AI746" s="12">
        <v>0</v>
      </c>
      <c r="AJ746" s="13">
        <f t="shared" si="46"/>
        <v>0</v>
      </c>
      <c r="AN746" s="12">
        <f t="shared" si="47"/>
        <v>474</v>
      </c>
      <c r="AQ746" s="8" t="s">
        <v>418</v>
      </c>
      <c r="AR746" t="str">
        <f t="shared" si="48"/>
        <v>Noroeste - A04</v>
      </c>
    </row>
    <row r="747" spans="1:44" x14ac:dyDescent="0.2">
      <c r="A747" s="107" t="s">
        <v>3696</v>
      </c>
      <c r="B747" s="106" t="s">
        <v>3695</v>
      </c>
      <c r="C747" s="106" t="s">
        <v>3694</v>
      </c>
      <c r="D747" s="106" t="s">
        <v>1269</v>
      </c>
      <c r="E747" s="106" t="s">
        <v>3693</v>
      </c>
      <c r="F747" s="106" t="s">
        <v>490</v>
      </c>
      <c r="G747" s="106" t="s">
        <v>3692</v>
      </c>
      <c r="H747" s="105" t="s">
        <v>3691</v>
      </c>
      <c r="I747" s="105" t="s">
        <v>3690</v>
      </c>
      <c r="J747" s="104">
        <v>17.309999999999999</v>
      </c>
      <c r="K747" s="103" t="s">
        <v>424</v>
      </c>
      <c r="L747" s="102" t="s">
        <v>533</v>
      </c>
      <c r="M747" s="95"/>
      <c r="N747" s="14"/>
      <c r="O747" s="94">
        <v>26</v>
      </c>
      <c r="P747" s="14" t="s">
        <v>485</v>
      </c>
      <c r="Q747" s="14" t="s">
        <v>887</v>
      </c>
      <c r="R747" s="14" t="s">
        <v>585</v>
      </c>
      <c r="S747" s="15">
        <v>7</v>
      </c>
      <c r="T747" s="15">
        <v>0</v>
      </c>
      <c r="U747" s="15">
        <v>0</v>
      </c>
      <c r="V747" s="14">
        <v>1154</v>
      </c>
      <c r="W747" s="12">
        <v>0</v>
      </c>
      <c r="X747" s="12">
        <v>0</v>
      </c>
      <c r="Y747" s="12">
        <v>0</v>
      </c>
      <c r="Z747" s="12">
        <v>17.309999999999999</v>
      </c>
      <c r="AA747" s="12">
        <v>0</v>
      </c>
      <c r="AB747" s="13">
        <f t="shared" si="45"/>
        <v>0</v>
      </c>
      <c r="AE747" s="12">
        <v>0</v>
      </c>
      <c r="AF747" s="12">
        <v>0</v>
      </c>
      <c r="AG747" s="12">
        <v>0</v>
      </c>
      <c r="AH747" s="12">
        <v>17.309999999999999</v>
      </c>
      <c r="AI747" s="12">
        <v>0</v>
      </c>
      <c r="AJ747" s="13">
        <f t="shared" si="46"/>
        <v>0</v>
      </c>
      <c r="AN747" s="12">
        <f t="shared" si="47"/>
        <v>19976</v>
      </c>
      <c r="AQ747" s="8" t="s">
        <v>418</v>
      </c>
      <c r="AR747" t="str">
        <f t="shared" si="48"/>
        <v>Noroeste - A04</v>
      </c>
    </row>
    <row r="748" spans="1:44" x14ac:dyDescent="0.2">
      <c r="A748" s="107" t="s">
        <v>3689</v>
      </c>
      <c r="B748" s="106" t="s">
        <v>3688</v>
      </c>
      <c r="C748" s="106" t="s">
        <v>3654</v>
      </c>
      <c r="D748" s="106" t="s">
        <v>492</v>
      </c>
      <c r="E748" s="106" t="s">
        <v>3687</v>
      </c>
      <c r="F748" s="106" t="s">
        <v>606</v>
      </c>
      <c r="G748" s="106" t="s">
        <v>3686</v>
      </c>
      <c r="H748" s="105" t="s">
        <v>3681</v>
      </c>
      <c r="I748" s="105" t="s">
        <v>1483</v>
      </c>
      <c r="J748" s="104">
        <v>0.47</v>
      </c>
      <c r="K748" s="103" t="s">
        <v>422</v>
      </c>
      <c r="L748" s="102" t="s">
        <v>533</v>
      </c>
      <c r="M748" s="95"/>
      <c r="N748" s="14"/>
      <c r="O748" s="94">
        <v>24</v>
      </c>
      <c r="P748" s="14" t="s">
        <v>596</v>
      </c>
      <c r="Q748" s="14" t="s">
        <v>497</v>
      </c>
      <c r="R748" s="14" t="s">
        <v>496</v>
      </c>
      <c r="S748" s="15">
        <v>8</v>
      </c>
      <c r="T748" s="15">
        <v>0</v>
      </c>
      <c r="U748" s="15">
        <v>0</v>
      </c>
      <c r="V748" s="14">
        <v>300</v>
      </c>
      <c r="W748" s="12">
        <v>0</v>
      </c>
      <c r="X748" s="12">
        <v>0</v>
      </c>
      <c r="Y748" s="12">
        <v>0</v>
      </c>
      <c r="Z748" s="12">
        <v>0.47</v>
      </c>
      <c r="AA748" s="12">
        <v>0</v>
      </c>
      <c r="AB748" s="13">
        <f t="shared" si="45"/>
        <v>0</v>
      </c>
      <c r="AE748" s="12">
        <v>0</v>
      </c>
      <c r="AF748" s="12">
        <v>0</v>
      </c>
      <c r="AG748" s="12">
        <v>0</v>
      </c>
      <c r="AH748" s="12">
        <v>0.47</v>
      </c>
      <c r="AI748" s="12">
        <v>0</v>
      </c>
      <c r="AJ748" s="13">
        <f t="shared" si="46"/>
        <v>0</v>
      </c>
      <c r="AN748" s="12">
        <f t="shared" si="47"/>
        <v>141</v>
      </c>
      <c r="AQ748" s="8" t="s">
        <v>418</v>
      </c>
      <c r="AR748" t="str">
        <f t="shared" si="48"/>
        <v>Noroeste - A02</v>
      </c>
    </row>
    <row r="749" spans="1:44" x14ac:dyDescent="0.2">
      <c r="A749" s="107" t="s">
        <v>3685</v>
      </c>
      <c r="B749" s="106" t="s">
        <v>3684</v>
      </c>
      <c r="C749" s="106" t="s">
        <v>3654</v>
      </c>
      <c r="D749" s="106" t="s">
        <v>492</v>
      </c>
      <c r="E749" s="106" t="s">
        <v>3683</v>
      </c>
      <c r="F749" s="106" t="s">
        <v>600</v>
      </c>
      <c r="G749" s="106" t="s">
        <v>3682</v>
      </c>
      <c r="H749" s="105" t="s">
        <v>3681</v>
      </c>
      <c r="I749" s="105" t="s">
        <v>1483</v>
      </c>
      <c r="J749" s="104">
        <v>0.47</v>
      </c>
      <c r="K749" s="103" t="s">
        <v>422</v>
      </c>
      <c r="L749" s="102" t="s">
        <v>533</v>
      </c>
      <c r="M749" s="95"/>
      <c r="N749" s="14"/>
      <c r="O749" s="94">
        <v>24</v>
      </c>
      <c r="P749" s="14" t="s">
        <v>596</v>
      </c>
      <c r="Q749" s="14" t="s">
        <v>497</v>
      </c>
      <c r="R749" s="14" t="s">
        <v>496</v>
      </c>
      <c r="S749" s="15">
        <v>8</v>
      </c>
      <c r="T749" s="15">
        <v>0</v>
      </c>
      <c r="U749" s="15">
        <v>0</v>
      </c>
      <c r="V749" s="14">
        <v>300</v>
      </c>
      <c r="W749" s="12">
        <v>0</v>
      </c>
      <c r="X749" s="12">
        <v>0</v>
      </c>
      <c r="Y749" s="12">
        <v>0</v>
      </c>
      <c r="Z749" s="12">
        <v>0.47</v>
      </c>
      <c r="AA749" s="12">
        <v>0</v>
      </c>
      <c r="AB749" s="13">
        <f t="shared" si="45"/>
        <v>0</v>
      </c>
      <c r="AE749" s="12">
        <v>0</v>
      </c>
      <c r="AF749" s="12">
        <v>0</v>
      </c>
      <c r="AG749" s="12">
        <v>0</v>
      </c>
      <c r="AH749" s="12">
        <v>0.47</v>
      </c>
      <c r="AI749" s="12">
        <v>0</v>
      </c>
      <c r="AJ749" s="13">
        <f t="shared" si="46"/>
        <v>0</v>
      </c>
      <c r="AN749" s="12">
        <f t="shared" si="47"/>
        <v>141</v>
      </c>
      <c r="AQ749" s="8" t="s">
        <v>418</v>
      </c>
      <c r="AR749" t="str">
        <f t="shared" si="48"/>
        <v>Noroeste - A02</v>
      </c>
    </row>
    <row r="750" spans="1:44" x14ac:dyDescent="0.2">
      <c r="A750" s="107" t="s">
        <v>3680</v>
      </c>
      <c r="B750" s="106" t="s">
        <v>3679</v>
      </c>
      <c r="C750" s="106" t="s">
        <v>3654</v>
      </c>
      <c r="D750" s="106" t="s">
        <v>1128</v>
      </c>
      <c r="E750" s="106" t="s">
        <v>3659</v>
      </c>
      <c r="F750" s="106" t="s">
        <v>490</v>
      </c>
      <c r="G750" s="106" t="s">
        <v>3678</v>
      </c>
      <c r="H750" s="105" t="s">
        <v>3677</v>
      </c>
      <c r="I750" s="105" t="s">
        <v>3676</v>
      </c>
      <c r="J750" s="104">
        <v>24.68</v>
      </c>
      <c r="K750" s="103" t="s">
        <v>422</v>
      </c>
      <c r="L750" s="102" t="s">
        <v>533</v>
      </c>
      <c r="M750" s="95"/>
      <c r="N750" s="14"/>
      <c r="O750" s="94">
        <v>24</v>
      </c>
      <c r="P750" s="14" t="s">
        <v>485</v>
      </c>
      <c r="Q750" s="14" t="s">
        <v>497</v>
      </c>
      <c r="R750" s="14" t="s">
        <v>496</v>
      </c>
      <c r="S750" s="15">
        <v>6.6</v>
      </c>
      <c r="T750" s="15">
        <v>0</v>
      </c>
      <c r="U750" s="15">
        <v>0</v>
      </c>
      <c r="V750" s="14">
        <v>420</v>
      </c>
      <c r="W750" s="12">
        <v>0</v>
      </c>
      <c r="X750" s="12">
        <v>0</v>
      </c>
      <c r="Y750" s="12">
        <v>4</v>
      </c>
      <c r="Z750" s="12">
        <v>20.68</v>
      </c>
      <c r="AA750" s="12">
        <v>0</v>
      </c>
      <c r="AB750" s="13">
        <f t="shared" si="45"/>
        <v>0</v>
      </c>
      <c r="AE750" s="12">
        <v>0</v>
      </c>
      <c r="AF750" s="12">
        <v>0</v>
      </c>
      <c r="AG750" s="12">
        <v>4</v>
      </c>
      <c r="AH750" s="12">
        <v>20.68</v>
      </c>
      <c r="AI750" s="12">
        <v>0</v>
      </c>
      <c r="AJ750" s="13">
        <f t="shared" si="46"/>
        <v>0</v>
      </c>
      <c r="AN750" s="12">
        <f t="shared" si="47"/>
        <v>10366</v>
      </c>
      <c r="AQ750" s="8" t="s">
        <v>418</v>
      </c>
      <c r="AR750" t="str">
        <f t="shared" si="48"/>
        <v>Noroeste - A02</v>
      </c>
    </row>
    <row r="751" spans="1:44" x14ac:dyDescent="0.2">
      <c r="A751" s="107" t="s">
        <v>3675</v>
      </c>
      <c r="B751" s="106" t="s">
        <v>3674</v>
      </c>
      <c r="C751" s="106" t="s">
        <v>3654</v>
      </c>
      <c r="D751" s="106" t="s">
        <v>3673</v>
      </c>
      <c r="E751" s="106" t="s">
        <v>3659</v>
      </c>
      <c r="F751" s="106" t="s">
        <v>490</v>
      </c>
      <c r="G751" s="106" t="s">
        <v>3672</v>
      </c>
      <c r="H751" s="105" t="s">
        <v>3671</v>
      </c>
      <c r="I751" s="105" t="s">
        <v>3670</v>
      </c>
      <c r="J751" s="104">
        <v>1.47</v>
      </c>
      <c r="K751" s="103" t="s">
        <v>426</v>
      </c>
      <c r="L751" s="102" t="s">
        <v>533</v>
      </c>
      <c r="M751" s="95"/>
      <c r="N751" s="14"/>
      <c r="O751" s="94">
        <v>28</v>
      </c>
      <c r="P751" s="14" t="s">
        <v>485</v>
      </c>
      <c r="Q751" s="14" t="s">
        <v>497</v>
      </c>
      <c r="R751" s="14" t="s">
        <v>496</v>
      </c>
      <c r="S751" s="15">
        <v>6.6</v>
      </c>
      <c r="T751" s="15">
        <v>0</v>
      </c>
      <c r="U751" s="15">
        <v>0</v>
      </c>
      <c r="V751" s="14">
        <v>984</v>
      </c>
      <c r="W751" s="12">
        <v>0</v>
      </c>
      <c r="X751" s="12">
        <v>0</v>
      </c>
      <c r="Y751" s="12">
        <v>0</v>
      </c>
      <c r="Z751" s="12">
        <v>1.47</v>
      </c>
      <c r="AA751" s="12">
        <v>0</v>
      </c>
      <c r="AB751" s="13">
        <f t="shared" si="45"/>
        <v>0</v>
      </c>
      <c r="AE751" s="12">
        <v>0</v>
      </c>
      <c r="AF751" s="12">
        <v>0</v>
      </c>
      <c r="AG751" s="12">
        <v>0</v>
      </c>
      <c r="AH751" s="12">
        <v>1.47</v>
      </c>
      <c r="AI751" s="12">
        <v>0</v>
      </c>
      <c r="AJ751" s="13">
        <f t="shared" si="46"/>
        <v>0</v>
      </c>
      <c r="AN751" s="12">
        <f t="shared" si="47"/>
        <v>1447</v>
      </c>
      <c r="AQ751" s="8" t="s">
        <v>418</v>
      </c>
      <c r="AR751" t="str">
        <f t="shared" si="48"/>
        <v>Noroeste - A06</v>
      </c>
    </row>
    <row r="752" spans="1:44" x14ac:dyDescent="0.2">
      <c r="A752" s="107" t="s">
        <v>3669</v>
      </c>
      <c r="B752" s="106" t="s">
        <v>3668</v>
      </c>
      <c r="C752" s="106" t="s">
        <v>3654</v>
      </c>
      <c r="D752" s="106" t="s">
        <v>513</v>
      </c>
      <c r="E752" s="106" t="s">
        <v>3659</v>
      </c>
      <c r="F752" s="106" t="s">
        <v>490</v>
      </c>
      <c r="G752" s="106" t="s">
        <v>3667</v>
      </c>
      <c r="H752" s="105" t="s">
        <v>3666</v>
      </c>
      <c r="I752" s="105" t="s">
        <v>3662</v>
      </c>
      <c r="J752" s="104">
        <v>3.08</v>
      </c>
      <c r="K752" s="103" t="s">
        <v>426</v>
      </c>
      <c r="L752" s="102" t="s">
        <v>533</v>
      </c>
      <c r="M752" s="95"/>
      <c r="N752" s="14"/>
      <c r="O752" s="94">
        <v>28</v>
      </c>
      <c r="P752" s="14" t="s">
        <v>485</v>
      </c>
      <c r="Q752" s="14" t="s">
        <v>497</v>
      </c>
      <c r="R752" s="14" t="s">
        <v>496</v>
      </c>
      <c r="S752" s="15">
        <v>7.2</v>
      </c>
      <c r="T752" s="15">
        <v>0.6</v>
      </c>
      <c r="U752" s="15">
        <v>0</v>
      </c>
      <c r="V752" s="14">
        <v>2168</v>
      </c>
      <c r="W752" s="12">
        <v>0</v>
      </c>
      <c r="X752" s="12">
        <v>0</v>
      </c>
      <c r="Y752" s="12">
        <v>2</v>
      </c>
      <c r="Z752" s="12">
        <v>1.08</v>
      </c>
      <c r="AA752" s="12">
        <v>0</v>
      </c>
      <c r="AB752" s="13">
        <f t="shared" si="45"/>
        <v>0</v>
      </c>
      <c r="AE752" s="12">
        <v>0</v>
      </c>
      <c r="AF752" s="12">
        <v>0</v>
      </c>
      <c r="AG752" s="12">
        <v>2</v>
      </c>
      <c r="AH752" s="12">
        <v>1.08</v>
      </c>
      <c r="AI752" s="12">
        <v>0</v>
      </c>
      <c r="AJ752" s="13">
        <f t="shared" si="46"/>
        <v>0</v>
      </c>
      <c r="AN752" s="12">
        <f t="shared" si="47"/>
        <v>6678</v>
      </c>
      <c r="AQ752" s="8" t="s">
        <v>418</v>
      </c>
      <c r="AR752" t="str">
        <f t="shared" si="48"/>
        <v>Noroeste - A06</v>
      </c>
    </row>
    <row r="753" spans="1:44" x14ac:dyDescent="0.2">
      <c r="A753" s="107" t="s">
        <v>3665</v>
      </c>
      <c r="B753" s="106" t="s">
        <v>3664</v>
      </c>
      <c r="C753" s="106" t="s">
        <v>3654</v>
      </c>
      <c r="D753" s="106" t="s">
        <v>1324</v>
      </c>
      <c r="E753" s="106" t="s">
        <v>3653</v>
      </c>
      <c r="F753" s="106" t="s">
        <v>590</v>
      </c>
      <c r="G753" s="106" t="s">
        <v>3663</v>
      </c>
      <c r="H753" s="105" t="s">
        <v>3662</v>
      </c>
      <c r="I753" s="105" t="s">
        <v>3657</v>
      </c>
      <c r="J753" s="104">
        <v>1.85</v>
      </c>
      <c r="K753" s="103" t="s">
        <v>426</v>
      </c>
      <c r="L753" s="102" t="s">
        <v>533</v>
      </c>
      <c r="M753" s="95"/>
      <c r="N753" s="14"/>
      <c r="O753" s="94">
        <v>28</v>
      </c>
      <c r="P753" s="14" t="s">
        <v>586</v>
      </c>
      <c r="Q753" s="14" t="s">
        <v>497</v>
      </c>
      <c r="R753" s="14" t="s">
        <v>496</v>
      </c>
      <c r="S753" s="15">
        <v>14</v>
      </c>
      <c r="T753" s="15">
        <v>0</v>
      </c>
      <c r="U753" s="15">
        <v>0</v>
      </c>
      <c r="V753" s="14">
        <v>735</v>
      </c>
      <c r="W753" s="12">
        <v>0</v>
      </c>
      <c r="X753" s="12">
        <v>0</v>
      </c>
      <c r="Y753" s="12">
        <v>1.85</v>
      </c>
      <c r="Z753" s="12">
        <v>0</v>
      </c>
      <c r="AA753" s="12">
        <v>0</v>
      </c>
      <c r="AB753" s="13">
        <f t="shared" si="45"/>
        <v>0</v>
      </c>
      <c r="AE753" s="12">
        <v>0</v>
      </c>
      <c r="AF753" s="12">
        <v>0</v>
      </c>
      <c r="AG753" s="12">
        <v>1.85</v>
      </c>
      <c r="AH753" s="12">
        <v>0</v>
      </c>
      <c r="AI753" s="12">
        <v>0</v>
      </c>
      <c r="AJ753" s="13">
        <f t="shared" si="46"/>
        <v>0</v>
      </c>
      <c r="AN753" s="12">
        <f t="shared" si="47"/>
        <v>1360</v>
      </c>
      <c r="AQ753" s="8" t="s">
        <v>418</v>
      </c>
      <c r="AR753" t="str">
        <f t="shared" si="48"/>
        <v>Noroeste - A06</v>
      </c>
    </row>
    <row r="754" spans="1:44" x14ac:dyDescent="0.2">
      <c r="A754" s="107" t="s">
        <v>3661</v>
      </c>
      <c r="B754" s="106" t="s">
        <v>3660</v>
      </c>
      <c r="C754" s="106" t="s">
        <v>3654</v>
      </c>
      <c r="D754" s="106" t="s">
        <v>981</v>
      </c>
      <c r="E754" s="106" t="s">
        <v>3659</v>
      </c>
      <c r="F754" s="106" t="s">
        <v>490</v>
      </c>
      <c r="G754" s="106" t="s">
        <v>3658</v>
      </c>
      <c r="H754" s="105" t="s">
        <v>3657</v>
      </c>
      <c r="I754" s="105" t="s">
        <v>3651</v>
      </c>
      <c r="J754" s="104">
        <v>30.81</v>
      </c>
      <c r="K754" s="103" t="s">
        <v>426</v>
      </c>
      <c r="L754" s="102" t="s">
        <v>533</v>
      </c>
      <c r="M754" s="95"/>
      <c r="N754" s="14"/>
      <c r="O754" s="94">
        <v>28</v>
      </c>
      <c r="P754" s="14" t="s">
        <v>485</v>
      </c>
      <c r="Q754" s="14" t="s">
        <v>497</v>
      </c>
      <c r="R754" s="14" t="s">
        <v>496</v>
      </c>
      <c r="S754" s="15">
        <v>7.2</v>
      </c>
      <c r="T754" s="15">
        <v>0.6</v>
      </c>
      <c r="U754" s="15">
        <v>0</v>
      </c>
      <c r="V754" s="14">
        <v>826</v>
      </c>
      <c r="W754" s="12">
        <v>0</v>
      </c>
      <c r="X754" s="12">
        <v>0</v>
      </c>
      <c r="Y754" s="12">
        <v>4</v>
      </c>
      <c r="Z754" s="12">
        <v>26.81</v>
      </c>
      <c r="AA754" s="12">
        <v>0</v>
      </c>
      <c r="AB754" s="13">
        <f t="shared" si="45"/>
        <v>0</v>
      </c>
      <c r="AE754" s="12">
        <v>0</v>
      </c>
      <c r="AF754" s="12">
        <v>0</v>
      </c>
      <c r="AG754" s="12">
        <v>4</v>
      </c>
      <c r="AH754" s="12">
        <v>26.81</v>
      </c>
      <c r="AI754" s="12">
        <v>0</v>
      </c>
      <c r="AJ754" s="13">
        <f t="shared" si="46"/>
        <v>0</v>
      </c>
      <c r="AN754" s="12">
        <f t="shared" si="47"/>
        <v>25450</v>
      </c>
      <c r="AQ754" s="8" t="s">
        <v>418</v>
      </c>
      <c r="AR754" t="str">
        <f t="shared" si="48"/>
        <v>Noroeste - A06</v>
      </c>
    </row>
    <row r="755" spans="1:44" x14ac:dyDescent="0.2">
      <c r="A755" s="107" t="s">
        <v>3656</v>
      </c>
      <c r="B755" s="106" t="s">
        <v>3655</v>
      </c>
      <c r="C755" s="106" t="s">
        <v>3654</v>
      </c>
      <c r="D755" s="106" t="s">
        <v>1304</v>
      </c>
      <c r="E755" s="106" t="s">
        <v>3653</v>
      </c>
      <c r="F755" s="106" t="s">
        <v>590</v>
      </c>
      <c r="G755" s="106" t="s">
        <v>3652</v>
      </c>
      <c r="H755" s="105" t="s">
        <v>3651</v>
      </c>
      <c r="I755" s="105" t="s">
        <v>3650</v>
      </c>
      <c r="J755" s="104">
        <v>0.72</v>
      </c>
      <c r="K755" s="103" t="s">
        <v>426</v>
      </c>
      <c r="L755" s="102" t="s">
        <v>533</v>
      </c>
      <c r="M755" s="95"/>
      <c r="N755" s="14"/>
      <c r="O755" s="94">
        <v>28</v>
      </c>
      <c r="P755" s="14" t="s">
        <v>586</v>
      </c>
      <c r="Q755" s="14" t="s">
        <v>497</v>
      </c>
      <c r="R755" s="14" t="s">
        <v>496</v>
      </c>
      <c r="S755" s="15">
        <v>16</v>
      </c>
      <c r="T755" s="15">
        <v>0</v>
      </c>
      <c r="U755" s="15">
        <v>0</v>
      </c>
      <c r="V755" s="14">
        <v>618</v>
      </c>
      <c r="W755" s="12">
        <v>0</v>
      </c>
      <c r="X755" s="12">
        <v>0</v>
      </c>
      <c r="Y755" s="12">
        <v>0.72</v>
      </c>
      <c r="Z755" s="12">
        <v>0</v>
      </c>
      <c r="AA755" s="12">
        <v>0</v>
      </c>
      <c r="AB755" s="13">
        <f t="shared" si="45"/>
        <v>0</v>
      </c>
      <c r="AE755" s="12">
        <v>0</v>
      </c>
      <c r="AF755" s="12">
        <v>0</v>
      </c>
      <c r="AG755" s="12">
        <v>0.72</v>
      </c>
      <c r="AH755" s="12">
        <v>0</v>
      </c>
      <c r="AI755" s="12">
        <v>0</v>
      </c>
      <c r="AJ755" s="13">
        <f t="shared" si="46"/>
        <v>0</v>
      </c>
      <c r="AN755" s="12">
        <f t="shared" si="47"/>
        <v>445</v>
      </c>
      <c r="AQ755" s="8" t="s">
        <v>418</v>
      </c>
      <c r="AR755" t="str">
        <f t="shared" si="48"/>
        <v>Noroeste - A06</v>
      </c>
    </row>
    <row r="756" spans="1:44" x14ac:dyDescent="0.2">
      <c r="A756" s="107" t="s">
        <v>3649</v>
      </c>
      <c r="B756" s="106" t="s">
        <v>3648</v>
      </c>
      <c r="C756" s="106" t="s">
        <v>3602</v>
      </c>
      <c r="D756" s="106" t="s">
        <v>1637</v>
      </c>
      <c r="E756" s="106" t="s">
        <v>3601</v>
      </c>
      <c r="F756" s="106" t="s">
        <v>490</v>
      </c>
      <c r="G756" s="106" t="s">
        <v>3647</v>
      </c>
      <c r="H756" s="105" t="s">
        <v>1635</v>
      </c>
      <c r="I756" s="105" t="s">
        <v>3643</v>
      </c>
      <c r="J756" s="104">
        <v>1.93</v>
      </c>
      <c r="K756" s="103" t="s">
        <v>424</v>
      </c>
      <c r="L756" s="102" t="s">
        <v>533</v>
      </c>
      <c r="M756" s="95"/>
      <c r="N756" s="14"/>
      <c r="O756" s="94">
        <v>26</v>
      </c>
      <c r="P756" s="14" t="s">
        <v>485</v>
      </c>
      <c r="Q756" s="14" t="s">
        <v>561</v>
      </c>
      <c r="R756" s="14" t="s">
        <v>496</v>
      </c>
      <c r="S756" s="15">
        <v>7.1</v>
      </c>
      <c r="T756" s="15">
        <v>4.8</v>
      </c>
      <c r="U756" s="15">
        <v>0</v>
      </c>
      <c r="V756" s="14">
        <v>4902</v>
      </c>
      <c r="W756" s="12">
        <v>0</v>
      </c>
      <c r="X756" s="12">
        <v>0</v>
      </c>
      <c r="Y756" s="12">
        <v>0</v>
      </c>
      <c r="Z756" s="12">
        <v>1.93</v>
      </c>
      <c r="AA756" s="12">
        <v>0</v>
      </c>
      <c r="AB756" s="13">
        <f t="shared" si="45"/>
        <v>0</v>
      </c>
      <c r="AE756" s="12">
        <v>0</v>
      </c>
      <c r="AF756" s="12">
        <v>0</v>
      </c>
      <c r="AG756" s="12">
        <v>0</v>
      </c>
      <c r="AH756" s="12">
        <v>1.93</v>
      </c>
      <c r="AI756" s="12">
        <v>0</v>
      </c>
      <c r="AJ756" s="13">
        <f t="shared" si="46"/>
        <v>0</v>
      </c>
      <c r="AN756" s="12">
        <f t="shared" si="47"/>
        <v>9461</v>
      </c>
      <c r="AQ756" s="8" t="s">
        <v>418</v>
      </c>
      <c r="AR756" t="str">
        <f t="shared" si="48"/>
        <v>Noroeste - A04</v>
      </c>
    </row>
    <row r="757" spans="1:44" x14ac:dyDescent="0.2">
      <c r="A757" s="107" t="s">
        <v>3646</v>
      </c>
      <c r="B757" s="106" t="s">
        <v>3645</v>
      </c>
      <c r="C757" s="106" t="s">
        <v>3602</v>
      </c>
      <c r="D757" s="106" t="s">
        <v>1128</v>
      </c>
      <c r="E757" s="106" t="s">
        <v>3601</v>
      </c>
      <c r="F757" s="106" t="s">
        <v>490</v>
      </c>
      <c r="G757" s="106" t="s">
        <v>3644</v>
      </c>
      <c r="H757" s="105" t="s">
        <v>3643</v>
      </c>
      <c r="I757" s="105" t="s">
        <v>3639</v>
      </c>
      <c r="J757" s="104">
        <v>3.31</v>
      </c>
      <c r="K757" s="103" t="s">
        <v>424</v>
      </c>
      <c r="L757" s="102" t="s">
        <v>533</v>
      </c>
      <c r="M757" s="95"/>
      <c r="N757" s="14"/>
      <c r="O757" s="94">
        <v>26</v>
      </c>
      <c r="P757" s="14" t="s">
        <v>485</v>
      </c>
      <c r="Q757" s="14" t="s">
        <v>561</v>
      </c>
      <c r="R757" s="14" t="s">
        <v>496</v>
      </c>
      <c r="S757" s="15">
        <v>7.2</v>
      </c>
      <c r="T757" s="15">
        <v>4.8</v>
      </c>
      <c r="U757" s="15">
        <v>0</v>
      </c>
      <c r="V757" s="14">
        <v>4902</v>
      </c>
      <c r="W757" s="12">
        <v>0</v>
      </c>
      <c r="X757" s="12">
        <v>0</v>
      </c>
      <c r="Y757" s="12">
        <v>0</v>
      </c>
      <c r="Z757" s="12">
        <v>3.31</v>
      </c>
      <c r="AA757" s="12">
        <v>0</v>
      </c>
      <c r="AB757" s="13">
        <f t="shared" si="45"/>
        <v>0</v>
      </c>
      <c r="AE757" s="12">
        <v>0</v>
      </c>
      <c r="AF757" s="12">
        <v>0</v>
      </c>
      <c r="AG757" s="12">
        <v>0</v>
      </c>
      <c r="AH757" s="12">
        <v>3.31</v>
      </c>
      <c r="AI757" s="12">
        <v>0</v>
      </c>
      <c r="AJ757" s="13">
        <f t="shared" si="46"/>
        <v>0</v>
      </c>
      <c r="AN757" s="12">
        <f t="shared" si="47"/>
        <v>16226</v>
      </c>
      <c r="AQ757" s="8" t="s">
        <v>418</v>
      </c>
      <c r="AR757" t="str">
        <f t="shared" si="48"/>
        <v>Noroeste - A04</v>
      </c>
    </row>
    <row r="758" spans="1:44" x14ac:dyDescent="0.2">
      <c r="A758" s="107" t="s">
        <v>3642</v>
      </c>
      <c r="B758" s="106" t="s">
        <v>3641</v>
      </c>
      <c r="C758" s="106" t="s">
        <v>3602</v>
      </c>
      <c r="D758" s="106" t="s">
        <v>1106</v>
      </c>
      <c r="E758" s="106" t="s">
        <v>3601</v>
      </c>
      <c r="F758" s="106" t="s">
        <v>490</v>
      </c>
      <c r="G758" s="106" t="s">
        <v>3640</v>
      </c>
      <c r="H758" s="105" t="s">
        <v>3639</v>
      </c>
      <c r="I758" s="105" t="s">
        <v>3635</v>
      </c>
      <c r="J758" s="104">
        <v>8.85</v>
      </c>
      <c r="K758" s="103" t="s">
        <v>424</v>
      </c>
      <c r="L758" s="102" t="s">
        <v>533</v>
      </c>
      <c r="M758" s="95"/>
      <c r="N758" s="14"/>
      <c r="O758" s="94">
        <v>26</v>
      </c>
      <c r="P758" s="14" t="s">
        <v>485</v>
      </c>
      <c r="Q758" s="14" t="s">
        <v>561</v>
      </c>
      <c r="R758" s="14" t="s">
        <v>496</v>
      </c>
      <c r="S758" s="15">
        <v>7.1</v>
      </c>
      <c r="T758" s="15">
        <v>5</v>
      </c>
      <c r="U758" s="15">
        <v>0</v>
      </c>
      <c r="V758" s="14">
        <v>3020</v>
      </c>
      <c r="W758" s="12">
        <v>0</v>
      </c>
      <c r="X758" s="12">
        <v>1</v>
      </c>
      <c r="Y758" s="12">
        <v>2</v>
      </c>
      <c r="Z758" s="12">
        <v>5.85</v>
      </c>
      <c r="AA758" s="12">
        <v>0</v>
      </c>
      <c r="AB758" s="13">
        <f t="shared" si="45"/>
        <v>0</v>
      </c>
      <c r="AE758" s="12">
        <v>0</v>
      </c>
      <c r="AF758" s="12">
        <v>1</v>
      </c>
      <c r="AG758" s="12">
        <v>2</v>
      </c>
      <c r="AH758" s="12">
        <v>5.85</v>
      </c>
      <c r="AI758" s="12">
        <v>0</v>
      </c>
      <c r="AJ758" s="13">
        <f t="shared" si="46"/>
        <v>0</v>
      </c>
      <c r="AN758" s="12">
        <f t="shared" si="47"/>
        <v>26727</v>
      </c>
      <c r="AQ758" s="8" t="s">
        <v>418</v>
      </c>
      <c r="AR758" t="str">
        <f t="shared" si="48"/>
        <v>Noroeste - A04</v>
      </c>
    </row>
    <row r="759" spans="1:44" x14ac:dyDescent="0.2">
      <c r="A759" s="107" t="s">
        <v>3638</v>
      </c>
      <c r="B759" s="106" t="s">
        <v>3637</v>
      </c>
      <c r="C759" s="106" t="s">
        <v>3602</v>
      </c>
      <c r="D759" s="106" t="s">
        <v>519</v>
      </c>
      <c r="E759" s="106" t="s">
        <v>3601</v>
      </c>
      <c r="F759" s="106" t="s">
        <v>490</v>
      </c>
      <c r="G759" s="106" t="s">
        <v>3636</v>
      </c>
      <c r="H759" s="105" t="s">
        <v>3635</v>
      </c>
      <c r="I759" s="105" t="s">
        <v>3634</v>
      </c>
      <c r="J759" s="104">
        <v>1.6</v>
      </c>
      <c r="K759" s="103" t="s">
        <v>424</v>
      </c>
      <c r="L759" s="102" t="s">
        <v>533</v>
      </c>
      <c r="M759" s="95"/>
      <c r="N759" s="14"/>
      <c r="O759" s="94">
        <v>26</v>
      </c>
      <c r="P759" s="14" t="s">
        <v>485</v>
      </c>
      <c r="Q759" s="14" t="s">
        <v>561</v>
      </c>
      <c r="R759" s="14" t="s">
        <v>496</v>
      </c>
      <c r="S759" s="15">
        <v>7.2</v>
      </c>
      <c r="T759" s="15">
        <v>5</v>
      </c>
      <c r="U759" s="15">
        <v>0</v>
      </c>
      <c r="V759" s="14">
        <v>4902</v>
      </c>
      <c r="W759" s="12">
        <v>0</v>
      </c>
      <c r="X759" s="12">
        <v>0.60000000000000009</v>
      </c>
      <c r="Y759" s="12">
        <v>0</v>
      </c>
      <c r="Z759" s="12">
        <v>1</v>
      </c>
      <c r="AA759" s="12">
        <v>0</v>
      </c>
      <c r="AB759" s="13">
        <f t="shared" si="45"/>
        <v>0</v>
      </c>
      <c r="AE759" s="12">
        <v>0</v>
      </c>
      <c r="AF759" s="12">
        <v>0.60000000000000009</v>
      </c>
      <c r="AG759" s="12">
        <v>0</v>
      </c>
      <c r="AH759" s="12">
        <v>1</v>
      </c>
      <c r="AI759" s="12">
        <v>0</v>
      </c>
      <c r="AJ759" s="13">
        <f t="shared" si="46"/>
        <v>0</v>
      </c>
      <c r="AN759" s="12">
        <f t="shared" si="47"/>
        <v>7844</v>
      </c>
      <c r="AQ759" s="8" t="s">
        <v>418</v>
      </c>
      <c r="AR759" t="str">
        <f t="shared" si="48"/>
        <v>Noroeste - A04</v>
      </c>
    </row>
    <row r="760" spans="1:44" x14ac:dyDescent="0.2">
      <c r="A760" s="107" t="s">
        <v>3633</v>
      </c>
      <c r="B760" s="106" t="s">
        <v>3632</v>
      </c>
      <c r="C760" s="106" t="s">
        <v>3602</v>
      </c>
      <c r="D760" s="106" t="s">
        <v>1329</v>
      </c>
      <c r="E760" s="106" t="s">
        <v>3601</v>
      </c>
      <c r="F760" s="106" t="s">
        <v>490</v>
      </c>
      <c r="G760" s="106" t="s">
        <v>3631</v>
      </c>
      <c r="H760" s="105" t="s">
        <v>3630</v>
      </c>
      <c r="I760" s="105" t="s">
        <v>3626</v>
      </c>
      <c r="J760" s="104">
        <v>12.6</v>
      </c>
      <c r="K760" s="103" t="s">
        <v>424</v>
      </c>
      <c r="L760" s="102" t="s">
        <v>533</v>
      </c>
      <c r="M760" s="95"/>
      <c r="N760" s="14"/>
      <c r="O760" s="94">
        <v>26</v>
      </c>
      <c r="P760" s="14" t="s">
        <v>485</v>
      </c>
      <c r="Q760" s="14" t="s">
        <v>561</v>
      </c>
      <c r="R760" s="14" t="s">
        <v>496</v>
      </c>
      <c r="S760" s="15">
        <v>7.1</v>
      </c>
      <c r="T760" s="15">
        <v>5</v>
      </c>
      <c r="U760" s="15">
        <v>0</v>
      </c>
      <c r="V760" s="14">
        <v>4902</v>
      </c>
      <c r="W760" s="12">
        <v>0</v>
      </c>
      <c r="X760" s="12">
        <v>0</v>
      </c>
      <c r="Y760" s="12">
        <v>0</v>
      </c>
      <c r="Z760" s="12">
        <v>12.6</v>
      </c>
      <c r="AA760" s="12">
        <v>0</v>
      </c>
      <c r="AB760" s="13">
        <f t="shared" si="45"/>
        <v>0</v>
      </c>
      <c r="AE760" s="12">
        <v>0</v>
      </c>
      <c r="AF760" s="12">
        <v>0</v>
      </c>
      <c r="AG760" s="12">
        <v>0</v>
      </c>
      <c r="AH760" s="12">
        <v>12.6</v>
      </c>
      <c r="AI760" s="12">
        <v>0</v>
      </c>
      <c r="AJ760" s="13">
        <f t="shared" si="46"/>
        <v>0</v>
      </c>
      <c r="AN760" s="12">
        <f t="shared" si="47"/>
        <v>61766</v>
      </c>
      <c r="AQ760" s="8" t="s">
        <v>418</v>
      </c>
      <c r="AR760" t="str">
        <f t="shared" si="48"/>
        <v>Noroeste - A04</v>
      </c>
    </row>
    <row r="761" spans="1:44" x14ac:dyDescent="0.2">
      <c r="A761" s="107" t="s">
        <v>3629</v>
      </c>
      <c r="B761" s="106" t="s">
        <v>3628</v>
      </c>
      <c r="C761" s="106" t="s">
        <v>3602</v>
      </c>
      <c r="D761" s="106" t="s">
        <v>981</v>
      </c>
      <c r="E761" s="106" t="s">
        <v>3601</v>
      </c>
      <c r="F761" s="106" t="s">
        <v>490</v>
      </c>
      <c r="G761" s="106" t="s">
        <v>3627</v>
      </c>
      <c r="H761" s="105" t="s">
        <v>3626</v>
      </c>
      <c r="I761" s="105" t="s">
        <v>3622</v>
      </c>
      <c r="J761" s="104">
        <v>3.25</v>
      </c>
      <c r="K761" s="103" t="s">
        <v>424</v>
      </c>
      <c r="L761" s="102" t="s">
        <v>533</v>
      </c>
      <c r="M761" s="95"/>
      <c r="N761" s="14"/>
      <c r="O761" s="94">
        <v>26</v>
      </c>
      <c r="P761" s="14" t="s">
        <v>485</v>
      </c>
      <c r="Q761" s="14" t="s">
        <v>561</v>
      </c>
      <c r="R761" s="14" t="s">
        <v>496</v>
      </c>
      <c r="S761" s="15">
        <v>7</v>
      </c>
      <c r="T761" s="15">
        <v>5</v>
      </c>
      <c r="U761" s="15">
        <v>0</v>
      </c>
      <c r="V761" s="14">
        <v>4902</v>
      </c>
      <c r="W761" s="12">
        <v>0</v>
      </c>
      <c r="X761" s="12">
        <v>0</v>
      </c>
      <c r="Y761" s="12">
        <v>1</v>
      </c>
      <c r="Z761" s="12">
        <v>2.25</v>
      </c>
      <c r="AA761" s="12">
        <v>0</v>
      </c>
      <c r="AB761" s="13">
        <f t="shared" si="45"/>
        <v>0</v>
      </c>
      <c r="AE761" s="12">
        <v>0</v>
      </c>
      <c r="AF761" s="12">
        <v>0</v>
      </c>
      <c r="AG761" s="12">
        <v>1</v>
      </c>
      <c r="AH761" s="12">
        <v>2.25</v>
      </c>
      <c r="AI761" s="12">
        <v>0</v>
      </c>
      <c r="AJ761" s="13">
        <f t="shared" si="46"/>
        <v>0</v>
      </c>
      <c r="AN761" s="12">
        <f t="shared" si="47"/>
        <v>15932</v>
      </c>
      <c r="AQ761" s="8" t="s">
        <v>418</v>
      </c>
      <c r="AR761" t="str">
        <f t="shared" si="48"/>
        <v>Noroeste - A04</v>
      </c>
    </row>
    <row r="762" spans="1:44" x14ac:dyDescent="0.2">
      <c r="A762" s="107" t="s">
        <v>3625</v>
      </c>
      <c r="B762" s="106" t="s">
        <v>3624</v>
      </c>
      <c r="C762" s="106" t="s">
        <v>3602</v>
      </c>
      <c r="D762" s="106" t="s">
        <v>1269</v>
      </c>
      <c r="E762" s="106" t="s">
        <v>3601</v>
      </c>
      <c r="F762" s="106" t="s">
        <v>490</v>
      </c>
      <c r="G762" s="106" t="s">
        <v>3623</v>
      </c>
      <c r="H762" s="105" t="s">
        <v>3622</v>
      </c>
      <c r="I762" s="105" t="s">
        <v>3618</v>
      </c>
      <c r="J762" s="104">
        <v>8.3800000000000008</v>
      </c>
      <c r="K762" s="103" t="s">
        <v>424</v>
      </c>
      <c r="L762" s="102" t="s">
        <v>533</v>
      </c>
      <c r="M762" s="95"/>
      <c r="N762" s="14"/>
      <c r="O762" s="94">
        <v>26</v>
      </c>
      <c r="P762" s="14" t="s">
        <v>485</v>
      </c>
      <c r="Q762" s="14" t="s">
        <v>561</v>
      </c>
      <c r="R762" s="14" t="s">
        <v>496</v>
      </c>
      <c r="S762" s="15">
        <v>7.1</v>
      </c>
      <c r="T762" s="15">
        <v>5</v>
      </c>
      <c r="U762" s="15">
        <v>0</v>
      </c>
      <c r="V762" s="14">
        <v>5428</v>
      </c>
      <c r="W762" s="12">
        <v>0</v>
      </c>
      <c r="X762" s="12">
        <v>0</v>
      </c>
      <c r="Y762" s="12">
        <v>6.3800000000000008</v>
      </c>
      <c r="Z762" s="12">
        <v>2</v>
      </c>
      <c r="AA762" s="12">
        <v>0</v>
      </c>
      <c r="AB762" s="13">
        <f t="shared" si="45"/>
        <v>0</v>
      </c>
      <c r="AE762" s="12">
        <v>0</v>
      </c>
      <c r="AF762" s="12">
        <v>0</v>
      </c>
      <c r="AG762" s="12">
        <v>6.3800000000000008</v>
      </c>
      <c r="AH762" s="12">
        <v>2</v>
      </c>
      <c r="AI762" s="12">
        <v>0</v>
      </c>
      <c r="AJ762" s="13">
        <f t="shared" si="46"/>
        <v>0</v>
      </c>
      <c r="AN762" s="12">
        <f t="shared" si="47"/>
        <v>45487</v>
      </c>
      <c r="AQ762" s="8" t="s">
        <v>418</v>
      </c>
      <c r="AR762" t="str">
        <f t="shared" si="48"/>
        <v>Noroeste - A04</v>
      </c>
    </row>
    <row r="763" spans="1:44" x14ac:dyDescent="0.2">
      <c r="A763" s="107" t="s">
        <v>3621</v>
      </c>
      <c r="B763" s="106" t="s">
        <v>3620</v>
      </c>
      <c r="C763" s="106" t="s">
        <v>3602</v>
      </c>
      <c r="D763" s="106" t="s">
        <v>965</v>
      </c>
      <c r="E763" s="106" t="s">
        <v>3601</v>
      </c>
      <c r="F763" s="106" t="s">
        <v>490</v>
      </c>
      <c r="G763" s="106" t="s">
        <v>3619</v>
      </c>
      <c r="H763" s="105" t="s">
        <v>3618</v>
      </c>
      <c r="I763" s="105" t="s">
        <v>3614</v>
      </c>
      <c r="J763" s="104">
        <v>5.2</v>
      </c>
      <c r="K763" s="103" t="s">
        <v>421</v>
      </c>
      <c r="L763" s="102" t="s">
        <v>533</v>
      </c>
      <c r="M763" s="95"/>
      <c r="N763" s="14"/>
      <c r="O763" s="94">
        <v>23</v>
      </c>
      <c r="P763" s="14" t="s">
        <v>485</v>
      </c>
      <c r="Q763" s="14" t="s">
        <v>561</v>
      </c>
      <c r="R763" s="14" t="s">
        <v>496</v>
      </c>
      <c r="S763" s="15">
        <v>7.1</v>
      </c>
      <c r="T763" s="15">
        <v>5</v>
      </c>
      <c r="U763" s="15">
        <v>0</v>
      </c>
      <c r="V763" s="14">
        <v>5428</v>
      </c>
      <c r="W763" s="12">
        <v>0</v>
      </c>
      <c r="X763" s="12">
        <v>0</v>
      </c>
      <c r="Y763" s="12">
        <v>0</v>
      </c>
      <c r="Z763" s="12">
        <v>5.2</v>
      </c>
      <c r="AA763" s="12">
        <v>0</v>
      </c>
      <c r="AB763" s="13">
        <f t="shared" si="45"/>
        <v>0</v>
      </c>
      <c r="AE763" s="12">
        <v>0</v>
      </c>
      <c r="AF763" s="12">
        <v>0</v>
      </c>
      <c r="AG763" s="12">
        <v>0</v>
      </c>
      <c r="AH763" s="12">
        <v>5.2</v>
      </c>
      <c r="AI763" s="12">
        <v>0</v>
      </c>
      <c r="AJ763" s="13">
        <f t="shared" si="46"/>
        <v>0</v>
      </c>
      <c r="AN763" s="12">
        <f t="shared" si="47"/>
        <v>28226</v>
      </c>
      <c r="AQ763" s="8" t="s">
        <v>418</v>
      </c>
      <c r="AR763" t="str">
        <f t="shared" si="48"/>
        <v>Noroeste - A01</v>
      </c>
    </row>
    <row r="764" spans="1:44" x14ac:dyDescent="0.2">
      <c r="A764" s="107" t="s">
        <v>3617</v>
      </c>
      <c r="B764" s="106" t="s">
        <v>3616</v>
      </c>
      <c r="C764" s="106" t="s">
        <v>3602</v>
      </c>
      <c r="D764" s="106" t="s">
        <v>2152</v>
      </c>
      <c r="E764" s="106" t="s">
        <v>3601</v>
      </c>
      <c r="F764" s="106" t="s">
        <v>490</v>
      </c>
      <c r="G764" s="106" t="s">
        <v>3615</v>
      </c>
      <c r="H764" s="105" t="s">
        <v>3614</v>
      </c>
      <c r="I764" s="105" t="s">
        <v>3610</v>
      </c>
      <c r="J764" s="104">
        <v>5.24</v>
      </c>
      <c r="K764" s="103" t="s">
        <v>421</v>
      </c>
      <c r="L764" s="102" t="s">
        <v>533</v>
      </c>
      <c r="M764" s="95"/>
      <c r="N764" s="14"/>
      <c r="O764" s="94">
        <v>23</v>
      </c>
      <c r="P764" s="14" t="s">
        <v>485</v>
      </c>
      <c r="Q764" s="14" t="s">
        <v>561</v>
      </c>
      <c r="R764" s="14" t="s">
        <v>496</v>
      </c>
      <c r="S764" s="15">
        <v>7.1</v>
      </c>
      <c r="T764" s="15">
        <v>5</v>
      </c>
      <c r="U764" s="15">
        <v>0</v>
      </c>
      <c r="V764" s="14">
        <v>5428</v>
      </c>
      <c r="W764" s="12">
        <v>0</v>
      </c>
      <c r="X764" s="12">
        <v>0</v>
      </c>
      <c r="Y764" s="12">
        <v>0</v>
      </c>
      <c r="Z764" s="12">
        <v>5.24</v>
      </c>
      <c r="AA764" s="12">
        <v>0</v>
      </c>
      <c r="AB764" s="13">
        <f t="shared" si="45"/>
        <v>0</v>
      </c>
      <c r="AE764" s="12">
        <v>0</v>
      </c>
      <c r="AF764" s="12">
        <v>0</v>
      </c>
      <c r="AG764" s="12">
        <v>0</v>
      </c>
      <c r="AH764" s="12">
        <v>5.24</v>
      </c>
      <c r="AI764" s="12">
        <v>0</v>
      </c>
      <c r="AJ764" s="13">
        <f t="shared" si="46"/>
        <v>0</v>
      </c>
      <c r="AN764" s="12">
        <f t="shared" si="47"/>
        <v>28443</v>
      </c>
      <c r="AQ764" s="8" t="s">
        <v>418</v>
      </c>
      <c r="AR764" t="str">
        <f t="shared" si="48"/>
        <v>Noroeste - A01</v>
      </c>
    </row>
    <row r="765" spans="1:44" x14ac:dyDescent="0.2">
      <c r="A765" s="107" t="s">
        <v>3613</v>
      </c>
      <c r="B765" s="106" t="s">
        <v>3612</v>
      </c>
      <c r="C765" s="106" t="s">
        <v>3602</v>
      </c>
      <c r="D765" s="106" t="s">
        <v>633</v>
      </c>
      <c r="E765" s="106" t="s">
        <v>3601</v>
      </c>
      <c r="F765" s="106" t="s">
        <v>490</v>
      </c>
      <c r="G765" s="106" t="s">
        <v>3611</v>
      </c>
      <c r="H765" s="105" t="s">
        <v>3610</v>
      </c>
      <c r="I765" s="105" t="s">
        <v>3609</v>
      </c>
      <c r="J765" s="104">
        <v>2.62</v>
      </c>
      <c r="K765" s="103" t="s">
        <v>421</v>
      </c>
      <c r="L765" s="102" t="s">
        <v>533</v>
      </c>
      <c r="M765" s="95"/>
      <c r="N765" s="14"/>
      <c r="O765" s="94">
        <v>23</v>
      </c>
      <c r="P765" s="14" t="s">
        <v>485</v>
      </c>
      <c r="Q765" s="14" t="s">
        <v>561</v>
      </c>
      <c r="R765" s="14" t="s">
        <v>496</v>
      </c>
      <c r="S765" s="15">
        <v>7.2</v>
      </c>
      <c r="T765" s="15">
        <v>4.5999999999999996</v>
      </c>
      <c r="U765" s="15">
        <v>0</v>
      </c>
      <c r="V765" s="14">
        <v>5428</v>
      </c>
      <c r="W765" s="12">
        <v>0</v>
      </c>
      <c r="X765" s="12">
        <v>0</v>
      </c>
      <c r="Y765" s="12">
        <v>0</v>
      </c>
      <c r="Z765" s="12">
        <v>2.62</v>
      </c>
      <c r="AA765" s="12">
        <v>0</v>
      </c>
      <c r="AB765" s="13">
        <f t="shared" si="45"/>
        <v>0</v>
      </c>
      <c r="AE765" s="12">
        <v>0</v>
      </c>
      <c r="AF765" s="12">
        <v>0</v>
      </c>
      <c r="AG765" s="12">
        <v>0</v>
      </c>
      <c r="AH765" s="12">
        <v>2.62</v>
      </c>
      <c r="AI765" s="12">
        <v>0</v>
      </c>
      <c r="AJ765" s="13">
        <f t="shared" si="46"/>
        <v>0</v>
      </c>
      <c r="AN765" s="12">
        <f t="shared" si="47"/>
        <v>14222</v>
      </c>
      <c r="AQ765" s="8" t="s">
        <v>418</v>
      </c>
      <c r="AR765" t="str">
        <f t="shared" si="48"/>
        <v>Noroeste - A01</v>
      </c>
    </row>
    <row r="766" spans="1:44" x14ac:dyDescent="0.2">
      <c r="A766" s="107" t="s">
        <v>3608</v>
      </c>
      <c r="B766" s="106" t="s">
        <v>3607</v>
      </c>
      <c r="C766" s="106" t="s">
        <v>3602</v>
      </c>
      <c r="D766" s="106" t="s">
        <v>2145</v>
      </c>
      <c r="E766" s="106" t="s">
        <v>3601</v>
      </c>
      <c r="F766" s="106" t="s">
        <v>490</v>
      </c>
      <c r="G766" s="106" t="s">
        <v>3606</v>
      </c>
      <c r="H766" s="105" t="s">
        <v>3605</v>
      </c>
      <c r="I766" s="105" t="s">
        <v>3599</v>
      </c>
      <c r="J766" s="104">
        <v>1.55</v>
      </c>
      <c r="K766" s="103" t="s">
        <v>421</v>
      </c>
      <c r="L766" s="102" t="s">
        <v>533</v>
      </c>
      <c r="M766" s="95"/>
      <c r="N766" s="14"/>
      <c r="O766" s="94">
        <v>23</v>
      </c>
      <c r="P766" s="14" t="s">
        <v>485</v>
      </c>
      <c r="Q766" s="14" t="s">
        <v>561</v>
      </c>
      <c r="R766" s="14" t="s">
        <v>496</v>
      </c>
      <c r="S766" s="15">
        <v>7.2</v>
      </c>
      <c r="T766" s="15">
        <v>4.5999999999999996</v>
      </c>
      <c r="U766" s="15">
        <v>0</v>
      </c>
      <c r="V766" s="14">
        <v>3665</v>
      </c>
      <c r="W766" s="12">
        <v>0</v>
      </c>
      <c r="X766" s="12">
        <v>0</v>
      </c>
      <c r="Y766" s="12">
        <v>0</v>
      </c>
      <c r="Z766" s="12">
        <v>1.55</v>
      </c>
      <c r="AA766" s="12">
        <v>0</v>
      </c>
      <c r="AB766" s="13">
        <f t="shared" si="45"/>
        <v>0</v>
      </c>
      <c r="AE766" s="12">
        <v>0</v>
      </c>
      <c r="AF766" s="12">
        <v>0</v>
      </c>
      <c r="AG766" s="12">
        <v>0</v>
      </c>
      <c r="AH766" s="12">
        <v>1.55</v>
      </c>
      <c r="AI766" s="12">
        <v>0</v>
      </c>
      <c r="AJ766" s="13">
        <f t="shared" si="46"/>
        <v>0</v>
      </c>
      <c r="AN766" s="12">
        <f t="shared" si="47"/>
        <v>5681</v>
      </c>
      <c r="AQ766" s="8" t="s">
        <v>418</v>
      </c>
      <c r="AR766" t="str">
        <f t="shared" si="48"/>
        <v>Noroeste - A01</v>
      </c>
    </row>
    <row r="767" spans="1:44" x14ac:dyDescent="0.2">
      <c r="A767" s="107" t="s">
        <v>3604</v>
      </c>
      <c r="B767" s="106" t="s">
        <v>3603</v>
      </c>
      <c r="C767" s="106" t="s">
        <v>3602</v>
      </c>
      <c r="D767" s="106" t="s">
        <v>3025</v>
      </c>
      <c r="E767" s="106" t="s">
        <v>3601</v>
      </c>
      <c r="F767" s="106" t="s">
        <v>490</v>
      </c>
      <c r="G767" s="106" t="s">
        <v>3600</v>
      </c>
      <c r="H767" s="105" t="s">
        <v>3599</v>
      </c>
      <c r="I767" s="105" t="s">
        <v>3598</v>
      </c>
      <c r="J767" s="104">
        <v>22.07</v>
      </c>
      <c r="K767" s="103" t="s">
        <v>421</v>
      </c>
      <c r="L767" s="102" t="s">
        <v>533</v>
      </c>
      <c r="M767" s="95"/>
      <c r="N767" s="14"/>
      <c r="O767" s="94">
        <v>23</v>
      </c>
      <c r="P767" s="14" t="s">
        <v>485</v>
      </c>
      <c r="Q767" s="14" t="s">
        <v>561</v>
      </c>
      <c r="R767" s="14" t="s">
        <v>496</v>
      </c>
      <c r="S767" s="15">
        <v>7.2</v>
      </c>
      <c r="T767" s="15">
        <v>4.8</v>
      </c>
      <c r="U767" s="15">
        <v>0</v>
      </c>
      <c r="V767" s="14">
        <v>3124</v>
      </c>
      <c r="W767" s="12">
        <v>0</v>
      </c>
      <c r="X767" s="12">
        <v>0</v>
      </c>
      <c r="Y767" s="12">
        <v>0</v>
      </c>
      <c r="Z767" s="12">
        <v>22.07</v>
      </c>
      <c r="AA767" s="12">
        <v>0</v>
      </c>
      <c r="AB767" s="13">
        <f t="shared" si="45"/>
        <v>0</v>
      </c>
      <c r="AE767" s="12">
        <v>0</v>
      </c>
      <c r="AF767" s="12">
        <v>0</v>
      </c>
      <c r="AG767" s="12">
        <v>0</v>
      </c>
      <c r="AH767" s="12">
        <v>22.07</v>
      </c>
      <c r="AI767" s="12">
        <v>0</v>
      </c>
      <c r="AJ767" s="13">
        <f t="shared" si="46"/>
        <v>0</v>
      </c>
      <c r="AN767" s="12">
        <f t="shared" si="47"/>
        <v>68947</v>
      </c>
      <c r="AQ767" s="8" t="s">
        <v>418</v>
      </c>
      <c r="AR767" t="str">
        <f t="shared" si="48"/>
        <v>Noroeste - A01</v>
      </c>
    </row>
    <row r="768" spans="1:44" x14ac:dyDescent="0.2">
      <c r="A768" s="107" t="s">
        <v>3597</v>
      </c>
      <c r="B768" s="106" t="s">
        <v>3596</v>
      </c>
      <c r="C768" s="106" t="s">
        <v>3555</v>
      </c>
      <c r="D768" s="106" t="s">
        <v>751</v>
      </c>
      <c r="E768" s="106" t="s">
        <v>3560</v>
      </c>
      <c r="F768" s="106" t="s">
        <v>590</v>
      </c>
      <c r="G768" s="106" t="s">
        <v>3595</v>
      </c>
      <c r="H768" s="105" t="s">
        <v>3594</v>
      </c>
      <c r="I768" s="105" t="s">
        <v>3590</v>
      </c>
      <c r="J768" s="104">
        <v>1.37</v>
      </c>
      <c r="K768" s="103" t="s">
        <v>424</v>
      </c>
      <c r="L768" s="102" t="s">
        <v>533</v>
      </c>
      <c r="M768" s="95"/>
      <c r="N768" s="14"/>
      <c r="O768" s="94">
        <v>26</v>
      </c>
      <c r="P768" s="14" t="s">
        <v>586</v>
      </c>
      <c r="Q768" s="14" t="s">
        <v>561</v>
      </c>
      <c r="R768" s="14" t="s">
        <v>496</v>
      </c>
      <c r="S768" s="15">
        <v>12</v>
      </c>
      <c r="T768" s="15">
        <v>1</v>
      </c>
      <c r="U768" s="15">
        <v>0</v>
      </c>
      <c r="V768" s="14">
        <v>1314</v>
      </c>
      <c r="W768" s="12">
        <v>0</v>
      </c>
      <c r="X768" s="12">
        <v>0</v>
      </c>
      <c r="Y768" s="12">
        <v>0</v>
      </c>
      <c r="Z768" s="12">
        <v>1.37</v>
      </c>
      <c r="AA768" s="12">
        <v>0</v>
      </c>
      <c r="AB768" s="13">
        <f t="shared" si="45"/>
        <v>0</v>
      </c>
      <c r="AE768" s="12">
        <v>0</v>
      </c>
      <c r="AF768" s="12">
        <v>0</v>
      </c>
      <c r="AG768" s="12">
        <v>0</v>
      </c>
      <c r="AH768" s="12">
        <v>1.37</v>
      </c>
      <c r="AI768" s="12">
        <v>0</v>
      </c>
      <c r="AJ768" s="13">
        <f t="shared" si="46"/>
        <v>0</v>
      </c>
      <c r="AN768" s="12">
        <f t="shared" si="47"/>
        <v>1801</v>
      </c>
      <c r="AQ768" s="8" t="s">
        <v>418</v>
      </c>
      <c r="AR768" t="str">
        <f t="shared" si="48"/>
        <v>Noroeste - A04</v>
      </c>
    </row>
    <row r="769" spans="1:44" x14ac:dyDescent="0.2">
      <c r="A769" s="107" t="s">
        <v>3593</v>
      </c>
      <c r="B769" s="106" t="s">
        <v>3592</v>
      </c>
      <c r="C769" s="106" t="s">
        <v>3555</v>
      </c>
      <c r="D769" s="106" t="s">
        <v>1367</v>
      </c>
      <c r="E769" s="106" t="s">
        <v>3554</v>
      </c>
      <c r="F769" s="106" t="s">
        <v>490</v>
      </c>
      <c r="G769" s="106" t="s">
        <v>3591</v>
      </c>
      <c r="H769" s="105" t="s">
        <v>3590</v>
      </c>
      <c r="I769" s="105" t="s">
        <v>597</v>
      </c>
      <c r="J769" s="104">
        <v>2.5299999999999998</v>
      </c>
      <c r="K769" s="103" t="s">
        <v>424</v>
      </c>
      <c r="L769" s="102" t="s">
        <v>533</v>
      </c>
      <c r="M769" s="95"/>
      <c r="N769" s="14"/>
      <c r="O769" s="94">
        <v>26</v>
      </c>
      <c r="P769" s="14" t="s">
        <v>485</v>
      </c>
      <c r="Q769" s="14" t="s">
        <v>561</v>
      </c>
      <c r="R769" s="14" t="s">
        <v>585</v>
      </c>
      <c r="S769" s="15">
        <v>10.3</v>
      </c>
      <c r="T769" s="15">
        <v>1</v>
      </c>
      <c r="U769" s="15">
        <v>0</v>
      </c>
      <c r="V769" s="14">
        <v>420</v>
      </c>
      <c r="W769" s="12">
        <v>0</v>
      </c>
      <c r="X769" s="12">
        <v>0</v>
      </c>
      <c r="Y769" s="12">
        <v>0</v>
      </c>
      <c r="Z769" s="12">
        <v>2.5299999999999998</v>
      </c>
      <c r="AA769" s="12">
        <v>0</v>
      </c>
      <c r="AB769" s="13">
        <f t="shared" si="45"/>
        <v>0</v>
      </c>
      <c r="AE769" s="12">
        <v>0</v>
      </c>
      <c r="AF769" s="12">
        <v>0</v>
      </c>
      <c r="AG769" s="12">
        <v>0</v>
      </c>
      <c r="AH769" s="12">
        <v>2.5299999999999998</v>
      </c>
      <c r="AI769" s="12">
        <v>0</v>
      </c>
      <c r="AJ769" s="13">
        <f t="shared" si="46"/>
        <v>0</v>
      </c>
      <c r="AN769" s="12">
        <f t="shared" si="47"/>
        <v>1063</v>
      </c>
      <c r="AQ769" s="8" t="s">
        <v>418</v>
      </c>
      <c r="AR769" t="str">
        <f t="shared" si="48"/>
        <v>Noroeste - A04</v>
      </c>
    </row>
    <row r="770" spans="1:44" x14ac:dyDescent="0.2">
      <c r="A770" s="107" t="s">
        <v>3589</v>
      </c>
      <c r="B770" s="106" t="s">
        <v>3588</v>
      </c>
      <c r="C770" s="106" t="s">
        <v>3555</v>
      </c>
      <c r="D770" s="106" t="s">
        <v>1503</v>
      </c>
      <c r="E770" s="106" t="s">
        <v>3560</v>
      </c>
      <c r="F770" s="106" t="s">
        <v>590</v>
      </c>
      <c r="G770" s="106" t="s">
        <v>3587</v>
      </c>
      <c r="H770" s="105" t="s">
        <v>597</v>
      </c>
      <c r="I770" s="105" t="s">
        <v>587</v>
      </c>
      <c r="J770" s="104">
        <v>1.17</v>
      </c>
      <c r="K770" s="103" t="s">
        <v>424</v>
      </c>
      <c r="L770" s="102" t="s">
        <v>533</v>
      </c>
      <c r="M770" s="95"/>
      <c r="N770" s="14"/>
      <c r="O770" s="94">
        <v>26</v>
      </c>
      <c r="P770" s="14" t="s">
        <v>586</v>
      </c>
      <c r="Q770" s="14" t="s">
        <v>561</v>
      </c>
      <c r="R770" s="14" t="s">
        <v>585</v>
      </c>
      <c r="S770" s="15">
        <v>14</v>
      </c>
      <c r="T770" s="15">
        <v>1</v>
      </c>
      <c r="U770" s="15">
        <v>0</v>
      </c>
      <c r="V770" s="14">
        <v>1314</v>
      </c>
      <c r="W770" s="12">
        <v>0</v>
      </c>
      <c r="X770" s="12">
        <v>0</v>
      </c>
      <c r="Y770" s="12">
        <v>0</v>
      </c>
      <c r="Z770" s="12">
        <v>1.17</v>
      </c>
      <c r="AA770" s="12">
        <v>0</v>
      </c>
      <c r="AB770" s="13">
        <f t="shared" si="45"/>
        <v>0</v>
      </c>
      <c r="AE770" s="12">
        <v>0</v>
      </c>
      <c r="AF770" s="12">
        <v>0</v>
      </c>
      <c r="AG770" s="12">
        <v>0</v>
      </c>
      <c r="AH770" s="12">
        <v>1.17</v>
      </c>
      <c r="AI770" s="12">
        <v>0</v>
      </c>
      <c r="AJ770" s="13">
        <f t="shared" si="46"/>
        <v>0</v>
      </c>
      <c r="AN770" s="12">
        <f t="shared" si="47"/>
        <v>1538</v>
      </c>
      <c r="AQ770" s="8" t="s">
        <v>418</v>
      </c>
      <c r="AR770" t="str">
        <f t="shared" si="48"/>
        <v>Noroeste - A04</v>
      </c>
    </row>
    <row r="771" spans="1:44" x14ac:dyDescent="0.2">
      <c r="A771" s="107" t="s">
        <v>3586</v>
      </c>
      <c r="B771" s="106" t="s">
        <v>3585</v>
      </c>
      <c r="C771" s="106" t="s">
        <v>3555</v>
      </c>
      <c r="D771" s="106" t="s">
        <v>2131</v>
      </c>
      <c r="E771" s="106" t="s">
        <v>3560</v>
      </c>
      <c r="F771" s="106" t="s">
        <v>590</v>
      </c>
      <c r="G771" s="106" t="s">
        <v>3584</v>
      </c>
      <c r="H771" s="105" t="s">
        <v>587</v>
      </c>
      <c r="I771" s="105" t="s">
        <v>3580</v>
      </c>
      <c r="J771" s="104">
        <v>0.33</v>
      </c>
      <c r="K771" s="103" t="s">
        <v>424</v>
      </c>
      <c r="L771" s="102" t="s">
        <v>533</v>
      </c>
      <c r="M771" s="95"/>
      <c r="N771" s="14"/>
      <c r="O771" s="94">
        <v>26</v>
      </c>
      <c r="P771" s="14" t="s">
        <v>586</v>
      </c>
      <c r="Q771" s="14" t="s">
        <v>561</v>
      </c>
      <c r="R771" s="14" t="s">
        <v>585</v>
      </c>
      <c r="S771" s="15">
        <v>14</v>
      </c>
      <c r="T771" s="15">
        <v>1</v>
      </c>
      <c r="U771" s="15">
        <v>0</v>
      </c>
      <c r="V771" s="14">
        <v>1314</v>
      </c>
      <c r="W771" s="12">
        <v>0</v>
      </c>
      <c r="X771" s="12">
        <v>0</v>
      </c>
      <c r="Y771" s="12">
        <v>0</v>
      </c>
      <c r="Z771" s="12">
        <v>0.33</v>
      </c>
      <c r="AA771" s="12">
        <v>0</v>
      </c>
      <c r="AB771" s="13">
        <f t="shared" si="45"/>
        <v>0</v>
      </c>
      <c r="AE771" s="12">
        <v>0</v>
      </c>
      <c r="AF771" s="12">
        <v>0</v>
      </c>
      <c r="AG771" s="12">
        <v>0</v>
      </c>
      <c r="AH771" s="12">
        <v>0.33</v>
      </c>
      <c r="AI771" s="12">
        <v>0</v>
      </c>
      <c r="AJ771" s="13">
        <f t="shared" si="46"/>
        <v>0</v>
      </c>
      <c r="AN771" s="12">
        <f t="shared" si="47"/>
        <v>434</v>
      </c>
      <c r="AQ771" s="8" t="s">
        <v>418</v>
      </c>
      <c r="AR771" t="str">
        <f t="shared" si="48"/>
        <v>Noroeste - A04</v>
      </c>
    </row>
    <row r="772" spans="1:44" x14ac:dyDescent="0.2">
      <c r="A772" s="107" t="s">
        <v>3583</v>
      </c>
      <c r="B772" s="106" t="s">
        <v>3582</v>
      </c>
      <c r="C772" s="106" t="s">
        <v>3555</v>
      </c>
      <c r="D772" s="106" t="s">
        <v>492</v>
      </c>
      <c r="E772" s="106" t="s">
        <v>3554</v>
      </c>
      <c r="F772" s="106" t="s">
        <v>490</v>
      </c>
      <c r="G772" s="106" t="s">
        <v>3581</v>
      </c>
      <c r="H772" s="105" t="s">
        <v>3580</v>
      </c>
      <c r="I772" s="105" t="s">
        <v>3579</v>
      </c>
      <c r="J772" s="104">
        <v>9.6</v>
      </c>
      <c r="K772" s="103" t="s">
        <v>424</v>
      </c>
      <c r="L772" s="102" t="s">
        <v>533</v>
      </c>
      <c r="M772" s="95"/>
      <c r="N772" s="14"/>
      <c r="O772" s="94">
        <v>26</v>
      </c>
      <c r="P772" s="14" t="s">
        <v>485</v>
      </c>
      <c r="Q772" s="14" t="s">
        <v>561</v>
      </c>
      <c r="R772" s="14" t="s">
        <v>585</v>
      </c>
      <c r="S772" s="15">
        <v>7.0857142857142863</v>
      </c>
      <c r="T772" s="15">
        <v>1</v>
      </c>
      <c r="U772" s="15">
        <v>0</v>
      </c>
      <c r="V772" s="14">
        <v>1405</v>
      </c>
      <c r="W772" s="12">
        <v>0</v>
      </c>
      <c r="X772" s="12">
        <v>0</v>
      </c>
      <c r="Y772" s="12">
        <v>0</v>
      </c>
      <c r="Z772" s="12">
        <v>9.6</v>
      </c>
      <c r="AA772" s="12">
        <v>0</v>
      </c>
      <c r="AB772" s="13">
        <f t="shared" si="45"/>
        <v>0</v>
      </c>
      <c r="AE772" s="12">
        <v>0</v>
      </c>
      <c r="AF772" s="12">
        <v>0</v>
      </c>
      <c r="AG772" s="12">
        <v>0</v>
      </c>
      <c r="AH772" s="12">
        <v>9.6</v>
      </c>
      <c r="AI772" s="12">
        <v>0</v>
      </c>
      <c r="AJ772" s="13">
        <f t="shared" si="46"/>
        <v>0</v>
      </c>
      <c r="AN772" s="12">
        <f t="shared" si="47"/>
        <v>13488</v>
      </c>
      <c r="AQ772" s="8" t="s">
        <v>418</v>
      </c>
      <c r="AR772" t="str">
        <f t="shared" si="48"/>
        <v>Noroeste - A04</v>
      </c>
    </row>
    <row r="773" spans="1:44" x14ac:dyDescent="0.2">
      <c r="A773" s="107" t="s">
        <v>3578</v>
      </c>
      <c r="B773" s="106" t="s">
        <v>3577</v>
      </c>
      <c r="C773" s="106" t="s">
        <v>3555</v>
      </c>
      <c r="D773" s="106" t="s">
        <v>513</v>
      </c>
      <c r="E773" s="106" t="s">
        <v>3554</v>
      </c>
      <c r="F773" s="106" t="s">
        <v>490</v>
      </c>
      <c r="G773" s="106" t="s">
        <v>3576</v>
      </c>
      <c r="H773" s="105" t="s">
        <v>3575</v>
      </c>
      <c r="I773" s="105" t="s">
        <v>3571</v>
      </c>
      <c r="J773" s="104">
        <v>10.08</v>
      </c>
      <c r="K773" s="103" t="s">
        <v>424</v>
      </c>
      <c r="L773" s="102" t="s">
        <v>533</v>
      </c>
      <c r="M773" s="95"/>
      <c r="N773" s="14"/>
      <c r="O773" s="94">
        <v>26</v>
      </c>
      <c r="P773" s="14" t="s">
        <v>485</v>
      </c>
      <c r="Q773" s="14" t="s">
        <v>561</v>
      </c>
      <c r="R773" s="14" t="s">
        <v>585</v>
      </c>
      <c r="S773" s="15">
        <v>7</v>
      </c>
      <c r="T773" s="15">
        <v>0.7</v>
      </c>
      <c r="U773" s="15">
        <v>0</v>
      </c>
      <c r="V773" s="14">
        <v>1708</v>
      </c>
      <c r="W773" s="12">
        <v>0</v>
      </c>
      <c r="X773" s="12">
        <v>0</v>
      </c>
      <c r="Y773" s="12">
        <v>0</v>
      </c>
      <c r="Z773" s="12">
        <v>10.08</v>
      </c>
      <c r="AA773" s="12">
        <v>0</v>
      </c>
      <c r="AB773" s="13">
        <f t="shared" si="45"/>
        <v>0</v>
      </c>
      <c r="AE773" s="12">
        <v>0</v>
      </c>
      <c r="AF773" s="12">
        <v>0</v>
      </c>
      <c r="AG773" s="12">
        <v>0</v>
      </c>
      <c r="AH773" s="12">
        <v>10.08</v>
      </c>
      <c r="AI773" s="12">
        <v>0</v>
      </c>
      <c r="AJ773" s="13">
        <f t="shared" si="46"/>
        <v>0</v>
      </c>
      <c r="AN773" s="12">
        <f t="shared" si="47"/>
        <v>17217</v>
      </c>
      <c r="AQ773" s="8" t="s">
        <v>418</v>
      </c>
      <c r="AR773" t="str">
        <f t="shared" si="48"/>
        <v>Noroeste - A04</v>
      </c>
    </row>
    <row r="774" spans="1:44" x14ac:dyDescent="0.2">
      <c r="A774" s="107" t="s">
        <v>3574</v>
      </c>
      <c r="B774" s="106" t="s">
        <v>3573</v>
      </c>
      <c r="C774" s="106" t="s">
        <v>3555</v>
      </c>
      <c r="D774" s="106" t="s">
        <v>1324</v>
      </c>
      <c r="E774" s="106" t="s">
        <v>3560</v>
      </c>
      <c r="F774" s="106" t="s">
        <v>590</v>
      </c>
      <c r="G774" s="106" t="s">
        <v>3572</v>
      </c>
      <c r="H774" s="105" t="s">
        <v>3571</v>
      </c>
      <c r="I774" s="105" t="s">
        <v>3567</v>
      </c>
      <c r="J774" s="104">
        <v>0.35</v>
      </c>
      <c r="K774" s="103" t="s">
        <v>424</v>
      </c>
      <c r="L774" s="102" t="s">
        <v>533</v>
      </c>
      <c r="M774" s="95"/>
      <c r="N774" s="14"/>
      <c r="O774" s="94">
        <v>26</v>
      </c>
      <c r="P774" s="14" t="s">
        <v>586</v>
      </c>
      <c r="Q774" s="14" t="s">
        <v>887</v>
      </c>
      <c r="R774" s="14" t="s">
        <v>585</v>
      </c>
      <c r="S774" s="15">
        <v>9</v>
      </c>
      <c r="T774" s="15">
        <v>0</v>
      </c>
      <c r="U774" s="15">
        <v>0</v>
      </c>
      <c r="V774" s="14">
        <v>226</v>
      </c>
      <c r="W774" s="12">
        <v>0</v>
      </c>
      <c r="X774" s="12">
        <v>0</v>
      </c>
      <c r="Y774" s="12">
        <v>0.35</v>
      </c>
      <c r="Z774" s="12">
        <v>0</v>
      </c>
      <c r="AA774" s="12">
        <v>0</v>
      </c>
      <c r="AB774" s="13">
        <f t="shared" ref="AB774:AB837" si="49">SUM(W774:AA774)-J774</f>
        <v>0</v>
      </c>
      <c r="AE774" s="12">
        <v>0</v>
      </c>
      <c r="AF774" s="12">
        <v>0</v>
      </c>
      <c r="AG774" s="12">
        <v>0.35</v>
      </c>
      <c r="AH774" s="12">
        <v>0</v>
      </c>
      <c r="AI774" s="12">
        <v>0</v>
      </c>
      <c r="AJ774" s="13">
        <f t="shared" ref="AJ774:AJ837" si="50">SUM(AE774:AI774)-J774</f>
        <v>0</v>
      </c>
      <c r="AN774" s="12">
        <f t="shared" ref="AN774:AN837" si="51">ROUNDUP(V774*J774,0)</f>
        <v>80</v>
      </c>
      <c r="AQ774" s="8" t="s">
        <v>418</v>
      </c>
      <c r="AR774" t="str">
        <f t="shared" ref="AR774:AR837" si="52">AQ774&amp;" - "&amp;K774</f>
        <v>Noroeste - A04</v>
      </c>
    </row>
    <row r="775" spans="1:44" x14ac:dyDescent="0.2">
      <c r="A775" s="107" t="s">
        <v>3570</v>
      </c>
      <c r="B775" s="106" t="s">
        <v>3569</v>
      </c>
      <c r="C775" s="106" t="s">
        <v>3555</v>
      </c>
      <c r="D775" s="106" t="s">
        <v>1319</v>
      </c>
      <c r="E775" s="106" t="s">
        <v>3554</v>
      </c>
      <c r="F775" s="106" t="s">
        <v>490</v>
      </c>
      <c r="G775" s="106" t="s">
        <v>3568</v>
      </c>
      <c r="H775" s="105" t="s">
        <v>3567</v>
      </c>
      <c r="I775" s="105" t="s">
        <v>3563</v>
      </c>
      <c r="J775" s="104">
        <v>6.92</v>
      </c>
      <c r="K775" s="103" t="s">
        <v>424</v>
      </c>
      <c r="L775" s="102" t="s">
        <v>533</v>
      </c>
      <c r="M775" s="95"/>
      <c r="N775" s="14"/>
      <c r="O775" s="94">
        <v>26</v>
      </c>
      <c r="P775" s="14" t="s">
        <v>485</v>
      </c>
      <c r="Q775" s="14" t="s">
        <v>887</v>
      </c>
      <c r="R775" s="14" t="s">
        <v>585</v>
      </c>
      <c r="S775" s="15">
        <v>6.6</v>
      </c>
      <c r="T775" s="15">
        <v>1.5</v>
      </c>
      <c r="U775" s="15">
        <v>0</v>
      </c>
      <c r="V775" s="14">
        <v>734</v>
      </c>
      <c r="W775" s="12">
        <v>0</v>
      </c>
      <c r="X775" s="12">
        <v>0</v>
      </c>
      <c r="Y775" s="12">
        <v>2</v>
      </c>
      <c r="Z775" s="12">
        <v>4.92</v>
      </c>
      <c r="AA775" s="12">
        <v>0</v>
      </c>
      <c r="AB775" s="13">
        <f t="shared" si="49"/>
        <v>0</v>
      </c>
      <c r="AE775" s="12">
        <v>0</v>
      </c>
      <c r="AF775" s="12">
        <v>0</v>
      </c>
      <c r="AG775" s="12">
        <v>2</v>
      </c>
      <c r="AH775" s="12">
        <v>4.92</v>
      </c>
      <c r="AI775" s="12">
        <v>0</v>
      </c>
      <c r="AJ775" s="13">
        <f t="shared" si="50"/>
        <v>0</v>
      </c>
      <c r="AN775" s="12">
        <f t="shared" si="51"/>
        <v>5080</v>
      </c>
      <c r="AQ775" s="8" t="s">
        <v>418</v>
      </c>
      <c r="AR775" t="str">
        <f t="shared" si="52"/>
        <v>Noroeste - A04</v>
      </c>
    </row>
    <row r="776" spans="1:44" x14ac:dyDescent="0.2">
      <c r="A776" s="107" t="s">
        <v>3566</v>
      </c>
      <c r="B776" s="106" t="s">
        <v>3565</v>
      </c>
      <c r="C776" s="106" t="s">
        <v>3555</v>
      </c>
      <c r="D776" s="106" t="s">
        <v>1314</v>
      </c>
      <c r="E776" s="106" t="s">
        <v>3554</v>
      </c>
      <c r="F776" s="106" t="s">
        <v>490</v>
      </c>
      <c r="G776" s="106" t="s">
        <v>3564</v>
      </c>
      <c r="H776" s="105" t="s">
        <v>3563</v>
      </c>
      <c r="I776" s="105" t="s">
        <v>3558</v>
      </c>
      <c r="J776" s="104">
        <v>12.63</v>
      </c>
      <c r="K776" s="103" t="s">
        <v>424</v>
      </c>
      <c r="L776" s="102" t="s">
        <v>533</v>
      </c>
      <c r="M776" s="95"/>
      <c r="N776" s="14"/>
      <c r="O776" s="94">
        <v>26</v>
      </c>
      <c r="P776" s="14" t="s">
        <v>485</v>
      </c>
      <c r="Q776" s="14" t="s">
        <v>887</v>
      </c>
      <c r="R776" s="14" t="s">
        <v>585</v>
      </c>
      <c r="S776" s="15">
        <v>6.6</v>
      </c>
      <c r="T776" s="15">
        <v>1.5</v>
      </c>
      <c r="U776" s="15">
        <v>0</v>
      </c>
      <c r="V776" s="14">
        <v>734</v>
      </c>
      <c r="W776" s="12">
        <v>0</v>
      </c>
      <c r="X776" s="12">
        <v>0</v>
      </c>
      <c r="Y776" s="12">
        <v>0</v>
      </c>
      <c r="Z776" s="12">
        <v>12.63</v>
      </c>
      <c r="AA776" s="12">
        <v>0</v>
      </c>
      <c r="AB776" s="13">
        <f t="shared" si="49"/>
        <v>0</v>
      </c>
      <c r="AE776" s="12">
        <v>0</v>
      </c>
      <c r="AF776" s="12">
        <v>0</v>
      </c>
      <c r="AG776" s="12">
        <v>0</v>
      </c>
      <c r="AH776" s="12">
        <v>12.63</v>
      </c>
      <c r="AI776" s="12">
        <v>0</v>
      </c>
      <c r="AJ776" s="13">
        <f t="shared" si="50"/>
        <v>0</v>
      </c>
      <c r="AN776" s="12">
        <f t="shared" si="51"/>
        <v>9271</v>
      </c>
      <c r="AQ776" s="8" t="s">
        <v>418</v>
      </c>
      <c r="AR776" t="str">
        <f t="shared" si="52"/>
        <v>Noroeste - A04</v>
      </c>
    </row>
    <row r="777" spans="1:44" x14ac:dyDescent="0.2">
      <c r="A777" s="107" t="s">
        <v>3562</v>
      </c>
      <c r="B777" s="106" t="s">
        <v>3561</v>
      </c>
      <c r="C777" s="106" t="s">
        <v>3555</v>
      </c>
      <c r="D777" s="106" t="s">
        <v>1284</v>
      </c>
      <c r="E777" s="106" t="s">
        <v>3560</v>
      </c>
      <c r="F777" s="106" t="s">
        <v>590</v>
      </c>
      <c r="G777" s="106" t="s">
        <v>3559</v>
      </c>
      <c r="H777" s="105" t="s">
        <v>3558</v>
      </c>
      <c r="I777" s="105" t="s">
        <v>3552</v>
      </c>
      <c r="J777" s="104">
        <v>0.73</v>
      </c>
      <c r="K777" s="103" t="s">
        <v>424</v>
      </c>
      <c r="L777" s="102" t="s">
        <v>533</v>
      </c>
      <c r="M777" s="95"/>
      <c r="N777" s="14"/>
      <c r="O777" s="94">
        <v>26</v>
      </c>
      <c r="P777" s="14" t="s">
        <v>586</v>
      </c>
      <c r="Q777" s="14" t="s">
        <v>887</v>
      </c>
      <c r="R777" s="14" t="s">
        <v>585</v>
      </c>
      <c r="S777" s="15">
        <v>14</v>
      </c>
      <c r="T777" s="15">
        <v>0</v>
      </c>
      <c r="U777" s="15">
        <v>0</v>
      </c>
      <c r="V777" s="14">
        <v>226</v>
      </c>
      <c r="W777" s="12">
        <v>0</v>
      </c>
      <c r="X777" s="12">
        <v>0</v>
      </c>
      <c r="Y777" s="12">
        <v>0.73</v>
      </c>
      <c r="Z777" s="12">
        <v>0</v>
      </c>
      <c r="AA777" s="12">
        <v>0</v>
      </c>
      <c r="AB777" s="13">
        <f t="shared" si="49"/>
        <v>0</v>
      </c>
      <c r="AE777" s="12">
        <v>0</v>
      </c>
      <c r="AF777" s="12">
        <v>0</v>
      </c>
      <c r="AG777" s="12">
        <v>0.73</v>
      </c>
      <c r="AH777" s="12">
        <v>0</v>
      </c>
      <c r="AI777" s="12">
        <v>0</v>
      </c>
      <c r="AJ777" s="13">
        <f t="shared" si="50"/>
        <v>0</v>
      </c>
      <c r="AN777" s="12">
        <f t="shared" si="51"/>
        <v>165</v>
      </c>
      <c r="AQ777" s="8" t="s">
        <v>418</v>
      </c>
      <c r="AR777" t="str">
        <f t="shared" si="52"/>
        <v>Noroeste - A04</v>
      </c>
    </row>
    <row r="778" spans="1:44" x14ac:dyDescent="0.2">
      <c r="A778" s="107" t="s">
        <v>3557</v>
      </c>
      <c r="B778" s="106" t="s">
        <v>3556</v>
      </c>
      <c r="C778" s="106" t="s">
        <v>3555</v>
      </c>
      <c r="D778" s="106" t="s">
        <v>1269</v>
      </c>
      <c r="E778" s="106" t="s">
        <v>3554</v>
      </c>
      <c r="F778" s="106" t="s">
        <v>490</v>
      </c>
      <c r="G778" s="106" t="s">
        <v>3553</v>
      </c>
      <c r="H778" s="105" t="s">
        <v>3552</v>
      </c>
      <c r="I778" s="105" t="s">
        <v>1795</v>
      </c>
      <c r="J778" s="104">
        <v>4.4800000000000004</v>
      </c>
      <c r="K778" s="103" t="s">
        <v>424</v>
      </c>
      <c r="L778" s="102" t="s">
        <v>533</v>
      </c>
      <c r="M778" s="95"/>
      <c r="N778" s="14"/>
      <c r="O778" s="94">
        <v>26</v>
      </c>
      <c r="P778" s="14" t="s">
        <v>485</v>
      </c>
      <c r="Q778" s="14" t="s">
        <v>887</v>
      </c>
      <c r="R778" s="14" t="s">
        <v>585</v>
      </c>
      <c r="S778" s="15">
        <v>6.6</v>
      </c>
      <c r="T778" s="15">
        <v>1.2</v>
      </c>
      <c r="U778" s="15">
        <v>0</v>
      </c>
      <c r="V778" s="14">
        <v>734</v>
      </c>
      <c r="W778" s="12">
        <v>0</v>
      </c>
      <c r="X778" s="12">
        <v>0</v>
      </c>
      <c r="Y778" s="12">
        <v>1</v>
      </c>
      <c r="Z778" s="12">
        <v>3.4800000000000004</v>
      </c>
      <c r="AA778" s="12">
        <v>0</v>
      </c>
      <c r="AB778" s="13">
        <f t="shared" si="49"/>
        <v>0</v>
      </c>
      <c r="AE778" s="12">
        <v>0</v>
      </c>
      <c r="AF778" s="12">
        <v>0</v>
      </c>
      <c r="AG778" s="12">
        <v>1</v>
      </c>
      <c r="AH778" s="12">
        <v>3.4800000000000004</v>
      </c>
      <c r="AI778" s="12">
        <v>0</v>
      </c>
      <c r="AJ778" s="13">
        <f t="shared" si="50"/>
        <v>0</v>
      </c>
      <c r="AN778" s="12">
        <f t="shared" si="51"/>
        <v>3289</v>
      </c>
      <c r="AQ778" s="8" t="s">
        <v>418</v>
      </c>
      <c r="AR778" t="str">
        <f t="shared" si="52"/>
        <v>Noroeste - A04</v>
      </c>
    </row>
    <row r="779" spans="1:44" x14ac:dyDescent="0.2">
      <c r="A779" s="107" t="s">
        <v>3551</v>
      </c>
      <c r="B779" s="106" t="s">
        <v>3550</v>
      </c>
      <c r="C779" s="106" t="s">
        <v>3536</v>
      </c>
      <c r="D779" s="106" t="s">
        <v>492</v>
      </c>
      <c r="E779" s="106" t="s">
        <v>3541</v>
      </c>
      <c r="F779" s="106" t="s">
        <v>490</v>
      </c>
      <c r="G779" s="106" t="s">
        <v>3549</v>
      </c>
      <c r="H779" s="105" t="s">
        <v>3548</v>
      </c>
      <c r="I779" s="105" t="s">
        <v>3544</v>
      </c>
      <c r="J779" s="104">
        <v>2.34</v>
      </c>
      <c r="K779" s="103" t="s">
        <v>425</v>
      </c>
      <c r="L779" s="102" t="s">
        <v>533</v>
      </c>
      <c r="M779" s="95"/>
      <c r="N779" s="14"/>
      <c r="O779" s="94">
        <v>27</v>
      </c>
      <c r="P779" s="14" t="s">
        <v>485</v>
      </c>
      <c r="Q779" s="14" t="s">
        <v>497</v>
      </c>
      <c r="R779" s="14" t="s">
        <v>496</v>
      </c>
      <c r="S779" s="15">
        <v>6.6</v>
      </c>
      <c r="T779" s="15">
        <v>1.2</v>
      </c>
      <c r="U779" s="15">
        <v>0</v>
      </c>
      <c r="V779" s="14">
        <v>420</v>
      </c>
      <c r="W779" s="12">
        <v>0</v>
      </c>
      <c r="X779" s="12">
        <v>0</v>
      </c>
      <c r="Y779" s="12">
        <v>1</v>
      </c>
      <c r="Z779" s="12">
        <v>1.3399999999999999</v>
      </c>
      <c r="AA779" s="12">
        <v>0</v>
      </c>
      <c r="AB779" s="13">
        <f t="shared" si="49"/>
        <v>0</v>
      </c>
      <c r="AE779" s="12">
        <v>0</v>
      </c>
      <c r="AF779" s="12">
        <v>0</v>
      </c>
      <c r="AG779" s="12">
        <v>1</v>
      </c>
      <c r="AH779" s="12">
        <v>1.3399999999999999</v>
      </c>
      <c r="AI779" s="12">
        <v>0</v>
      </c>
      <c r="AJ779" s="13">
        <f t="shared" si="50"/>
        <v>0</v>
      </c>
      <c r="AN779" s="12">
        <f t="shared" si="51"/>
        <v>983</v>
      </c>
      <c r="AQ779" s="8" t="s">
        <v>418</v>
      </c>
      <c r="AR779" t="str">
        <f t="shared" si="52"/>
        <v>Noroeste - A05</v>
      </c>
    </row>
    <row r="780" spans="1:44" x14ac:dyDescent="0.2">
      <c r="A780" s="107" t="s">
        <v>3547</v>
      </c>
      <c r="B780" s="106" t="s">
        <v>3546</v>
      </c>
      <c r="C780" s="106" t="s">
        <v>3536</v>
      </c>
      <c r="D780" s="106" t="s">
        <v>519</v>
      </c>
      <c r="E780" s="106" t="s">
        <v>3535</v>
      </c>
      <c r="F780" s="106" t="s">
        <v>590</v>
      </c>
      <c r="G780" s="106" t="s">
        <v>3545</v>
      </c>
      <c r="H780" s="105" t="s">
        <v>3544</v>
      </c>
      <c r="I780" s="105" t="s">
        <v>3539</v>
      </c>
      <c r="J780" s="104">
        <v>1.65</v>
      </c>
      <c r="K780" s="103" t="s">
        <v>425</v>
      </c>
      <c r="L780" s="102" t="s">
        <v>533</v>
      </c>
      <c r="M780" s="95"/>
      <c r="N780" s="14"/>
      <c r="O780" s="94">
        <v>27</v>
      </c>
      <c r="P780" s="14" t="s">
        <v>586</v>
      </c>
      <c r="Q780" s="14" t="s">
        <v>505</v>
      </c>
      <c r="R780" s="14" t="s">
        <v>496</v>
      </c>
      <c r="S780" s="15">
        <v>14</v>
      </c>
      <c r="T780" s="15">
        <v>5.6</v>
      </c>
      <c r="U780" s="15">
        <v>0</v>
      </c>
      <c r="V780" s="14">
        <v>767</v>
      </c>
      <c r="W780" s="12">
        <v>0</v>
      </c>
      <c r="X780" s="12">
        <v>0</v>
      </c>
      <c r="Y780" s="12">
        <v>0.64999999999999991</v>
      </c>
      <c r="Z780" s="12">
        <v>1</v>
      </c>
      <c r="AA780" s="12">
        <v>0</v>
      </c>
      <c r="AB780" s="13">
        <f t="shared" si="49"/>
        <v>0</v>
      </c>
      <c r="AE780" s="12">
        <v>0</v>
      </c>
      <c r="AF780" s="12">
        <v>0</v>
      </c>
      <c r="AG780" s="12">
        <v>0.64999999999999991</v>
      </c>
      <c r="AH780" s="12">
        <v>1</v>
      </c>
      <c r="AI780" s="12">
        <v>0</v>
      </c>
      <c r="AJ780" s="13">
        <f t="shared" si="50"/>
        <v>0</v>
      </c>
      <c r="AN780" s="12">
        <f t="shared" si="51"/>
        <v>1266</v>
      </c>
      <c r="AQ780" s="8" t="s">
        <v>418</v>
      </c>
      <c r="AR780" t="str">
        <f t="shared" si="52"/>
        <v>Noroeste - A05</v>
      </c>
    </row>
    <row r="781" spans="1:44" x14ac:dyDescent="0.2">
      <c r="A781" s="107" t="s">
        <v>3543</v>
      </c>
      <c r="B781" s="106" t="s">
        <v>3542</v>
      </c>
      <c r="C781" s="106" t="s">
        <v>3536</v>
      </c>
      <c r="D781" s="106" t="s">
        <v>513</v>
      </c>
      <c r="E781" s="106" t="s">
        <v>3541</v>
      </c>
      <c r="F781" s="106" t="s">
        <v>490</v>
      </c>
      <c r="G781" s="106" t="s">
        <v>3540</v>
      </c>
      <c r="H781" s="105" t="s">
        <v>3539</v>
      </c>
      <c r="I781" s="105" t="s">
        <v>3533</v>
      </c>
      <c r="J781" s="104">
        <v>12.05</v>
      </c>
      <c r="K781" s="103" t="s">
        <v>425</v>
      </c>
      <c r="L781" s="102" t="s">
        <v>533</v>
      </c>
      <c r="M781" s="95"/>
      <c r="N781" s="14"/>
      <c r="O781" s="94">
        <v>27</v>
      </c>
      <c r="P781" s="14" t="s">
        <v>485</v>
      </c>
      <c r="Q781" s="14" t="s">
        <v>561</v>
      </c>
      <c r="R781" s="14" t="s">
        <v>496</v>
      </c>
      <c r="S781" s="15">
        <v>7</v>
      </c>
      <c r="T781" s="15">
        <v>1.2</v>
      </c>
      <c r="U781" s="15">
        <v>0</v>
      </c>
      <c r="V781" s="14">
        <v>652</v>
      </c>
      <c r="W781" s="12">
        <v>0</v>
      </c>
      <c r="X781" s="12">
        <v>3</v>
      </c>
      <c r="Y781" s="12">
        <v>4</v>
      </c>
      <c r="Z781" s="12">
        <v>5.0500000000000007</v>
      </c>
      <c r="AA781" s="12">
        <v>0</v>
      </c>
      <c r="AB781" s="13">
        <f t="shared" si="49"/>
        <v>0</v>
      </c>
      <c r="AE781" s="12">
        <v>0</v>
      </c>
      <c r="AF781" s="12">
        <v>3</v>
      </c>
      <c r="AG781" s="12">
        <v>4</v>
      </c>
      <c r="AH781" s="12">
        <v>5.0500000000000007</v>
      </c>
      <c r="AI781" s="12">
        <v>0</v>
      </c>
      <c r="AJ781" s="13">
        <f t="shared" si="50"/>
        <v>0</v>
      </c>
      <c r="AN781" s="12">
        <f t="shared" si="51"/>
        <v>7857</v>
      </c>
      <c r="AQ781" s="8" t="s">
        <v>418</v>
      </c>
      <c r="AR781" t="str">
        <f t="shared" si="52"/>
        <v>Noroeste - A05</v>
      </c>
    </row>
    <row r="782" spans="1:44" x14ac:dyDescent="0.2">
      <c r="A782" s="107" t="s">
        <v>3538</v>
      </c>
      <c r="B782" s="106" t="s">
        <v>3537</v>
      </c>
      <c r="C782" s="106" t="s">
        <v>3536</v>
      </c>
      <c r="D782" s="106" t="s">
        <v>989</v>
      </c>
      <c r="E782" s="106" t="s">
        <v>3535</v>
      </c>
      <c r="F782" s="106" t="s">
        <v>590</v>
      </c>
      <c r="G782" s="106" t="s">
        <v>3534</v>
      </c>
      <c r="H782" s="105" t="s">
        <v>3533</v>
      </c>
      <c r="I782" s="105" t="s">
        <v>3532</v>
      </c>
      <c r="J782" s="104">
        <v>3.8</v>
      </c>
      <c r="K782" s="103" t="s">
        <v>425</v>
      </c>
      <c r="L782" s="102" t="s">
        <v>533</v>
      </c>
      <c r="M782" s="95"/>
      <c r="N782" s="14"/>
      <c r="O782" s="94">
        <v>27</v>
      </c>
      <c r="P782" s="14" t="s">
        <v>586</v>
      </c>
      <c r="Q782" s="14" t="s">
        <v>505</v>
      </c>
      <c r="R782" s="14" t="s">
        <v>496</v>
      </c>
      <c r="S782" s="15">
        <v>8</v>
      </c>
      <c r="T782" s="15">
        <v>5.4</v>
      </c>
      <c r="U782" s="15">
        <v>0</v>
      </c>
      <c r="V782" s="14">
        <v>481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3">
        <f t="shared" si="49"/>
        <v>-3.8</v>
      </c>
      <c r="AE782" s="12">
        <f>IF(W782=0,0,W782-$AB782)</f>
        <v>0</v>
      </c>
      <c r="AF782" s="12">
        <f>IF(X782=0,0,X782-$AB782)</f>
        <v>0</v>
      </c>
      <c r="AG782" s="12">
        <f>IF(Y782=0,0,Y782-$AB782)</f>
        <v>0</v>
      </c>
      <c r="AH782" s="12">
        <v>3.8</v>
      </c>
      <c r="AI782" s="12">
        <f>IF(AA782=0,0,AA782-$AB782)</f>
        <v>0</v>
      </c>
      <c r="AJ782" s="13">
        <f t="shared" si="50"/>
        <v>0</v>
      </c>
      <c r="AN782" s="12">
        <f t="shared" si="51"/>
        <v>1828</v>
      </c>
      <c r="AQ782" s="8" t="s">
        <v>418</v>
      </c>
      <c r="AR782" t="str">
        <f t="shared" si="52"/>
        <v>Noroeste - A05</v>
      </c>
    </row>
    <row r="783" spans="1:44" x14ac:dyDescent="0.2">
      <c r="A783" s="107" t="s">
        <v>3531</v>
      </c>
      <c r="B783" s="106" t="s">
        <v>3530</v>
      </c>
      <c r="C783" s="106" t="s">
        <v>3353</v>
      </c>
      <c r="D783" s="106" t="s">
        <v>3529</v>
      </c>
      <c r="E783" s="106" t="s">
        <v>3351</v>
      </c>
      <c r="F783" s="106" t="s">
        <v>490</v>
      </c>
      <c r="G783" s="106" t="s">
        <v>3528</v>
      </c>
      <c r="H783" s="105" t="s">
        <v>3527</v>
      </c>
      <c r="I783" s="105" t="s">
        <v>3522</v>
      </c>
      <c r="J783" s="104">
        <v>6.99</v>
      </c>
      <c r="K783" s="103" t="s">
        <v>422</v>
      </c>
      <c r="L783" s="102" t="s">
        <v>533</v>
      </c>
      <c r="M783" s="95"/>
      <c r="N783" s="14"/>
      <c r="O783" s="94">
        <v>24</v>
      </c>
      <c r="P783" s="14" t="s">
        <v>485</v>
      </c>
      <c r="Q783" s="14" t="s">
        <v>561</v>
      </c>
      <c r="R783" s="14" t="s">
        <v>585</v>
      </c>
      <c r="S783" s="15">
        <v>7.2285714285714286</v>
      </c>
      <c r="T783" s="15">
        <v>1</v>
      </c>
      <c r="U783" s="15">
        <v>0</v>
      </c>
      <c r="V783" s="14">
        <v>1304</v>
      </c>
      <c r="W783" s="12">
        <v>0</v>
      </c>
      <c r="X783" s="12">
        <v>0</v>
      </c>
      <c r="Y783" s="12">
        <v>0</v>
      </c>
      <c r="Z783" s="12">
        <v>6.99</v>
      </c>
      <c r="AA783" s="12">
        <v>0</v>
      </c>
      <c r="AB783" s="13">
        <f t="shared" si="49"/>
        <v>0</v>
      </c>
      <c r="AE783" s="12">
        <v>0</v>
      </c>
      <c r="AF783" s="12">
        <v>0</v>
      </c>
      <c r="AG783" s="12">
        <v>0</v>
      </c>
      <c r="AH783" s="12">
        <v>6.99</v>
      </c>
      <c r="AI783" s="12">
        <v>0</v>
      </c>
      <c r="AJ783" s="13">
        <f t="shared" si="50"/>
        <v>0</v>
      </c>
      <c r="AN783" s="12">
        <f t="shared" si="51"/>
        <v>9115</v>
      </c>
      <c r="AQ783" s="8" t="s">
        <v>418</v>
      </c>
      <c r="AR783" t="str">
        <f t="shared" si="52"/>
        <v>Noroeste - A02</v>
      </c>
    </row>
    <row r="784" spans="1:44" x14ac:dyDescent="0.2">
      <c r="A784" s="107" t="s">
        <v>3526</v>
      </c>
      <c r="B784" s="106" t="s">
        <v>3525</v>
      </c>
      <c r="C784" s="106" t="s">
        <v>3353</v>
      </c>
      <c r="D784" s="106" t="s">
        <v>3524</v>
      </c>
      <c r="E784" s="106" t="s">
        <v>3351</v>
      </c>
      <c r="F784" s="106" t="s">
        <v>490</v>
      </c>
      <c r="G784" s="106" t="s">
        <v>3523</v>
      </c>
      <c r="H784" s="105" t="s">
        <v>3522</v>
      </c>
      <c r="I784" s="105" t="s">
        <v>3517</v>
      </c>
      <c r="J784" s="104">
        <v>15</v>
      </c>
      <c r="K784" s="103" t="s">
        <v>422</v>
      </c>
      <c r="L784" s="102" t="s">
        <v>533</v>
      </c>
      <c r="M784" s="95"/>
      <c r="N784" s="14"/>
      <c r="O784" s="94">
        <v>24</v>
      </c>
      <c r="P784" s="14" t="s">
        <v>485</v>
      </c>
      <c r="Q784" s="14" t="s">
        <v>561</v>
      </c>
      <c r="R784" s="14" t="s">
        <v>585</v>
      </c>
      <c r="S784" s="15">
        <v>7.2142857142857144</v>
      </c>
      <c r="T784" s="15">
        <v>0.6</v>
      </c>
      <c r="U784" s="15">
        <v>0</v>
      </c>
      <c r="V784" s="14">
        <v>1318</v>
      </c>
      <c r="W784" s="12">
        <v>0</v>
      </c>
      <c r="X784" s="12">
        <v>0</v>
      </c>
      <c r="Y784" s="12">
        <v>0</v>
      </c>
      <c r="Z784" s="12">
        <v>15</v>
      </c>
      <c r="AA784" s="12">
        <v>0</v>
      </c>
      <c r="AB784" s="13">
        <f t="shared" si="49"/>
        <v>0</v>
      </c>
      <c r="AE784" s="12">
        <v>0</v>
      </c>
      <c r="AF784" s="12">
        <v>0</v>
      </c>
      <c r="AG784" s="12">
        <v>0</v>
      </c>
      <c r="AH784" s="12">
        <v>15</v>
      </c>
      <c r="AI784" s="12">
        <v>0</v>
      </c>
      <c r="AJ784" s="13">
        <f t="shared" si="50"/>
        <v>0</v>
      </c>
      <c r="AN784" s="12">
        <f t="shared" si="51"/>
        <v>19770</v>
      </c>
      <c r="AQ784" s="8" t="s">
        <v>418</v>
      </c>
      <c r="AR784" t="str">
        <f t="shared" si="52"/>
        <v>Noroeste - A02</v>
      </c>
    </row>
    <row r="785" spans="1:44" x14ac:dyDescent="0.2">
      <c r="A785" s="107" t="s">
        <v>3521</v>
      </c>
      <c r="B785" s="106" t="s">
        <v>3520</v>
      </c>
      <c r="C785" s="106" t="s">
        <v>3353</v>
      </c>
      <c r="D785" s="106" t="s">
        <v>3519</v>
      </c>
      <c r="E785" s="106" t="s">
        <v>3498</v>
      </c>
      <c r="F785" s="106" t="s">
        <v>590</v>
      </c>
      <c r="G785" s="106" t="s">
        <v>3518</v>
      </c>
      <c r="H785" s="105" t="s">
        <v>3517</v>
      </c>
      <c r="I785" s="105" t="s">
        <v>3512</v>
      </c>
      <c r="J785" s="104">
        <v>1.01</v>
      </c>
      <c r="K785" s="103" t="s">
        <v>422</v>
      </c>
      <c r="L785" s="102" t="s">
        <v>533</v>
      </c>
      <c r="M785" s="95"/>
      <c r="N785" s="14"/>
      <c r="O785" s="94">
        <v>24</v>
      </c>
      <c r="P785" s="14" t="s">
        <v>586</v>
      </c>
      <c r="Q785" s="14" t="s">
        <v>561</v>
      </c>
      <c r="R785" s="14" t="s">
        <v>585</v>
      </c>
      <c r="S785" s="15">
        <v>14.3</v>
      </c>
      <c r="T785" s="15">
        <v>1</v>
      </c>
      <c r="U785" s="15">
        <v>0</v>
      </c>
      <c r="V785" s="14">
        <v>1012</v>
      </c>
      <c r="W785" s="12">
        <v>0</v>
      </c>
      <c r="X785" s="12">
        <v>0</v>
      </c>
      <c r="Y785" s="12">
        <v>0</v>
      </c>
      <c r="Z785" s="12">
        <v>1.01</v>
      </c>
      <c r="AA785" s="12">
        <v>0</v>
      </c>
      <c r="AB785" s="13">
        <f t="shared" si="49"/>
        <v>0</v>
      </c>
      <c r="AE785" s="12">
        <v>0</v>
      </c>
      <c r="AF785" s="12">
        <v>0</v>
      </c>
      <c r="AG785" s="12">
        <v>0</v>
      </c>
      <c r="AH785" s="12">
        <v>1.01</v>
      </c>
      <c r="AI785" s="12">
        <v>0</v>
      </c>
      <c r="AJ785" s="13">
        <f t="shared" si="50"/>
        <v>0</v>
      </c>
      <c r="AN785" s="12">
        <f t="shared" si="51"/>
        <v>1023</v>
      </c>
      <c r="AQ785" s="8" t="s">
        <v>418</v>
      </c>
      <c r="AR785" t="str">
        <f t="shared" si="52"/>
        <v>Noroeste - A02</v>
      </c>
    </row>
    <row r="786" spans="1:44" x14ac:dyDescent="0.2">
      <c r="A786" s="107" t="s">
        <v>3516</v>
      </c>
      <c r="B786" s="106" t="s">
        <v>3515</v>
      </c>
      <c r="C786" s="106" t="s">
        <v>3353</v>
      </c>
      <c r="D786" s="106" t="s">
        <v>3514</v>
      </c>
      <c r="E786" s="106" t="s">
        <v>3351</v>
      </c>
      <c r="F786" s="106" t="s">
        <v>490</v>
      </c>
      <c r="G786" s="106" t="s">
        <v>3513</v>
      </c>
      <c r="H786" s="105" t="s">
        <v>3512</v>
      </c>
      <c r="I786" s="105" t="s">
        <v>3507</v>
      </c>
      <c r="J786" s="104">
        <v>5.48</v>
      </c>
      <c r="K786" s="103" t="s">
        <v>422</v>
      </c>
      <c r="L786" s="102" t="s">
        <v>533</v>
      </c>
      <c r="M786" s="95"/>
      <c r="N786" s="14"/>
      <c r="O786" s="94">
        <v>24</v>
      </c>
      <c r="P786" s="14" t="s">
        <v>485</v>
      </c>
      <c r="Q786" s="14" t="s">
        <v>561</v>
      </c>
      <c r="R786" s="14" t="s">
        <v>585</v>
      </c>
      <c r="S786" s="15">
        <v>0</v>
      </c>
      <c r="T786" s="15">
        <v>1</v>
      </c>
      <c r="U786" s="15">
        <v>0</v>
      </c>
      <c r="V786" s="14">
        <v>1318</v>
      </c>
      <c r="W786" s="12">
        <v>0</v>
      </c>
      <c r="X786" s="12">
        <v>0</v>
      </c>
      <c r="Y786" s="12">
        <v>0</v>
      </c>
      <c r="Z786" s="12">
        <v>5.48</v>
      </c>
      <c r="AA786" s="12">
        <v>0</v>
      </c>
      <c r="AB786" s="13">
        <f t="shared" si="49"/>
        <v>0</v>
      </c>
      <c r="AE786" s="12">
        <v>0</v>
      </c>
      <c r="AF786" s="12">
        <v>0</v>
      </c>
      <c r="AG786" s="12">
        <v>0</v>
      </c>
      <c r="AH786" s="12">
        <v>5.48</v>
      </c>
      <c r="AI786" s="12">
        <v>0</v>
      </c>
      <c r="AJ786" s="13">
        <f t="shared" si="50"/>
        <v>0</v>
      </c>
      <c r="AN786" s="12">
        <f t="shared" si="51"/>
        <v>7223</v>
      </c>
      <c r="AQ786" s="8" t="s">
        <v>418</v>
      </c>
      <c r="AR786" t="str">
        <f t="shared" si="52"/>
        <v>Noroeste - A02</v>
      </c>
    </row>
    <row r="787" spans="1:44" x14ac:dyDescent="0.2">
      <c r="A787" s="107" t="s">
        <v>3511</v>
      </c>
      <c r="B787" s="106" t="s">
        <v>3510</v>
      </c>
      <c r="C787" s="106" t="s">
        <v>3353</v>
      </c>
      <c r="D787" s="106" t="s">
        <v>3509</v>
      </c>
      <c r="E787" s="106" t="s">
        <v>3351</v>
      </c>
      <c r="F787" s="106" t="s">
        <v>490</v>
      </c>
      <c r="G787" s="106" t="s">
        <v>3508</v>
      </c>
      <c r="H787" s="105" t="s">
        <v>3507</v>
      </c>
      <c r="I787" s="105" t="s">
        <v>3502</v>
      </c>
      <c r="J787" s="104">
        <v>8.08</v>
      </c>
      <c r="K787" s="103" t="s">
        <v>427</v>
      </c>
      <c r="L787" s="102" t="s">
        <v>486</v>
      </c>
      <c r="M787" s="95"/>
      <c r="N787" s="14"/>
      <c r="O787" s="94">
        <v>19</v>
      </c>
      <c r="P787" s="14" t="s">
        <v>485</v>
      </c>
      <c r="Q787" s="14" t="s">
        <v>497</v>
      </c>
      <c r="R787" s="14" t="s">
        <v>496</v>
      </c>
      <c r="S787" s="15">
        <v>6.6</v>
      </c>
      <c r="T787" s="15">
        <v>2.5</v>
      </c>
      <c r="U787" s="15">
        <v>0</v>
      </c>
      <c r="V787" s="14">
        <v>1078</v>
      </c>
      <c r="W787" s="12">
        <v>0</v>
      </c>
      <c r="X787" s="12">
        <v>0</v>
      </c>
      <c r="Y787" s="12">
        <v>0</v>
      </c>
      <c r="Z787" s="12">
        <v>8.08</v>
      </c>
      <c r="AA787" s="12">
        <v>0</v>
      </c>
      <c r="AB787" s="13">
        <f t="shared" si="49"/>
        <v>0</v>
      </c>
      <c r="AE787" s="12">
        <v>0</v>
      </c>
      <c r="AF787" s="12">
        <v>0</v>
      </c>
      <c r="AG787" s="12">
        <v>0</v>
      </c>
      <c r="AH787" s="12">
        <v>8.08</v>
      </c>
      <c r="AI787" s="12">
        <v>0</v>
      </c>
      <c r="AJ787" s="13">
        <f t="shared" si="50"/>
        <v>0</v>
      </c>
      <c r="AN787" s="12">
        <f t="shared" si="51"/>
        <v>8711</v>
      </c>
      <c r="AQ787" s="8" t="s">
        <v>419</v>
      </c>
      <c r="AR787" t="str">
        <f t="shared" si="52"/>
        <v>Norte - A07</v>
      </c>
    </row>
    <row r="788" spans="1:44" x14ac:dyDescent="0.2">
      <c r="A788" s="107" t="s">
        <v>3506</v>
      </c>
      <c r="B788" s="106" t="s">
        <v>3505</v>
      </c>
      <c r="C788" s="106" t="s">
        <v>3353</v>
      </c>
      <c r="D788" s="106" t="s">
        <v>3504</v>
      </c>
      <c r="E788" s="106" t="s">
        <v>3498</v>
      </c>
      <c r="F788" s="106" t="s">
        <v>590</v>
      </c>
      <c r="G788" s="106" t="s">
        <v>3503</v>
      </c>
      <c r="H788" s="105" t="s">
        <v>3502</v>
      </c>
      <c r="I788" s="105" t="s">
        <v>3496</v>
      </c>
      <c r="J788" s="104">
        <v>2.96</v>
      </c>
      <c r="K788" s="103" t="s">
        <v>427</v>
      </c>
      <c r="L788" s="102" t="s">
        <v>486</v>
      </c>
      <c r="M788" s="95"/>
      <c r="N788" s="14"/>
      <c r="O788" s="94">
        <v>19</v>
      </c>
      <c r="P788" s="14" t="s">
        <v>586</v>
      </c>
      <c r="Q788" s="14" t="s">
        <v>497</v>
      </c>
      <c r="R788" s="14" t="s">
        <v>496</v>
      </c>
      <c r="S788" s="15">
        <v>9.9</v>
      </c>
      <c r="T788" s="15">
        <v>0</v>
      </c>
      <c r="U788" s="15">
        <v>0</v>
      </c>
      <c r="V788" s="14">
        <v>812</v>
      </c>
      <c r="W788" s="12">
        <v>0</v>
      </c>
      <c r="X788" s="12">
        <v>0</v>
      </c>
      <c r="Y788" s="12">
        <v>0</v>
      </c>
      <c r="Z788" s="12">
        <v>2.96</v>
      </c>
      <c r="AA788" s="12">
        <v>0</v>
      </c>
      <c r="AB788" s="13">
        <f t="shared" si="49"/>
        <v>0</v>
      </c>
      <c r="AE788" s="12">
        <v>0</v>
      </c>
      <c r="AF788" s="12">
        <v>0</v>
      </c>
      <c r="AG788" s="12">
        <v>0</v>
      </c>
      <c r="AH788" s="12">
        <v>2.96</v>
      </c>
      <c r="AI788" s="12">
        <v>0</v>
      </c>
      <c r="AJ788" s="13">
        <f t="shared" si="50"/>
        <v>0</v>
      </c>
      <c r="AN788" s="12">
        <f t="shared" si="51"/>
        <v>2404</v>
      </c>
      <c r="AQ788" s="8" t="s">
        <v>419</v>
      </c>
      <c r="AR788" t="str">
        <f t="shared" si="52"/>
        <v>Norte - A07</v>
      </c>
    </row>
    <row r="789" spans="1:44" x14ac:dyDescent="0.2">
      <c r="A789" s="107" t="s">
        <v>3501</v>
      </c>
      <c r="B789" s="106" t="s">
        <v>3500</v>
      </c>
      <c r="C789" s="106" t="s">
        <v>3353</v>
      </c>
      <c r="D789" s="106" t="s">
        <v>3499</v>
      </c>
      <c r="E789" s="106" t="s">
        <v>3498</v>
      </c>
      <c r="F789" s="106" t="s">
        <v>590</v>
      </c>
      <c r="G789" s="106" t="s">
        <v>3497</v>
      </c>
      <c r="H789" s="105" t="s">
        <v>3496</v>
      </c>
      <c r="I789" s="105" t="s">
        <v>3495</v>
      </c>
      <c r="J789" s="104">
        <v>0.75</v>
      </c>
      <c r="K789" s="103" t="s">
        <v>427</v>
      </c>
      <c r="L789" s="102" t="s">
        <v>486</v>
      </c>
      <c r="M789" s="95"/>
      <c r="N789" s="14"/>
      <c r="O789" s="94">
        <v>19</v>
      </c>
      <c r="P789" s="14" t="s">
        <v>586</v>
      </c>
      <c r="Q789" s="14" t="s">
        <v>497</v>
      </c>
      <c r="R789" s="14" t="s">
        <v>496</v>
      </c>
      <c r="S789" s="15">
        <v>8.4</v>
      </c>
      <c r="T789" s="15">
        <v>0</v>
      </c>
      <c r="U789" s="15">
        <v>0</v>
      </c>
      <c r="V789" s="14">
        <v>290</v>
      </c>
      <c r="W789" s="12">
        <v>0</v>
      </c>
      <c r="X789" s="12">
        <v>0</v>
      </c>
      <c r="Y789" s="12">
        <v>0</v>
      </c>
      <c r="Z789" s="12">
        <v>0.75</v>
      </c>
      <c r="AA789" s="12">
        <v>0</v>
      </c>
      <c r="AB789" s="13">
        <f t="shared" si="49"/>
        <v>0</v>
      </c>
      <c r="AE789" s="12">
        <v>0</v>
      </c>
      <c r="AF789" s="12">
        <v>0</v>
      </c>
      <c r="AG789" s="12">
        <v>0</v>
      </c>
      <c r="AH789" s="12">
        <v>0.75</v>
      </c>
      <c r="AI789" s="12">
        <v>0</v>
      </c>
      <c r="AJ789" s="13">
        <f t="shared" si="50"/>
        <v>0</v>
      </c>
      <c r="AN789" s="12">
        <f t="shared" si="51"/>
        <v>218</v>
      </c>
      <c r="AQ789" s="8" t="s">
        <v>419</v>
      </c>
      <c r="AR789" t="str">
        <f t="shared" si="52"/>
        <v>Norte - A07</v>
      </c>
    </row>
    <row r="790" spans="1:44" x14ac:dyDescent="0.2">
      <c r="A790" s="107" t="s">
        <v>3494</v>
      </c>
      <c r="B790" s="106" t="s">
        <v>3493</v>
      </c>
      <c r="C790" s="106" t="s">
        <v>3353</v>
      </c>
      <c r="D790" s="106" t="s">
        <v>3492</v>
      </c>
      <c r="E790" s="106" t="s">
        <v>3351</v>
      </c>
      <c r="F790" s="106" t="s">
        <v>490</v>
      </c>
      <c r="G790" s="106" t="s">
        <v>3491</v>
      </c>
      <c r="H790" s="105" t="s">
        <v>3490</v>
      </c>
      <c r="I790" s="105" t="s">
        <v>1288</v>
      </c>
      <c r="J790" s="104">
        <v>1.1200000000000001</v>
      </c>
      <c r="K790" s="103" t="s">
        <v>427</v>
      </c>
      <c r="L790" s="102" t="s">
        <v>486</v>
      </c>
      <c r="M790" s="95"/>
      <c r="N790" s="14"/>
      <c r="O790" s="94">
        <v>19</v>
      </c>
      <c r="P790" s="14" t="s">
        <v>485</v>
      </c>
      <c r="Q790" s="14" t="s">
        <v>497</v>
      </c>
      <c r="R790" s="14" t="s">
        <v>496</v>
      </c>
      <c r="S790" s="15">
        <v>7.2</v>
      </c>
      <c r="T790" s="15">
        <v>2.5</v>
      </c>
      <c r="U790" s="15">
        <v>0</v>
      </c>
      <c r="V790" s="14">
        <v>2793</v>
      </c>
      <c r="W790" s="12">
        <v>0</v>
      </c>
      <c r="X790" s="12">
        <v>0</v>
      </c>
      <c r="Y790" s="12">
        <v>0</v>
      </c>
      <c r="Z790" s="12">
        <v>1.1200000000000001</v>
      </c>
      <c r="AA790" s="12">
        <v>0</v>
      </c>
      <c r="AB790" s="13">
        <f t="shared" si="49"/>
        <v>0</v>
      </c>
      <c r="AE790" s="12">
        <v>0</v>
      </c>
      <c r="AF790" s="12">
        <v>0</v>
      </c>
      <c r="AG790" s="12">
        <v>0</v>
      </c>
      <c r="AH790" s="12">
        <v>1.1200000000000001</v>
      </c>
      <c r="AI790" s="12">
        <v>0</v>
      </c>
      <c r="AJ790" s="13">
        <f t="shared" si="50"/>
        <v>0</v>
      </c>
      <c r="AN790" s="12">
        <f t="shared" si="51"/>
        <v>3129</v>
      </c>
      <c r="AQ790" s="8" t="s">
        <v>419</v>
      </c>
      <c r="AR790" t="str">
        <f t="shared" si="52"/>
        <v>Norte - A07</v>
      </c>
    </row>
    <row r="791" spans="1:44" x14ac:dyDescent="0.2">
      <c r="A791" s="107" t="s">
        <v>3489</v>
      </c>
      <c r="B791" s="106" t="s">
        <v>3488</v>
      </c>
      <c r="C791" s="106" t="s">
        <v>3353</v>
      </c>
      <c r="D791" s="106" t="s">
        <v>3487</v>
      </c>
      <c r="E791" s="106" t="s">
        <v>3351</v>
      </c>
      <c r="F791" s="106" t="s">
        <v>490</v>
      </c>
      <c r="G791" s="106" t="s">
        <v>3486</v>
      </c>
      <c r="H791" s="105" t="s">
        <v>1288</v>
      </c>
      <c r="I791" s="105" t="s">
        <v>3481</v>
      </c>
      <c r="J791" s="104">
        <v>9.1999999999999993</v>
      </c>
      <c r="K791" s="103" t="s">
        <v>427</v>
      </c>
      <c r="L791" s="102" t="s">
        <v>486</v>
      </c>
      <c r="M791" s="95"/>
      <c r="N791" s="14"/>
      <c r="O791" s="94">
        <v>19</v>
      </c>
      <c r="P791" s="14" t="s">
        <v>485</v>
      </c>
      <c r="Q791" s="14" t="s">
        <v>497</v>
      </c>
      <c r="R791" s="14" t="s">
        <v>496</v>
      </c>
      <c r="S791" s="15">
        <v>7.2</v>
      </c>
      <c r="T791" s="15">
        <v>2.5</v>
      </c>
      <c r="U791" s="15">
        <v>0</v>
      </c>
      <c r="V791" s="14">
        <v>2793</v>
      </c>
      <c r="W791" s="12">
        <v>0</v>
      </c>
      <c r="X791" s="12">
        <v>0</v>
      </c>
      <c r="Y791" s="12">
        <v>3</v>
      </c>
      <c r="Z791" s="12">
        <v>6.1999999999999993</v>
      </c>
      <c r="AA791" s="12">
        <v>0</v>
      </c>
      <c r="AB791" s="13">
        <f t="shared" si="49"/>
        <v>0</v>
      </c>
      <c r="AE791" s="12">
        <v>0</v>
      </c>
      <c r="AF791" s="12">
        <v>0</v>
      </c>
      <c r="AG791" s="12">
        <v>3</v>
      </c>
      <c r="AH791" s="12">
        <v>6.1999999999999993</v>
      </c>
      <c r="AI791" s="12">
        <v>0</v>
      </c>
      <c r="AJ791" s="13">
        <f t="shared" si="50"/>
        <v>0</v>
      </c>
      <c r="AN791" s="12">
        <f t="shared" si="51"/>
        <v>25696</v>
      </c>
      <c r="AQ791" s="8" t="s">
        <v>419</v>
      </c>
      <c r="AR791" t="str">
        <f t="shared" si="52"/>
        <v>Norte - A07</v>
      </c>
    </row>
    <row r="792" spans="1:44" x14ac:dyDescent="0.2">
      <c r="A792" s="107" t="s">
        <v>3485</v>
      </c>
      <c r="B792" s="106" t="s">
        <v>3484</v>
      </c>
      <c r="C792" s="106" t="s">
        <v>3353</v>
      </c>
      <c r="D792" s="106" t="s">
        <v>3483</v>
      </c>
      <c r="E792" s="106" t="s">
        <v>3351</v>
      </c>
      <c r="F792" s="106" t="s">
        <v>490</v>
      </c>
      <c r="G792" s="106" t="s">
        <v>3482</v>
      </c>
      <c r="H792" s="105" t="s">
        <v>3481</v>
      </c>
      <c r="I792" s="105" t="s">
        <v>3476</v>
      </c>
      <c r="J792" s="104">
        <v>5.94</v>
      </c>
      <c r="K792" s="103" t="s">
        <v>427</v>
      </c>
      <c r="L792" s="102" t="s">
        <v>486</v>
      </c>
      <c r="M792" s="95"/>
      <c r="N792" s="14"/>
      <c r="O792" s="94">
        <v>19</v>
      </c>
      <c r="P792" s="14" t="s">
        <v>485</v>
      </c>
      <c r="Q792" s="14" t="s">
        <v>497</v>
      </c>
      <c r="R792" s="14" t="s">
        <v>496</v>
      </c>
      <c r="S792" s="15">
        <v>7.2</v>
      </c>
      <c r="T792" s="15">
        <v>2.5</v>
      </c>
      <c r="U792" s="15">
        <v>0</v>
      </c>
      <c r="V792" s="14">
        <v>2793</v>
      </c>
      <c r="W792" s="12">
        <v>0</v>
      </c>
      <c r="X792" s="12">
        <v>0</v>
      </c>
      <c r="Y792" s="12">
        <v>1</v>
      </c>
      <c r="Z792" s="12">
        <v>4.9400000000000004</v>
      </c>
      <c r="AA792" s="12">
        <v>0</v>
      </c>
      <c r="AB792" s="13">
        <f t="shared" si="49"/>
        <v>0</v>
      </c>
      <c r="AE792" s="12">
        <v>0</v>
      </c>
      <c r="AF792" s="12">
        <v>0</v>
      </c>
      <c r="AG792" s="12">
        <v>1</v>
      </c>
      <c r="AH792" s="12">
        <v>4.9400000000000004</v>
      </c>
      <c r="AI792" s="12">
        <v>0</v>
      </c>
      <c r="AJ792" s="13">
        <f t="shared" si="50"/>
        <v>0</v>
      </c>
      <c r="AN792" s="12">
        <f t="shared" si="51"/>
        <v>16591</v>
      </c>
      <c r="AQ792" s="8" t="s">
        <v>419</v>
      </c>
      <c r="AR792" t="str">
        <f t="shared" si="52"/>
        <v>Norte - A07</v>
      </c>
    </row>
    <row r="793" spans="1:44" x14ac:dyDescent="0.2">
      <c r="A793" s="107" t="s">
        <v>3480</v>
      </c>
      <c r="B793" s="106" t="s">
        <v>3479</v>
      </c>
      <c r="C793" s="106" t="s">
        <v>3353</v>
      </c>
      <c r="D793" s="106" t="s">
        <v>3478</v>
      </c>
      <c r="E793" s="106" t="s">
        <v>3351</v>
      </c>
      <c r="F793" s="106" t="s">
        <v>490</v>
      </c>
      <c r="G793" s="106" t="s">
        <v>3477</v>
      </c>
      <c r="H793" s="105" t="s">
        <v>3476</v>
      </c>
      <c r="I793" s="105" t="s">
        <v>3471</v>
      </c>
      <c r="J793" s="104">
        <v>3.87</v>
      </c>
      <c r="K793" s="103" t="s">
        <v>427</v>
      </c>
      <c r="L793" s="102" t="s">
        <v>486</v>
      </c>
      <c r="M793" s="95"/>
      <c r="N793" s="14"/>
      <c r="O793" s="94">
        <v>19</v>
      </c>
      <c r="P793" s="14" t="s">
        <v>485</v>
      </c>
      <c r="Q793" s="14" t="s">
        <v>497</v>
      </c>
      <c r="R793" s="14" t="s">
        <v>496</v>
      </c>
      <c r="S793" s="15">
        <v>7.2</v>
      </c>
      <c r="T793" s="15">
        <v>1.2</v>
      </c>
      <c r="U793" s="15">
        <v>0</v>
      </c>
      <c r="V793" s="14">
        <v>6347</v>
      </c>
      <c r="W793" s="12">
        <v>0</v>
      </c>
      <c r="X793" s="12">
        <v>0</v>
      </c>
      <c r="Y793" s="12">
        <v>0</v>
      </c>
      <c r="Z793" s="12">
        <v>3.87</v>
      </c>
      <c r="AA793" s="12">
        <v>0</v>
      </c>
      <c r="AB793" s="13">
        <f t="shared" si="49"/>
        <v>0</v>
      </c>
      <c r="AE793" s="12">
        <v>0</v>
      </c>
      <c r="AF793" s="12">
        <v>0</v>
      </c>
      <c r="AG793" s="12">
        <v>0</v>
      </c>
      <c r="AH793" s="12">
        <v>3.87</v>
      </c>
      <c r="AI793" s="12">
        <v>0</v>
      </c>
      <c r="AJ793" s="13">
        <f t="shared" si="50"/>
        <v>0</v>
      </c>
      <c r="AN793" s="12">
        <f t="shared" si="51"/>
        <v>24563</v>
      </c>
      <c r="AQ793" s="8" t="s">
        <v>419</v>
      </c>
      <c r="AR793" t="str">
        <f t="shared" si="52"/>
        <v>Norte - A07</v>
      </c>
    </row>
    <row r="794" spans="1:44" x14ac:dyDescent="0.2">
      <c r="A794" s="107" t="s">
        <v>3475</v>
      </c>
      <c r="B794" s="106" t="s">
        <v>3474</v>
      </c>
      <c r="C794" s="106" t="s">
        <v>3353</v>
      </c>
      <c r="D794" s="106" t="s">
        <v>3473</v>
      </c>
      <c r="E794" s="106" t="s">
        <v>3351</v>
      </c>
      <c r="F794" s="106" t="s">
        <v>490</v>
      </c>
      <c r="G794" s="106" t="s">
        <v>3472</v>
      </c>
      <c r="H794" s="105" t="s">
        <v>3471</v>
      </c>
      <c r="I794" s="105" t="s">
        <v>3466</v>
      </c>
      <c r="J794" s="104">
        <v>1.6</v>
      </c>
      <c r="K794" s="103" t="s">
        <v>427</v>
      </c>
      <c r="L794" s="102" t="s">
        <v>486</v>
      </c>
      <c r="M794" s="95"/>
      <c r="N794" s="14"/>
      <c r="O794" s="94">
        <v>19</v>
      </c>
      <c r="P794" s="14" t="s">
        <v>485</v>
      </c>
      <c r="Q794" s="14" t="s">
        <v>497</v>
      </c>
      <c r="R794" s="14" t="s">
        <v>496</v>
      </c>
      <c r="S794" s="15">
        <v>7.2</v>
      </c>
      <c r="T794" s="15">
        <v>1.5</v>
      </c>
      <c r="U794" s="15">
        <v>0</v>
      </c>
      <c r="V794" s="14">
        <v>6347</v>
      </c>
      <c r="W794" s="12">
        <v>0</v>
      </c>
      <c r="X794" s="12">
        <v>0</v>
      </c>
      <c r="Y794" s="12">
        <v>0.60000000000000009</v>
      </c>
      <c r="Z794" s="12">
        <v>1</v>
      </c>
      <c r="AA794" s="12">
        <v>0</v>
      </c>
      <c r="AB794" s="13">
        <f t="shared" si="49"/>
        <v>0</v>
      </c>
      <c r="AE794" s="12">
        <v>0</v>
      </c>
      <c r="AF794" s="12">
        <v>0</v>
      </c>
      <c r="AG794" s="12">
        <v>0.60000000000000009</v>
      </c>
      <c r="AH794" s="12">
        <v>1</v>
      </c>
      <c r="AI794" s="12">
        <v>0</v>
      </c>
      <c r="AJ794" s="13">
        <f t="shared" si="50"/>
        <v>0</v>
      </c>
      <c r="AN794" s="12">
        <f t="shared" si="51"/>
        <v>10156</v>
      </c>
      <c r="AQ794" s="8" t="s">
        <v>419</v>
      </c>
      <c r="AR794" t="str">
        <f t="shared" si="52"/>
        <v>Norte - A07</v>
      </c>
    </row>
    <row r="795" spans="1:44" x14ac:dyDescent="0.2">
      <c r="A795" s="107" t="s">
        <v>3470</v>
      </c>
      <c r="B795" s="106" t="s">
        <v>3469</v>
      </c>
      <c r="C795" s="106" t="s">
        <v>3353</v>
      </c>
      <c r="D795" s="106" t="s">
        <v>3468</v>
      </c>
      <c r="E795" s="106" t="s">
        <v>3351</v>
      </c>
      <c r="F795" s="106" t="s">
        <v>490</v>
      </c>
      <c r="G795" s="106" t="s">
        <v>3467</v>
      </c>
      <c r="H795" s="105" t="s">
        <v>3466</v>
      </c>
      <c r="I795" s="105" t="s">
        <v>3461</v>
      </c>
      <c r="J795" s="104">
        <v>2.02</v>
      </c>
      <c r="K795" s="103" t="s">
        <v>427</v>
      </c>
      <c r="L795" s="102" t="s">
        <v>486</v>
      </c>
      <c r="M795" s="95"/>
      <c r="N795" s="14"/>
      <c r="O795" s="94">
        <v>19</v>
      </c>
      <c r="P795" s="14" t="s">
        <v>485</v>
      </c>
      <c r="Q795" s="14" t="s">
        <v>497</v>
      </c>
      <c r="R795" s="14" t="s">
        <v>496</v>
      </c>
      <c r="S795" s="15">
        <v>7.2</v>
      </c>
      <c r="T795" s="15">
        <v>1.5</v>
      </c>
      <c r="U795" s="15">
        <v>0</v>
      </c>
      <c r="V795" s="14">
        <v>6347</v>
      </c>
      <c r="W795" s="12">
        <v>0</v>
      </c>
      <c r="X795" s="12">
        <v>0</v>
      </c>
      <c r="Y795" s="12">
        <v>0</v>
      </c>
      <c r="Z795" s="12">
        <v>2.02</v>
      </c>
      <c r="AA795" s="12">
        <v>0</v>
      </c>
      <c r="AB795" s="13">
        <f t="shared" si="49"/>
        <v>0</v>
      </c>
      <c r="AE795" s="12">
        <v>0</v>
      </c>
      <c r="AF795" s="12">
        <v>0</v>
      </c>
      <c r="AG795" s="12">
        <v>0</v>
      </c>
      <c r="AH795" s="12">
        <v>2.02</v>
      </c>
      <c r="AI795" s="12">
        <v>0</v>
      </c>
      <c r="AJ795" s="13">
        <f t="shared" si="50"/>
        <v>0</v>
      </c>
      <c r="AN795" s="12">
        <f t="shared" si="51"/>
        <v>12821</v>
      </c>
      <c r="AQ795" s="8" t="s">
        <v>419</v>
      </c>
      <c r="AR795" t="str">
        <f t="shared" si="52"/>
        <v>Norte - A07</v>
      </c>
    </row>
    <row r="796" spans="1:44" x14ac:dyDescent="0.2">
      <c r="A796" s="107" t="s">
        <v>3465</v>
      </c>
      <c r="B796" s="106" t="s">
        <v>3464</v>
      </c>
      <c r="C796" s="106" t="s">
        <v>3353</v>
      </c>
      <c r="D796" s="106" t="s">
        <v>3463</v>
      </c>
      <c r="E796" s="106" t="s">
        <v>3351</v>
      </c>
      <c r="F796" s="106" t="s">
        <v>490</v>
      </c>
      <c r="G796" s="106" t="s">
        <v>3462</v>
      </c>
      <c r="H796" s="105" t="s">
        <v>3461</v>
      </c>
      <c r="I796" s="105" t="s">
        <v>3456</v>
      </c>
      <c r="J796" s="104">
        <v>3.66</v>
      </c>
      <c r="K796" s="103" t="s">
        <v>427</v>
      </c>
      <c r="L796" s="102" t="s">
        <v>486</v>
      </c>
      <c r="M796" s="95"/>
      <c r="N796" s="14"/>
      <c r="O796" s="94">
        <v>19</v>
      </c>
      <c r="P796" s="14" t="s">
        <v>485</v>
      </c>
      <c r="Q796" s="14" t="s">
        <v>497</v>
      </c>
      <c r="R796" s="14" t="s">
        <v>496</v>
      </c>
      <c r="S796" s="15">
        <v>7.2</v>
      </c>
      <c r="T796" s="15">
        <v>1.5</v>
      </c>
      <c r="U796" s="15">
        <v>0</v>
      </c>
      <c r="V796" s="14">
        <v>6347</v>
      </c>
      <c r="W796" s="12">
        <v>0</v>
      </c>
      <c r="X796" s="12">
        <v>0</v>
      </c>
      <c r="Y796" s="12">
        <v>0</v>
      </c>
      <c r="Z796" s="12">
        <v>3.66</v>
      </c>
      <c r="AA796" s="12">
        <v>0</v>
      </c>
      <c r="AB796" s="13">
        <f t="shared" si="49"/>
        <v>0</v>
      </c>
      <c r="AE796" s="12">
        <v>0</v>
      </c>
      <c r="AF796" s="12">
        <v>0</v>
      </c>
      <c r="AG796" s="12">
        <v>0</v>
      </c>
      <c r="AH796" s="12">
        <v>3.66</v>
      </c>
      <c r="AI796" s="12">
        <v>0</v>
      </c>
      <c r="AJ796" s="13">
        <f t="shared" si="50"/>
        <v>0</v>
      </c>
      <c r="AN796" s="12">
        <f t="shared" si="51"/>
        <v>23231</v>
      </c>
      <c r="AQ796" s="8" t="s">
        <v>419</v>
      </c>
      <c r="AR796" t="str">
        <f t="shared" si="52"/>
        <v>Norte - A07</v>
      </c>
    </row>
    <row r="797" spans="1:44" x14ac:dyDescent="0.2">
      <c r="A797" s="107" t="s">
        <v>3460</v>
      </c>
      <c r="B797" s="106" t="s">
        <v>3459</v>
      </c>
      <c r="C797" s="106" t="s">
        <v>3353</v>
      </c>
      <c r="D797" s="106" t="s">
        <v>3458</v>
      </c>
      <c r="E797" s="106" t="s">
        <v>3351</v>
      </c>
      <c r="F797" s="106" t="s">
        <v>490</v>
      </c>
      <c r="G797" s="106" t="s">
        <v>3457</v>
      </c>
      <c r="H797" s="105" t="s">
        <v>3456</v>
      </c>
      <c r="I797" s="105" t="s">
        <v>3451</v>
      </c>
      <c r="J797" s="104">
        <v>7.9</v>
      </c>
      <c r="K797" s="103" t="s">
        <v>427</v>
      </c>
      <c r="L797" s="102" t="s">
        <v>486</v>
      </c>
      <c r="M797" s="95"/>
      <c r="N797" s="14"/>
      <c r="O797" s="94">
        <v>19</v>
      </c>
      <c r="P797" s="14" t="s">
        <v>485</v>
      </c>
      <c r="Q797" s="14" t="s">
        <v>497</v>
      </c>
      <c r="R797" s="14" t="s">
        <v>496</v>
      </c>
      <c r="S797" s="15">
        <v>7.2</v>
      </c>
      <c r="T797" s="15">
        <v>1.2</v>
      </c>
      <c r="U797" s="15">
        <v>0</v>
      </c>
      <c r="V797" s="14">
        <v>6347</v>
      </c>
      <c r="W797" s="12">
        <v>0</v>
      </c>
      <c r="X797" s="12">
        <v>0</v>
      </c>
      <c r="Y797" s="12">
        <v>2.9000000000000004</v>
      </c>
      <c r="Z797" s="12">
        <v>5</v>
      </c>
      <c r="AA797" s="12">
        <v>0</v>
      </c>
      <c r="AB797" s="13">
        <f t="shared" si="49"/>
        <v>0</v>
      </c>
      <c r="AE797" s="12">
        <v>0</v>
      </c>
      <c r="AF797" s="12">
        <v>0</v>
      </c>
      <c r="AG797" s="12">
        <v>2.9000000000000004</v>
      </c>
      <c r="AH797" s="12">
        <v>5</v>
      </c>
      <c r="AI797" s="12">
        <v>0</v>
      </c>
      <c r="AJ797" s="13">
        <f t="shared" si="50"/>
        <v>0</v>
      </c>
      <c r="AN797" s="12">
        <f t="shared" si="51"/>
        <v>50142</v>
      </c>
      <c r="AQ797" s="8" t="s">
        <v>419</v>
      </c>
      <c r="AR797" t="str">
        <f t="shared" si="52"/>
        <v>Norte - A07</v>
      </c>
    </row>
    <row r="798" spans="1:44" x14ac:dyDescent="0.2">
      <c r="A798" s="107" t="s">
        <v>3455</v>
      </c>
      <c r="B798" s="106" t="s">
        <v>3454</v>
      </c>
      <c r="C798" s="106" t="s">
        <v>3353</v>
      </c>
      <c r="D798" s="106" t="s">
        <v>3453</v>
      </c>
      <c r="E798" s="106" t="s">
        <v>3351</v>
      </c>
      <c r="F798" s="106" t="s">
        <v>490</v>
      </c>
      <c r="G798" s="106" t="s">
        <v>3452</v>
      </c>
      <c r="H798" s="105" t="s">
        <v>3451</v>
      </c>
      <c r="I798" s="105" t="s">
        <v>3446</v>
      </c>
      <c r="J798" s="104">
        <v>8.75</v>
      </c>
      <c r="K798" s="103" t="s">
        <v>427</v>
      </c>
      <c r="L798" s="102" t="s">
        <v>486</v>
      </c>
      <c r="M798" s="95"/>
      <c r="N798" s="14"/>
      <c r="O798" s="94">
        <v>19</v>
      </c>
      <c r="P798" s="14" t="s">
        <v>485</v>
      </c>
      <c r="Q798" s="14" t="s">
        <v>497</v>
      </c>
      <c r="R798" s="14" t="s">
        <v>496</v>
      </c>
      <c r="S798" s="15">
        <v>7.2</v>
      </c>
      <c r="T798" s="15">
        <v>1.2</v>
      </c>
      <c r="U798" s="15">
        <v>0</v>
      </c>
      <c r="V798" s="14">
        <v>6347</v>
      </c>
      <c r="W798" s="12">
        <v>0</v>
      </c>
      <c r="X798" s="12">
        <v>0</v>
      </c>
      <c r="Y798" s="12">
        <v>2.75</v>
      </c>
      <c r="Z798" s="12">
        <v>6</v>
      </c>
      <c r="AA798" s="12">
        <v>0</v>
      </c>
      <c r="AB798" s="13">
        <f t="shared" si="49"/>
        <v>0</v>
      </c>
      <c r="AE798" s="12">
        <v>0</v>
      </c>
      <c r="AF798" s="12">
        <v>0</v>
      </c>
      <c r="AG798" s="12">
        <v>2.75</v>
      </c>
      <c r="AH798" s="12">
        <v>6</v>
      </c>
      <c r="AI798" s="12">
        <v>0</v>
      </c>
      <c r="AJ798" s="13">
        <f t="shared" si="50"/>
        <v>0</v>
      </c>
      <c r="AN798" s="12">
        <f t="shared" si="51"/>
        <v>55537</v>
      </c>
      <c r="AQ798" s="8" t="s">
        <v>419</v>
      </c>
      <c r="AR798" t="str">
        <f t="shared" si="52"/>
        <v>Norte - A07</v>
      </c>
    </row>
    <row r="799" spans="1:44" x14ac:dyDescent="0.2">
      <c r="A799" s="107" t="s">
        <v>3450</v>
      </c>
      <c r="B799" s="106" t="s">
        <v>3449</v>
      </c>
      <c r="C799" s="106" t="s">
        <v>3353</v>
      </c>
      <c r="D799" s="106" t="s">
        <v>3448</v>
      </c>
      <c r="E799" s="106" t="s">
        <v>3351</v>
      </c>
      <c r="F799" s="106" t="s">
        <v>490</v>
      </c>
      <c r="G799" s="106" t="s">
        <v>3447</v>
      </c>
      <c r="H799" s="105" t="s">
        <v>3446</v>
      </c>
      <c r="I799" s="105" t="s">
        <v>3441</v>
      </c>
      <c r="J799" s="104">
        <v>7.8</v>
      </c>
      <c r="K799" s="103" t="s">
        <v>427</v>
      </c>
      <c r="L799" s="102" t="s">
        <v>486</v>
      </c>
      <c r="M799" s="95"/>
      <c r="N799" s="14"/>
      <c r="O799" s="94">
        <v>19</v>
      </c>
      <c r="P799" s="14" t="s">
        <v>485</v>
      </c>
      <c r="Q799" s="14" t="s">
        <v>497</v>
      </c>
      <c r="R799" s="14" t="s">
        <v>496</v>
      </c>
      <c r="S799" s="15">
        <v>7.2</v>
      </c>
      <c r="T799" s="15">
        <v>1.2</v>
      </c>
      <c r="U799" s="15">
        <v>3.3</v>
      </c>
      <c r="V799" s="14">
        <v>2991</v>
      </c>
      <c r="W799" s="12">
        <v>0</v>
      </c>
      <c r="X799" s="12">
        <v>0</v>
      </c>
      <c r="Y799" s="12">
        <v>4.8</v>
      </c>
      <c r="Z799" s="12">
        <v>3</v>
      </c>
      <c r="AA799" s="12">
        <v>0</v>
      </c>
      <c r="AB799" s="13">
        <f t="shared" si="49"/>
        <v>0</v>
      </c>
      <c r="AE799" s="12">
        <v>0</v>
      </c>
      <c r="AF799" s="12">
        <v>0</v>
      </c>
      <c r="AG799" s="12">
        <v>4.8</v>
      </c>
      <c r="AH799" s="12">
        <v>3</v>
      </c>
      <c r="AI799" s="12">
        <v>0</v>
      </c>
      <c r="AJ799" s="13">
        <f t="shared" si="50"/>
        <v>0</v>
      </c>
      <c r="AN799" s="12">
        <f t="shared" si="51"/>
        <v>23330</v>
      </c>
      <c r="AQ799" s="8" t="s">
        <v>419</v>
      </c>
      <c r="AR799" t="str">
        <f t="shared" si="52"/>
        <v>Norte - A07</v>
      </c>
    </row>
    <row r="800" spans="1:44" x14ac:dyDescent="0.2">
      <c r="A800" s="107" t="s">
        <v>3445</v>
      </c>
      <c r="B800" s="106" t="s">
        <v>3444</v>
      </c>
      <c r="C800" s="106" t="s">
        <v>3353</v>
      </c>
      <c r="D800" s="106" t="s">
        <v>3443</v>
      </c>
      <c r="E800" s="106" t="s">
        <v>3351</v>
      </c>
      <c r="F800" s="106" t="s">
        <v>490</v>
      </c>
      <c r="G800" s="106" t="s">
        <v>3442</v>
      </c>
      <c r="H800" s="105" t="s">
        <v>3441</v>
      </c>
      <c r="I800" s="105" t="s">
        <v>3436</v>
      </c>
      <c r="J800" s="104">
        <v>3.05</v>
      </c>
      <c r="K800" s="103" t="s">
        <v>426</v>
      </c>
      <c r="L800" s="102" t="s">
        <v>577</v>
      </c>
      <c r="M800" s="95"/>
      <c r="N800" s="14"/>
      <c r="O800" s="94">
        <v>11</v>
      </c>
      <c r="P800" s="14" t="s">
        <v>485</v>
      </c>
      <c r="Q800" s="14" t="s">
        <v>497</v>
      </c>
      <c r="R800" s="14" t="s">
        <v>576</v>
      </c>
      <c r="S800" s="15">
        <v>6.6</v>
      </c>
      <c r="T800" s="15">
        <v>2.5</v>
      </c>
      <c r="U800" s="15">
        <v>0</v>
      </c>
      <c r="V800" s="14">
        <v>1887</v>
      </c>
      <c r="W800" s="12">
        <v>0</v>
      </c>
      <c r="X800" s="12">
        <v>1</v>
      </c>
      <c r="Y800" s="12">
        <v>2.0499999999999998</v>
      </c>
      <c r="Z800" s="12">
        <v>0</v>
      </c>
      <c r="AA800" s="12">
        <v>0</v>
      </c>
      <c r="AB800" s="13">
        <f t="shared" si="49"/>
        <v>0</v>
      </c>
      <c r="AE800" s="12">
        <v>0</v>
      </c>
      <c r="AF800" s="12">
        <v>1</v>
      </c>
      <c r="AG800" s="12">
        <v>2.0499999999999998</v>
      </c>
      <c r="AH800" s="12">
        <v>0</v>
      </c>
      <c r="AI800" s="12">
        <v>0</v>
      </c>
      <c r="AJ800" s="13">
        <f t="shared" si="50"/>
        <v>0</v>
      </c>
      <c r="AN800" s="12">
        <f t="shared" si="51"/>
        <v>5756</v>
      </c>
      <c r="AQ800" s="8" t="s">
        <v>420</v>
      </c>
      <c r="AR800" t="str">
        <f t="shared" si="52"/>
        <v>Campos Gerais - A06</v>
      </c>
    </row>
    <row r="801" spans="1:44" x14ac:dyDescent="0.2">
      <c r="A801" s="107" t="s">
        <v>3440</v>
      </c>
      <c r="B801" s="106" t="s">
        <v>3439</v>
      </c>
      <c r="C801" s="106" t="s">
        <v>3353</v>
      </c>
      <c r="D801" s="106" t="s">
        <v>3438</v>
      </c>
      <c r="E801" s="106" t="s">
        <v>3351</v>
      </c>
      <c r="F801" s="106" t="s">
        <v>490</v>
      </c>
      <c r="G801" s="106" t="s">
        <v>3437</v>
      </c>
      <c r="H801" s="105" t="s">
        <v>3436</v>
      </c>
      <c r="I801" s="105" t="s">
        <v>2614</v>
      </c>
      <c r="J801" s="104">
        <v>9.44</v>
      </c>
      <c r="K801" s="103" t="s">
        <v>426</v>
      </c>
      <c r="L801" s="102" t="s">
        <v>577</v>
      </c>
      <c r="M801" s="95"/>
      <c r="N801" s="14"/>
      <c r="O801" s="94">
        <v>11</v>
      </c>
      <c r="P801" s="14" t="s">
        <v>485</v>
      </c>
      <c r="Q801" s="14" t="s">
        <v>497</v>
      </c>
      <c r="R801" s="14" t="s">
        <v>576</v>
      </c>
      <c r="S801" s="15">
        <v>6.6</v>
      </c>
      <c r="T801" s="15">
        <v>2.5</v>
      </c>
      <c r="U801" s="15">
        <v>0</v>
      </c>
      <c r="V801" s="14">
        <v>1887</v>
      </c>
      <c r="W801" s="12">
        <v>0</v>
      </c>
      <c r="X801" s="12">
        <v>0</v>
      </c>
      <c r="Y801" s="12">
        <v>9</v>
      </c>
      <c r="Z801" s="12">
        <v>0.4399999999999995</v>
      </c>
      <c r="AA801" s="12">
        <v>0</v>
      </c>
      <c r="AB801" s="13">
        <f t="shared" si="49"/>
        <v>0</v>
      </c>
      <c r="AE801" s="12">
        <v>0</v>
      </c>
      <c r="AF801" s="12">
        <v>0</v>
      </c>
      <c r="AG801" s="12">
        <v>9</v>
      </c>
      <c r="AH801" s="12">
        <v>0.4399999999999995</v>
      </c>
      <c r="AI801" s="12">
        <v>0</v>
      </c>
      <c r="AJ801" s="13">
        <f t="shared" si="50"/>
        <v>0</v>
      </c>
      <c r="AN801" s="12">
        <f t="shared" si="51"/>
        <v>17814</v>
      </c>
      <c r="AQ801" s="8" t="s">
        <v>420</v>
      </c>
      <c r="AR801" t="str">
        <f t="shared" si="52"/>
        <v>Campos Gerais - A06</v>
      </c>
    </row>
    <row r="802" spans="1:44" x14ac:dyDescent="0.2">
      <c r="A802" s="107" t="s">
        <v>3435</v>
      </c>
      <c r="B802" s="106" t="s">
        <v>3434</v>
      </c>
      <c r="C802" s="106" t="s">
        <v>3353</v>
      </c>
      <c r="D802" s="106" t="s">
        <v>3433</v>
      </c>
      <c r="E802" s="106" t="s">
        <v>3351</v>
      </c>
      <c r="F802" s="106" t="s">
        <v>490</v>
      </c>
      <c r="G802" s="106" t="s">
        <v>3432</v>
      </c>
      <c r="H802" s="105" t="s">
        <v>2614</v>
      </c>
      <c r="I802" s="105" t="s">
        <v>3431</v>
      </c>
      <c r="J802" s="104">
        <v>2.2000000000000002</v>
      </c>
      <c r="K802" s="103" t="s">
        <v>426</v>
      </c>
      <c r="L802" s="102" t="s">
        <v>577</v>
      </c>
      <c r="M802" s="95"/>
      <c r="N802" s="14"/>
      <c r="O802" s="94">
        <v>11</v>
      </c>
      <c r="P802" s="14" t="s">
        <v>485</v>
      </c>
      <c r="Q802" s="14" t="s">
        <v>497</v>
      </c>
      <c r="R802" s="14" t="s">
        <v>576</v>
      </c>
      <c r="S802" s="15">
        <v>6.6</v>
      </c>
      <c r="T802" s="15">
        <v>2.5</v>
      </c>
      <c r="U802" s="15">
        <v>0</v>
      </c>
      <c r="V802" s="14">
        <v>3310</v>
      </c>
      <c r="W802" s="12">
        <v>0</v>
      </c>
      <c r="X802" s="12">
        <v>0</v>
      </c>
      <c r="Y802" s="12">
        <v>0</v>
      </c>
      <c r="Z802" s="12">
        <v>2.2000000000000002</v>
      </c>
      <c r="AA802" s="12">
        <v>0</v>
      </c>
      <c r="AB802" s="13">
        <f t="shared" si="49"/>
        <v>0</v>
      </c>
      <c r="AE802" s="12">
        <v>0</v>
      </c>
      <c r="AF802" s="12">
        <v>0</v>
      </c>
      <c r="AG802" s="12">
        <v>0</v>
      </c>
      <c r="AH802" s="12">
        <v>2.2000000000000002</v>
      </c>
      <c r="AI802" s="12">
        <v>0</v>
      </c>
      <c r="AJ802" s="13">
        <f t="shared" si="50"/>
        <v>0</v>
      </c>
      <c r="AN802" s="12">
        <f t="shared" si="51"/>
        <v>7282</v>
      </c>
      <c r="AQ802" s="8" t="s">
        <v>420</v>
      </c>
      <c r="AR802" t="str">
        <f t="shared" si="52"/>
        <v>Campos Gerais - A06</v>
      </c>
    </row>
    <row r="803" spans="1:44" x14ac:dyDescent="0.2">
      <c r="A803" s="107" t="s">
        <v>3430</v>
      </c>
      <c r="B803" s="106" t="s">
        <v>3429</v>
      </c>
      <c r="C803" s="106" t="s">
        <v>3353</v>
      </c>
      <c r="D803" s="106" t="s">
        <v>3428</v>
      </c>
      <c r="E803" s="106" t="s">
        <v>3351</v>
      </c>
      <c r="F803" s="106" t="s">
        <v>490</v>
      </c>
      <c r="G803" s="106" t="s">
        <v>3427</v>
      </c>
      <c r="H803" s="105" t="s">
        <v>3426</v>
      </c>
      <c r="I803" s="105" t="s">
        <v>3425</v>
      </c>
      <c r="J803" s="104">
        <v>27.36</v>
      </c>
      <c r="K803" s="103" t="s">
        <v>426</v>
      </c>
      <c r="L803" s="102" t="s">
        <v>577</v>
      </c>
      <c r="M803" s="95"/>
      <c r="N803" s="14"/>
      <c r="O803" s="94">
        <v>11</v>
      </c>
      <c r="P803" s="14" t="s">
        <v>485</v>
      </c>
      <c r="Q803" s="14" t="s">
        <v>497</v>
      </c>
      <c r="R803" s="14" t="s">
        <v>496</v>
      </c>
      <c r="S803" s="15">
        <v>6.8</v>
      </c>
      <c r="T803" s="15">
        <v>1.1000000000000001</v>
      </c>
      <c r="U803" s="15">
        <v>0</v>
      </c>
      <c r="V803" s="14">
        <v>3619</v>
      </c>
      <c r="W803" s="12">
        <v>0</v>
      </c>
      <c r="X803" s="12">
        <v>0</v>
      </c>
      <c r="Y803" s="12">
        <v>2</v>
      </c>
      <c r="Z803" s="12">
        <v>25.36</v>
      </c>
      <c r="AA803" s="12">
        <v>0</v>
      </c>
      <c r="AB803" s="13">
        <f t="shared" si="49"/>
        <v>0</v>
      </c>
      <c r="AE803" s="12">
        <v>0</v>
      </c>
      <c r="AF803" s="12">
        <v>0</v>
      </c>
      <c r="AG803" s="12">
        <v>2</v>
      </c>
      <c r="AH803" s="12">
        <v>25.36</v>
      </c>
      <c r="AI803" s="12">
        <v>0</v>
      </c>
      <c r="AJ803" s="13">
        <f t="shared" si="50"/>
        <v>0</v>
      </c>
      <c r="AN803" s="12">
        <f t="shared" si="51"/>
        <v>99016</v>
      </c>
      <c r="AQ803" s="8" t="s">
        <v>420</v>
      </c>
      <c r="AR803" t="str">
        <f t="shared" si="52"/>
        <v>Campos Gerais - A06</v>
      </c>
    </row>
    <row r="804" spans="1:44" x14ac:dyDescent="0.2">
      <c r="A804" s="107" t="s">
        <v>3424</v>
      </c>
      <c r="B804" s="106" t="s">
        <v>3423</v>
      </c>
      <c r="C804" s="106" t="s">
        <v>3353</v>
      </c>
      <c r="D804" s="106" t="s">
        <v>3422</v>
      </c>
      <c r="E804" s="106" t="s">
        <v>3351</v>
      </c>
      <c r="F804" s="106" t="s">
        <v>490</v>
      </c>
      <c r="G804" s="106" t="s">
        <v>3421</v>
      </c>
      <c r="H804" s="105" t="s">
        <v>3420</v>
      </c>
      <c r="I804" s="105" t="s">
        <v>3415</v>
      </c>
      <c r="J804" s="104">
        <v>1</v>
      </c>
      <c r="K804" s="103" t="s">
        <v>426</v>
      </c>
      <c r="L804" s="102" t="s">
        <v>577</v>
      </c>
      <c r="M804" s="95"/>
      <c r="N804" s="14"/>
      <c r="O804" s="94">
        <v>11</v>
      </c>
      <c r="P804" s="14" t="s">
        <v>485</v>
      </c>
      <c r="Q804" s="14" t="s">
        <v>497</v>
      </c>
      <c r="R804" s="14" t="s">
        <v>496</v>
      </c>
      <c r="S804" s="15">
        <v>7.1</v>
      </c>
      <c r="T804" s="15">
        <v>1.3</v>
      </c>
      <c r="U804" s="15">
        <v>0</v>
      </c>
      <c r="V804" s="14">
        <v>4795</v>
      </c>
      <c r="W804" s="12">
        <v>0</v>
      </c>
      <c r="X804" s="12">
        <v>0</v>
      </c>
      <c r="Y804" s="12">
        <v>0</v>
      </c>
      <c r="Z804" s="12">
        <v>1</v>
      </c>
      <c r="AA804" s="12">
        <v>0</v>
      </c>
      <c r="AB804" s="13">
        <f t="shared" si="49"/>
        <v>0</v>
      </c>
      <c r="AE804" s="12">
        <v>0</v>
      </c>
      <c r="AF804" s="12">
        <v>0</v>
      </c>
      <c r="AG804" s="12">
        <v>0</v>
      </c>
      <c r="AH804" s="12">
        <v>1</v>
      </c>
      <c r="AI804" s="12">
        <v>0</v>
      </c>
      <c r="AJ804" s="13">
        <f t="shared" si="50"/>
        <v>0</v>
      </c>
      <c r="AN804" s="12">
        <f t="shared" si="51"/>
        <v>4795</v>
      </c>
      <c r="AQ804" s="8" t="s">
        <v>420</v>
      </c>
      <c r="AR804" t="str">
        <f t="shared" si="52"/>
        <v>Campos Gerais - A06</v>
      </c>
    </row>
    <row r="805" spans="1:44" x14ac:dyDescent="0.2">
      <c r="A805" s="107" t="s">
        <v>3419</v>
      </c>
      <c r="B805" s="106" t="s">
        <v>3418</v>
      </c>
      <c r="C805" s="106" t="s">
        <v>3353</v>
      </c>
      <c r="D805" s="106" t="s">
        <v>3417</v>
      </c>
      <c r="E805" s="106" t="s">
        <v>3351</v>
      </c>
      <c r="F805" s="106" t="s">
        <v>490</v>
      </c>
      <c r="G805" s="106" t="s">
        <v>3416</v>
      </c>
      <c r="H805" s="105" t="s">
        <v>3415</v>
      </c>
      <c r="I805" s="105" t="s">
        <v>3410</v>
      </c>
      <c r="J805" s="104">
        <v>0.51</v>
      </c>
      <c r="K805" s="103" t="s">
        <v>426</v>
      </c>
      <c r="L805" s="102" t="s">
        <v>577</v>
      </c>
      <c r="M805" s="95"/>
      <c r="N805" s="14"/>
      <c r="O805" s="94">
        <v>11</v>
      </c>
      <c r="P805" s="14" t="s">
        <v>485</v>
      </c>
      <c r="Q805" s="14" t="s">
        <v>497</v>
      </c>
      <c r="R805" s="14" t="s">
        <v>496</v>
      </c>
      <c r="S805" s="15">
        <v>7.3</v>
      </c>
      <c r="T805" s="15">
        <v>2.2000000000000002</v>
      </c>
      <c r="U805" s="15">
        <v>0</v>
      </c>
      <c r="V805" s="14">
        <v>6043</v>
      </c>
      <c r="W805" s="12">
        <v>0</v>
      </c>
      <c r="X805" s="12">
        <v>0</v>
      </c>
      <c r="Y805" s="12">
        <v>0</v>
      </c>
      <c r="Z805" s="12">
        <v>0.51</v>
      </c>
      <c r="AA805" s="12">
        <v>0</v>
      </c>
      <c r="AB805" s="13">
        <f t="shared" si="49"/>
        <v>0</v>
      </c>
      <c r="AE805" s="12">
        <v>0</v>
      </c>
      <c r="AF805" s="12">
        <v>0</v>
      </c>
      <c r="AG805" s="12">
        <v>0</v>
      </c>
      <c r="AH805" s="12">
        <v>0.51</v>
      </c>
      <c r="AI805" s="12">
        <v>0</v>
      </c>
      <c r="AJ805" s="13">
        <f t="shared" si="50"/>
        <v>0</v>
      </c>
      <c r="AN805" s="12">
        <f t="shared" si="51"/>
        <v>3082</v>
      </c>
      <c r="AQ805" s="8" t="s">
        <v>420</v>
      </c>
      <c r="AR805" t="str">
        <f t="shared" si="52"/>
        <v>Campos Gerais - A06</v>
      </c>
    </row>
    <row r="806" spans="1:44" x14ac:dyDescent="0.2">
      <c r="A806" s="107" t="s">
        <v>3414</v>
      </c>
      <c r="B806" s="106" t="s">
        <v>3413</v>
      </c>
      <c r="C806" s="106" t="s">
        <v>3353</v>
      </c>
      <c r="D806" s="106" t="s">
        <v>3412</v>
      </c>
      <c r="E806" s="106" t="s">
        <v>3351</v>
      </c>
      <c r="F806" s="106" t="s">
        <v>490</v>
      </c>
      <c r="G806" s="106" t="s">
        <v>3411</v>
      </c>
      <c r="H806" s="105" t="s">
        <v>3410</v>
      </c>
      <c r="I806" s="105" t="s">
        <v>3405</v>
      </c>
      <c r="J806" s="104">
        <v>0.32</v>
      </c>
      <c r="K806" s="103" t="s">
        <v>426</v>
      </c>
      <c r="L806" s="102" t="s">
        <v>577</v>
      </c>
      <c r="M806" s="95"/>
      <c r="N806" s="14"/>
      <c r="O806" s="94">
        <v>11</v>
      </c>
      <c r="P806" s="14" t="s">
        <v>485</v>
      </c>
      <c r="Q806" s="14" t="s">
        <v>497</v>
      </c>
      <c r="R806" s="14" t="s">
        <v>496</v>
      </c>
      <c r="S806" s="15">
        <v>7.3</v>
      </c>
      <c r="T806" s="15">
        <v>2.2000000000000002</v>
      </c>
      <c r="U806" s="15">
        <v>0</v>
      </c>
      <c r="V806" s="14">
        <v>2417</v>
      </c>
      <c r="W806" s="12">
        <v>0</v>
      </c>
      <c r="X806" s="12">
        <v>0</v>
      </c>
      <c r="Y806" s="12">
        <v>0</v>
      </c>
      <c r="Z806" s="12">
        <v>0.32</v>
      </c>
      <c r="AA806" s="12">
        <v>0</v>
      </c>
      <c r="AB806" s="13">
        <f t="shared" si="49"/>
        <v>0</v>
      </c>
      <c r="AE806" s="12">
        <v>0</v>
      </c>
      <c r="AF806" s="12">
        <v>0</v>
      </c>
      <c r="AG806" s="12">
        <v>0</v>
      </c>
      <c r="AH806" s="12">
        <v>0.32</v>
      </c>
      <c r="AI806" s="12">
        <v>0</v>
      </c>
      <c r="AJ806" s="13">
        <f t="shared" si="50"/>
        <v>0</v>
      </c>
      <c r="AN806" s="12">
        <f t="shared" si="51"/>
        <v>774</v>
      </c>
      <c r="AQ806" s="8" t="s">
        <v>420</v>
      </c>
      <c r="AR806" t="str">
        <f t="shared" si="52"/>
        <v>Campos Gerais - A06</v>
      </c>
    </row>
    <row r="807" spans="1:44" x14ac:dyDescent="0.2">
      <c r="A807" s="107" t="s">
        <v>3409</v>
      </c>
      <c r="B807" s="106" t="s">
        <v>3408</v>
      </c>
      <c r="C807" s="106" t="s">
        <v>3353</v>
      </c>
      <c r="D807" s="106" t="s">
        <v>3407</v>
      </c>
      <c r="E807" s="106" t="s">
        <v>3351</v>
      </c>
      <c r="F807" s="106" t="s">
        <v>490</v>
      </c>
      <c r="G807" s="106" t="s">
        <v>3406</v>
      </c>
      <c r="H807" s="105" t="s">
        <v>3405</v>
      </c>
      <c r="I807" s="105" t="s">
        <v>3400</v>
      </c>
      <c r="J807" s="104">
        <v>2.1800000000000002</v>
      </c>
      <c r="K807" s="103" t="s">
        <v>426</v>
      </c>
      <c r="L807" s="102" t="s">
        <v>577</v>
      </c>
      <c r="M807" s="95"/>
      <c r="N807" s="14"/>
      <c r="O807" s="94">
        <v>11</v>
      </c>
      <c r="P807" s="14" t="s">
        <v>485</v>
      </c>
      <c r="Q807" s="14" t="s">
        <v>497</v>
      </c>
      <c r="R807" s="14" t="s">
        <v>496</v>
      </c>
      <c r="S807" s="15">
        <v>7.3</v>
      </c>
      <c r="T807" s="15">
        <v>2.2000000000000002</v>
      </c>
      <c r="U807" s="15">
        <v>0</v>
      </c>
      <c r="V807" s="14">
        <v>4766</v>
      </c>
      <c r="W807" s="12">
        <v>0</v>
      </c>
      <c r="X807" s="12">
        <v>0</v>
      </c>
      <c r="Y807" s="12">
        <v>1</v>
      </c>
      <c r="Z807" s="12">
        <v>1.1800000000000002</v>
      </c>
      <c r="AA807" s="12">
        <v>0</v>
      </c>
      <c r="AB807" s="13">
        <f t="shared" si="49"/>
        <v>0</v>
      </c>
      <c r="AE807" s="12">
        <v>0</v>
      </c>
      <c r="AF807" s="12">
        <v>0</v>
      </c>
      <c r="AG807" s="12">
        <v>1</v>
      </c>
      <c r="AH807" s="12">
        <v>1.1800000000000002</v>
      </c>
      <c r="AI807" s="12">
        <v>0</v>
      </c>
      <c r="AJ807" s="13">
        <f t="shared" si="50"/>
        <v>0</v>
      </c>
      <c r="AN807" s="12">
        <f t="shared" si="51"/>
        <v>10390</v>
      </c>
      <c r="AQ807" s="8" t="s">
        <v>420</v>
      </c>
      <c r="AR807" t="str">
        <f t="shared" si="52"/>
        <v>Campos Gerais - A06</v>
      </c>
    </row>
    <row r="808" spans="1:44" x14ac:dyDescent="0.2">
      <c r="A808" s="107" t="s">
        <v>3404</v>
      </c>
      <c r="B808" s="106" t="s">
        <v>3403</v>
      </c>
      <c r="C808" s="106" t="s">
        <v>3353</v>
      </c>
      <c r="D808" s="106" t="s">
        <v>3402</v>
      </c>
      <c r="E808" s="106" t="s">
        <v>3351</v>
      </c>
      <c r="F808" s="106" t="s">
        <v>490</v>
      </c>
      <c r="G808" s="106" t="s">
        <v>3401</v>
      </c>
      <c r="H808" s="105" t="s">
        <v>3400</v>
      </c>
      <c r="I808" s="105" t="s">
        <v>3399</v>
      </c>
      <c r="J808" s="104">
        <v>10.119999999999999</v>
      </c>
      <c r="K808" s="103" t="s">
        <v>426</v>
      </c>
      <c r="L808" s="102" t="s">
        <v>577</v>
      </c>
      <c r="M808" s="95"/>
      <c r="N808" s="14"/>
      <c r="O808" s="94">
        <v>11</v>
      </c>
      <c r="P808" s="14" t="s">
        <v>485</v>
      </c>
      <c r="Q808" s="14" t="s">
        <v>497</v>
      </c>
      <c r="R808" s="14" t="s">
        <v>496</v>
      </c>
      <c r="S808" s="15">
        <v>7.3</v>
      </c>
      <c r="T808" s="15">
        <v>2.2000000000000002</v>
      </c>
      <c r="U808" s="15">
        <v>0</v>
      </c>
      <c r="V808" s="14">
        <v>3487</v>
      </c>
      <c r="W808" s="12">
        <v>0</v>
      </c>
      <c r="X808" s="12">
        <v>0</v>
      </c>
      <c r="Y808" s="12">
        <v>1</v>
      </c>
      <c r="Z808" s="12">
        <v>9.1199999999999992</v>
      </c>
      <c r="AA808" s="12">
        <v>0</v>
      </c>
      <c r="AB808" s="13">
        <f t="shared" si="49"/>
        <v>0</v>
      </c>
      <c r="AE808" s="12">
        <v>0</v>
      </c>
      <c r="AF808" s="12">
        <v>0</v>
      </c>
      <c r="AG808" s="12">
        <v>1</v>
      </c>
      <c r="AH808" s="12">
        <v>9.1199999999999992</v>
      </c>
      <c r="AI808" s="12">
        <v>0</v>
      </c>
      <c r="AJ808" s="13">
        <f t="shared" si="50"/>
        <v>0</v>
      </c>
      <c r="AN808" s="12">
        <f t="shared" si="51"/>
        <v>35289</v>
      </c>
      <c r="AQ808" s="8" t="s">
        <v>420</v>
      </c>
      <c r="AR808" t="str">
        <f t="shared" si="52"/>
        <v>Campos Gerais - A06</v>
      </c>
    </row>
    <row r="809" spans="1:44" x14ac:dyDescent="0.2">
      <c r="A809" s="107" t="s">
        <v>3398</v>
      </c>
      <c r="B809" s="106" t="s">
        <v>3397</v>
      </c>
      <c r="C809" s="106" t="s">
        <v>3353</v>
      </c>
      <c r="D809" s="106" t="s">
        <v>3396</v>
      </c>
      <c r="E809" s="106" t="s">
        <v>3351</v>
      </c>
      <c r="F809" s="106" t="s">
        <v>490</v>
      </c>
      <c r="G809" s="106" t="s">
        <v>3395</v>
      </c>
      <c r="H809" s="105" t="s">
        <v>3394</v>
      </c>
      <c r="I809" s="105" t="s">
        <v>3393</v>
      </c>
      <c r="J809" s="104">
        <v>21.6</v>
      </c>
      <c r="K809" s="103" t="s">
        <v>425</v>
      </c>
      <c r="L809" s="102" t="s">
        <v>577</v>
      </c>
      <c r="M809" s="95"/>
      <c r="N809" s="14"/>
      <c r="O809" s="94">
        <v>10</v>
      </c>
      <c r="P809" s="14" t="s">
        <v>485</v>
      </c>
      <c r="Q809" s="14" t="s">
        <v>497</v>
      </c>
      <c r="R809" s="14" t="s">
        <v>496</v>
      </c>
      <c r="S809" s="15">
        <v>7.3</v>
      </c>
      <c r="T809" s="15">
        <v>2</v>
      </c>
      <c r="U809" s="15">
        <v>7.9999999999999991</v>
      </c>
      <c r="V809" s="14">
        <v>5208</v>
      </c>
      <c r="W809" s="12">
        <v>0</v>
      </c>
      <c r="X809" s="12">
        <v>0</v>
      </c>
      <c r="Y809" s="12">
        <v>6</v>
      </c>
      <c r="Z809" s="12">
        <v>15.600000000000001</v>
      </c>
      <c r="AA809" s="12">
        <v>0</v>
      </c>
      <c r="AB809" s="13">
        <f t="shared" si="49"/>
        <v>0</v>
      </c>
      <c r="AE809" s="12">
        <v>0</v>
      </c>
      <c r="AF809" s="12">
        <v>0</v>
      </c>
      <c r="AG809" s="12">
        <v>6</v>
      </c>
      <c r="AH809" s="12">
        <v>15.600000000000001</v>
      </c>
      <c r="AI809" s="12">
        <v>0</v>
      </c>
      <c r="AJ809" s="13">
        <f t="shared" si="50"/>
        <v>0</v>
      </c>
      <c r="AN809" s="12">
        <f t="shared" si="51"/>
        <v>112493</v>
      </c>
      <c r="AQ809" s="8" t="s">
        <v>420</v>
      </c>
      <c r="AR809" t="str">
        <f t="shared" si="52"/>
        <v>Campos Gerais - A05</v>
      </c>
    </row>
    <row r="810" spans="1:44" x14ac:dyDescent="0.2">
      <c r="A810" s="107" t="s">
        <v>3392</v>
      </c>
      <c r="B810" s="106" t="s">
        <v>3391</v>
      </c>
      <c r="C810" s="106" t="s">
        <v>3353</v>
      </c>
      <c r="D810" s="106" t="s">
        <v>3390</v>
      </c>
      <c r="E810" s="106" t="s">
        <v>3351</v>
      </c>
      <c r="F810" s="106" t="s">
        <v>490</v>
      </c>
      <c r="G810" s="106" t="s">
        <v>3389</v>
      </c>
      <c r="H810" s="105" t="s">
        <v>3388</v>
      </c>
      <c r="I810" s="105" t="s">
        <v>3387</v>
      </c>
      <c r="J810" s="104">
        <v>2.27</v>
      </c>
      <c r="K810" s="103" t="s">
        <v>425</v>
      </c>
      <c r="L810" s="102" t="s">
        <v>577</v>
      </c>
      <c r="M810" s="95"/>
      <c r="N810" s="14"/>
      <c r="O810" s="94">
        <v>10</v>
      </c>
      <c r="P810" s="14" t="s">
        <v>485</v>
      </c>
      <c r="Q810" s="14" t="s">
        <v>497</v>
      </c>
      <c r="R810" s="14" t="s">
        <v>496</v>
      </c>
      <c r="S810" s="15">
        <v>7.3</v>
      </c>
      <c r="T810" s="15">
        <v>2</v>
      </c>
      <c r="U810" s="15">
        <v>1</v>
      </c>
      <c r="V810" s="14">
        <v>5208</v>
      </c>
      <c r="W810" s="12">
        <v>0</v>
      </c>
      <c r="X810" s="12">
        <v>0</v>
      </c>
      <c r="Y810" s="12">
        <v>0</v>
      </c>
      <c r="Z810" s="12">
        <v>2.27</v>
      </c>
      <c r="AA810" s="12">
        <v>0</v>
      </c>
      <c r="AB810" s="13">
        <f t="shared" si="49"/>
        <v>0</v>
      </c>
      <c r="AE810" s="12">
        <v>0</v>
      </c>
      <c r="AF810" s="12">
        <v>0</v>
      </c>
      <c r="AG810" s="12">
        <v>0</v>
      </c>
      <c r="AH810" s="12">
        <v>2.27</v>
      </c>
      <c r="AI810" s="12">
        <v>0</v>
      </c>
      <c r="AJ810" s="13">
        <f t="shared" si="50"/>
        <v>0</v>
      </c>
      <c r="AN810" s="12">
        <f t="shared" si="51"/>
        <v>11823</v>
      </c>
      <c r="AQ810" s="8" t="s">
        <v>420</v>
      </c>
      <c r="AR810" t="str">
        <f t="shared" si="52"/>
        <v>Campos Gerais - A05</v>
      </c>
    </row>
    <row r="811" spans="1:44" x14ac:dyDescent="0.2">
      <c r="A811" s="107" t="s">
        <v>3386</v>
      </c>
      <c r="B811" s="106" t="s">
        <v>3385</v>
      </c>
      <c r="C811" s="106" t="s">
        <v>3353</v>
      </c>
      <c r="D811" s="106" t="s">
        <v>3384</v>
      </c>
      <c r="E811" s="106" t="s">
        <v>3351</v>
      </c>
      <c r="F811" s="106" t="s">
        <v>490</v>
      </c>
      <c r="G811" s="106" t="s">
        <v>3383</v>
      </c>
      <c r="H811" s="105" t="s">
        <v>3382</v>
      </c>
      <c r="I811" s="105" t="s">
        <v>3377</v>
      </c>
      <c r="J811" s="104">
        <v>9.31</v>
      </c>
      <c r="K811" s="103" t="s">
        <v>425</v>
      </c>
      <c r="L811" s="102" t="s">
        <v>577</v>
      </c>
      <c r="M811" s="95"/>
      <c r="N811" s="14"/>
      <c r="O811" s="94">
        <v>10</v>
      </c>
      <c r="P811" s="14" t="s">
        <v>485</v>
      </c>
      <c r="Q811" s="14" t="s">
        <v>497</v>
      </c>
      <c r="R811" s="14" t="s">
        <v>496</v>
      </c>
      <c r="S811" s="15">
        <v>7.3</v>
      </c>
      <c r="T811" s="15">
        <v>2</v>
      </c>
      <c r="U811" s="15">
        <v>0.8</v>
      </c>
      <c r="V811" s="14">
        <v>5208</v>
      </c>
      <c r="W811" s="12">
        <v>0</v>
      </c>
      <c r="X811" s="12">
        <v>0</v>
      </c>
      <c r="Y811" s="12">
        <v>5.3100000000000005</v>
      </c>
      <c r="Z811" s="12">
        <v>4</v>
      </c>
      <c r="AA811" s="12">
        <v>0</v>
      </c>
      <c r="AB811" s="13">
        <f t="shared" si="49"/>
        <v>0</v>
      </c>
      <c r="AE811" s="12">
        <v>0</v>
      </c>
      <c r="AF811" s="12">
        <v>0</v>
      </c>
      <c r="AG811" s="12">
        <v>5.3100000000000005</v>
      </c>
      <c r="AH811" s="12">
        <v>4</v>
      </c>
      <c r="AI811" s="12">
        <v>0</v>
      </c>
      <c r="AJ811" s="13">
        <f t="shared" si="50"/>
        <v>0</v>
      </c>
      <c r="AN811" s="12">
        <f t="shared" si="51"/>
        <v>48487</v>
      </c>
      <c r="AQ811" s="8" t="s">
        <v>420</v>
      </c>
      <c r="AR811" t="str">
        <f t="shared" si="52"/>
        <v>Campos Gerais - A05</v>
      </c>
    </row>
    <row r="812" spans="1:44" x14ac:dyDescent="0.2">
      <c r="A812" s="107" t="s">
        <v>3381</v>
      </c>
      <c r="B812" s="106" t="s">
        <v>3380</v>
      </c>
      <c r="C812" s="106" t="s">
        <v>3353</v>
      </c>
      <c r="D812" s="106" t="s">
        <v>3379</v>
      </c>
      <c r="E812" s="106" t="s">
        <v>3351</v>
      </c>
      <c r="F812" s="106" t="s">
        <v>490</v>
      </c>
      <c r="G812" s="106" t="s">
        <v>3378</v>
      </c>
      <c r="H812" s="105" t="s">
        <v>3377</v>
      </c>
      <c r="I812" s="105" t="s">
        <v>3372</v>
      </c>
      <c r="J812" s="104">
        <v>1.03</v>
      </c>
      <c r="K812" s="103" t="s">
        <v>425</v>
      </c>
      <c r="L812" s="102" t="s">
        <v>577</v>
      </c>
      <c r="M812" s="95"/>
      <c r="N812" s="14"/>
      <c r="O812" s="94">
        <v>10</v>
      </c>
      <c r="P812" s="14" t="s">
        <v>485</v>
      </c>
      <c r="Q812" s="14" t="s">
        <v>497</v>
      </c>
      <c r="R812" s="14" t="s">
        <v>496</v>
      </c>
      <c r="S812" s="15">
        <v>7.3</v>
      </c>
      <c r="T812" s="15">
        <v>2.2000000000000002</v>
      </c>
      <c r="U812" s="15">
        <v>0</v>
      </c>
      <c r="V812" s="14">
        <v>5208</v>
      </c>
      <c r="W812" s="12">
        <v>0</v>
      </c>
      <c r="X812" s="12">
        <v>0</v>
      </c>
      <c r="Y812" s="12">
        <v>1.03</v>
      </c>
      <c r="Z812" s="12">
        <v>0</v>
      </c>
      <c r="AA812" s="12">
        <v>0</v>
      </c>
      <c r="AB812" s="13">
        <f t="shared" si="49"/>
        <v>0</v>
      </c>
      <c r="AE812" s="12">
        <v>0</v>
      </c>
      <c r="AF812" s="12">
        <v>0</v>
      </c>
      <c r="AG812" s="12">
        <v>1.03</v>
      </c>
      <c r="AH812" s="12">
        <v>0</v>
      </c>
      <c r="AI812" s="12">
        <v>0</v>
      </c>
      <c r="AJ812" s="13">
        <f t="shared" si="50"/>
        <v>0</v>
      </c>
      <c r="AN812" s="12">
        <f t="shared" si="51"/>
        <v>5365</v>
      </c>
      <c r="AQ812" s="8" t="s">
        <v>420</v>
      </c>
      <c r="AR812" t="str">
        <f t="shared" si="52"/>
        <v>Campos Gerais - A05</v>
      </c>
    </row>
    <row r="813" spans="1:44" x14ac:dyDescent="0.2">
      <c r="A813" s="107" t="s">
        <v>3376</v>
      </c>
      <c r="B813" s="106" t="s">
        <v>3375</v>
      </c>
      <c r="C813" s="106" t="s">
        <v>3353</v>
      </c>
      <c r="D813" s="106" t="s">
        <v>3374</v>
      </c>
      <c r="E813" s="106" t="s">
        <v>3351</v>
      </c>
      <c r="F813" s="106" t="s">
        <v>490</v>
      </c>
      <c r="G813" s="106" t="s">
        <v>3373</v>
      </c>
      <c r="H813" s="105" t="s">
        <v>3372</v>
      </c>
      <c r="I813" s="105" t="s">
        <v>3367</v>
      </c>
      <c r="J813" s="104">
        <v>23.2</v>
      </c>
      <c r="K813" s="103" t="s">
        <v>425</v>
      </c>
      <c r="L813" s="102" t="s">
        <v>577</v>
      </c>
      <c r="M813" s="95"/>
      <c r="N813" s="14"/>
      <c r="O813" s="94">
        <v>10</v>
      </c>
      <c r="P813" s="14" t="s">
        <v>485</v>
      </c>
      <c r="Q813" s="14" t="s">
        <v>497</v>
      </c>
      <c r="R813" s="14" t="s">
        <v>496</v>
      </c>
      <c r="S813" s="15">
        <v>7.8</v>
      </c>
      <c r="T813" s="15">
        <v>1.5</v>
      </c>
      <c r="U813" s="15">
        <v>1.9</v>
      </c>
      <c r="V813" s="14">
        <v>5208</v>
      </c>
      <c r="W813" s="12">
        <v>0</v>
      </c>
      <c r="X813" s="12">
        <v>0</v>
      </c>
      <c r="Y813" s="12">
        <v>5</v>
      </c>
      <c r="Z813" s="12">
        <v>18.2</v>
      </c>
      <c r="AA813" s="12">
        <v>0</v>
      </c>
      <c r="AB813" s="13">
        <f t="shared" si="49"/>
        <v>0</v>
      </c>
      <c r="AE813" s="12">
        <v>0</v>
      </c>
      <c r="AF813" s="12">
        <v>0</v>
      </c>
      <c r="AG813" s="12">
        <v>5</v>
      </c>
      <c r="AH813" s="12">
        <v>18.2</v>
      </c>
      <c r="AI813" s="12">
        <v>0</v>
      </c>
      <c r="AJ813" s="13">
        <f t="shared" si="50"/>
        <v>0</v>
      </c>
      <c r="AN813" s="12">
        <f t="shared" si="51"/>
        <v>120826</v>
      </c>
      <c r="AQ813" s="8" t="s">
        <v>420</v>
      </c>
      <c r="AR813" t="str">
        <f t="shared" si="52"/>
        <v>Campos Gerais - A05</v>
      </c>
    </row>
    <row r="814" spans="1:44" x14ac:dyDescent="0.2">
      <c r="A814" s="107" t="s">
        <v>3371</v>
      </c>
      <c r="B814" s="106" t="s">
        <v>3370</v>
      </c>
      <c r="C814" s="106" t="s">
        <v>3353</v>
      </c>
      <c r="D814" s="106" t="s">
        <v>3369</v>
      </c>
      <c r="E814" s="106" t="s">
        <v>3351</v>
      </c>
      <c r="F814" s="106" t="s">
        <v>490</v>
      </c>
      <c r="G814" s="106" t="s">
        <v>3368</v>
      </c>
      <c r="H814" s="105" t="s">
        <v>3367</v>
      </c>
      <c r="I814" s="105" t="s">
        <v>3357</v>
      </c>
      <c r="J814" s="104">
        <v>12.24</v>
      </c>
      <c r="K814" s="103" t="s">
        <v>425</v>
      </c>
      <c r="L814" s="102" t="s">
        <v>577</v>
      </c>
      <c r="M814" s="95"/>
      <c r="N814" s="14"/>
      <c r="O814" s="94">
        <v>10</v>
      </c>
      <c r="P814" s="14" t="s">
        <v>485</v>
      </c>
      <c r="Q814" s="14" t="s">
        <v>497</v>
      </c>
      <c r="R814" s="14" t="s">
        <v>496</v>
      </c>
      <c r="S814" s="15">
        <v>8</v>
      </c>
      <c r="T814" s="15">
        <v>1.5</v>
      </c>
      <c r="U814" s="15">
        <v>0.9</v>
      </c>
      <c r="V814" s="14">
        <v>13628</v>
      </c>
      <c r="W814" s="12">
        <v>0</v>
      </c>
      <c r="X814" s="12">
        <v>0</v>
      </c>
      <c r="Y814" s="12">
        <v>0</v>
      </c>
      <c r="Z814" s="12">
        <v>12.24</v>
      </c>
      <c r="AA814" s="12">
        <v>0</v>
      </c>
      <c r="AB814" s="13">
        <f t="shared" si="49"/>
        <v>0</v>
      </c>
      <c r="AE814" s="12">
        <v>0</v>
      </c>
      <c r="AF814" s="12">
        <v>0</v>
      </c>
      <c r="AG814" s="12">
        <v>0</v>
      </c>
      <c r="AH814" s="12">
        <v>12.24</v>
      </c>
      <c r="AI814" s="12">
        <v>0</v>
      </c>
      <c r="AJ814" s="13">
        <f t="shared" si="50"/>
        <v>0</v>
      </c>
      <c r="AN814" s="12">
        <f t="shared" si="51"/>
        <v>166807</v>
      </c>
      <c r="AQ814" s="8" t="s">
        <v>420</v>
      </c>
      <c r="AR814" t="str">
        <f t="shared" si="52"/>
        <v>Campos Gerais - A05</v>
      </c>
    </row>
    <row r="815" spans="1:44" x14ac:dyDescent="0.2">
      <c r="A815" s="107" t="s">
        <v>3366</v>
      </c>
      <c r="B815" s="106" t="s">
        <v>3365</v>
      </c>
      <c r="C815" s="106" t="s">
        <v>3353</v>
      </c>
      <c r="D815" s="106" t="s">
        <v>3360</v>
      </c>
      <c r="E815" s="106" t="s">
        <v>3364</v>
      </c>
      <c r="F815" s="106" t="s">
        <v>606</v>
      </c>
      <c r="G815" s="106" t="s">
        <v>3363</v>
      </c>
      <c r="H815" s="105" t="s">
        <v>3357</v>
      </c>
      <c r="I815" s="105" t="s">
        <v>3356</v>
      </c>
      <c r="J815" s="104">
        <v>3.05</v>
      </c>
      <c r="K815" s="103" t="s">
        <v>425</v>
      </c>
      <c r="L815" s="102" t="s">
        <v>577</v>
      </c>
      <c r="M815" s="95"/>
      <c r="N815" s="14"/>
      <c r="O815" s="94">
        <v>10</v>
      </c>
      <c r="P815" s="14" t="s">
        <v>596</v>
      </c>
      <c r="Q815" s="14" t="s">
        <v>497</v>
      </c>
      <c r="R815" s="14" t="s">
        <v>496</v>
      </c>
      <c r="S815" s="15">
        <v>8</v>
      </c>
      <c r="T815" s="15">
        <v>1.5</v>
      </c>
      <c r="U815" s="15">
        <v>0</v>
      </c>
      <c r="V815" s="14">
        <v>5444</v>
      </c>
      <c r="W815" s="12">
        <v>0</v>
      </c>
      <c r="X815" s="12">
        <v>0</v>
      </c>
      <c r="Y815" s="12">
        <v>0</v>
      </c>
      <c r="Z815" s="12">
        <v>3.05</v>
      </c>
      <c r="AA815" s="12">
        <v>0</v>
      </c>
      <c r="AB815" s="13">
        <f t="shared" si="49"/>
        <v>0</v>
      </c>
      <c r="AE815" s="12">
        <v>0</v>
      </c>
      <c r="AF815" s="12">
        <v>0</v>
      </c>
      <c r="AG815" s="12">
        <v>0</v>
      </c>
      <c r="AH815" s="12">
        <v>3.05</v>
      </c>
      <c r="AI815" s="12">
        <v>0</v>
      </c>
      <c r="AJ815" s="13">
        <f t="shared" si="50"/>
        <v>0</v>
      </c>
      <c r="AN815" s="12">
        <f t="shared" si="51"/>
        <v>16605</v>
      </c>
      <c r="AQ815" s="8" t="s">
        <v>420</v>
      </c>
      <c r="AR815" t="str">
        <f t="shared" si="52"/>
        <v>Campos Gerais - A05</v>
      </c>
    </row>
    <row r="816" spans="1:44" x14ac:dyDescent="0.2">
      <c r="A816" s="107" t="s">
        <v>3362</v>
      </c>
      <c r="B816" s="106" t="s">
        <v>3361</v>
      </c>
      <c r="C816" s="106" t="s">
        <v>3353</v>
      </c>
      <c r="D816" s="106" t="s">
        <v>3360</v>
      </c>
      <c r="E816" s="106" t="s">
        <v>3359</v>
      </c>
      <c r="F816" s="106" t="s">
        <v>600</v>
      </c>
      <c r="G816" s="106" t="s">
        <v>3358</v>
      </c>
      <c r="H816" s="105" t="s">
        <v>3357</v>
      </c>
      <c r="I816" s="105" t="s">
        <v>3356</v>
      </c>
      <c r="J816" s="104">
        <v>3.05</v>
      </c>
      <c r="K816" s="103" t="s">
        <v>425</v>
      </c>
      <c r="L816" s="102" t="s">
        <v>577</v>
      </c>
      <c r="M816" s="95"/>
      <c r="N816" s="14"/>
      <c r="O816" s="94">
        <v>10</v>
      </c>
      <c r="P816" s="14" t="s">
        <v>596</v>
      </c>
      <c r="Q816" s="14" t="s">
        <v>497</v>
      </c>
      <c r="R816" s="14" t="s">
        <v>496</v>
      </c>
      <c r="S816" s="15">
        <v>8</v>
      </c>
      <c r="T816" s="15">
        <v>1.5</v>
      </c>
      <c r="U816" s="15">
        <v>0</v>
      </c>
      <c r="V816" s="14">
        <v>5444</v>
      </c>
      <c r="W816" s="12">
        <v>0</v>
      </c>
      <c r="X816" s="12">
        <v>0</v>
      </c>
      <c r="Y816" s="12">
        <v>0</v>
      </c>
      <c r="Z816" s="12">
        <v>3.05</v>
      </c>
      <c r="AA816" s="12">
        <v>0</v>
      </c>
      <c r="AB816" s="13">
        <f t="shared" si="49"/>
        <v>0</v>
      </c>
      <c r="AE816" s="12">
        <v>0</v>
      </c>
      <c r="AF816" s="12">
        <v>0</v>
      </c>
      <c r="AG816" s="12">
        <v>0</v>
      </c>
      <c r="AH816" s="12">
        <v>3.05</v>
      </c>
      <c r="AI816" s="12">
        <v>0</v>
      </c>
      <c r="AJ816" s="13">
        <f t="shared" si="50"/>
        <v>0</v>
      </c>
      <c r="AN816" s="12">
        <f t="shared" si="51"/>
        <v>16605</v>
      </c>
      <c r="AQ816" s="8" t="s">
        <v>420</v>
      </c>
      <c r="AR816" t="str">
        <f t="shared" si="52"/>
        <v>Campos Gerais - A05</v>
      </c>
    </row>
    <row r="817" spans="1:44" x14ac:dyDescent="0.2">
      <c r="A817" s="107" t="s">
        <v>3355</v>
      </c>
      <c r="B817" s="106" t="s">
        <v>3354</v>
      </c>
      <c r="C817" s="106" t="s">
        <v>3353</v>
      </c>
      <c r="D817" s="106" t="s">
        <v>3352</v>
      </c>
      <c r="E817" s="106" t="s">
        <v>3351</v>
      </c>
      <c r="F817" s="106" t="s">
        <v>490</v>
      </c>
      <c r="G817" s="106" t="s">
        <v>3350</v>
      </c>
      <c r="H817" s="105" t="s">
        <v>563</v>
      </c>
      <c r="I817" s="105" t="s">
        <v>3349</v>
      </c>
      <c r="J817" s="104">
        <v>2.93</v>
      </c>
      <c r="K817" s="103" t="s">
        <v>425</v>
      </c>
      <c r="L817" s="102" t="s">
        <v>801</v>
      </c>
      <c r="M817" s="95"/>
      <c r="N817" s="14"/>
      <c r="O817" s="94">
        <v>5</v>
      </c>
      <c r="P817" s="14" t="s">
        <v>485</v>
      </c>
      <c r="Q817" s="14" t="s">
        <v>872</v>
      </c>
      <c r="R817" s="14" t="s">
        <v>496</v>
      </c>
      <c r="S817" s="15">
        <v>7.77</v>
      </c>
      <c r="T817" s="15">
        <v>0.81500000000000017</v>
      </c>
      <c r="U817" s="15">
        <v>0</v>
      </c>
      <c r="V817" s="14">
        <v>5054</v>
      </c>
      <c r="W817" s="12">
        <v>0</v>
      </c>
      <c r="X817" s="12">
        <v>0</v>
      </c>
      <c r="Y817" s="12">
        <v>0.93000000000000016</v>
      </c>
      <c r="Z817" s="12">
        <v>2</v>
      </c>
      <c r="AA817" s="12">
        <v>0</v>
      </c>
      <c r="AB817" s="13">
        <f t="shared" si="49"/>
        <v>0</v>
      </c>
      <c r="AE817" s="12">
        <v>0</v>
      </c>
      <c r="AF817" s="12">
        <v>0</v>
      </c>
      <c r="AG817" s="12">
        <v>0.93000000000000016</v>
      </c>
      <c r="AH817" s="12">
        <v>2</v>
      </c>
      <c r="AI817" s="12">
        <v>0</v>
      </c>
      <c r="AJ817" s="13">
        <f t="shared" si="50"/>
        <v>0</v>
      </c>
      <c r="AN817" s="12">
        <f t="shared" si="51"/>
        <v>14809</v>
      </c>
      <c r="AQ817" s="8" t="s">
        <v>416</v>
      </c>
      <c r="AR817" t="str">
        <f t="shared" si="52"/>
        <v>Leste - A05</v>
      </c>
    </row>
    <row r="818" spans="1:44" x14ac:dyDescent="0.2">
      <c r="A818" s="107" t="s">
        <v>3348</v>
      </c>
      <c r="B818" s="106" t="s">
        <v>3347</v>
      </c>
      <c r="C818" s="106" t="s">
        <v>3294</v>
      </c>
      <c r="D818" s="106" t="s">
        <v>2641</v>
      </c>
      <c r="E818" s="106" t="s">
        <v>3317</v>
      </c>
      <c r="F818" s="106" t="s">
        <v>490</v>
      </c>
      <c r="G818" s="106" t="s">
        <v>3346</v>
      </c>
      <c r="H818" s="105" t="s">
        <v>3345</v>
      </c>
      <c r="I818" s="105" t="s">
        <v>3340</v>
      </c>
      <c r="J818" s="104">
        <v>9.02</v>
      </c>
      <c r="K818" s="103" t="s">
        <v>422</v>
      </c>
      <c r="L818" s="102" t="s">
        <v>507</v>
      </c>
      <c r="M818" s="95"/>
      <c r="N818" s="14"/>
      <c r="O818" s="94">
        <v>34</v>
      </c>
      <c r="P818" s="14" t="s">
        <v>485</v>
      </c>
      <c r="Q818" s="14" t="s">
        <v>497</v>
      </c>
      <c r="R818" s="14" t="s">
        <v>496</v>
      </c>
      <c r="S818" s="15">
        <v>6</v>
      </c>
      <c r="T818" s="15">
        <v>0</v>
      </c>
      <c r="U818" s="15">
        <v>0</v>
      </c>
      <c r="V818" s="14">
        <v>279</v>
      </c>
      <c r="W818" s="12">
        <v>0</v>
      </c>
      <c r="X818" s="12">
        <v>0</v>
      </c>
      <c r="Y818" s="12">
        <v>9.02</v>
      </c>
      <c r="Z818" s="12">
        <v>0</v>
      </c>
      <c r="AA818" s="12">
        <v>0</v>
      </c>
      <c r="AB818" s="13">
        <f t="shared" si="49"/>
        <v>0</v>
      </c>
      <c r="AE818" s="12">
        <v>0</v>
      </c>
      <c r="AF818" s="12">
        <v>0</v>
      </c>
      <c r="AG818" s="12">
        <v>9.02</v>
      </c>
      <c r="AH818" s="12">
        <v>0</v>
      </c>
      <c r="AI818" s="12">
        <v>0</v>
      </c>
      <c r="AJ818" s="13">
        <f t="shared" si="50"/>
        <v>0</v>
      </c>
      <c r="AN818" s="12">
        <f t="shared" si="51"/>
        <v>2517</v>
      </c>
      <c r="AQ818" s="8" t="s">
        <v>417</v>
      </c>
      <c r="AR818" t="str">
        <f t="shared" si="52"/>
        <v>Oeste - A02</v>
      </c>
    </row>
    <row r="819" spans="1:44" x14ac:dyDescent="0.2">
      <c r="A819" s="107" t="s">
        <v>3344</v>
      </c>
      <c r="B819" s="106" t="s">
        <v>3343</v>
      </c>
      <c r="C819" s="106" t="s">
        <v>3294</v>
      </c>
      <c r="D819" s="106" t="s">
        <v>3342</v>
      </c>
      <c r="E819" s="106" t="s">
        <v>3317</v>
      </c>
      <c r="F819" s="106" t="s">
        <v>490</v>
      </c>
      <c r="G819" s="106" t="s">
        <v>3341</v>
      </c>
      <c r="H819" s="105" t="s">
        <v>3340</v>
      </c>
      <c r="I819" s="105" t="s">
        <v>3339</v>
      </c>
      <c r="J819" s="104">
        <v>6.14</v>
      </c>
      <c r="K819" s="103" t="s">
        <v>422</v>
      </c>
      <c r="L819" s="102" t="s">
        <v>507</v>
      </c>
      <c r="M819" s="95"/>
      <c r="N819" s="14"/>
      <c r="O819" s="94">
        <v>34</v>
      </c>
      <c r="P819" s="14" t="s">
        <v>485</v>
      </c>
      <c r="Q819" s="14" t="s">
        <v>497</v>
      </c>
      <c r="R819" s="14" t="s">
        <v>496</v>
      </c>
      <c r="S819" s="15">
        <v>6</v>
      </c>
      <c r="T819" s="15">
        <v>0</v>
      </c>
      <c r="U819" s="15">
        <v>0</v>
      </c>
      <c r="V819" s="14">
        <v>279</v>
      </c>
      <c r="W819" s="12">
        <v>0</v>
      </c>
      <c r="X819" s="12">
        <v>0</v>
      </c>
      <c r="Y819" s="12">
        <v>6.14</v>
      </c>
      <c r="Z819" s="12">
        <v>0</v>
      </c>
      <c r="AA819" s="12">
        <v>0</v>
      </c>
      <c r="AB819" s="13">
        <f t="shared" si="49"/>
        <v>0</v>
      </c>
      <c r="AE819" s="12">
        <v>0</v>
      </c>
      <c r="AF819" s="12">
        <v>0</v>
      </c>
      <c r="AG819" s="12">
        <v>6.14</v>
      </c>
      <c r="AH819" s="12">
        <v>0</v>
      </c>
      <c r="AI819" s="12">
        <v>0</v>
      </c>
      <c r="AJ819" s="13">
        <f t="shared" si="50"/>
        <v>0</v>
      </c>
      <c r="AN819" s="12">
        <f t="shared" si="51"/>
        <v>1714</v>
      </c>
      <c r="AQ819" s="8" t="s">
        <v>417</v>
      </c>
      <c r="AR819" t="str">
        <f t="shared" si="52"/>
        <v>Oeste - A02</v>
      </c>
    </row>
    <row r="820" spans="1:44" x14ac:dyDescent="0.2">
      <c r="A820" s="107" t="s">
        <v>3338</v>
      </c>
      <c r="B820" s="106" t="s">
        <v>3337</v>
      </c>
      <c r="C820" s="106" t="s">
        <v>3294</v>
      </c>
      <c r="D820" s="106" t="s">
        <v>3336</v>
      </c>
      <c r="E820" s="106" t="s">
        <v>3317</v>
      </c>
      <c r="F820" s="106" t="s">
        <v>490</v>
      </c>
      <c r="G820" s="106" t="s">
        <v>3335</v>
      </c>
      <c r="H820" s="105" t="s">
        <v>3334</v>
      </c>
      <c r="I820" s="105" t="s">
        <v>3329</v>
      </c>
      <c r="J820" s="104">
        <v>0.49</v>
      </c>
      <c r="K820" s="103" t="s">
        <v>422</v>
      </c>
      <c r="L820" s="102" t="s">
        <v>507</v>
      </c>
      <c r="M820" s="95"/>
      <c r="N820" s="14"/>
      <c r="O820" s="94">
        <v>34</v>
      </c>
      <c r="P820" s="14" t="s">
        <v>485</v>
      </c>
      <c r="Q820" s="14" t="s">
        <v>497</v>
      </c>
      <c r="R820" s="14" t="s">
        <v>496</v>
      </c>
      <c r="S820" s="15">
        <v>6</v>
      </c>
      <c r="T820" s="15">
        <v>0</v>
      </c>
      <c r="U820" s="15">
        <v>0</v>
      </c>
      <c r="V820" s="14">
        <v>279</v>
      </c>
      <c r="W820" s="12">
        <v>0</v>
      </c>
      <c r="X820" s="12">
        <v>0</v>
      </c>
      <c r="Y820" s="12">
        <v>0</v>
      </c>
      <c r="Z820" s="12">
        <v>0.49</v>
      </c>
      <c r="AA820" s="12">
        <v>0</v>
      </c>
      <c r="AB820" s="13">
        <f t="shared" si="49"/>
        <v>0</v>
      </c>
      <c r="AE820" s="12">
        <v>0</v>
      </c>
      <c r="AF820" s="12">
        <v>0</v>
      </c>
      <c r="AG820" s="12">
        <v>0</v>
      </c>
      <c r="AH820" s="12">
        <v>0.49</v>
      </c>
      <c r="AI820" s="12">
        <v>0</v>
      </c>
      <c r="AJ820" s="13">
        <f t="shared" si="50"/>
        <v>0</v>
      </c>
      <c r="AN820" s="12">
        <f t="shared" si="51"/>
        <v>137</v>
      </c>
      <c r="AQ820" s="8" t="s">
        <v>417</v>
      </c>
      <c r="AR820" t="str">
        <f t="shared" si="52"/>
        <v>Oeste - A02</v>
      </c>
    </row>
    <row r="821" spans="1:44" x14ac:dyDescent="0.2">
      <c r="A821" s="107" t="s">
        <v>3333</v>
      </c>
      <c r="B821" s="106" t="s">
        <v>3332</v>
      </c>
      <c r="C821" s="106" t="s">
        <v>3294</v>
      </c>
      <c r="D821" s="106" t="s">
        <v>3331</v>
      </c>
      <c r="E821" s="106" t="s">
        <v>3317</v>
      </c>
      <c r="F821" s="106" t="s">
        <v>490</v>
      </c>
      <c r="G821" s="106" t="s">
        <v>3330</v>
      </c>
      <c r="H821" s="105" t="s">
        <v>3329</v>
      </c>
      <c r="I821" s="105" t="s">
        <v>3325</v>
      </c>
      <c r="J821" s="104">
        <v>0.71</v>
      </c>
      <c r="K821" s="103" t="s">
        <v>422</v>
      </c>
      <c r="L821" s="102" t="s">
        <v>507</v>
      </c>
      <c r="M821" s="95"/>
      <c r="N821" s="14"/>
      <c r="O821" s="94">
        <v>34</v>
      </c>
      <c r="P821" s="14" t="s">
        <v>485</v>
      </c>
      <c r="Q821" s="14" t="s">
        <v>497</v>
      </c>
      <c r="R821" s="14" t="s">
        <v>496</v>
      </c>
      <c r="S821" s="15">
        <v>6</v>
      </c>
      <c r="T821" s="15">
        <v>0</v>
      </c>
      <c r="U821" s="15">
        <v>0</v>
      </c>
      <c r="V821" s="14">
        <v>279</v>
      </c>
      <c r="W821" s="12">
        <v>0</v>
      </c>
      <c r="X821" s="12">
        <v>0</v>
      </c>
      <c r="Y821" s="12">
        <v>0.71</v>
      </c>
      <c r="Z821" s="12">
        <v>0</v>
      </c>
      <c r="AA821" s="12">
        <v>0</v>
      </c>
      <c r="AB821" s="13">
        <f t="shared" si="49"/>
        <v>0</v>
      </c>
      <c r="AE821" s="12">
        <v>0</v>
      </c>
      <c r="AF821" s="12">
        <v>0</v>
      </c>
      <c r="AG821" s="12">
        <v>0.71</v>
      </c>
      <c r="AH821" s="12">
        <v>0</v>
      </c>
      <c r="AI821" s="12">
        <v>0</v>
      </c>
      <c r="AJ821" s="13">
        <f t="shared" si="50"/>
        <v>0</v>
      </c>
      <c r="AN821" s="12">
        <f t="shared" si="51"/>
        <v>199</v>
      </c>
      <c r="AQ821" s="8" t="s">
        <v>417</v>
      </c>
      <c r="AR821" t="str">
        <f t="shared" si="52"/>
        <v>Oeste - A02</v>
      </c>
    </row>
    <row r="822" spans="1:44" x14ac:dyDescent="0.2">
      <c r="A822" s="107" t="s">
        <v>3328</v>
      </c>
      <c r="B822" s="106" t="s">
        <v>3327</v>
      </c>
      <c r="C822" s="106" t="s">
        <v>3294</v>
      </c>
      <c r="D822" s="106" t="s">
        <v>2631</v>
      </c>
      <c r="E822" s="106" t="s">
        <v>3317</v>
      </c>
      <c r="F822" s="106" t="s">
        <v>490</v>
      </c>
      <c r="G822" s="106" t="s">
        <v>3326</v>
      </c>
      <c r="H822" s="105" t="s">
        <v>3325</v>
      </c>
      <c r="I822" s="105" t="s">
        <v>3321</v>
      </c>
      <c r="J822" s="104">
        <v>5.64</v>
      </c>
      <c r="K822" s="103" t="s">
        <v>422</v>
      </c>
      <c r="L822" s="102" t="s">
        <v>507</v>
      </c>
      <c r="M822" s="95"/>
      <c r="N822" s="14"/>
      <c r="O822" s="94">
        <v>34</v>
      </c>
      <c r="P822" s="14" t="s">
        <v>485</v>
      </c>
      <c r="Q822" s="14" t="s">
        <v>497</v>
      </c>
      <c r="R822" s="14" t="s">
        <v>496</v>
      </c>
      <c r="S822" s="15">
        <v>7</v>
      </c>
      <c r="T822" s="15">
        <v>0</v>
      </c>
      <c r="U822" s="15">
        <v>0</v>
      </c>
      <c r="V822" s="14">
        <v>3783</v>
      </c>
      <c r="W822" s="12">
        <v>0</v>
      </c>
      <c r="X822" s="12">
        <v>2</v>
      </c>
      <c r="Y822" s="12">
        <v>3.6399999999999997</v>
      </c>
      <c r="Z822" s="12">
        <v>0</v>
      </c>
      <c r="AA822" s="12">
        <v>0</v>
      </c>
      <c r="AB822" s="13">
        <f t="shared" si="49"/>
        <v>0</v>
      </c>
      <c r="AE822" s="12">
        <v>0</v>
      </c>
      <c r="AF822" s="12">
        <v>2</v>
      </c>
      <c r="AG822" s="12">
        <v>3.6399999999999997</v>
      </c>
      <c r="AH822" s="12">
        <v>0</v>
      </c>
      <c r="AI822" s="12">
        <v>0</v>
      </c>
      <c r="AJ822" s="13">
        <f t="shared" si="50"/>
        <v>0</v>
      </c>
      <c r="AN822" s="12">
        <f t="shared" si="51"/>
        <v>21337</v>
      </c>
      <c r="AQ822" s="8" t="s">
        <v>417</v>
      </c>
      <c r="AR822" t="str">
        <f t="shared" si="52"/>
        <v>Oeste - A02</v>
      </c>
    </row>
    <row r="823" spans="1:44" x14ac:dyDescent="0.2">
      <c r="A823" s="107" t="s">
        <v>3324</v>
      </c>
      <c r="B823" s="106" t="s">
        <v>3323</v>
      </c>
      <c r="C823" s="106" t="s">
        <v>3294</v>
      </c>
      <c r="D823" s="106" t="s">
        <v>2626</v>
      </c>
      <c r="E823" s="106" t="s">
        <v>3317</v>
      </c>
      <c r="F823" s="106" t="s">
        <v>490</v>
      </c>
      <c r="G823" s="106" t="s">
        <v>3322</v>
      </c>
      <c r="H823" s="105" t="s">
        <v>3321</v>
      </c>
      <c r="I823" s="105" t="s">
        <v>3315</v>
      </c>
      <c r="J823" s="104">
        <v>4.7300000000000004</v>
      </c>
      <c r="K823" s="103" t="s">
        <v>422</v>
      </c>
      <c r="L823" s="102" t="s">
        <v>507</v>
      </c>
      <c r="M823" s="95"/>
      <c r="N823" s="14"/>
      <c r="O823" s="94">
        <v>34</v>
      </c>
      <c r="P823" s="14" t="s">
        <v>485</v>
      </c>
      <c r="Q823" s="14" t="s">
        <v>497</v>
      </c>
      <c r="R823" s="14" t="s">
        <v>496</v>
      </c>
      <c r="S823" s="15">
        <v>6.6</v>
      </c>
      <c r="T823" s="15">
        <v>0</v>
      </c>
      <c r="U823" s="15">
        <v>0</v>
      </c>
      <c r="V823" s="14">
        <v>3783</v>
      </c>
      <c r="W823" s="12">
        <v>0</v>
      </c>
      <c r="X823" s="12">
        <v>0</v>
      </c>
      <c r="Y823" s="12">
        <v>4.7300000000000004</v>
      </c>
      <c r="Z823" s="12">
        <v>0</v>
      </c>
      <c r="AA823" s="12">
        <v>0</v>
      </c>
      <c r="AB823" s="13">
        <f t="shared" si="49"/>
        <v>0</v>
      </c>
      <c r="AE823" s="12">
        <v>0</v>
      </c>
      <c r="AF823" s="12">
        <v>0</v>
      </c>
      <c r="AG823" s="12">
        <v>4.7300000000000004</v>
      </c>
      <c r="AH823" s="12">
        <v>0</v>
      </c>
      <c r="AI823" s="12">
        <v>0</v>
      </c>
      <c r="AJ823" s="13">
        <f t="shared" si="50"/>
        <v>0</v>
      </c>
      <c r="AN823" s="12">
        <f t="shared" si="51"/>
        <v>17894</v>
      </c>
      <c r="AQ823" s="8" t="s">
        <v>417</v>
      </c>
      <c r="AR823" t="str">
        <f t="shared" si="52"/>
        <v>Oeste - A02</v>
      </c>
    </row>
    <row r="824" spans="1:44" x14ac:dyDescent="0.2">
      <c r="A824" s="107" t="s">
        <v>3320</v>
      </c>
      <c r="B824" s="106" t="s">
        <v>3319</v>
      </c>
      <c r="C824" s="106" t="s">
        <v>3294</v>
      </c>
      <c r="D824" s="106" t="s">
        <v>3318</v>
      </c>
      <c r="E824" s="106" t="s">
        <v>3317</v>
      </c>
      <c r="F824" s="106" t="s">
        <v>490</v>
      </c>
      <c r="G824" s="106" t="s">
        <v>3316</v>
      </c>
      <c r="H824" s="105" t="s">
        <v>3315</v>
      </c>
      <c r="I824" s="105" t="s">
        <v>3309</v>
      </c>
      <c r="J824" s="104">
        <v>0.5</v>
      </c>
      <c r="K824" s="103" t="s">
        <v>422</v>
      </c>
      <c r="L824" s="102" t="s">
        <v>507</v>
      </c>
      <c r="M824" s="95"/>
      <c r="N824" s="14"/>
      <c r="O824" s="94">
        <v>34</v>
      </c>
      <c r="P824" s="14" t="s">
        <v>485</v>
      </c>
      <c r="Q824" s="14" t="s">
        <v>497</v>
      </c>
      <c r="R824" s="14" t="s">
        <v>496</v>
      </c>
      <c r="S824" s="15">
        <v>6.6</v>
      </c>
      <c r="T824" s="15">
        <v>0</v>
      </c>
      <c r="U824" s="15">
        <v>0</v>
      </c>
      <c r="V824" s="14">
        <v>3783</v>
      </c>
      <c r="W824" s="12">
        <v>0</v>
      </c>
      <c r="X824" s="12">
        <v>0</v>
      </c>
      <c r="Y824" s="12">
        <v>0.5</v>
      </c>
      <c r="Z824" s="12">
        <v>0</v>
      </c>
      <c r="AA824" s="12">
        <v>0</v>
      </c>
      <c r="AB824" s="13">
        <f t="shared" si="49"/>
        <v>0</v>
      </c>
      <c r="AE824" s="12">
        <v>0</v>
      </c>
      <c r="AF824" s="12">
        <v>0</v>
      </c>
      <c r="AG824" s="12">
        <v>0.5</v>
      </c>
      <c r="AH824" s="12">
        <v>0</v>
      </c>
      <c r="AI824" s="12">
        <v>0</v>
      </c>
      <c r="AJ824" s="13">
        <f t="shared" si="50"/>
        <v>0</v>
      </c>
      <c r="AN824" s="12">
        <f t="shared" si="51"/>
        <v>1892</v>
      </c>
      <c r="AQ824" s="8" t="s">
        <v>417</v>
      </c>
      <c r="AR824" t="str">
        <f t="shared" si="52"/>
        <v>Oeste - A02</v>
      </c>
    </row>
    <row r="825" spans="1:44" x14ac:dyDescent="0.2">
      <c r="A825" s="107" t="s">
        <v>3314</v>
      </c>
      <c r="B825" s="106" t="s">
        <v>3313</v>
      </c>
      <c r="C825" s="106" t="s">
        <v>3294</v>
      </c>
      <c r="D825" s="106" t="s">
        <v>3312</v>
      </c>
      <c r="E825" s="106" t="s">
        <v>3311</v>
      </c>
      <c r="F825" s="106" t="s">
        <v>590</v>
      </c>
      <c r="G825" s="106" t="s">
        <v>3310</v>
      </c>
      <c r="H825" s="105" t="s">
        <v>3309</v>
      </c>
      <c r="I825" s="105" t="s">
        <v>3308</v>
      </c>
      <c r="J825" s="104">
        <v>6.66</v>
      </c>
      <c r="K825" s="103" t="s">
        <v>422</v>
      </c>
      <c r="L825" s="102" t="s">
        <v>507</v>
      </c>
      <c r="M825" s="95"/>
      <c r="N825" s="14"/>
      <c r="O825" s="94">
        <v>34</v>
      </c>
      <c r="P825" s="14" t="s">
        <v>586</v>
      </c>
      <c r="Q825" s="14" t="s">
        <v>497</v>
      </c>
      <c r="R825" s="14" t="s">
        <v>496</v>
      </c>
      <c r="S825" s="15">
        <v>14</v>
      </c>
      <c r="T825" s="15">
        <v>0</v>
      </c>
      <c r="U825" s="15">
        <v>0</v>
      </c>
      <c r="V825" s="14">
        <v>808</v>
      </c>
      <c r="W825" s="12">
        <v>0</v>
      </c>
      <c r="X825" s="12">
        <v>0</v>
      </c>
      <c r="Y825" s="12">
        <v>5</v>
      </c>
      <c r="Z825" s="12">
        <v>1.4000000000000004</v>
      </c>
      <c r="AA825" s="12">
        <v>0</v>
      </c>
      <c r="AB825" s="13">
        <f t="shared" si="49"/>
        <v>-0.25999999999999979</v>
      </c>
      <c r="AE825" s="12">
        <f>IF(W825=0,0,W825-$AB825)</f>
        <v>0</v>
      </c>
      <c r="AF825" s="12">
        <f>IF(X825=0,0,X825-$AB825)</f>
        <v>0</v>
      </c>
      <c r="AG825" s="12">
        <v>5.13</v>
      </c>
      <c r="AH825" s="12">
        <v>1.53</v>
      </c>
      <c r="AI825" s="12">
        <f>IF(AA825=0,0,AA825-$AB825)</f>
        <v>0</v>
      </c>
      <c r="AJ825" s="13">
        <f t="shared" si="50"/>
        <v>0</v>
      </c>
      <c r="AN825" s="12">
        <f t="shared" si="51"/>
        <v>5382</v>
      </c>
      <c r="AQ825" s="8" t="s">
        <v>417</v>
      </c>
      <c r="AR825" t="str">
        <f t="shared" si="52"/>
        <v>Oeste - A02</v>
      </c>
    </row>
    <row r="826" spans="1:44" x14ac:dyDescent="0.2">
      <c r="A826" s="107" t="s">
        <v>3307</v>
      </c>
      <c r="B826" s="106" t="s">
        <v>3306</v>
      </c>
      <c r="C826" s="106" t="s">
        <v>3294</v>
      </c>
      <c r="D826" s="106" t="s">
        <v>2620</v>
      </c>
      <c r="E826" s="106" t="s">
        <v>3298</v>
      </c>
      <c r="F826" s="106" t="s">
        <v>606</v>
      </c>
      <c r="G826" s="106" t="s">
        <v>3305</v>
      </c>
      <c r="H826" s="105" t="s">
        <v>3301</v>
      </c>
      <c r="I826" s="105" t="s">
        <v>3291</v>
      </c>
      <c r="J826" s="104">
        <v>0.72</v>
      </c>
      <c r="K826" s="103" t="s">
        <v>423</v>
      </c>
      <c r="L826" s="102" t="s">
        <v>507</v>
      </c>
      <c r="M826" s="95"/>
      <c r="N826" s="20" t="s">
        <v>3289</v>
      </c>
      <c r="O826" s="94">
        <v>35</v>
      </c>
      <c r="P826" s="14" t="s">
        <v>596</v>
      </c>
      <c r="Q826" s="14" t="s">
        <v>497</v>
      </c>
      <c r="R826" s="14" t="s">
        <v>496</v>
      </c>
      <c r="S826" s="15">
        <v>7</v>
      </c>
      <c r="T826" s="15">
        <v>2</v>
      </c>
      <c r="U826" s="15">
        <v>0</v>
      </c>
      <c r="V826" s="14">
        <v>3745</v>
      </c>
      <c r="W826" s="12">
        <v>0</v>
      </c>
      <c r="X826" s="12">
        <v>0</v>
      </c>
      <c r="Y826" s="12">
        <v>0</v>
      </c>
      <c r="Z826" s="12">
        <v>0.72</v>
      </c>
      <c r="AA826" s="12">
        <v>0</v>
      </c>
      <c r="AB826" s="13">
        <f t="shared" si="49"/>
        <v>0</v>
      </c>
      <c r="AE826" s="12">
        <v>0</v>
      </c>
      <c r="AF826" s="12">
        <v>0</v>
      </c>
      <c r="AG826" s="12">
        <v>0</v>
      </c>
      <c r="AH826" s="12">
        <v>0.72</v>
      </c>
      <c r="AI826" s="12">
        <v>0</v>
      </c>
      <c r="AJ826" s="13">
        <f t="shared" si="50"/>
        <v>0</v>
      </c>
      <c r="AN826" s="12">
        <f t="shared" si="51"/>
        <v>2697</v>
      </c>
      <c r="AQ826" s="8" t="s">
        <v>417</v>
      </c>
      <c r="AR826" t="str">
        <f t="shared" si="52"/>
        <v>Oeste - A03</v>
      </c>
    </row>
    <row r="827" spans="1:44" x14ac:dyDescent="0.2">
      <c r="A827" s="107" t="s">
        <v>3304</v>
      </c>
      <c r="B827" s="106" t="s">
        <v>3303</v>
      </c>
      <c r="C827" s="106" t="s">
        <v>3294</v>
      </c>
      <c r="D827" s="106" t="s">
        <v>2620</v>
      </c>
      <c r="E827" s="106" t="s">
        <v>3293</v>
      </c>
      <c r="F827" s="106" t="s">
        <v>600</v>
      </c>
      <c r="G827" s="106" t="s">
        <v>3302</v>
      </c>
      <c r="H827" s="105" t="s">
        <v>3301</v>
      </c>
      <c r="I827" s="105" t="s">
        <v>3291</v>
      </c>
      <c r="J827" s="104">
        <v>0.72</v>
      </c>
      <c r="K827" s="103" t="s">
        <v>423</v>
      </c>
      <c r="L827" s="102" t="s">
        <v>507</v>
      </c>
      <c r="M827" s="95"/>
      <c r="N827" s="20" t="s">
        <v>3289</v>
      </c>
      <c r="O827" s="94">
        <v>35</v>
      </c>
      <c r="P827" s="14" t="s">
        <v>596</v>
      </c>
      <c r="Q827" s="14" t="s">
        <v>497</v>
      </c>
      <c r="R827" s="14" t="s">
        <v>496</v>
      </c>
      <c r="S827" s="15">
        <v>7</v>
      </c>
      <c r="T827" s="15">
        <v>2</v>
      </c>
      <c r="U827" s="15">
        <v>0</v>
      </c>
      <c r="V827" s="14">
        <v>3745</v>
      </c>
      <c r="W827" s="12">
        <v>0</v>
      </c>
      <c r="X827" s="12">
        <v>0</v>
      </c>
      <c r="Y827" s="12">
        <v>0</v>
      </c>
      <c r="Z827" s="12">
        <v>0.72</v>
      </c>
      <c r="AA827" s="12">
        <v>0</v>
      </c>
      <c r="AB827" s="13">
        <f t="shared" si="49"/>
        <v>0</v>
      </c>
      <c r="AE827" s="12">
        <v>0</v>
      </c>
      <c r="AF827" s="12">
        <v>0</v>
      </c>
      <c r="AG827" s="12">
        <v>0</v>
      </c>
      <c r="AH827" s="12">
        <v>0.72</v>
      </c>
      <c r="AI827" s="12">
        <v>0</v>
      </c>
      <c r="AJ827" s="13">
        <f t="shared" si="50"/>
        <v>0</v>
      </c>
      <c r="AN827" s="12">
        <f t="shared" si="51"/>
        <v>2697</v>
      </c>
      <c r="AQ827" s="8" t="s">
        <v>417</v>
      </c>
      <c r="AR827" t="str">
        <f t="shared" si="52"/>
        <v>Oeste - A03</v>
      </c>
    </row>
    <row r="828" spans="1:44" x14ac:dyDescent="0.2">
      <c r="A828" s="107" t="s">
        <v>3300</v>
      </c>
      <c r="B828" s="106" t="s">
        <v>3299</v>
      </c>
      <c r="C828" s="106" t="s">
        <v>3294</v>
      </c>
      <c r="D828" s="106" t="s">
        <v>2611</v>
      </c>
      <c r="E828" s="106" t="s">
        <v>3298</v>
      </c>
      <c r="F828" s="106" t="s">
        <v>606</v>
      </c>
      <c r="G828" s="106" t="s">
        <v>3297</v>
      </c>
      <c r="H828" s="105" t="s">
        <v>3291</v>
      </c>
      <c r="I828" s="105" t="s">
        <v>3290</v>
      </c>
      <c r="J828" s="104">
        <v>5.69</v>
      </c>
      <c r="K828" s="103" t="s">
        <v>423</v>
      </c>
      <c r="L828" s="102" t="s">
        <v>507</v>
      </c>
      <c r="M828" s="95"/>
      <c r="N828" s="20" t="s">
        <v>3289</v>
      </c>
      <c r="O828" s="94">
        <v>35</v>
      </c>
      <c r="P828" s="14" t="s">
        <v>596</v>
      </c>
      <c r="Q828" s="14" t="s">
        <v>497</v>
      </c>
      <c r="R828" s="14" t="s">
        <v>496</v>
      </c>
      <c r="S828" s="15">
        <v>7</v>
      </c>
      <c r="T828" s="15">
        <v>2</v>
      </c>
      <c r="U828" s="15">
        <v>0</v>
      </c>
      <c r="V828" s="14">
        <v>3745</v>
      </c>
      <c r="W828" s="12">
        <v>0</v>
      </c>
      <c r="X828" s="12">
        <v>0</v>
      </c>
      <c r="Y828" s="12">
        <v>0</v>
      </c>
      <c r="Z828" s="12">
        <v>5.69</v>
      </c>
      <c r="AA828" s="12">
        <v>0</v>
      </c>
      <c r="AB828" s="13">
        <f t="shared" si="49"/>
        <v>0</v>
      </c>
      <c r="AE828" s="12">
        <v>0</v>
      </c>
      <c r="AF828" s="12">
        <v>0</v>
      </c>
      <c r="AG828" s="12">
        <v>0</v>
      </c>
      <c r="AH828" s="12">
        <v>5.69</v>
      </c>
      <c r="AI828" s="12">
        <v>0</v>
      </c>
      <c r="AJ828" s="13">
        <f t="shared" si="50"/>
        <v>0</v>
      </c>
      <c r="AN828" s="12">
        <f t="shared" si="51"/>
        <v>21310</v>
      </c>
      <c r="AQ828" s="8" t="s">
        <v>417</v>
      </c>
      <c r="AR828" t="str">
        <f t="shared" si="52"/>
        <v>Oeste - A03</v>
      </c>
    </row>
    <row r="829" spans="1:44" x14ac:dyDescent="0.2">
      <c r="A829" s="107" t="s">
        <v>3296</v>
      </c>
      <c r="B829" s="106" t="s">
        <v>3295</v>
      </c>
      <c r="C829" s="106" t="s">
        <v>3294</v>
      </c>
      <c r="D829" s="106" t="s">
        <v>2611</v>
      </c>
      <c r="E829" s="106" t="s">
        <v>3293</v>
      </c>
      <c r="F829" s="106" t="s">
        <v>600</v>
      </c>
      <c r="G829" s="106" t="s">
        <v>3292</v>
      </c>
      <c r="H829" s="105" t="s">
        <v>3291</v>
      </c>
      <c r="I829" s="105" t="s">
        <v>3290</v>
      </c>
      <c r="J829" s="104">
        <v>5.69</v>
      </c>
      <c r="K829" s="103" t="s">
        <v>423</v>
      </c>
      <c r="L829" s="102" t="s">
        <v>507</v>
      </c>
      <c r="M829" s="95"/>
      <c r="N829" s="20" t="s">
        <v>3289</v>
      </c>
      <c r="O829" s="94">
        <v>35</v>
      </c>
      <c r="P829" s="14" t="s">
        <v>596</v>
      </c>
      <c r="Q829" s="14" t="s">
        <v>497</v>
      </c>
      <c r="R829" s="14" t="s">
        <v>496</v>
      </c>
      <c r="S829" s="15">
        <v>7</v>
      </c>
      <c r="T829" s="15">
        <v>2</v>
      </c>
      <c r="U829" s="15">
        <v>0</v>
      </c>
      <c r="V829" s="14">
        <v>3745</v>
      </c>
      <c r="W829" s="12">
        <v>0</v>
      </c>
      <c r="X829" s="12">
        <v>0</v>
      </c>
      <c r="Y829" s="12">
        <v>0</v>
      </c>
      <c r="Z829" s="12">
        <v>5.69</v>
      </c>
      <c r="AA829" s="12">
        <v>0</v>
      </c>
      <c r="AB829" s="13">
        <f t="shared" si="49"/>
        <v>0</v>
      </c>
      <c r="AE829" s="12">
        <v>0</v>
      </c>
      <c r="AF829" s="12">
        <v>0</v>
      </c>
      <c r="AG829" s="12">
        <v>0</v>
      </c>
      <c r="AH829" s="12">
        <v>5.69</v>
      </c>
      <c r="AI829" s="12">
        <v>0</v>
      </c>
      <c r="AJ829" s="13">
        <f t="shared" si="50"/>
        <v>0</v>
      </c>
      <c r="AN829" s="12">
        <f t="shared" si="51"/>
        <v>21310</v>
      </c>
      <c r="AQ829" s="8" t="s">
        <v>417</v>
      </c>
      <c r="AR829" t="str">
        <f t="shared" si="52"/>
        <v>Oeste - A03</v>
      </c>
    </row>
    <row r="830" spans="1:44" x14ac:dyDescent="0.2">
      <c r="A830" s="107" t="s">
        <v>3288</v>
      </c>
      <c r="B830" s="106" t="s">
        <v>3287</v>
      </c>
      <c r="C830" s="106" t="s">
        <v>3244</v>
      </c>
      <c r="D830" s="106" t="s">
        <v>492</v>
      </c>
      <c r="E830" s="106" t="s">
        <v>3243</v>
      </c>
      <c r="F830" s="106" t="s">
        <v>490</v>
      </c>
      <c r="G830" s="106" t="s">
        <v>3286</v>
      </c>
      <c r="H830" s="105" t="s">
        <v>638</v>
      </c>
      <c r="I830" s="105" t="s">
        <v>3282</v>
      </c>
      <c r="J830" s="104">
        <v>13.9</v>
      </c>
      <c r="K830" s="103" t="s">
        <v>426</v>
      </c>
      <c r="L830" s="102" t="s">
        <v>533</v>
      </c>
      <c r="M830" s="95"/>
      <c r="N830" s="14"/>
      <c r="O830" s="94">
        <v>28</v>
      </c>
      <c r="P830" s="14" t="s">
        <v>485</v>
      </c>
      <c r="Q830" s="14" t="s">
        <v>497</v>
      </c>
      <c r="R830" s="14" t="s">
        <v>496</v>
      </c>
      <c r="S830" s="15">
        <v>6.6</v>
      </c>
      <c r="T830" s="15">
        <v>1.2</v>
      </c>
      <c r="U830" s="15">
        <v>0</v>
      </c>
      <c r="V830" s="14">
        <v>980</v>
      </c>
      <c r="W830" s="12">
        <v>0</v>
      </c>
      <c r="X830" s="12">
        <v>0</v>
      </c>
      <c r="Y830" s="12">
        <v>0</v>
      </c>
      <c r="Z830" s="12">
        <v>13.9</v>
      </c>
      <c r="AA830" s="12">
        <v>0</v>
      </c>
      <c r="AB830" s="13">
        <f t="shared" si="49"/>
        <v>0</v>
      </c>
      <c r="AE830" s="12">
        <v>0</v>
      </c>
      <c r="AF830" s="12">
        <v>0</v>
      </c>
      <c r="AG830" s="12">
        <v>0</v>
      </c>
      <c r="AH830" s="12">
        <v>13.9</v>
      </c>
      <c r="AI830" s="12">
        <v>0</v>
      </c>
      <c r="AJ830" s="13">
        <f t="shared" si="50"/>
        <v>0</v>
      </c>
      <c r="AN830" s="12">
        <f t="shared" si="51"/>
        <v>13622</v>
      </c>
      <c r="AQ830" s="8" t="s">
        <v>418</v>
      </c>
      <c r="AR830" t="str">
        <f t="shared" si="52"/>
        <v>Noroeste - A06</v>
      </c>
    </row>
    <row r="831" spans="1:44" x14ac:dyDescent="0.2">
      <c r="A831" s="107" t="s">
        <v>3285</v>
      </c>
      <c r="B831" s="106" t="s">
        <v>3284</v>
      </c>
      <c r="C831" s="106" t="s">
        <v>3244</v>
      </c>
      <c r="D831" s="106" t="s">
        <v>519</v>
      </c>
      <c r="E831" s="106" t="s">
        <v>3258</v>
      </c>
      <c r="F831" s="106" t="s">
        <v>590</v>
      </c>
      <c r="G831" s="106" t="s">
        <v>3283</v>
      </c>
      <c r="H831" s="105" t="s">
        <v>3282</v>
      </c>
      <c r="I831" s="105" t="s">
        <v>3278</v>
      </c>
      <c r="J831" s="104">
        <v>1.23</v>
      </c>
      <c r="K831" s="103" t="s">
        <v>426</v>
      </c>
      <c r="L831" s="102" t="s">
        <v>533</v>
      </c>
      <c r="M831" s="95"/>
      <c r="N831" s="14"/>
      <c r="O831" s="94">
        <v>28</v>
      </c>
      <c r="P831" s="14" t="s">
        <v>586</v>
      </c>
      <c r="Q831" s="14" t="s">
        <v>561</v>
      </c>
      <c r="R831" s="14" t="s">
        <v>496</v>
      </c>
      <c r="S831" s="15">
        <v>8</v>
      </c>
      <c r="T831" s="15">
        <v>0</v>
      </c>
      <c r="U831" s="15">
        <v>0</v>
      </c>
      <c r="V831" s="14">
        <v>747</v>
      </c>
      <c r="W831" s="12">
        <v>0</v>
      </c>
      <c r="X831" s="12">
        <v>0</v>
      </c>
      <c r="Y831" s="12">
        <v>0</v>
      </c>
      <c r="Z831" s="12">
        <v>1.23</v>
      </c>
      <c r="AA831" s="12">
        <v>0</v>
      </c>
      <c r="AB831" s="13">
        <f t="shared" si="49"/>
        <v>0</v>
      </c>
      <c r="AE831" s="12">
        <v>0</v>
      </c>
      <c r="AF831" s="12">
        <v>0</v>
      </c>
      <c r="AG831" s="12">
        <v>0</v>
      </c>
      <c r="AH831" s="12">
        <v>1.23</v>
      </c>
      <c r="AI831" s="12">
        <v>0</v>
      </c>
      <c r="AJ831" s="13">
        <f t="shared" si="50"/>
        <v>0</v>
      </c>
      <c r="AN831" s="12">
        <f t="shared" si="51"/>
        <v>919</v>
      </c>
      <c r="AQ831" s="8" t="s">
        <v>418</v>
      </c>
      <c r="AR831" t="str">
        <f t="shared" si="52"/>
        <v>Noroeste - A06</v>
      </c>
    </row>
    <row r="832" spans="1:44" x14ac:dyDescent="0.2">
      <c r="A832" s="107" t="s">
        <v>3281</v>
      </c>
      <c r="B832" s="106" t="s">
        <v>3280</v>
      </c>
      <c r="C832" s="106" t="s">
        <v>3244</v>
      </c>
      <c r="D832" s="106" t="s">
        <v>513</v>
      </c>
      <c r="E832" s="106" t="s">
        <v>3243</v>
      </c>
      <c r="F832" s="106" t="s">
        <v>490</v>
      </c>
      <c r="G832" s="106" t="s">
        <v>3279</v>
      </c>
      <c r="H832" s="105" t="s">
        <v>3278</v>
      </c>
      <c r="I832" s="105" t="s">
        <v>3274</v>
      </c>
      <c r="J832" s="104">
        <v>11.83</v>
      </c>
      <c r="K832" s="103" t="s">
        <v>426</v>
      </c>
      <c r="L832" s="102" t="s">
        <v>533</v>
      </c>
      <c r="M832" s="95"/>
      <c r="N832" s="14"/>
      <c r="O832" s="94">
        <v>28</v>
      </c>
      <c r="P832" s="14" t="s">
        <v>485</v>
      </c>
      <c r="Q832" s="14" t="s">
        <v>561</v>
      </c>
      <c r="R832" s="14" t="s">
        <v>496</v>
      </c>
      <c r="S832" s="15">
        <v>6.6</v>
      </c>
      <c r="T832" s="15">
        <v>1.2</v>
      </c>
      <c r="U832" s="15">
        <v>0</v>
      </c>
      <c r="V832" s="14">
        <v>1352</v>
      </c>
      <c r="W832" s="12">
        <v>0</v>
      </c>
      <c r="X832" s="12">
        <v>0</v>
      </c>
      <c r="Y832" s="12">
        <v>0</v>
      </c>
      <c r="Z832" s="12">
        <v>11.83</v>
      </c>
      <c r="AA832" s="12">
        <v>0</v>
      </c>
      <c r="AB832" s="13">
        <f t="shared" si="49"/>
        <v>0</v>
      </c>
      <c r="AE832" s="12">
        <v>0</v>
      </c>
      <c r="AF832" s="12">
        <v>0</v>
      </c>
      <c r="AG832" s="12">
        <v>0</v>
      </c>
      <c r="AH832" s="12">
        <v>11.83</v>
      </c>
      <c r="AI832" s="12">
        <v>0</v>
      </c>
      <c r="AJ832" s="13">
        <f t="shared" si="50"/>
        <v>0</v>
      </c>
      <c r="AN832" s="12">
        <f t="shared" si="51"/>
        <v>15995</v>
      </c>
      <c r="AQ832" s="8" t="s">
        <v>418</v>
      </c>
      <c r="AR832" t="str">
        <f t="shared" si="52"/>
        <v>Noroeste - A06</v>
      </c>
    </row>
    <row r="833" spans="1:44" x14ac:dyDescent="0.2">
      <c r="A833" s="107" t="s">
        <v>3277</v>
      </c>
      <c r="B833" s="106" t="s">
        <v>3276</v>
      </c>
      <c r="C833" s="106" t="s">
        <v>3244</v>
      </c>
      <c r="D833" s="106" t="s">
        <v>989</v>
      </c>
      <c r="E833" s="106" t="s">
        <v>3258</v>
      </c>
      <c r="F833" s="106" t="s">
        <v>590</v>
      </c>
      <c r="G833" s="106" t="s">
        <v>3275</v>
      </c>
      <c r="H833" s="105" t="s">
        <v>3274</v>
      </c>
      <c r="I833" s="105" t="s">
        <v>3270</v>
      </c>
      <c r="J833" s="104">
        <v>1.78</v>
      </c>
      <c r="K833" s="103" t="s">
        <v>426</v>
      </c>
      <c r="L833" s="102" t="s">
        <v>533</v>
      </c>
      <c r="M833" s="95"/>
      <c r="N833" s="14"/>
      <c r="O833" s="94">
        <v>28</v>
      </c>
      <c r="P833" s="14" t="s">
        <v>586</v>
      </c>
      <c r="Q833" s="14" t="s">
        <v>561</v>
      </c>
      <c r="R833" s="14" t="s">
        <v>496</v>
      </c>
      <c r="S833" s="15">
        <v>14</v>
      </c>
      <c r="T833" s="15">
        <v>0</v>
      </c>
      <c r="U833" s="15">
        <v>0</v>
      </c>
      <c r="V833" s="14">
        <v>1038</v>
      </c>
      <c r="W833" s="12">
        <v>0</v>
      </c>
      <c r="X833" s="12">
        <v>0</v>
      </c>
      <c r="Y833" s="12">
        <v>0</v>
      </c>
      <c r="Z833" s="12">
        <v>1.78</v>
      </c>
      <c r="AA833" s="12">
        <v>0</v>
      </c>
      <c r="AB833" s="13">
        <f t="shared" si="49"/>
        <v>0</v>
      </c>
      <c r="AE833" s="12">
        <v>0</v>
      </c>
      <c r="AF833" s="12">
        <v>0</v>
      </c>
      <c r="AG833" s="12">
        <v>0</v>
      </c>
      <c r="AH833" s="12">
        <v>1.78</v>
      </c>
      <c r="AI833" s="12">
        <v>0</v>
      </c>
      <c r="AJ833" s="13">
        <f t="shared" si="50"/>
        <v>0</v>
      </c>
      <c r="AN833" s="12">
        <f t="shared" si="51"/>
        <v>1848</v>
      </c>
      <c r="AQ833" s="8" t="s">
        <v>418</v>
      </c>
      <c r="AR833" t="str">
        <f t="shared" si="52"/>
        <v>Noroeste - A06</v>
      </c>
    </row>
    <row r="834" spans="1:44" x14ac:dyDescent="0.2">
      <c r="A834" s="107" t="s">
        <v>3273</v>
      </c>
      <c r="B834" s="106" t="s">
        <v>3272</v>
      </c>
      <c r="C834" s="106" t="s">
        <v>3244</v>
      </c>
      <c r="D834" s="106" t="s">
        <v>981</v>
      </c>
      <c r="E834" s="106" t="s">
        <v>3243</v>
      </c>
      <c r="F834" s="106" t="s">
        <v>490</v>
      </c>
      <c r="G834" s="106" t="s">
        <v>3271</v>
      </c>
      <c r="H834" s="105" t="s">
        <v>3270</v>
      </c>
      <c r="I834" s="105" t="s">
        <v>3269</v>
      </c>
      <c r="J834" s="104">
        <v>0.3</v>
      </c>
      <c r="K834" s="103" t="s">
        <v>426</v>
      </c>
      <c r="L834" s="102" t="s">
        <v>533</v>
      </c>
      <c r="M834" s="95"/>
      <c r="N834" s="14"/>
      <c r="O834" s="94">
        <v>28</v>
      </c>
      <c r="P834" s="14" t="s">
        <v>485</v>
      </c>
      <c r="Q834" s="14" t="s">
        <v>561</v>
      </c>
      <c r="R834" s="14" t="s">
        <v>496</v>
      </c>
      <c r="S834" s="15">
        <v>7</v>
      </c>
      <c r="T834" s="15">
        <v>5</v>
      </c>
      <c r="U834" s="15">
        <v>0</v>
      </c>
      <c r="V834" s="14">
        <v>1352</v>
      </c>
      <c r="W834" s="12">
        <v>0</v>
      </c>
      <c r="X834" s="12">
        <v>0</v>
      </c>
      <c r="Y834" s="12">
        <v>0.3</v>
      </c>
      <c r="Z834" s="12">
        <v>0</v>
      </c>
      <c r="AA834" s="12">
        <v>0</v>
      </c>
      <c r="AB834" s="13">
        <f t="shared" si="49"/>
        <v>0</v>
      </c>
      <c r="AE834" s="12">
        <v>0</v>
      </c>
      <c r="AF834" s="12">
        <v>0</v>
      </c>
      <c r="AG834" s="12">
        <v>0.3</v>
      </c>
      <c r="AH834" s="12">
        <v>0</v>
      </c>
      <c r="AI834" s="12">
        <v>0</v>
      </c>
      <c r="AJ834" s="13">
        <f t="shared" si="50"/>
        <v>0</v>
      </c>
      <c r="AN834" s="12">
        <f t="shared" si="51"/>
        <v>406</v>
      </c>
      <c r="AQ834" s="8" t="s">
        <v>418</v>
      </c>
      <c r="AR834" t="str">
        <f t="shared" si="52"/>
        <v>Noroeste - A06</v>
      </c>
    </row>
    <row r="835" spans="1:44" x14ac:dyDescent="0.2">
      <c r="A835" s="107" t="s">
        <v>3268</v>
      </c>
      <c r="B835" s="106" t="s">
        <v>3267</v>
      </c>
      <c r="C835" s="106" t="s">
        <v>3244</v>
      </c>
      <c r="D835" s="106" t="s">
        <v>1269</v>
      </c>
      <c r="E835" s="106" t="s">
        <v>3243</v>
      </c>
      <c r="F835" s="106" t="s">
        <v>490</v>
      </c>
      <c r="G835" s="106" t="s">
        <v>3266</v>
      </c>
      <c r="H835" s="105" t="s">
        <v>3265</v>
      </c>
      <c r="I835" s="105" t="s">
        <v>3261</v>
      </c>
      <c r="J835" s="104">
        <v>4.12</v>
      </c>
      <c r="K835" s="103" t="s">
        <v>425</v>
      </c>
      <c r="L835" s="102" t="s">
        <v>533</v>
      </c>
      <c r="M835" s="95"/>
      <c r="N835" s="14"/>
      <c r="O835" s="94">
        <v>27</v>
      </c>
      <c r="P835" s="14" t="s">
        <v>485</v>
      </c>
      <c r="Q835" s="14" t="s">
        <v>887</v>
      </c>
      <c r="R835" s="14" t="s">
        <v>496</v>
      </c>
      <c r="S835" s="15">
        <v>7</v>
      </c>
      <c r="T835" s="15">
        <v>1.2</v>
      </c>
      <c r="U835" s="15">
        <v>0</v>
      </c>
      <c r="V835" s="14">
        <v>782</v>
      </c>
      <c r="W835" s="12">
        <v>0</v>
      </c>
      <c r="X835" s="12">
        <v>0</v>
      </c>
      <c r="Y835" s="12">
        <v>0</v>
      </c>
      <c r="Z835" s="12">
        <v>4.12</v>
      </c>
      <c r="AA835" s="12">
        <v>0</v>
      </c>
      <c r="AB835" s="13">
        <f t="shared" si="49"/>
        <v>0</v>
      </c>
      <c r="AE835" s="12">
        <v>0</v>
      </c>
      <c r="AF835" s="12">
        <v>0</v>
      </c>
      <c r="AG835" s="12">
        <v>0</v>
      </c>
      <c r="AH835" s="12">
        <v>4.12</v>
      </c>
      <c r="AI835" s="12">
        <v>0</v>
      </c>
      <c r="AJ835" s="13">
        <f t="shared" si="50"/>
        <v>0</v>
      </c>
      <c r="AN835" s="12">
        <f t="shared" si="51"/>
        <v>3222</v>
      </c>
      <c r="AQ835" s="8" t="s">
        <v>418</v>
      </c>
      <c r="AR835" t="str">
        <f t="shared" si="52"/>
        <v>Noroeste - A05</v>
      </c>
    </row>
    <row r="836" spans="1:44" x14ac:dyDescent="0.2">
      <c r="A836" s="107" t="s">
        <v>3264</v>
      </c>
      <c r="B836" s="106" t="s">
        <v>3263</v>
      </c>
      <c r="C836" s="106" t="s">
        <v>3244</v>
      </c>
      <c r="D836" s="106" t="s">
        <v>1263</v>
      </c>
      <c r="E836" s="106" t="s">
        <v>3243</v>
      </c>
      <c r="F836" s="106" t="s">
        <v>490</v>
      </c>
      <c r="G836" s="106" t="s">
        <v>3262</v>
      </c>
      <c r="H836" s="105" t="s">
        <v>3261</v>
      </c>
      <c r="I836" s="105" t="s">
        <v>2908</v>
      </c>
      <c r="J836" s="104">
        <v>16.39</v>
      </c>
      <c r="K836" s="103" t="s">
        <v>425</v>
      </c>
      <c r="L836" s="102" t="s">
        <v>533</v>
      </c>
      <c r="M836" s="95"/>
      <c r="N836" s="14"/>
      <c r="O836" s="94">
        <v>27</v>
      </c>
      <c r="P836" s="14" t="s">
        <v>485</v>
      </c>
      <c r="Q836" s="14" t="s">
        <v>887</v>
      </c>
      <c r="R836" s="14" t="s">
        <v>496</v>
      </c>
      <c r="S836" s="15">
        <v>7</v>
      </c>
      <c r="T836" s="15">
        <v>1.2</v>
      </c>
      <c r="U836" s="15">
        <v>0</v>
      </c>
      <c r="V836" s="14">
        <v>314</v>
      </c>
      <c r="W836" s="12">
        <v>0</v>
      </c>
      <c r="X836" s="12">
        <v>0</v>
      </c>
      <c r="Y836" s="12">
        <v>2.3900000000000006</v>
      </c>
      <c r="Z836" s="12">
        <v>14</v>
      </c>
      <c r="AA836" s="12">
        <v>0</v>
      </c>
      <c r="AB836" s="13">
        <f t="shared" si="49"/>
        <v>0</v>
      </c>
      <c r="AE836" s="12">
        <v>0</v>
      </c>
      <c r="AF836" s="12">
        <v>0</v>
      </c>
      <c r="AG836" s="12">
        <v>2.3900000000000006</v>
      </c>
      <c r="AH836" s="12">
        <v>14</v>
      </c>
      <c r="AI836" s="12">
        <v>0</v>
      </c>
      <c r="AJ836" s="13">
        <f t="shared" si="50"/>
        <v>0</v>
      </c>
      <c r="AN836" s="12">
        <f t="shared" si="51"/>
        <v>5147</v>
      </c>
      <c r="AQ836" s="8" t="s">
        <v>418</v>
      </c>
      <c r="AR836" t="str">
        <f t="shared" si="52"/>
        <v>Noroeste - A05</v>
      </c>
    </row>
    <row r="837" spans="1:44" x14ac:dyDescent="0.2">
      <c r="A837" s="107" t="s">
        <v>3260</v>
      </c>
      <c r="B837" s="106" t="s">
        <v>3259</v>
      </c>
      <c r="C837" s="106" t="s">
        <v>3244</v>
      </c>
      <c r="D837" s="106" t="s">
        <v>2859</v>
      </c>
      <c r="E837" s="106" t="s">
        <v>3258</v>
      </c>
      <c r="F837" s="106" t="s">
        <v>590</v>
      </c>
      <c r="G837" s="106" t="s">
        <v>3257</v>
      </c>
      <c r="H837" s="105" t="s">
        <v>2907</v>
      </c>
      <c r="I837" s="105" t="s">
        <v>3256</v>
      </c>
      <c r="J837" s="104">
        <v>1.51</v>
      </c>
      <c r="K837" s="103" t="s">
        <v>425</v>
      </c>
      <c r="L837" s="102" t="s">
        <v>533</v>
      </c>
      <c r="M837" s="95"/>
      <c r="N837" s="14"/>
      <c r="O837" s="94">
        <v>27</v>
      </c>
      <c r="P837" s="14" t="s">
        <v>586</v>
      </c>
      <c r="Q837" s="14" t="s">
        <v>887</v>
      </c>
      <c r="R837" s="14" t="s">
        <v>496</v>
      </c>
      <c r="S837" s="15">
        <v>14</v>
      </c>
      <c r="T837" s="15">
        <v>0</v>
      </c>
      <c r="U837" s="15">
        <v>0</v>
      </c>
      <c r="V837" s="14">
        <v>217</v>
      </c>
      <c r="W837" s="12">
        <v>0</v>
      </c>
      <c r="X837" s="12">
        <v>0</v>
      </c>
      <c r="Y837" s="12">
        <v>0</v>
      </c>
      <c r="Z837" s="12">
        <v>1.51</v>
      </c>
      <c r="AA837" s="12">
        <v>0</v>
      </c>
      <c r="AB837" s="13">
        <f t="shared" si="49"/>
        <v>0</v>
      </c>
      <c r="AE837" s="12">
        <v>0</v>
      </c>
      <c r="AF837" s="12">
        <v>0</v>
      </c>
      <c r="AG837" s="12">
        <v>0</v>
      </c>
      <c r="AH837" s="12">
        <v>1.51</v>
      </c>
      <c r="AI837" s="12">
        <v>0</v>
      </c>
      <c r="AJ837" s="13">
        <f t="shared" si="50"/>
        <v>0</v>
      </c>
      <c r="AN837" s="12">
        <f t="shared" si="51"/>
        <v>328</v>
      </c>
      <c r="AQ837" s="8" t="s">
        <v>418</v>
      </c>
      <c r="AR837" t="str">
        <f t="shared" si="52"/>
        <v>Noroeste - A05</v>
      </c>
    </row>
    <row r="838" spans="1:44" x14ac:dyDescent="0.2">
      <c r="A838" s="107" t="s">
        <v>3255</v>
      </c>
      <c r="B838" s="106" t="s">
        <v>3254</v>
      </c>
      <c r="C838" s="106" t="s">
        <v>3244</v>
      </c>
      <c r="D838" s="106" t="s">
        <v>965</v>
      </c>
      <c r="E838" s="106" t="s">
        <v>3243</v>
      </c>
      <c r="F838" s="106" t="s">
        <v>490</v>
      </c>
      <c r="G838" s="106" t="s">
        <v>3253</v>
      </c>
      <c r="H838" s="105" t="s">
        <v>3252</v>
      </c>
      <c r="I838" s="105" t="s">
        <v>3251</v>
      </c>
      <c r="J838" s="104">
        <v>6.11</v>
      </c>
      <c r="K838" s="103" t="s">
        <v>425</v>
      </c>
      <c r="L838" s="102" t="s">
        <v>533</v>
      </c>
      <c r="M838" s="95"/>
      <c r="N838" s="14"/>
      <c r="O838" s="94">
        <v>27</v>
      </c>
      <c r="P838" s="14" t="s">
        <v>485</v>
      </c>
      <c r="Q838" s="14" t="s">
        <v>887</v>
      </c>
      <c r="R838" s="14" t="s">
        <v>496</v>
      </c>
      <c r="S838" s="15">
        <v>7</v>
      </c>
      <c r="T838" s="15">
        <v>0.6</v>
      </c>
      <c r="U838" s="15">
        <v>0</v>
      </c>
      <c r="V838" s="14">
        <v>314</v>
      </c>
      <c r="W838" s="12">
        <v>0</v>
      </c>
      <c r="X838" s="12">
        <v>0</v>
      </c>
      <c r="Y838" s="12">
        <v>1</v>
      </c>
      <c r="Z838" s="12">
        <v>5.1100000000000003</v>
      </c>
      <c r="AA838" s="12">
        <v>0</v>
      </c>
      <c r="AB838" s="13">
        <f t="shared" ref="AB838:AB901" si="53">SUM(W838:AA838)-J838</f>
        <v>0</v>
      </c>
      <c r="AE838" s="12">
        <v>0</v>
      </c>
      <c r="AF838" s="12">
        <v>0</v>
      </c>
      <c r="AG838" s="12">
        <v>1</v>
      </c>
      <c r="AH838" s="12">
        <v>5.1100000000000003</v>
      </c>
      <c r="AI838" s="12">
        <v>0</v>
      </c>
      <c r="AJ838" s="13">
        <f t="shared" ref="AJ838:AJ901" si="54">SUM(AE838:AI838)-J838</f>
        <v>0</v>
      </c>
      <c r="AN838" s="12">
        <f t="shared" ref="AN838:AN901" si="55">ROUNDUP(V838*J838,0)</f>
        <v>1919</v>
      </c>
      <c r="AQ838" s="8" t="s">
        <v>418</v>
      </c>
      <c r="AR838" t="str">
        <f t="shared" ref="AR838:AR901" si="56">AQ838&amp;" - "&amp;K838</f>
        <v>Noroeste - A05</v>
      </c>
    </row>
    <row r="839" spans="1:44" x14ac:dyDescent="0.2">
      <c r="A839" s="107" t="s">
        <v>3250</v>
      </c>
      <c r="B839" s="106" t="s">
        <v>3249</v>
      </c>
      <c r="C839" s="106" t="s">
        <v>3244</v>
      </c>
      <c r="D839" s="106" t="s">
        <v>2145</v>
      </c>
      <c r="E839" s="106" t="s">
        <v>3243</v>
      </c>
      <c r="F839" s="106" t="s">
        <v>490</v>
      </c>
      <c r="G839" s="106" t="s">
        <v>3248</v>
      </c>
      <c r="H839" s="105" t="s">
        <v>3247</v>
      </c>
      <c r="I839" s="105" t="s">
        <v>3241</v>
      </c>
      <c r="J839" s="104">
        <v>7.44</v>
      </c>
      <c r="K839" s="103" t="s">
        <v>425</v>
      </c>
      <c r="L839" s="102" t="s">
        <v>533</v>
      </c>
      <c r="M839" s="95"/>
      <c r="N839" s="17">
        <f>O839</f>
        <v>27</v>
      </c>
      <c r="O839" s="94">
        <v>27</v>
      </c>
      <c r="P839" s="14" t="s">
        <v>485</v>
      </c>
      <c r="Q839" s="14" t="s">
        <v>887</v>
      </c>
      <c r="R839" s="14" t="s">
        <v>496</v>
      </c>
      <c r="S839" s="15">
        <v>7</v>
      </c>
      <c r="T839" s="15">
        <v>0</v>
      </c>
      <c r="U839" s="15">
        <v>0</v>
      </c>
      <c r="V839" s="14">
        <v>1092</v>
      </c>
      <c r="W839" s="12">
        <v>0</v>
      </c>
      <c r="X839" s="12">
        <v>0</v>
      </c>
      <c r="Y839" s="12">
        <v>1</v>
      </c>
      <c r="Z839" s="12">
        <v>6.44</v>
      </c>
      <c r="AA839" s="12">
        <v>0</v>
      </c>
      <c r="AB839" s="13">
        <f t="shared" si="53"/>
        <v>0</v>
      </c>
      <c r="AE839" s="12">
        <v>0</v>
      </c>
      <c r="AF839" s="12">
        <v>0</v>
      </c>
      <c r="AG839" s="12">
        <v>1</v>
      </c>
      <c r="AH839" s="12">
        <v>6.44</v>
      </c>
      <c r="AI839" s="12">
        <v>0</v>
      </c>
      <c r="AJ839" s="13">
        <f t="shared" si="54"/>
        <v>0</v>
      </c>
      <c r="AN839" s="12">
        <f t="shared" si="55"/>
        <v>8125</v>
      </c>
      <c r="AQ839" s="8" t="s">
        <v>418</v>
      </c>
      <c r="AR839" t="str">
        <f t="shared" si="56"/>
        <v>Noroeste - A05</v>
      </c>
    </row>
    <row r="840" spans="1:44" x14ac:dyDescent="0.2">
      <c r="A840" s="107" t="s">
        <v>3246</v>
      </c>
      <c r="B840" s="106" t="s">
        <v>3245</v>
      </c>
      <c r="C840" s="106" t="s">
        <v>3244</v>
      </c>
      <c r="D840" s="106" t="s">
        <v>3016</v>
      </c>
      <c r="E840" s="106" t="s">
        <v>3243</v>
      </c>
      <c r="F840" s="106" t="s">
        <v>490</v>
      </c>
      <c r="G840" s="106" t="s">
        <v>3242</v>
      </c>
      <c r="H840" s="105" t="s">
        <v>3241</v>
      </c>
      <c r="I840" s="105" t="s">
        <v>2821</v>
      </c>
      <c r="J840" s="104">
        <v>29.85</v>
      </c>
      <c r="K840" s="103" t="s">
        <v>425</v>
      </c>
      <c r="L840" s="102" t="s">
        <v>533</v>
      </c>
      <c r="M840" s="95"/>
      <c r="N840" s="17">
        <f>O840</f>
        <v>27</v>
      </c>
      <c r="O840" s="94">
        <v>27</v>
      </c>
      <c r="P840" s="14" t="s">
        <v>485</v>
      </c>
      <c r="Q840" s="14" t="s">
        <v>505</v>
      </c>
      <c r="R840" s="14" t="s">
        <v>496</v>
      </c>
      <c r="S840" s="15">
        <v>7</v>
      </c>
      <c r="T840" s="15">
        <v>0</v>
      </c>
      <c r="U840" s="15">
        <v>0</v>
      </c>
      <c r="V840" s="14">
        <v>1987</v>
      </c>
      <c r="W840" s="12">
        <v>0</v>
      </c>
      <c r="X840" s="12">
        <v>0</v>
      </c>
      <c r="Y840" s="12">
        <v>9.8500000000000014</v>
      </c>
      <c r="Z840" s="12">
        <v>20</v>
      </c>
      <c r="AA840" s="12">
        <v>0</v>
      </c>
      <c r="AB840" s="13">
        <f t="shared" si="53"/>
        <v>0</v>
      </c>
      <c r="AE840" s="12">
        <v>0</v>
      </c>
      <c r="AF840" s="12">
        <v>0</v>
      </c>
      <c r="AG840" s="12">
        <v>9.8500000000000014</v>
      </c>
      <c r="AH840" s="12">
        <v>20</v>
      </c>
      <c r="AI840" s="12">
        <v>0</v>
      </c>
      <c r="AJ840" s="13">
        <f t="shared" si="54"/>
        <v>0</v>
      </c>
      <c r="AN840" s="12">
        <f t="shared" si="55"/>
        <v>59312</v>
      </c>
      <c r="AQ840" s="8" t="s">
        <v>418</v>
      </c>
      <c r="AR840" t="str">
        <f t="shared" si="56"/>
        <v>Noroeste - A05</v>
      </c>
    </row>
    <row r="841" spans="1:44" x14ac:dyDescent="0.2">
      <c r="A841" s="107" t="s">
        <v>3240</v>
      </c>
      <c r="B841" s="106" t="s">
        <v>3239</v>
      </c>
      <c r="C841" s="106" t="s">
        <v>3161</v>
      </c>
      <c r="D841" s="106" t="s">
        <v>492</v>
      </c>
      <c r="E841" s="106" t="s">
        <v>3160</v>
      </c>
      <c r="F841" s="106" t="s">
        <v>490</v>
      </c>
      <c r="G841" s="106" t="s">
        <v>3238</v>
      </c>
      <c r="H841" s="105" t="s">
        <v>638</v>
      </c>
      <c r="I841" s="105" t="s">
        <v>3234</v>
      </c>
      <c r="J841" s="104">
        <v>4.17</v>
      </c>
      <c r="K841" s="103" t="s">
        <v>426</v>
      </c>
      <c r="L841" s="102" t="s">
        <v>533</v>
      </c>
      <c r="M841" s="95"/>
      <c r="N841" s="14"/>
      <c r="O841" s="94">
        <v>28</v>
      </c>
      <c r="P841" s="14" t="s">
        <v>485</v>
      </c>
      <c r="Q841" s="14" t="s">
        <v>561</v>
      </c>
      <c r="R841" s="14" t="s">
        <v>496</v>
      </c>
      <c r="S841" s="15">
        <v>7</v>
      </c>
      <c r="T841" s="15">
        <v>0</v>
      </c>
      <c r="U841" s="15">
        <v>0</v>
      </c>
      <c r="V841" s="14">
        <v>396</v>
      </c>
      <c r="W841" s="12">
        <v>0</v>
      </c>
      <c r="X841" s="12">
        <v>0</v>
      </c>
      <c r="Y841" s="12">
        <v>0</v>
      </c>
      <c r="Z841" s="12">
        <v>4.17</v>
      </c>
      <c r="AA841" s="12">
        <v>0</v>
      </c>
      <c r="AB841" s="13">
        <f t="shared" si="53"/>
        <v>0</v>
      </c>
      <c r="AE841" s="12">
        <v>0</v>
      </c>
      <c r="AF841" s="12">
        <v>0</v>
      </c>
      <c r="AG841" s="12">
        <v>0</v>
      </c>
      <c r="AH841" s="12">
        <v>4.17</v>
      </c>
      <c r="AI841" s="12">
        <v>0</v>
      </c>
      <c r="AJ841" s="13">
        <f t="shared" si="54"/>
        <v>0</v>
      </c>
      <c r="AN841" s="12">
        <f t="shared" si="55"/>
        <v>1652</v>
      </c>
      <c r="AQ841" s="8" t="s">
        <v>418</v>
      </c>
      <c r="AR841" t="str">
        <f t="shared" si="56"/>
        <v>Noroeste - A06</v>
      </c>
    </row>
    <row r="842" spans="1:44" x14ac:dyDescent="0.2">
      <c r="A842" s="107" t="s">
        <v>3237</v>
      </c>
      <c r="B842" s="106" t="s">
        <v>3236</v>
      </c>
      <c r="C842" s="106" t="s">
        <v>3161</v>
      </c>
      <c r="D842" s="106" t="s">
        <v>592</v>
      </c>
      <c r="E842" s="106" t="s">
        <v>3166</v>
      </c>
      <c r="F842" s="106" t="s">
        <v>590</v>
      </c>
      <c r="G842" s="106" t="s">
        <v>3235</v>
      </c>
      <c r="H842" s="105" t="s">
        <v>3234</v>
      </c>
      <c r="I842" s="105" t="s">
        <v>3233</v>
      </c>
      <c r="J842" s="104">
        <v>2.65</v>
      </c>
      <c r="K842" s="103" t="s">
        <v>426</v>
      </c>
      <c r="L842" s="102" t="s">
        <v>533</v>
      </c>
      <c r="M842" s="95"/>
      <c r="N842" s="14"/>
      <c r="O842" s="94">
        <v>28</v>
      </c>
      <c r="P842" s="14" t="s">
        <v>586</v>
      </c>
      <c r="Q842" s="14" t="s">
        <v>561</v>
      </c>
      <c r="R842" s="14" t="s">
        <v>496</v>
      </c>
      <c r="S842" s="15">
        <v>8</v>
      </c>
      <c r="T842" s="15">
        <v>0</v>
      </c>
      <c r="U842" s="15">
        <v>0</v>
      </c>
      <c r="V842" s="14">
        <v>278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3">
        <f t="shared" si="53"/>
        <v>-2.65</v>
      </c>
      <c r="AE842" s="12">
        <f>IF(W842=0,0,W842-$AB842)</f>
        <v>0</v>
      </c>
      <c r="AF842" s="12">
        <f>IF(X842=0,0,X842-$AB842)</f>
        <v>0</v>
      </c>
      <c r="AG842" s="12">
        <v>2.65</v>
      </c>
      <c r="AH842" s="12">
        <f>IF(Z842=0,0,Z842-$AB842)</f>
        <v>0</v>
      </c>
      <c r="AI842" s="12">
        <f>IF(AA842=0,0,AA842-$AB842)</f>
        <v>0</v>
      </c>
      <c r="AJ842" s="13">
        <f t="shared" si="54"/>
        <v>0</v>
      </c>
      <c r="AN842" s="12">
        <f t="shared" si="55"/>
        <v>737</v>
      </c>
      <c r="AQ842" s="8" t="s">
        <v>418</v>
      </c>
      <c r="AR842" t="str">
        <f t="shared" si="56"/>
        <v>Noroeste - A06</v>
      </c>
    </row>
    <row r="843" spans="1:44" x14ac:dyDescent="0.2">
      <c r="A843" s="107" t="s">
        <v>3232</v>
      </c>
      <c r="B843" s="106" t="s">
        <v>3231</v>
      </c>
      <c r="C843" s="106" t="s">
        <v>3161</v>
      </c>
      <c r="D843" s="106" t="s">
        <v>1032</v>
      </c>
      <c r="E843" s="106" t="s">
        <v>3166</v>
      </c>
      <c r="F843" s="106" t="s">
        <v>590</v>
      </c>
      <c r="G843" s="106" t="s">
        <v>3230</v>
      </c>
      <c r="H843" s="105" t="s">
        <v>3229</v>
      </c>
      <c r="I843" s="105" t="s">
        <v>3228</v>
      </c>
      <c r="J843" s="104">
        <v>1.31</v>
      </c>
      <c r="K843" s="103" t="s">
        <v>426</v>
      </c>
      <c r="L843" s="102" t="s">
        <v>533</v>
      </c>
      <c r="M843" s="95"/>
      <c r="N843" s="14"/>
      <c r="O843" s="94">
        <v>28</v>
      </c>
      <c r="P843" s="14" t="s">
        <v>586</v>
      </c>
      <c r="Q843" s="14" t="s">
        <v>497</v>
      </c>
      <c r="R843" s="14" t="s">
        <v>496</v>
      </c>
      <c r="S843" s="15">
        <v>14</v>
      </c>
      <c r="T843" s="15">
        <v>0</v>
      </c>
      <c r="U843" s="15">
        <v>0</v>
      </c>
      <c r="V843" s="14">
        <v>278</v>
      </c>
      <c r="W843" s="12">
        <v>0</v>
      </c>
      <c r="X843" s="12">
        <v>0</v>
      </c>
      <c r="Y843" s="12">
        <v>0</v>
      </c>
      <c r="Z843" s="12">
        <v>1.31</v>
      </c>
      <c r="AA843" s="12">
        <v>0</v>
      </c>
      <c r="AB843" s="13">
        <f t="shared" si="53"/>
        <v>0</v>
      </c>
      <c r="AE843" s="12">
        <v>0</v>
      </c>
      <c r="AF843" s="12">
        <v>0</v>
      </c>
      <c r="AG843" s="12">
        <v>0</v>
      </c>
      <c r="AH843" s="12">
        <v>1.31</v>
      </c>
      <c r="AI843" s="12">
        <v>0</v>
      </c>
      <c r="AJ843" s="13">
        <f t="shared" si="54"/>
        <v>0</v>
      </c>
      <c r="AN843" s="12">
        <f t="shared" si="55"/>
        <v>365</v>
      </c>
      <c r="AQ843" s="8" t="s">
        <v>418</v>
      </c>
      <c r="AR843" t="str">
        <f t="shared" si="56"/>
        <v>Noroeste - A06</v>
      </c>
    </row>
    <row r="844" spans="1:44" x14ac:dyDescent="0.2">
      <c r="A844" s="107" t="s">
        <v>3227</v>
      </c>
      <c r="B844" s="106" t="s">
        <v>3226</v>
      </c>
      <c r="C844" s="106" t="s">
        <v>3161</v>
      </c>
      <c r="D844" s="106" t="s">
        <v>1269</v>
      </c>
      <c r="E844" s="106" t="s">
        <v>3160</v>
      </c>
      <c r="F844" s="106" t="s">
        <v>490</v>
      </c>
      <c r="G844" s="106" t="s">
        <v>3225</v>
      </c>
      <c r="H844" s="105" t="s">
        <v>3224</v>
      </c>
      <c r="I844" s="105" t="s">
        <v>3220</v>
      </c>
      <c r="J844" s="104">
        <v>12.65</v>
      </c>
      <c r="K844" s="103" t="s">
        <v>424</v>
      </c>
      <c r="L844" s="102" t="s">
        <v>507</v>
      </c>
      <c r="M844" s="95"/>
      <c r="N844" s="14"/>
      <c r="O844" s="94">
        <v>36</v>
      </c>
      <c r="P844" s="14" t="s">
        <v>485</v>
      </c>
      <c r="Q844" s="14" t="s">
        <v>497</v>
      </c>
      <c r="R844" s="14" t="s">
        <v>496</v>
      </c>
      <c r="S844" s="15">
        <v>7</v>
      </c>
      <c r="T844" s="15">
        <v>0</v>
      </c>
      <c r="U844" s="15">
        <v>0</v>
      </c>
      <c r="V844" s="14">
        <v>1483</v>
      </c>
      <c r="W844" s="12">
        <v>0</v>
      </c>
      <c r="X844" s="12">
        <v>0</v>
      </c>
      <c r="Y844" s="12">
        <v>0</v>
      </c>
      <c r="Z844" s="12">
        <v>12.65</v>
      </c>
      <c r="AA844" s="12">
        <v>0</v>
      </c>
      <c r="AB844" s="13">
        <f t="shared" si="53"/>
        <v>0</v>
      </c>
      <c r="AE844" s="12">
        <v>0</v>
      </c>
      <c r="AF844" s="12">
        <v>0</v>
      </c>
      <c r="AG844" s="12">
        <v>0</v>
      </c>
      <c r="AH844" s="12">
        <v>12.65</v>
      </c>
      <c r="AI844" s="12">
        <v>0</v>
      </c>
      <c r="AJ844" s="13">
        <f t="shared" si="54"/>
        <v>0</v>
      </c>
      <c r="AN844" s="12">
        <f t="shared" si="55"/>
        <v>18760</v>
      </c>
      <c r="AQ844" s="8" t="s">
        <v>417</v>
      </c>
      <c r="AR844" t="str">
        <f t="shared" si="56"/>
        <v>Oeste - A04</v>
      </c>
    </row>
    <row r="845" spans="1:44" x14ac:dyDescent="0.2">
      <c r="A845" s="107" t="s">
        <v>3223</v>
      </c>
      <c r="B845" s="106" t="s">
        <v>3222</v>
      </c>
      <c r="C845" s="106" t="s">
        <v>3161</v>
      </c>
      <c r="D845" s="106" t="s">
        <v>965</v>
      </c>
      <c r="E845" s="106" t="s">
        <v>3160</v>
      </c>
      <c r="F845" s="106" t="s">
        <v>490</v>
      </c>
      <c r="G845" s="106" t="s">
        <v>3221</v>
      </c>
      <c r="H845" s="105" t="s">
        <v>3220</v>
      </c>
      <c r="I845" s="105" t="s">
        <v>3216</v>
      </c>
      <c r="J845" s="104">
        <v>2</v>
      </c>
      <c r="K845" s="103" t="s">
        <v>424</v>
      </c>
      <c r="L845" s="102" t="s">
        <v>507</v>
      </c>
      <c r="M845" s="95"/>
      <c r="N845" s="14"/>
      <c r="O845" s="94">
        <v>36</v>
      </c>
      <c r="P845" s="14" t="s">
        <v>485</v>
      </c>
      <c r="Q845" s="14" t="s">
        <v>497</v>
      </c>
      <c r="R845" s="14" t="s">
        <v>496</v>
      </c>
      <c r="S845" s="15">
        <v>7</v>
      </c>
      <c r="T845" s="15">
        <v>0</v>
      </c>
      <c r="U845" s="15">
        <v>0</v>
      </c>
      <c r="V845" s="14">
        <v>1128</v>
      </c>
      <c r="W845" s="12">
        <v>0</v>
      </c>
      <c r="X845" s="12">
        <v>0</v>
      </c>
      <c r="Y845" s="12">
        <v>0</v>
      </c>
      <c r="Z845" s="12">
        <v>2</v>
      </c>
      <c r="AA845" s="12">
        <v>0</v>
      </c>
      <c r="AB845" s="13">
        <f t="shared" si="53"/>
        <v>0</v>
      </c>
      <c r="AE845" s="12">
        <v>0</v>
      </c>
      <c r="AF845" s="12">
        <v>0</v>
      </c>
      <c r="AG845" s="12">
        <v>0</v>
      </c>
      <c r="AH845" s="12">
        <v>2</v>
      </c>
      <c r="AI845" s="12">
        <v>0</v>
      </c>
      <c r="AJ845" s="13">
        <f t="shared" si="54"/>
        <v>0</v>
      </c>
      <c r="AN845" s="12">
        <f t="shared" si="55"/>
        <v>2256</v>
      </c>
      <c r="AQ845" s="8" t="s">
        <v>417</v>
      </c>
      <c r="AR845" t="str">
        <f t="shared" si="56"/>
        <v>Oeste - A04</v>
      </c>
    </row>
    <row r="846" spans="1:44" x14ac:dyDescent="0.2">
      <c r="A846" s="107" t="s">
        <v>3219</v>
      </c>
      <c r="B846" s="106" t="s">
        <v>3218</v>
      </c>
      <c r="C846" s="106" t="s">
        <v>3161</v>
      </c>
      <c r="D846" s="106" t="s">
        <v>2152</v>
      </c>
      <c r="E846" s="106" t="s">
        <v>3160</v>
      </c>
      <c r="F846" s="106" t="s">
        <v>490</v>
      </c>
      <c r="G846" s="106" t="s">
        <v>3217</v>
      </c>
      <c r="H846" s="105" t="s">
        <v>3216</v>
      </c>
      <c r="I846" s="105" t="s">
        <v>3212</v>
      </c>
      <c r="J846" s="104">
        <v>31.12</v>
      </c>
      <c r="K846" s="103" t="s">
        <v>424</v>
      </c>
      <c r="L846" s="102" t="s">
        <v>507</v>
      </c>
      <c r="M846" s="95"/>
      <c r="N846" s="14"/>
      <c r="O846" s="94">
        <v>36</v>
      </c>
      <c r="P846" s="14" t="s">
        <v>485</v>
      </c>
      <c r="Q846" s="14" t="s">
        <v>497</v>
      </c>
      <c r="R846" s="14" t="s">
        <v>496</v>
      </c>
      <c r="S846" s="15">
        <v>7</v>
      </c>
      <c r="T846" s="15">
        <v>0</v>
      </c>
      <c r="U846" s="15">
        <v>0</v>
      </c>
      <c r="V846" s="14">
        <v>1128</v>
      </c>
      <c r="W846" s="12">
        <v>0</v>
      </c>
      <c r="X846" s="12">
        <v>0</v>
      </c>
      <c r="Y846" s="12">
        <v>3</v>
      </c>
      <c r="Z846" s="12">
        <v>28.12</v>
      </c>
      <c r="AA846" s="12">
        <v>0</v>
      </c>
      <c r="AB846" s="13">
        <f t="shared" si="53"/>
        <v>0</v>
      </c>
      <c r="AE846" s="12">
        <v>0</v>
      </c>
      <c r="AF846" s="12">
        <v>0</v>
      </c>
      <c r="AG846" s="12">
        <v>3</v>
      </c>
      <c r="AH846" s="12">
        <v>28.12</v>
      </c>
      <c r="AI846" s="12">
        <v>0</v>
      </c>
      <c r="AJ846" s="13">
        <f t="shared" si="54"/>
        <v>0</v>
      </c>
      <c r="AN846" s="12">
        <f t="shared" si="55"/>
        <v>35104</v>
      </c>
      <c r="AQ846" s="8" t="s">
        <v>417</v>
      </c>
      <c r="AR846" t="str">
        <f t="shared" si="56"/>
        <v>Oeste - A04</v>
      </c>
    </row>
    <row r="847" spans="1:44" x14ac:dyDescent="0.2">
      <c r="A847" s="107" t="s">
        <v>3215</v>
      </c>
      <c r="B847" s="106" t="s">
        <v>3214</v>
      </c>
      <c r="C847" s="106" t="s">
        <v>3161</v>
      </c>
      <c r="D847" s="106" t="s">
        <v>2145</v>
      </c>
      <c r="E847" s="106" t="s">
        <v>3166</v>
      </c>
      <c r="F847" s="106" t="s">
        <v>590</v>
      </c>
      <c r="G847" s="106" t="s">
        <v>3213</v>
      </c>
      <c r="H847" s="105" t="s">
        <v>3212</v>
      </c>
      <c r="I847" s="105" t="s">
        <v>3207</v>
      </c>
      <c r="J847" s="104">
        <v>4.17</v>
      </c>
      <c r="K847" s="103" t="s">
        <v>424</v>
      </c>
      <c r="L847" s="102" t="s">
        <v>507</v>
      </c>
      <c r="M847" s="95"/>
      <c r="N847" s="14"/>
      <c r="O847" s="94">
        <v>36</v>
      </c>
      <c r="P847" s="14" t="s">
        <v>586</v>
      </c>
      <c r="Q847" s="14" t="s">
        <v>497</v>
      </c>
      <c r="R847" s="14" t="s">
        <v>496</v>
      </c>
      <c r="S847" s="15">
        <v>12.8</v>
      </c>
      <c r="T847" s="15">
        <v>0</v>
      </c>
      <c r="U847" s="15">
        <v>0</v>
      </c>
      <c r="V847" s="14">
        <v>183</v>
      </c>
      <c r="W847" s="12">
        <v>0</v>
      </c>
      <c r="X847" s="12">
        <v>1</v>
      </c>
      <c r="Y847" s="12">
        <v>1</v>
      </c>
      <c r="Z847" s="12">
        <v>2.17</v>
      </c>
      <c r="AA847" s="12">
        <v>0</v>
      </c>
      <c r="AB847" s="13">
        <f t="shared" si="53"/>
        <v>0</v>
      </c>
      <c r="AE847" s="12">
        <v>0</v>
      </c>
      <c r="AF847" s="12">
        <v>1</v>
      </c>
      <c r="AG847" s="12">
        <v>1</v>
      </c>
      <c r="AH847" s="12">
        <v>2.17</v>
      </c>
      <c r="AI847" s="12">
        <v>0</v>
      </c>
      <c r="AJ847" s="13">
        <f t="shared" si="54"/>
        <v>0</v>
      </c>
      <c r="AN847" s="12">
        <f t="shared" si="55"/>
        <v>764</v>
      </c>
      <c r="AQ847" s="8" t="s">
        <v>417</v>
      </c>
      <c r="AR847" t="str">
        <f t="shared" si="56"/>
        <v>Oeste - A04</v>
      </c>
    </row>
    <row r="848" spans="1:44" x14ac:dyDescent="0.2">
      <c r="A848" s="107" t="s">
        <v>3211</v>
      </c>
      <c r="B848" s="106" t="s">
        <v>3210</v>
      </c>
      <c r="C848" s="106" t="s">
        <v>3161</v>
      </c>
      <c r="D848" s="106" t="s">
        <v>3209</v>
      </c>
      <c r="E848" s="106" t="s">
        <v>3160</v>
      </c>
      <c r="F848" s="106" t="s">
        <v>490</v>
      </c>
      <c r="G848" s="106" t="s">
        <v>3208</v>
      </c>
      <c r="H848" s="105" t="s">
        <v>3207</v>
      </c>
      <c r="I848" s="105" t="s">
        <v>3202</v>
      </c>
      <c r="J848" s="104">
        <v>9.3699999999999992</v>
      </c>
      <c r="K848" s="103" t="s">
        <v>424</v>
      </c>
      <c r="L848" s="102" t="s">
        <v>507</v>
      </c>
      <c r="M848" s="95"/>
      <c r="N848" s="14"/>
      <c r="O848" s="94">
        <v>36</v>
      </c>
      <c r="P848" s="14" t="s">
        <v>485</v>
      </c>
      <c r="Q848" s="14" t="s">
        <v>497</v>
      </c>
      <c r="R848" s="14" t="s">
        <v>496</v>
      </c>
      <c r="S848" s="15">
        <v>8</v>
      </c>
      <c r="T848" s="15">
        <v>0</v>
      </c>
      <c r="U848" s="15">
        <v>0</v>
      </c>
      <c r="V848" s="14">
        <v>183</v>
      </c>
      <c r="W848" s="12">
        <v>0</v>
      </c>
      <c r="X848" s="12">
        <v>0</v>
      </c>
      <c r="Y848" s="12">
        <v>2</v>
      </c>
      <c r="Z848" s="12">
        <v>7.3699999999999992</v>
      </c>
      <c r="AA848" s="12">
        <v>0</v>
      </c>
      <c r="AB848" s="13">
        <f t="shared" si="53"/>
        <v>0</v>
      </c>
      <c r="AE848" s="12">
        <v>0</v>
      </c>
      <c r="AF848" s="12">
        <v>0</v>
      </c>
      <c r="AG848" s="12">
        <v>2</v>
      </c>
      <c r="AH848" s="12">
        <v>7.3699999999999992</v>
      </c>
      <c r="AI848" s="12">
        <v>0</v>
      </c>
      <c r="AJ848" s="13">
        <f t="shared" si="54"/>
        <v>0</v>
      </c>
      <c r="AN848" s="12">
        <f t="shared" si="55"/>
        <v>1715</v>
      </c>
      <c r="AQ848" s="8" t="s">
        <v>417</v>
      </c>
      <c r="AR848" t="str">
        <f t="shared" si="56"/>
        <v>Oeste - A04</v>
      </c>
    </row>
    <row r="849" spans="1:44" x14ac:dyDescent="0.2">
      <c r="A849" s="107" t="s">
        <v>3206</v>
      </c>
      <c r="B849" s="106" t="s">
        <v>3205</v>
      </c>
      <c r="C849" s="106" t="s">
        <v>3161</v>
      </c>
      <c r="D849" s="106" t="s">
        <v>3204</v>
      </c>
      <c r="E849" s="106" t="s">
        <v>3160</v>
      </c>
      <c r="F849" s="106" t="s">
        <v>490</v>
      </c>
      <c r="G849" s="106" t="s">
        <v>3203</v>
      </c>
      <c r="H849" s="105" t="s">
        <v>3202</v>
      </c>
      <c r="I849" s="105" t="s">
        <v>3201</v>
      </c>
      <c r="J849" s="104">
        <v>6.5</v>
      </c>
      <c r="K849" s="103" t="s">
        <v>424</v>
      </c>
      <c r="L849" s="102" t="s">
        <v>507</v>
      </c>
      <c r="M849" s="95"/>
      <c r="N849" s="14"/>
      <c r="O849" s="94">
        <v>36</v>
      </c>
      <c r="P849" s="14" t="s">
        <v>485</v>
      </c>
      <c r="Q849" s="14" t="s">
        <v>497</v>
      </c>
      <c r="R849" s="14" t="s">
        <v>496</v>
      </c>
      <c r="S849" s="15">
        <v>8</v>
      </c>
      <c r="T849" s="15">
        <v>0</v>
      </c>
      <c r="U849" s="15">
        <v>0</v>
      </c>
      <c r="V849" s="14">
        <v>183</v>
      </c>
      <c r="W849" s="12">
        <v>0</v>
      </c>
      <c r="X849" s="12">
        <v>0</v>
      </c>
      <c r="Y849" s="12">
        <v>0</v>
      </c>
      <c r="Z849" s="12">
        <v>6.5</v>
      </c>
      <c r="AA849" s="12">
        <v>0</v>
      </c>
      <c r="AB849" s="13">
        <f t="shared" si="53"/>
        <v>0</v>
      </c>
      <c r="AE849" s="12">
        <v>0</v>
      </c>
      <c r="AF849" s="12">
        <v>0</v>
      </c>
      <c r="AG849" s="12">
        <v>0</v>
      </c>
      <c r="AH849" s="12">
        <v>6.5</v>
      </c>
      <c r="AI849" s="12">
        <v>0</v>
      </c>
      <c r="AJ849" s="13">
        <f t="shared" si="54"/>
        <v>0</v>
      </c>
      <c r="AN849" s="12">
        <f t="shared" si="55"/>
        <v>1190</v>
      </c>
      <c r="AQ849" s="8" t="s">
        <v>417</v>
      </c>
      <c r="AR849" t="str">
        <f t="shared" si="56"/>
        <v>Oeste - A04</v>
      </c>
    </row>
    <row r="850" spans="1:44" x14ac:dyDescent="0.2">
      <c r="A850" s="107" t="s">
        <v>3200</v>
      </c>
      <c r="B850" s="106" t="s">
        <v>3199</v>
      </c>
      <c r="C850" s="106" t="s">
        <v>3161</v>
      </c>
      <c r="D850" s="106" t="s">
        <v>3194</v>
      </c>
      <c r="E850" s="106" t="s">
        <v>3198</v>
      </c>
      <c r="F850" s="106" t="s">
        <v>606</v>
      </c>
      <c r="G850" s="106" t="s">
        <v>3197</v>
      </c>
      <c r="H850" s="105" t="s">
        <v>3191</v>
      </c>
      <c r="I850" s="105" t="s">
        <v>3190</v>
      </c>
      <c r="J850" s="104">
        <v>0.63</v>
      </c>
      <c r="K850" s="103" t="s">
        <v>424</v>
      </c>
      <c r="L850" s="102" t="s">
        <v>507</v>
      </c>
      <c r="M850" s="95"/>
      <c r="N850" s="14"/>
      <c r="O850" s="94">
        <v>36</v>
      </c>
      <c r="P850" s="14" t="s">
        <v>596</v>
      </c>
      <c r="Q850" s="14" t="s">
        <v>497</v>
      </c>
      <c r="R850" s="14" t="s">
        <v>496</v>
      </c>
      <c r="S850" s="15">
        <v>8</v>
      </c>
      <c r="T850" s="15">
        <v>0</v>
      </c>
      <c r="U850" s="15">
        <v>0</v>
      </c>
      <c r="V850" s="14">
        <v>140</v>
      </c>
      <c r="W850" s="12">
        <v>0</v>
      </c>
      <c r="X850" s="12">
        <v>0</v>
      </c>
      <c r="Y850" s="12">
        <v>0</v>
      </c>
      <c r="Z850" s="12">
        <v>0.63</v>
      </c>
      <c r="AA850" s="12">
        <v>0</v>
      </c>
      <c r="AB850" s="13">
        <f t="shared" si="53"/>
        <v>0</v>
      </c>
      <c r="AE850" s="12">
        <v>0</v>
      </c>
      <c r="AF850" s="12">
        <v>0</v>
      </c>
      <c r="AG850" s="12">
        <v>0</v>
      </c>
      <c r="AH850" s="12">
        <v>0.63</v>
      </c>
      <c r="AI850" s="12">
        <v>0</v>
      </c>
      <c r="AJ850" s="13">
        <f t="shared" si="54"/>
        <v>0</v>
      </c>
      <c r="AN850" s="12">
        <f t="shared" si="55"/>
        <v>89</v>
      </c>
      <c r="AQ850" s="8" t="s">
        <v>417</v>
      </c>
      <c r="AR850" t="str">
        <f t="shared" si="56"/>
        <v>Oeste - A04</v>
      </c>
    </row>
    <row r="851" spans="1:44" x14ac:dyDescent="0.2">
      <c r="A851" s="107" t="s">
        <v>3196</v>
      </c>
      <c r="B851" s="106" t="s">
        <v>3195</v>
      </c>
      <c r="C851" s="106" t="s">
        <v>3161</v>
      </c>
      <c r="D851" s="106" t="s">
        <v>3194</v>
      </c>
      <c r="E851" s="106" t="s">
        <v>3193</v>
      </c>
      <c r="F851" s="106" t="s">
        <v>600</v>
      </c>
      <c r="G851" s="106" t="s">
        <v>3192</v>
      </c>
      <c r="H851" s="105" t="s">
        <v>3191</v>
      </c>
      <c r="I851" s="105" t="s">
        <v>3190</v>
      </c>
      <c r="J851" s="104">
        <v>0.63</v>
      </c>
      <c r="K851" s="103" t="s">
        <v>424</v>
      </c>
      <c r="L851" s="102" t="s">
        <v>507</v>
      </c>
      <c r="M851" s="95"/>
      <c r="N851" s="14"/>
      <c r="O851" s="94">
        <v>36</v>
      </c>
      <c r="P851" s="14" t="s">
        <v>596</v>
      </c>
      <c r="Q851" s="14" t="s">
        <v>497</v>
      </c>
      <c r="R851" s="14" t="s">
        <v>496</v>
      </c>
      <c r="S851" s="15">
        <v>8</v>
      </c>
      <c r="T851" s="15">
        <v>0</v>
      </c>
      <c r="U851" s="15">
        <v>0</v>
      </c>
      <c r="V851" s="14">
        <v>140</v>
      </c>
      <c r="W851" s="12">
        <v>0</v>
      </c>
      <c r="X851" s="12">
        <v>0</v>
      </c>
      <c r="Y851" s="12">
        <v>0</v>
      </c>
      <c r="Z851" s="12">
        <v>0.63</v>
      </c>
      <c r="AA851" s="12">
        <v>0</v>
      </c>
      <c r="AB851" s="13">
        <f t="shared" si="53"/>
        <v>0</v>
      </c>
      <c r="AE851" s="12">
        <v>0</v>
      </c>
      <c r="AF851" s="12">
        <v>0</v>
      </c>
      <c r="AG851" s="12">
        <v>0</v>
      </c>
      <c r="AH851" s="12">
        <v>0.63</v>
      </c>
      <c r="AI851" s="12">
        <v>0</v>
      </c>
      <c r="AJ851" s="13">
        <f t="shared" si="54"/>
        <v>0</v>
      </c>
      <c r="AN851" s="12">
        <f t="shared" si="55"/>
        <v>89</v>
      </c>
      <c r="AQ851" s="8" t="s">
        <v>417</v>
      </c>
      <c r="AR851" t="str">
        <f t="shared" si="56"/>
        <v>Oeste - A04</v>
      </c>
    </row>
    <row r="852" spans="1:44" x14ac:dyDescent="0.2">
      <c r="A852" s="107" t="s">
        <v>3189</v>
      </c>
      <c r="B852" s="106" t="s">
        <v>3188</v>
      </c>
      <c r="C852" s="106" t="s">
        <v>3161</v>
      </c>
      <c r="D852" s="106" t="s">
        <v>3187</v>
      </c>
      <c r="E852" s="106" t="s">
        <v>3166</v>
      </c>
      <c r="F852" s="106" t="s">
        <v>590</v>
      </c>
      <c r="G852" s="106" t="s">
        <v>3186</v>
      </c>
      <c r="H852" s="105" t="s">
        <v>3185</v>
      </c>
      <c r="I852" s="105" t="s">
        <v>1087</v>
      </c>
      <c r="J852" s="104">
        <v>1.68</v>
      </c>
      <c r="K852" s="103" t="s">
        <v>426</v>
      </c>
      <c r="L852" s="102" t="s">
        <v>507</v>
      </c>
      <c r="M852" s="95"/>
      <c r="N852" s="14"/>
      <c r="O852" s="94">
        <v>38</v>
      </c>
      <c r="P852" s="14" t="s">
        <v>586</v>
      </c>
      <c r="Q852" s="14" t="s">
        <v>497</v>
      </c>
      <c r="R852" s="14" t="s">
        <v>496</v>
      </c>
      <c r="S852" s="15">
        <v>12.3</v>
      </c>
      <c r="T852" s="15">
        <v>7.3</v>
      </c>
      <c r="U852" s="15">
        <v>0</v>
      </c>
      <c r="V852" s="14">
        <v>242</v>
      </c>
      <c r="W852" s="12">
        <v>0</v>
      </c>
      <c r="X852" s="12">
        <v>0</v>
      </c>
      <c r="Y852" s="12">
        <v>0</v>
      </c>
      <c r="Z852" s="12">
        <v>1.68</v>
      </c>
      <c r="AA852" s="12">
        <v>0</v>
      </c>
      <c r="AB852" s="13">
        <f t="shared" si="53"/>
        <v>0</v>
      </c>
      <c r="AE852" s="12">
        <v>0</v>
      </c>
      <c r="AF852" s="12">
        <v>0</v>
      </c>
      <c r="AG852" s="12">
        <v>0</v>
      </c>
      <c r="AH852" s="12">
        <v>1.68</v>
      </c>
      <c r="AI852" s="12">
        <v>0</v>
      </c>
      <c r="AJ852" s="13">
        <f t="shared" si="54"/>
        <v>0</v>
      </c>
      <c r="AN852" s="12">
        <f t="shared" si="55"/>
        <v>407</v>
      </c>
      <c r="AQ852" s="8" t="s">
        <v>417</v>
      </c>
      <c r="AR852" t="str">
        <f t="shared" si="56"/>
        <v>Oeste - A06</v>
      </c>
    </row>
    <row r="853" spans="1:44" x14ac:dyDescent="0.2">
      <c r="A853" s="107" t="s">
        <v>3184</v>
      </c>
      <c r="B853" s="106" t="s">
        <v>3183</v>
      </c>
      <c r="C853" s="106" t="s">
        <v>3161</v>
      </c>
      <c r="D853" s="106" t="s">
        <v>3016</v>
      </c>
      <c r="E853" s="106" t="s">
        <v>3160</v>
      </c>
      <c r="F853" s="106" t="s">
        <v>490</v>
      </c>
      <c r="G853" s="106" t="s">
        <v>3182</v>
      </c>
      <c r="H853" s="105" t="s">
        <v>1087</v>
      </c>
      <c r="I853" s="105" t="s">
        <v>3177</v>
      </c>
      <c r="J853" s="104">
        <v>16.760000000000002</v>
      </c>
      <c r="K853" s="103" t="s">
        <v>426</v>
      </c>
      <c r="L853" s="102" t="s">
        <v>507</v>
      </c>
      <c r="M853" s="95"/>
      <c r="N853" s="14"/>
      <c r="O853" s="94">
        <v>38</v>
      </c>
      <c r="P853" s="14" t="s">
        <v>485</v>
      </c>
      <c r="Q853" s="14" t="s">
        <v>497</v>
      </c>
      <c r="R853" s="14" t="s">
        <v>496</v>
      </c>
      <c r="S853" s="15">
        <v>7.1</v>
      </c>
      <c r="T853" s="15">
        <v>0</v>
      </c>
      <c r="U853" s="15">
        <v>0</v>
      </c>
      <c r="V853" s="14">
        <v>2078</v>
      </c>
      <c r="W853" s="12">
        <v>0</v>
      </c>
      <c r="X853" s="12">
        <v>0</v>
      </c>
      <c r="Y853" s="12">
        <v>0</v>
      </c>
      <c r="Z853" s="12">
        <v>16.760000000000002</v>
      </c>
      <c r="AA853" s="12">
        <v>0</v>
      </c>
      <c r="AB853" s="13">
        <f t="shared" si="53"/>
        <v>0</v>
      </c>
      <c r="AE853" s="12">
        <v>0</v>
      </c>
      <c r="AF853" s="12">
        <v>0</v>
      </c>
      <c r="AG853" s="12">
        <v>0</v>
      </c>
      <c r="AH853" s="12">
        <v>16.760000000000002</v>
      </c>
      <c r="AI853" s="12">
        <v>0</v>
      </c>
      <c r="AJ853" s="13">
        <f t="shared" si="54"/>
        <v>0</v>
      </c>
      <c r="AN853" s="12">
        <f t="shared" si="55"/>
        <v>34828</v>
      </c>
      <c r="AQ853" s="8" t="s">
        <v>417</v>
      </c>
      <c r="AR853" t="str">
        <f t="shared" si="56"/>
        <v>Oeste - A06</v>
      </c>
    </row>
    <row r="854" spans="1:44" x14ac:dyDescent="0.2">
      <c r="A854" s="107" t="s">
        <v>3181</v>
      </c>
      <c r="B854" s="106" t="s">
        <v>3180</v>
      </c>
      <c r="C854" s="106" t="s">
        <v>3161</v>
      </c>
      <c r="D854" s="106" t="s">
        <v>3179</v>
      </c>
      <c r="E854" s="106" t="s">
        <v>3166</v>
      </c>
      <c r="F854" s="106" t="s">
        <v>590</v>
      </c>
      <c r="G854" s="106" t="s">
        <v>3178</v>
      </c>
      <c r="H854" s="105" t="s">
        <v>3177</v>
      </c>
      <c r="I854" s="105" t="s">
        <v>3176</v>
      </c>
      <c r="J854" s="104">
        <v>1.95</v>
      </c>
      <c r="K854" s="103" t="s">
        <v>426</v>
      </c>
      <c r="L854" s="102" t="s">
        <v>507</v>
      </c>
      <c r="M854" s="95"/>
      <c r="N854" s="14"/>
      <c r="O854" s="94">
        <v>38</v>
      </c>
      <c r="P854" s="14" t="s">
        <v>586</v>
      </c>
      <c r="Q854" s="14" t="s">
        <v>691</v>
      </c>
      <c r="R854" s="14" t="s">
        <v>496</v>
      </c>
      <c r="S854" s="15">
        <v>11</v>
      </c>
      <c r="T854" s="15">
        <v>3.1</v>
      </c>
      <c r="U854" s="15">
        <v>0</v>
      </c>
      <c r="V854" s="14">
        <v>242</v>
      </c>
      <c r="W854" s="12">
        <v>0</v>
      </c>
      <c r="X854" s="12">
        <v>0</v>
      </c>
      <c r="Y854" s="12">
        <v>1</v>
      </c>
      <c r="Z854" s="12">
        <v>0.95</v>
      </c>
      <c r="AA854" s="12">
        <v>0</v>
      </c>
      <c r="AB854" s="13">
        <f t="shared" si="53"/>
        <v>0</v>
      </c>
      <c r="AE854" s="12">
        <v>0</v>
      </c>
      <c r="AF854" s="12">
        <v>0</v>
      </c>
      <c r="AG854" s="12">
        <v>1</v>
      </c>
      <c r="AH854" s="12">
        <v>0.95</v>
      </c>
      <c r="AI854" s="12">
        <v>0</v>
      </c>
      <c r="AJ854" s="13">
        <f t="shared" si="54"/>
        <v>0</v>
      </c>
      <c r="AN854" s="12">
        <f t="shared" si="55"/>
        <v>472</v>
      </c>
      <c r="AQ854" s="8" t="s">
        <v>417</v>
      </c>
      <c r="AR854" t="str">
        <f t="shared" si="56"/>
        <v>Oeste - A06</v>
      </c>
    </row>
    <row r="855" spans="1:44" x14ac:dyDescent="0.2">
      <c r="A855" s="107" t="s">
        <v>3175</v>
      </c>
      <c r="B855" s="106" t="s">
        <v>3174</v>
      </c>
      <c r="C855" s="106" t="s">
        <v>3161</v>
      </c>
      <c r="D855" s="106" t="s">
        <v>3010</v>
      </c>
      <c r="E855" s="106" t="s">
        <v>3160</v>
      </c>
      <c r="F855" s="106" t="s">
        <v>490</v>
      </c>
      <c r="G855" s="106" t="s">
        <v>3173</v>
      </c>
      <c r="H855" s="105" t="s">
        <v>679</v>
      </c>
      <c r="I855" s="105" t="s">
        <v>3169</v>
      </c>
      <c r="J855" s="104">
        <v>14.99</v>
      </c>
      <c r="K855" s="103" t="s">
        <v>425</v>
      </c>
      <c r="L855" s="102" t="s">
        <v>507</v>
      </c>
      <c r="M855" s="95"/>
      <c r="N855" s="14"/>
      <c r="O855" s="94">
        <v>37</v>
      </c>
      <c r="P855" s="14" t="s">
        <v>485</v>
      </c>
      <c r="Q855" s="14" t="s">
        <v>497</v>
      </c>
      <c r="R855" s="14" t="s">
        <v>496</v>
      </c>
      <c r="S855" s="15">
        <v>7.2</v>
      </c>
      <c r="T855" s="15">
        <v>0</v>
      </c>
      <c r="U855" s="15">
        <v>0</v>
      </c>
      <c r="V855" s="14">
        <v>981</v>
      </c>
      <c r="W855" s="12">
        <v>0</v>
      </c>
      <c r="X855" s="12">
        <v>0</v>
      </c>
      <c r="Y855" s="12">
        <v>9</v>
      </c>
      <c r="Z855" s="12">
        <v>5.99</v>
      </c>
      <c r="AA855" s="12">
        <v>0</v>
      </c>
      <c r="AB855" s="13">
        <f t="shared" si="53"/>
        <v>0</v>
      </c>
      <c r="AE855" s="12">
        <v>0</v>
      </c>
      <c r="AF855" s="12">
        <v>0</v>
      </c>
      <c r="AG855" s="12">
        <v>9</v>
      </c>
      <c r="AH855" s="12">
        <v>5.99</v>
      </c>
      <c r="AI855" s="12">
        <v>0</v>
      </c>
      <c r="AJ855" s="13">
        <f t="shared" si="54"/>
        <v>0</v>
      </c>
      <c r="AN855" s="12">
        <f t="shared" si="55"/>
        <v>14706</v>
      </c>
      <c r="AQ855" s="8" t="s">
        <v>417</v>
      </c>
      <c r="AR855" t="str">
        <f t="shared" si="56"/>
        <v>Oeste - A05</v>
      </c>
    </row>
    <row r="856" spans="1:44" x14ac:dyDescent="0.2">
      <c r="A856" s="107" t="s">
        <v>3172</v>
      </c>
      <c r="B856" s="106" t="s">
        <v>3171</v>
      </c>
      <c r="C856" s="106" t="s">
        <v>3161</v>
      </c>
      <c r="D856" s="106" t="s">
        <v>2825</v>
      </c>
      <c r="E856" s="106" t="s">
        <v>3160</v>
      </c>
      <c r="F856" s="106" t="s">
        <v>490</v>
      </c>
      <c r="G856" s="106" t="s">
        <v>3170</v>
      </c>
      <c r="H856" s="105" t="s">
        <v>3169</v>
      </c>
      <c r="I856" s="105" t="s">
        <v>3164</v>
      </c>
      <c r="J856" s="104">
        <v>11.87</v>
      </c>
      <c r="K856" s="103" t="s">
        <v>425</v>
      </c>
      <c r="L856" s="102" t="s">
        <v>507</v>
      </c>
      <c r="M856" s="95"/>
      <c r="N856" s="14"/>
      <c r="O856" s="94">
        <v>37</v>
      </c>
      <c r="P856" s="14" t="s">
        <v>485</v>
      </c>
      <c r="Q856" s="14" t="s">
        <v>497</v>
      </c>
      <c r="R856" s="14" t="s">
        <v>496</v>
      </c>
      <c r="S856" s="15">
        <v>7.4</v>
      </c>
      <c r="T856" s="15">
        <v>0</v>
      </c>
      <c r="U856" s="15">
        <v>0</v>
      </c>
      <c r="V856" s="14">
        <v>981</v>
      </c>
      <c r="W856" s="12">
        <v>0</v>
      </c>
      <c r="X856" s="12">
        <v>1</v>
      </c>
      <c r="Y856" s="12">
        <v>5.8699999999999992</v>
      </c>
      <c r="Z856" s="12">
        <v>5</v>
      </c>
      <c r="AA856" s="12">
        <v>0</v>
      </c>
      <c r="AB856" s="13">
        <f t="shared" si="53"/>
        <v>0</v>
      </c>
      <c r="AE856" s="12">
        <v>0</v>
      </c>
      <c r="AF856" s="12">
        <v>1</v>
      </c>
      <c r="AG856" s="12">
        <v>5.8699999999999992</v>
      </c>
      <c r="AH856" s="12">
        <v>5</v>
      </c>
      <c r="AI856" s="12">
        <v>0</v>
      </c>
      <c r="AJ856" s="13">
        <f t="shared" si="54"/>
        <v>0</v>
      </c>
      <c r="AN856" s="12">
        <f t="shared" si="55"/>
        <v>11645</v>
      </c>
      <c r="AQ856" s="8" t="s">
        <v>417</v>
      </c>
      <c r="AR856" t="str">
        <f t="shared" si="56"/>
        <v>Oeste - A05</v>
      </c>
    </row>
    <row r="857" spans="1:44" x14ac:dyDescent="0.2">
      <c r="A857" s="107" t="s">
        <v>3168</v>
      </c>
      <c r="B857" s="106" t="s">
        <v>3167</v>
      </c>
      <c r="C857" s="106" t="s">
        <v>3161</v>
      </c>
      <c r="D857" s="106" t="s">
        <v>2682</v>
      </c>
      <c r="E857" s="106" t="s">
        <v>3166</v>
      </c>
      <c r="F857" s="106" t="s">
        <v>590</v>
      </c>
      <c r="G857" s="106" t="s">
        <v>3165</v>
      </c>
      <c r="H857" s="105" t="s">
        <v>3164</v>
      </c>
      <c r="I857" s="105" t="s">
        <v>3158</v>
      </c>
      <c r="J857" s="104">
        <v>1.95</v>
      </c>
      <c r="K857" s="103" t="s">
        <v>425</v>
      </c>
      <c r="L857" s="102" t="s">
        <v>507</v>
      </c>
      <c r="M857" s="95"/>
      <c r="N857" s="14"/>
      <c r="O857" s="94">
        <v>37</v>
      </c>
      <c r="P857" s="14" t="s">
        <v>586</v>
      </c>
      <c r="Q857" s="14" t="s">
        <v>497</v>
      </c>
      <c r="R857" s="14" t="s">
        <v>496</v>
      </c>
      <c r="S857" s="15">
        <v>7.2</v>
      </c>
      <c r="T857" s="15">
        <v>0</v>
      </c>
      <c r="U857" s="15">
        <v>0</v>
      </c>
      <c r="V857" s="14">
        <v>435</v>
      </c>
      <c r="W857" s="12">
        <v>0</v>
      </c>
      <c r="X857" s="12">
        <v>0</v>
      </c>
      <c r="Y857" s="12">
        <v>0.95</v>
      </c>
      <c r="Z857" s="12">
        <v>1</v>
      </c>
      <c r="AA857" s="12">
        <v>0</v>
      </c>
      <c r="AB857" s="13">
        <f t="shared" si="53"/>
        <v>0</v>
      </c>
      <c r="AE857" s="12">
        <v>0</v>
      </c>
      <c r="AF857" s="12">
        <v>0</v>
      </c>
      <c r="AG857" s="12">
        <v>0.95</v>
      </c>
      <c r="AH857" s="12">
        <v>1</v>
      </c>
      <c r="AI857" s="12">
        <v>0</v>
      </c>
      <c r="AJ857" s="13">
        <f t="shared" si="54"/>
        <v>0</v>
      </c>
      <c r="AN857" s="12">
        <f t="shared" si="55"/>
        <v>849</v>
      </c>
      <c r="AQ857" s="8" t="s">
        <v>417</v>
      </c>
      <c r="AR857" t="str">
        <f t="shared" si="56"/>
        <v>Oeste - A05</v>
      </c>
    </row>
    <row r="858" spans="1:44" x14ac:dyDescent="0.2">
      <c r="A858" s="107" t="s">
        <v>3163</v>
      </c>
      <c r="B858" s="106" t="s">
        <v>3162</v>
      </c>
      <c r="C858" s="106" t="s">
        <v>3161</v>
      </c>
      <c r="D858" s="106" t="s">
        <v>2671</v>
      </c>
      <c r="E858" s="106" t="s">
        <v>3160</v>
      </c>
      <c r="F858" s="106" t="s">
        <v>490</v>
      </c>
      <c r="G858" s="106" t="s">
        <v>3159</v>
      </c>
      <c r="H858" s="105" t="s">
        <v>3158</v>
      </c>
      <c r="I858" s="105" t="s">
        <v>3157</v>
      </c>
      <c r="J858" s="104">
        <v>7.42</v>
      </c>
      <c r="K858" s="103" t="s">
        <v>425</v>
      </c>
      <c r="L858" s="102" t="s">
        <v>507</v>
      </c>
      <c r="M858" s="95"/>
      <c r="N858" s="14"/>
      <c r="O858" s="94">
        <v>37</v>
      </c>
      <c r="P858" s="14" t="s">
        <v>485</v>
      </c>
      <c r="Q858" s="14" t="s">
        <v>497</v>
      </c>
      <c r="R858" s="14" t="s">
        <v>496</v>
      </c>
      <c r="S858" s="15">
        <v>7</v>
      </c>
      <c r="T858" s="15">
        <v>0.6</v>
      </c>
      <c r="U858" s="15">
        <v>0</v>
      </c>
      <c r="V858" s="14">
        <v>558</v>
      </c>
      <c r="W858" s="12">
        <v>0</v>
      </c>
      <c r="X858" s="12">
        <v>0</v>
      </c>
      <c r="Y858" s="12">
        <v>3.42</v>
      </c>
      <c r="Z858" s="12">
        <v>4</v>
      </c>
      <c r="AA858" s="12">
        <v>0</v>
      </c>
      <c r="AB858" s="13">
        <f t="shared" si="53"/>
        <v>0</v>
      </c>
      <c r="AE858" s="12">
        <v>0</v>
      </c>
      <c r="AF858" s="12">
        <v>0</v>
      </c>
      <c r="AG858" s="12">
        <v>3.42</v>
      </c>
      <c r="AH858" s="12">
        <v>4</v>
      </c>
      <c r="AI858" s="12">
        <v>0</v>
      </c>
      <c r="AJ858" s="13">
        <f t="shared" si="54"/>
        <v>0</v>
      </c>
      <c r="AN858" s="12">
        <f t="shared" si="55"/>
        <v>4141</v>
      </c>
      <c r="AQ858" s="8" t="s">
        <v>417</v>
      </c>
      <c r="AR858" t="str">
        <f t="shared" si="56"/>
        <v>Oeste - A05</v>
      </c>
    </row>
    <row r="859" spans="1:44" x14ac:dyDescent="0.2">
      <c r="A859" s="107" t="s">
        <v>3156</v>
      </c>
      <c r="B859" s="106" t="s">
        <v>3155</v>
      </c>
      <c r="C859" s="106" t="s">
        <v>3123</v>
      </c>
      <c r="D859" s="106" t="s">
        <v>2131</v>
      </c>
      <c r="E859" s="106" t="s">
        <v>3122</v>
      </c>
      <c r="F859" s="106" t="s">
        <v>590</v>
      </c>
      <c r="G859" s="106" t="s">
        <v>3154</v>
      </c>
      <c r="H859" s="105" t="s">
        <v>3153</v>
      </c>
      <c r="I859" s="105" t="s">
        <v>3152</v>
      </c>
      <c r="J859" s="104">
        <v>0.9</v>
      </c>
      <c r="K859" s="103" t="s">
        <v>425</v>
      </c>
      <c r="L859" s="102" t="s">
        <v>533</v>
      </c>
      <c r="M859" s="95"/>
      <c r="N859" s="14"/>
      <c r="O859" s="94">
        <v>27</v>
      </c>
      <c r="P859" s="14" t="s">
        <v>586</v>
      </c>
      <c r="Q859" s="14" t="s">
        <v>497</v>
      </c>
      <c r="R859" s="14" t="s">
        <v>496</v>
      </c>
      <c r="S859" s="15">
        <v>7.2</v>
      </c>
      <c r="T859" s="15">
        <v>1.5</v>
      </c>
      <c r="U859" s="15">
        <v>0</v>
      </c>
      <c r="V859" s="14">
        <v>746</v>
      </c>
      <c r="W859" s="12">
        <v>0</v>
      </c>
      <c r="X859" s="12">
        <v>0</v>
      </c>
      <c r="Y859" s="12">
        <v>0</v>
      </c>
      <c r="Z859" s="12">
        <v>0.9</v>
      </c>
      <c r="AA859" s="12">
        <v>0</v>
      </c>
      <c r="AB859" s="13">
        <f t="shared" si="53"/>
        <v>0</v>
      </c>
      <c r="AE859" s="12">
        <v>0</v>
      </c>
      <c r="AF859" s="12">
        <v>0</v>
      </c>
      <c r="AG859" s="12">
        <v>0</v>
      </c>
      <c r="AH859" s="12">
        <v>0.9</v>
      </c>
      <c r="AI859" s="12">
        <v>0</v>
      </c>
      <c r="AJ859" s="13">
        <f t="shared" si="54"/>
        <v>0</v>
      </c>
      <c r="AN859" s="12">
        <f t="shared" si="55"/>
        <v>672</v>
      </c>
      <c r="AQ859" s="8" t="s">
        <v>418</v>
      </c>
      <c r="AR859" t="str">
        <f t="shared" si="56"/>
        <v>Noroeste - A05</v>
      </c>
    </row>
    <row r="860" spans="1:44" x14ac:dyDescent="0.2">
      <c r="A860" s="107" t="s">
        <v>3151</v>
      </c>
      <c r="B860" s="106" t="s">
        <v>3150</v>
      </c>
      <c r="C860" s="106" t="s">
        <v>3123</v>
      </c>
      <c r="D860" s="106" t="s">
        <v>492</v>
      </c>
      <c r="E860" s="106" t="s">
        <v>3122</v>
      </c>
      <c r="F860" s="106" t="s">
        <v>590</v>
      </c>
      <c r="G860" s="106" t="s">
        <v>3149</v>
      </c>
      <c r="H860" s="105" t="s">
        <v>3144</v>
      </c>
      <c r="I860" s="105" t="s">
        <v>3148</v>
      </c>
      <c r="J860" s="19">
        <v>4.07</v>
      </c>
      <c r="K860" s="103" t="s">
        <v>425</v>
      </c>
      <c r="L860" s="102" t="s">
        <v>533</v>
      </c>
      <c r="M860" s="95"/>
      <c r="N860" s="14"/>
      <c r="O860" s="94">
        <v>27</v>
      </c>
      <c r="P860" s="14" t="s">
        <v>586</v>
      </c>
      <c r="Q860" s="14" t="s">
        <v>497</v>
      </c>
      <c r="R860" s="14" t="s">
        <v>496</v>
      </c>
      <c r="S860" s="15">
        <v>16</v>
      </c>
      <c r="T860" s="15">
        <v>0</v>
      </c>
      <c r="U860" s="15">
        <v>0</v>
      </c>
      <c r="V860" s="14">
        <v>746</v>
      </c>
      <c r="W860" s="12">
        <v>0</v>
      </c>
      <c r="X860" s="12">
        <v>0</v>
      </c>
      <c r="Y860" s="12">
        <v>0</v>
      </c>
      <c r="Z860" s="12">
        <v>4.49</v>
      </c>
      <c r="AA860" s="12">
        <v>0</v>
      </c>
      <c r="AB860" s="13">
        <f t="shared" si="53"/>
        <v>0.41999999999999993</v>
      </c>
      <c r="AE860" s="12">
        <v>0</v>
      </c>
      <c r="AF860" s="12">
        <v>0</v>
      </c>
      <c r="AG860" s="12">
        <v>0</v>
      </c>
      <c r="AH860" s="12">
        <v>4.49</v>
      </c>
      <c r="AI860" s="12">
        <v>0</v>
      </c>
      <c r="AJ860" s="13">
        <f t="shared" si="54"/>
        <v>0.41999999999999993</v>
      </c>
      <c r="AN860" s="12">
        <f t="shared" si="55"/>
        <v>3037</v>
      </c>
      <c r="AQ860" s="8" t="s">
        <v>418</v>
      </c>
      <c r="AR860" t="str">
        <f t="shared" si="56"/>
        <v>Noroeste - A05</v>
      </c>
    </row>
    <row r="861" spans="1:44" x14ac:dyDescent="0.2">
      <c r="A861" s="107" t="s">
        <v>3147</v>
      </c>
      <c r="B861" s="106" t="s">
        <v>3146</v>
      </c>
      <c r="C861" s="106" t="s">
        <v>3123</v>
      </c>
      <c r="D861" s="106" t="s">
        <v>1637</v>
      </c>
      <c r="E861" s="106" t="s">
        <v>3128</v>
      </c>
      <c r="F861" s="106" t="s">
        <v>490</v>
      </c>
      <c r="G861" s="106" t="s">
        <v>3145</v>
      </c>
      <c r="H861" s="105" t="s">
        <v>3144</v>
      </c>
      <c r="I861" s="105" t="s">
        <v>3140</v>
      </c>
      <c r="J861" s="104">
        <v>16.37</v>
      </c>
      <c r="K861" s="103" t="s">
        <v>426</v>
      </c>
      <c r="L861" s="102" t="s">
        <v>533</v>
      </c>
      <c r="M861" s="95"/>
      <c r="N861" s="14"/>
      <c r="O861" s="94">
        <v>28</v>
      </c>
      <c r="P861" s="14" t="s">
        <v>485</v>
      </c>
      <c r="Q861" s="14" t="s">
        <v>497</v>
      </c>
      <c r="R861" s="14" t="s">
        <v>496</v>
      </c>
      <c r="S861" s="15">
        <v>7</v>
      </c>
      <c r="T861" s="15">
        <v>1.2</v>
      </c>
      <c r="U861" s="15">
        <v>0</v>
      </c>
      <c r="V861" s="14">
        <v>2039</v>
      </c>
      <c r="W861" s="12">
        <v>0</v>
      </c>
      <c r="X861" s="12">
        <v>0</v>
      </c>
      <c r="Y861" s="12">
        <v>0</v>
      </c>
      <c r="Z861" s="12">
        <v>16.37</v>
      </c>
      <c r="AA861" s="12">
        <v>0</v>
      </c>
      <c r="AB861" s="13">
        <f t="shared" si="53"/>
        <v>0</v>
      </c>
      <c r="AE861" s="12">
        <v>0</v>
      </c>
      <c r="AF861" s="12">
        <v>0</v>
      </c>
      <c r="AG861" s="12">
        <v>0</v>
      </c>
      <c r="AH861" s="12">
        <v>16.37</v>
      </c>
      <c r="AI861" s="12">
        <v>0</v>
      </c>
      <c r="AJ861" s="13">
        <f t="shared" si="54"/>
        <v>0</v>
      </c>
      <c r="AN861" s="12">
        <f t="shared" si="55"/>
        <v>33379</v>
      </c>
      <c r="AQ861" s="8" t="s">
        <v>418</v>
      </c>
      <c r="AR861" t="str">
        <f t="shared" si="56"/>
        <v>Noroeste - A06</v>
      </c>
    </row>
    <row r="862" spans="1:44" x14ac:dyDescent="0.2">
      <c r="A862" s="107" t="s">
        <v>3143</v>
      </c>
      <c r="B862" s="106" t="s">
        <v>3142</v>
      </c>
      <c r="C862" s="106" t="s">
        <v>3123</v>
      </c>
      <c r="D862" s="106" t="s">
        <v>1106</v>
      </c>
      <c r="E862" s="106" t="s">
        <v>3128</v>
      </c>
      <c r="F862" s="106" t="s">
        <v>490</v>
      </c>
      <c r="G862" s="106" t="s">
        <v>3141</v>
      </c>
      <c r="H862" s="105" t="s">
        <v>3140</v>
      </c>
      <c r="I862" s="105" t="s">
        <v>3139</v>
      </c>
      <c r="J862" s="104">
        <v>4.93</v>
      </c>
      <c r="K862" s="103" t="s">
        <v>426</v>
      </c>
      <c r="L862" s="102" t="s">
        <v>533</v>
      </c>
      <c r="M862" s="95"/>
      <c r="N862" s="14"/>
      <c r="O862" s="94">
        <v>28</v>
      </c>
      <c r="P862" s="14" t="s">
        <v>485</v>
      </c>
      <c r="Q862" s="14" t="s">
        <v>497</v>
      </c>
      <c r="R862" s="14" t="s">
        <v>496</v>
      </c>
      <c r="S862" s="15">
        <v>7</v>
      </c>
      <c r="T862" s="15">
        <v>0.5</v>
      </c>
      <c r="U862" s="15">
        <v>0</v>
      </c>
      <c r="V862" s="14">
        <v>1302</v>
      </c>
      <c r="W862" s="12">
        <v>0</v>
      </c>
      <c r="X862" s="12">
        <v>0</v>
      </c>
      <c r="Y862" s="12">
        <v>0</v>
      </c>
      <c r="Z862" s="12">
        <v>4.93</v>
      </c>
      <c r="AA862" s="12">
        <v>0</v>
      </c>
      <c r="AB862" s="13">
        <f t="shared" si="53"/>
        <v>0</v>
      </c>
      <c r="AE862" s="12">
        <v>0</v>
      </c>
      <c r="AF862" s="12">
        <v>0</v>
      </c>
      <c r="AG862" s="12">
        <v>0</v>
      </c>
      <c r="AH862" s="12">
        <v>4.93</v>
      </c>
      <c r="AI862" s="12">
        <v>0</v>
      </c>
      <c r="AJ862" s="13">
        <f t="shared" si="54"/>
        <v>0</v>
      </c>
      <c r="AN862" s="12">
        <f t="shared" si="55"/>
        <v>6419</v>
      </c>
      <c r="AQ862" s="8" t="s">
        <v>418</v>
      </c>
      <c r="AR862" t="str">
        <f t="shared" si="56"/>
        <v>Noroeste - A06</v>
      </c>
    </row>
    <row r="863" spans="1:44" x14ac:dyDescent="0.2">
      <c r="A863" s="107" t="s">
        <v>3138</v>
      </c>
      <c r="B863" s="106" t="s">
        <v>3137</v>
      </c>
      <c r="C863" s="106" t="s">
        <v>3123</v>
      </c>
      <c r="D863" s="106" t="s">
        <v>592</v>
      </c>
      <c r="E863" s="106" t="s">
        <v>3136</v>
      </c>
      <c r="F863" s="106" t="s">
        <v>606</v>
      </c>
      <c r="G863" s="106" t="s">
        <v>3135</v>
      </c>
      <c r="H863" s="105" t="s">
        <v>979</v>
      </c>
      <c r="I863" s="105" t="s">
        <v>3126</v>
      </c>
      <c r="J863" s="104">
        <v>0.69</v>
      </c>
      <c r="K863" s="103" t="s">
        <v>426</v>
      </c>
      <c r="L863" s="102" t="s">
        <v>533</v>
      </c>
      <c r="M863" s="95"/>
      <c r="N863" s="14"/>
      <c r="O863" s="94">
        <v>28</v>
      </c>
      <c r="P863" s="14" t="s">
        <v>596</v>
      </c>
      <c r="Q863" s="14" t="s">
        <v>497</v>
      </c>
      <c r="R863" s="14" t="s">
        <v>496</v>
      </c>
      <c r="S863" s="15">
        <v>7</v>
      </c>
      <c r="T863" s="15">
        <v>2</v>
      </c>
      <c r="U863" s="15">
        <v>0</v>
      </c>
      <c r="V863" s="14">
        <v>1000</v>
      </c>
      <c r="W863" s="12">
        <v>0</v>
      </c>
      <c r="X863" s="12">
        <v>0</v>
      </c>
      <c r="Y863" s="12">
        <v>0</v>
      </c>
      <c r="Z863" s="12">
        <v>0.69</v>
      </c>
      <c r="AA863" s="12">
        <v>0</v>
      </c>
      <c r="AB863" s="13">
        <f t="shared" si="53"/>
        <v>0</v>
      </c>
      <c r="AE863" s="12">
        <v>0</v>
      </c>
      <c r="AF863" s="12">
        <v>0</v>
      </c>
      <c r="AG863" s="12">
        <v>0</v>
      </c>
      <c r="AH863" s="12">
        <v>0.69</v>
      </c>
      <c r="AI863" s="12">
        <v>0</v>
      </c>
      <c r="AJ863" s="13">
        <f t="shared" si="54"/>
        <v>0</v>
      </c>
      <c r="AN863" s="12">
        <f t="shared" si="55"/>
        <v>690</v>
      </c>
      <c r="AQ863" s="8" t="s">
        <v>418</v>
      </c>
      <c r="AR863" t="str">
        <f t="shared" si="56"/>
        <v>Noroeste - A06</v>
      </c>
    </row>
    <row r="864" spans="1:44" x14ac:dyDescent="0.2">
      <c r="A864" s="107" t="s">
        <v>3134</v>
      </c>
      <c r="B864" s="106" t="s">
        <v>3133</v>
      </c>
      <c r="C864" s="106" t="s">
        <v>3123</v>
      </c>
      <c r="D864" s="106" t="s">
        <v>592</v>
      </c>
      <c r="E864" s="106" t="s">
        <v>3132</v>
      </c>
      <c r="F864" s="106" t="s">
        <v>600</v>
      </c>
      <c r="G864" s="106" t="s">
        <v>3131</v>
      </c>
      <c r="H864" s="105" t="s">
        <v>979</v>
      </c>
      <c r="I864" s="105" t="s">
        <v>3126</v>
      </c>
      <c r="J864" s="104">
        <v>0.69</v>
      </c>
      <c r="K864" s="103" t="s">
        <v>426</v>
      </c>
      <c r="L864" s="102" t="s">
        <v>533</v>
      </c>
      <c r="M864" s="95"/>
      <c r="N864" s="14"/>
      <c r="O864" s="94">
        <v>28</v>
      </c>
      <c r="P864" s="14" t="s">
        <v>596</v>
      </c>
      <c r="Q864" s="14" t="s">
        <v>497</v>
      </c>
      <c r="R864" s="14" t="s">
        <v>496</v>
      </c>
      <c r="S864" s="15">
        <v>7</v>
      </c>
      <c r="T864" s="15">
        <v>2</v>
      </c>
      <c r="U864" s="15">
        <v>0</v>
      </c>
      <c r="V864" s="14">
        <v>1000</v>
      </c>
      <c r="W864" s="12">
        <v>0</v>
      </c>
      <c r="X864" s="12">
        <v>0</v>
      </c>
      <c r="Y864" s="12">
        <v>0</v>
      </c>
      <c r="Z864" s="12">
        <v>0.69</v>
      </c>
      <c r="AA864" s="12">
        <v>0</v>
      </c>
      <c r="AB864" s="13">
        <f t="shared" si="53"/>
        <v>0</v>
      </c>
      <c r="AE864" s="12">
        <v>0</v>
      </c>
      <c r="AF864" s="12">
        <v>0</v>
      </c>
      <c r="AG864" s="12">
        <v>0</v>
      </c>
      <c r="AH864" s="12">
        <v>0.69</v>
      </c>
      <c r="AI864" s="12">
        <v>0</v>
      </c>
      <c r="AJ864" s="13">
        <f t="shared" si="54"/>
        <v>0</v>
      </c>
      <c r="AN864" s="12">
        <f t="shared" si="55"/>
        <v>690</v>
      </c>
      <c r="AQ864" s="8" t="s">
        <v>418</v>
      </c>
      <c r="AR864" t="str">
        <f t="shared" si="56"/>
        <v>Noroeste - A06</v>
      </c>
    </row>
    <row r="865" spans="1:44" x14ac:dyDescent="0.2">
      <c r="A865" s="107" t="s">
        <v>3130</v>
      </c>
      <c r="B865" s="106" t="s">
        <v>3129</v>
      </c>
      <c r="C865" s="106" t="s">
        <v>3123</v>
      </c>
      <c r="D865" s="106" t="s">
        <v>1100</v>
      </c>
      <c r="E865" s="106" t="s">
        <v>3128</v>
      </c>
      <c r="F865" s="106" t="s">
        <v>490</v>
      </c>
      <c r="G865" s="106" t="s">
        <v>3127</v>
      </c>
      <c r="H865" s="105" t="s">
        <v>3126</v>
      </c>
      <c r="I865" s="105" t="s">
        <v>3120</v>
      </c>
      <c r="J865" s="104">
        <v>13.75</v>
      </c>
      <c r="K865" s="103" t="s">
        <v>426</v>
      </c>
      <c r="L865" s="102" t="s">
        <v>533</v>
      </c>
      <c r="M865" s="95"/>
      <c r="N865" s="14"/>
      <c r="O865" s="94">
        <v>28</v>
      </c>
      <c r="P865" s="14" t="s">
        <v>485</v>
      </c>
      <c r="Q865" s="14" t="s">
        <v>497</v>
      </c>
      <c r="R865" s="14" t="s">
        <v>496</v>
      </c>
      <c r="S865" s="15">
        <v>7</v>
      </c>
      <c r="T865" s="15">
        <v>0.5</v>
      </c>
      <c r="U865" s="15">
        <v>0</v>
      </c>
      <c r="V865" s="14">
        <v>1140</v>
      </c>
      <c r="W865" s="12">
        <v>0</v>
      </c>
      <c r="X865" s="12">
        <v>0</v>
      </c>
      <c r="Y865" s="12">
        <v>0</v>
      </c>
      <c r="Z865" s="12">
        <v>13.75</v>
      </c>
      <c r="AA865" s="12">
        <v>0</v>
      </c>
      <c r="AB865" s="13">
        <f t="shared" si="53"/>
        <v>0</v>
      </c>
      <c r="AE865" s="12">
        <v>0</v>
      </c>
      <c r="AF865" s="12">
        <v>0</v>
      </c>
      <c r="AG865" s="12">
        <v>0</v>
      </c>
      <c r="AH865" s="12">
        <v>13.75</v>
      </c>
      <c r="AI865" s="12">
        <v>0</v>
      </c>
      <c r="AJ865" s="13">
        <f t="shared" si="54"/>
        <v>0</v>
      </c>
      <c r="AN865" s="12">
        <f t="shared" si="55"/>
        <v>15675</v>
      </c>
      <c r="AQ865" s="8" t="s">
        <v>418</v>
      </c>
      <c r="AR865" t="str">
        <f t="shared" si="56"/>
        <v>Noroeste - A06</v>
      </c>
    </row>
    <row r="866" spans="1:44" x14ac:dyDescent="0.2">
      <c r="A866" s="107" t="s">
        <v>3125</v>
      </c>
      <c r="B866" s="106" t="s">
        <v>3124</v>
      </c>
      <c r="C866" s="106" t="s">
        <v>3123</v>
      </c>
      <c r="D866" s="106" t="s">
        <v>519</v>
      </c>
      <c r="E866" s="106" t="s">
        <v>3122</v>
      </c>
      <c r="F866" s="106" t="s">
        <v>590</v>
      </c>
      <c r="G866" s="106" t="s">
        <v>3121</v>
      </c>
      <c r="H866" s="105" t="s">
        <v>3120</v>
      </c>
      <c r="I866" s="105" t="s">
        <v>3119</v>
      </c>
      <c r="J866" s="104">
        <v>2.7</v>
      </c>
      <c r="K866" s="103" t="s">
        <v>426</v>
      </c>
      <c r="L866" s="102" t="s">
        <v>533</v>
      </c>
      <c r="M866" s="95"/>
      <c r="N866" s="14"/>
      <c r="O866" s="94">
        <v>28</v>
      </c>
      <c r="P866" s="14" t="s">
        <v>586</v>
      </c>
      <c r="Q866" s="14" t="s">
        <v>497</v>
      </c>
      <c r="R866" s="14" t="s">
        <v>496</v>
      </c>
      <c r="S866" s="15">
        <v>16</v>
      </c>
      <c r="T866" s="15">
        <v>0</v>
      </c>
      <c r="U866" s="15">
        <v>0</v>
      </c>
      <c r="V866" s="14">
        <v>495</v>
      </c>
      <c r="W866" s="12">
        <v>0</v>
      </c>
      <c r="X866" s="12">
        <v>0</v>
      </c>
      <c r="Y866" s="12">
        <v>0</v>
      </c>
      <c r="Z866" s="12">
        <v>2.7</v>
      </c>
      <c r="AA866" s="12">
        <v>0</v>
      </c>
      <c r="AB866" s="13">
        <f t="shared" si="53"/>
        <v>0</v>
      </c>
      <c r="AE866" s="12">
        <v>0</v>
      </c>
      <c r="AF866" s="12">
        <v>0</v>
      </c>
      <c r="AG866" s="12">
        <v>0</v>
      </c>
      <c r="AH866" s="12">
        <v>2.7</v>
      </c>
      <c r="AI866" s="12">
        <v>0</v>
      </c>
      <c r="AJ866" s="13">
        <f t="shared" si="54"/>
        <v>0</v>
      </c>
      <c r="AN866" s="12">
        <f t="shared" si="55"/>
        <v>1337</v>
      </c>
      <c r="AQ866" s="8" t="s">
        <v>418</v>
      </c>
      <c r="AR866" t="str">
        <f t="shared" si="56"/>
        <v>Noroeste - A06</v>
      </c>
    </row>
    <row r="867" spans="1:44" x14ac:dyDescent="0.2">
      <c r="A867" s="107" t="s">
        <v>3118</v>
      </c>
      <c r="B867" s="106" t="s">
        <v>3117</v>
      </c>
      <c r="C867" s="106" t="s">
        <v>3083</v>
      </c>
      <c r="D867" s="106" t="s">
        <v>492</v>
      </c>
      <c r="E867" s="106" t="s">
        <v>3082</v>
      </c>
      <c r="F867" s="106" t="s">
        <v>490</v>
      </c>
      <c r="G867" s="106" t="s">
        <v>3116</v>
      </c>
      <c r="H867" s="105" t="s">
        <v>579</v>
      </c>
      <c r="I867" s="105" t="s">
        <v>3112</v>
      </c>
      <c r="J867" s="104">
        <v>35.31</v>
      </c>
      <c r="K867" s="103" t="s">
        <v>427</v>
      </c>
      <c r="L867" s="102" t="s">
        <v>577</v>
      </c>
      <c r="M867" s="95"/>
      <c r="N867" s="14"/>
      <c r="O867" s="94">
        <v>12</v>
      </c>
      <c r="P867" s="14" t="s">
        <v>485</v>
      </c>
      <c r="Q867" s="14" t="s">
        <v>497</v>
      </c>
      <c r="R867" s="14" t="s">
        <v>496</v>
      </c>
      <c r="S867" s="15">
        <v>7</v>
      </c>
      <c r="T867" s="15">
        <v>1.5</v>
      </c>
      <c r="U867" s="15">
        <v>0</v>
      </c>
      <c r="V867" s="14">
        <v>347</v>
      </c>
      <c r="W867" s="12">
        <v>0</v>
      </c>
      <c r="X867" s="12">
        <v>0</v>
      </c>
      <c r="Y867" s="12">
        <v>14</v>
      </c>
      <c r="Z867" s="12">
        <v>21.310000000000002</v>
      </c>
      <c r="AA867" s="12">
        <v>0</v>
      </c>
      <c r="AB867" s="13">
        <f t="shared" si="53"/>
        <v>0</v>
      </c>
      <c r="AE867" s="12">
        <v>0</v>
      </c>
      <c r="AF867" s="12">
        <v>0</v>
      </c>
      <c r="AG867" s="12">
        <v>14</v>
      </c>
      <c r="AH867" s="12">
        <v>21.310000000000002</v>
      </c>
      <c r="AI867" s="12">
        <v>0</v>
      </c>
      <c r="AJ867" s="13">
        <f t="shared" si="54"/>
        <v>0</v>
      </c>
      <c r="AN867" s="12">
        <f t="shared" si="55"/>
        <v>12253</v>
      </c>
      <c r="AQ867" s="8" t="s">
        <v>420</v>
      </c>
      <c r="AR867" t="str">
        <f t="shared" si="56"/>
        <v>Campos Gerais - A07</v>
      </c>
    </row>
    <row r="868" spans="1:44" x14ac:dyDescent="0.2">
      <c r="A868" s="107" t="s">
        <v>3115</v>
      </c>
      <c r="B868" s="106" t="s">
        <v>3114</v>
      </c>
      <c r="C868" s="106" t="s">
        <v>3083</v>
      </c>
      <c r="D868" s="106" t="s">
        <v>519</v>
      </c>
      <c r="E868" s="106" t="s">
        <v>3082</v>
      </c>
      <c r="F868" s="106" t="s">
        <v>490</v>
      </c>
      <c r="G868" s="106" t="s">
        <v>3113</v>
      </c>
      <c r="H868" s="105" t="s">
        <v>3112</v>
      </c>
      <c r="I868" s="105" t="s">
        <v>3108</v>
      </c>
      <c r="J868" s="104">
        <v>7.73</v>
      </c>
      <c r="K868" s="103" t="s">
        <v>427</v>
      </c>
      <c r="L868" s="102" t="s">
        <v>577</v>
      </c>
      <c r="M868" s="95"/>
      <c r="N868" s="14"/>
      <c r="O868" s="94">
        <v>12</v>
      </c>
      <c r="P868" s="14" t="s">
        <v>485</v>
      </c>
      <c r="Q868" s="14" t="s">
        <v>497</v>
      </c>
      <c r="R868" s="14" t="s">
        <v>496</v>
      </c>
      <c r="S868" s="15">
        <v>7</v>
      </c>
      <c r="T868" s="15">
        <v>1.5</v>
      </c>
      <c r="U868" s="15">
        <v>0</v>
      </c>
      <c r="V868" s="14">
        <v>4665</v>
      </c>
      <c r="W868" s="12">
        <v>0</v>
      </c>
      <c r="X868" s="12">
        <v>1</v>
      </c>
      <c r="Y868" s="12">
        <v>0</v>
      </c>
      <c r="Z868" s="12">
        <v>6.73</v>
      </c>
      <c r="AA868" s="12">
        <v>0</v>
      </c>
      <c r="AB868" s="13">
        <f t="shared" si="53"/>
        <v>0</v>
      </c>
      <c r="AE868" s="12">
        <v>0</v>
      </c>
      <c r="AF868" s="12">
        <v>1</v>
      </c>
      <c r="AG868" s="12">
        <v>0</v>
      </c>
      <c r="AH868" s="12">
        <v>6.73</v>
      </c>
      <c r="AI868" s="12">
        <v>0</v>
      </c>
      <c r="AJ868" s="13">
        <f t="shared" si="54"/>
        <v>0</v>
      </c>
      <c r="AN868" s="12">
        <f t="shared" si="55"/>
        <v>36061</v>
      </c>
      <c r="AQ868" s="8" t="s">
        <v>420</v>
      </c>
      <c r="AR868" t="str">
        <f t="shared" si="56"/>
        <v>Campos Gerais - A07</v>
      </c>
    </row>
    <row r="869" spans="1:44" x14ac:dyDescent="0.2">
      <c r="A869" s="107" t="s">
        <v>3111</v>
      </c>
      <c r="B869" s="106" t="s">
        <v>3110</v>
      </c>
      <c r="C869" s="106" t="s">
        <v>3083</v>
      </c>
      <c r="D869" s="106" t="s">
        <v>513</v>
      </c>
      <c r="E869" s="106" t="s">
        <v>3082</v>
      </c>
      <c r="F869" s="106" t="s">
        <v>490</v>
      </c>
      <c r="G869" s="106" t="s">
        <v>3109</v>
      </c>
      <c r="H869" s="105" t="s">
        <v>3108</v>
      </c>
      <c r="I869" s="105" t="s">
        <v>3104</v>
      </c>
      <c r="J869" s="104">
        <v>16.57</v>
      </c>
      <c r="K869" s="103" t="s">
        <v>427</v>
      </c>
      <c r="L869" s="102" t="s">
        <v>577</v>
      </c>
      <c r="M869" s="95"/>
      <c r="N869" s="14"/>
      <c r="O869" s="94">
        <v>12</v>
      </c>
      <c r="P869" s="14" t="s">
        <v>485</v>
      </c>
      <c r="Q869" s="14" t="s">
        <v>497</v>
      </c>
      <c r="R869" s="14" t="s">
        <v>496</v>
      </c>
      <c r="S869" s="15">
        <v>7</v>
      </c>
      <c r="T869" s="15">
        <v>1.5</v>
      </c>
      <c r="U869" s="15">
        <v>0</v>
      </c>
      <c r="V869" s="14">
        <v>2930</v>
      </c>
      <c r="W869" s="12">
        <v>0</v>
      </c>
      <c r="X869" s="12">
        <v>0</v>
      </c>
      <c r="Y869" s="12">
        <v>7</v>
      </c>
      <c r="Z869" s="12">
        <v>9.57</v>
      </c>
      <c r="AA869" s="12">
        <v>0</v>
      </c>
      <c r="AB869" s="13">
        <f t="shared" si="53"/>
        <v>0</v>
      </c>
      <c r="AE869" s="12">
        <v>0</v>
      </c>
      <c r="AF869" s="12">
        <v>0</v>
      </c>
      <c r="AG869" s="12">
        <v>7</v>
      </c>
      <c r="AH869" s="12">
        <v>9.57</v>
      </c>
      <c r="AI869" s="12">
        <v>0</v>
      </c>
      <c r="AJ869" s="13">
        <f t="shared" si="54"/>
        <v>0</v>
      </c>
      <c r="AN869" s="12">
        <f t="shared" si="55"/>
        <v>48551</v>
      </c>
      <c r="AQ869" s="8" t="s">
        <v>420</v>
      </c>
      <c r="AR869" t="str">
        <f t="shared" si="56"/>
        <v>Campos Gerais - A07</v>
      </c>
    </row>
    <row r="870" spans="1:44" x14ac:dyDescent="0.2">
      <c r="A870" s="107" t="s">
        <v>3107</v>
      </c>
      <c r="B870" s="106" t="s">
        <v>3106</v>
      </c>
      <c r="C870" s="106" t="s">
        <v>3083</v>
      </c>
      <c r="D870" s="106" t="s">
        <v>981</v>
      </c>
      <c r="E870" s="106" t="s">
        <v>3082</v>
      </c>
      <c r="F870" s="106" t="s">
        <v>490</v>
      </c>
      <c r="G870" s="106" t="s">
        <v>3105</v>
      </c>
      <c r="H870" s="105" t="s">
        <v>3104</v>
      </c>
      <c r="I870" s="105" t="s">
        <v>3103</v>
      </c>
      <c r="J870" s="104">
        <v>9.64</v>
      </c>
      <c r="K870" s="103" t="s">
        <v>427</v>
      </c>
      <c r="L870" s="102" t="s">
        <v>577</v>
      </c>
      <c r="M870" s="95"/>
      <c r="N870" s="14"/>
      <c r="O870" s="94">
        <v>12</v>
      </c>
      <c r="P870" s="14" t="s">
        <v>485</v>
      </c>
      <c r="Q870" s="14" t="s">
        <v>497</v>
      </c>
      <c r="R870" s="14" t="s">
        <v>496</v>
      </c>
      <c r="S870" s="15">
        <v>7</v>
      </c>
      <c r="T870" s="15">
        <v>0</v>
      </c>
      <c r="U870" s="15">
        <v>0</v>
      </c>
      <c r="V870" s="14">
        <v>347</v>
      </c>
      <c r="W870" s="12">
        <v>0</v>
      </c>
      <c r="X870" s="12">
        <v>0</v>
      </c>
      <c r="Y870" s="12">
        <v>0</v>
      </c>
      <c r="Z870" s="12">
        <v>9.64</v>
      </c>
      <c r="AA870" s="12">
        <v>0</v>
      </c>
      <c r="AB870" s="13">
        <f t="shared" si="53"/>
        <v>0</v>
      </c>
      <c r="AE870" s="12">
        <v>0</v>
      </c>
      <c r="AF870" s="12">
        <v>0</v>
      </c>
      <c r="AG870" s="12">
        <v>0</v>
      </c>
      <c r="AH870" s="12">
        <v>9.64</v>
      </c>
      <c r="AI870" s="12">
        <v>0</v>
      </c>
      <c r="AJ870" s="13">
        <f t="shared" si="54"/>
        <v>0</v>
      </c>
      <c r="AN870" s="12">
        <f t="shared" si="55"/>
        <v>3346</v>
      </c>
      <c r="AQ870" s="8" t="s">
        <v>420</v>
      </c>
      <c r="AR870" t="str">
        <f t="shared" si="56"/>
        <v>Campos Gerais - A07</v>
      </c>
    </row>
    <row r="871" spans="1:44" x14ac:dyDescent="0.2">
      <c r="A871" s="107" t="s">
        <v>3102</v>
      </c>
      <c r="B871" s="106" t="s">
        <v>3101</v>
      </c>
      <c r="C871" s="106" t="s">
        <v>3083</v>
      </c>
      <c r="D871" s="106" t="s">
        <v>1269</v>
      </c>
      <c r="E871" s="106" t="s">
        <v>3082</v>
      </c>
      <c r="F871" s="106" t="s">
        <v>490</v>
      </c>
      <c r="G871" s="106" t="s">
        <v>3100</v>
      </c>
      <c r="H871" s="105" t="s">
        <v>3099</v>
      </c>
      <c r="I871" s="105" t="s">
        <v>3095</v>
      </c>
      <c r="J871" s="104">
        <v>3.38</v>
      </c>
      <c r="K871" s="103" t="s">
        <v>425</v>
      </c>
      <c r="L871" s="102" t="s">
        <v>507</v>
      </c>
      <c r="M871" s="95"/>
      <c r="N871" s="14"/>
      <c r="O871" s="94">
        <v>37</v>
      </c>
      <c r="P871" s="14" t="s">
        <v>485</v>
      </c>
      <c r="Q871" s="14" t="s">
        <v>497</v>
      </c>
      <c r="R871" s="14" t="s">
        <v>496</v>
      </c>
      <c r="S871" s="15">
        <v>6.7</v>
      </c>
      <c r="T871" s="15">
        <v>0</v>
      </c>
      <c r="U871" s="15">
        <v>0</v>
      </c>
      <c r="V871" s="14">
        <v>284</v>
      </c>
      <c r="W871" s="12">
        <v>0</v>
      </c>
      <c r="X871" s="12">
        <v>0</v>
      </c>
      <c r="Y871" s="12">
        <v>0</v>
      </c>
      <c r="Z871" s="12">
        <v>3.38</v>
      </c>
      <c r="AA871" s="12">
        <v>0</v>
      </c>
      <c r="AB871" s="13">
        <f t="shared" si="53"/>
        <v>0</v>
      </c>
      <c r="AE871" s="12">
        <v>0</v>
      </c>
      <c r="AF871" s="12">
        <v>0</v>
      </c>
      <c r="AG871" s="12">
        <v>0</v>
      </c>
      <c r="AH871" s="12">
        <v>3.38</v>
      </c>
      <c r="AI871" s="12">
        <v>0</v>
      </c>
      <c r="AJ871" s="13">
        <f t="shared" si="54"/>
        <v>0</v>
      </c>
      <c r="AN871" s="12">
        <f t="shared" si="55"/>
        <v>960</v>
      </c>
      <c r="AQ871" s="8" t="s">
        <v>417</v>
      </c>
      <c r="AR871" t="str">
        <f t="shared" si="56"/>
        <v>Oeste - A05</v>
      </c>
    </row>
    <row r="872" spans="1:44" x14ac:dyDescent="0.2">
      <c r="A872" s="107" t="s">
        <v>3098</v>
      </c>
      <c r="B872" s="106" t="s">
        <v>3097</v>
      </c>
      <c r="C872" s="106" t="s">
        <v>3083</v>
      </c>
      <c r="D872" s="106" t="s">
        <v>1820</v>
      </c>
      <c r="E872" s="106" t="s">
        <v>3082</v>
      </c>
      <c r="F872" s="106" t="s">
        <v>490</v>
      </c>
      <c r="G872" s="106" t="s">
        <v>3096</v>
      </c>
      <c r="H872" s="105" t="s">
        <v>3095</v>
      </c>
      <c r="I872" s="105" t="s">
        <v>3091</v>
      </c>
      <c r="J872" s="104">
        <v>7.17</v>
      </c>
      <c r="K872" s="103" t="s">
        <v>425</v>
      </c>
      <c r="L872" s="102" t="s">
        <v>507</v>
      </c>
      <c r="M872" s="95"/>
      <c r="N872" s="14"/>
      <c r="O872" s="94">
        <v>37</v>
      </c>
      <c r="P872" s="14" t="s">
        <v>485</v>
      </c>
      <c r="Q872" s="14" t="s">
        <v>497</v>
      </c>
      <c r="R872" s="14" t="s">
        <v>496</v>
      </c>
      <c r="S872" s="15">
        <v>7</v>
      </c>
      <c r="T872" s="15">
        <v>0</v>
      </c>
      <c r="U872" s="15">
        <v>0</v>
      </c>
      <c r="V872" s="14">
        <v>596</v>
      </c>
      <c r="W872" s="12">
        <v>0</v>
      </c>
      <c r="X872" s="12">
        <v>0</v>
      </c>
      <c r="Y872" s="12">
        <v>0</v>
      </c>
      <c r="Z872" s="12">
        <v>7.17</v>
      </c>
      <c r="AA872" s="12">
        <v>0</v>
      </c>
      <c r="AB872" s="13">
        <f t="shared" si="53"/>
        <v>0</v>
      </c>
      <c r="AE872" s="12">
        <v>0</v>
      </c>
      <c r="AF872" s="12">
        <v>0</v>
      </c>
      <c r="AG872" s="12">
        <v>0</v>
      </c>
      <c r="AH872" s="12">
        <v>7.17</v>
      </c>
      <c r="AI872" s="12">
        <v>0</v>
      </c>
      <c r="AJ872" s="13">
        <f t="shared" si="54"/>
        <v>0</v>
      </c>
      <c r="AN872" s="12">
        <f t="shared" si="55"/>
        <v>4274</v>
      </c>
      <c r="AQ872" s="8" t="s">
        <v>417</v>
      </c>
      <c r="AR872" t="str">
        <f t="shared" si="56"/>
        <v>Oeste - A05</v>
      </c>
    </row>
    <row r="873" spans="1:44" x14ac:dyDescent="0.2">
      <c r="A873" s="107" t="s">
        <v>3094</v>
      </c>
      <c r="B873" s="106" t="s">
        <v>3093</v>
      </c>
      <c r="C873" s="106" t="s">
        <v>3083</v>
      </c>
      <c r="D873" s="106" t="s">
        <v>1263</v>
      </c>
      <c r="E873" s="106" t="s">
        <v>3082</v>
      </c>
      <c r="F873" s="106" t="s">
        <v>490</v>
      </c>
      <c r="G873" s="106" t="s">
        <v>3092</v>
      </c>
      <c r="H873" s="105" t="s">
        <v>3091</v>
      </c>
      <c r="I873" s="105" t="s">
        <v>3086</v>
      </c>
      <c r="J873" s="104">
        <v>1.43</v>
      </c>
      <c r="K873" s="103" t="s">
        <v>425</v>
      </c>
      <c r="L873" s="102" t="s">
        <v>507</v>
      </c>
      <c r="M873" s="95"/>
      <c r="N873" s="14"/>
      <c r="O873" s="94">
        <v>37</v>
      </c>
      <c r="P873" s="14" t="s">
        <v>485</v>
      </c>
      <c r="Q873" s="14" t="s">
        <v>497</v>
      </c>
      <c r="R873" s="14" t="s">
        <v>496</v>
      </c>
      <c r="S873" s="15">
        <v>10.6</v>
      </c>
      <c r="T873" s="15">
        <v>0</v>
      </c>
      <c r="U873" s="15">
        <v>0</v>
      </c>
      <c r="V873" s="14">
        <v>1701</v>
      </c>
      <c r="W873" s="12">
        <v>0</v>
      </c>
      <c r="X873" s="12">
        <v>0</v>
      </c>
      <c r="Y873" s="12">
        <v>0</v>
      </c>
      <c r="Z873" s="12">
        <v>1.43</v>
      </c>
      <c r="AA873" s="12">
        <v>0</v>
      </c>
      <c r="AB873" s="13">
        <f t="shared" si="53"/>
        <v>0</v>
      </c>
      <c r="AE873" s="12">
        <v>0</v>
      </c>
      <c r="AF873" s="12">
        <v>0</v>
      </c>
      <c r="AG873" s="12">
        <v>0</v>
      </c>
      <c r="AH873" s="12">
        <v>1.43</v>
      </c>
      <c r="AI873" s="12">
        <v>0</v>
      </c>
      <c r="AJ873" s="13">
        <f t="shared" si="54"/>
        <v>0</v>
      </c>
      <c r="AN873" s="12">
        <f t="shared" si="55"/>
        <v>2433</v>
      </c>
      <c r="AQ873" s="8" t="s">
        <v>417</v>
      </c>
      <c r="AR873" t="str">
        <f t="shared" si="56"/>
        <v>Oeste - A05</v>
      </c>
    </row>
    <row r="874" spans="1:44" x14ac:dyDescent="0.2">
      <c r="A874" s="107" t="s">
        <v>3090</v>
      </c>
      <c r="B874" s="106" t="s">
        <v>3089</v>
      </c>
      <c r="C874" s="106" t="s">
        <v>3083</v>
      </c>
      <c r="D874" s="106" t="s">
        <v>3088</v>
      </c>
      <c r="E874" s="106" t="s">
        <v>3082</v>
      </c>
      <c r="F874" s="106" t="s">
        <v>490</v>
      </c>
      <c r="G874" s="106" t="s">
        <v>3087</v>
      </c>
      <c r="H874" s="105" t="s">
        <v>3086</v>
      </c>
      <c r="I874" s="105" t="s">
        <v>3080</v>
      </c>
      <c r="J874" s="104">
        <v>16.600000000000001</v>
      </c>
      <c r="K874" s="103" t="s">
        <v>425</v>
      </c>
      <c r="L874" s="102" t="s">
        <v>507</v>
      </c>
      <c r="M874" s="95"/>
      <c r="N874" s="14"/>
      <c r="O874" s="94">
        <v>37</v>
      </c>
      <c r="P874" s="14" t="s">
        <v>485</v>
      </c>
      <c r="Q874" s="14" t="s">
        <v>497</v>
      </c>
      <c r="R874" s="14" t="s">
        <v>496</v>
      </c>
      <c r="S874" s="15">
        <v>6.6</v>
      </c>
      <c r="T874" s="15">
        <v>0</v>
      </c>
      <c r="U874" s="15">
        <v>0</v>
      </c>
      <c r="V874" s="14">
        <v>1701</v>
      </c>
      <c r="W874" s="12">
        <v>0</v>
      </c>
      <c r="X874" s="12">
        <v>0</v>
      </c>
      <c r="Y874" s="12">
        <v>6</v>
      </c>
      <c r="Z874" s="12">
        <v>10.600000000000001</v>
      </c>
      <c r="AA874" s="12">
        <v>0</v>
      </c>
      <c r="AB874" s="13">
        <f t="shared" si="53"/>
        <v>0</v>
      </c>
      <c r="AE874" s="12">
        <v>0</v>
      </c>
      <c r="AF874" s="12">
        <v>0</v>
      </c>
      <c r="AG874" s="12">
        <v>6</v>
      </c>
      <c r="AH874" s="12">
        <v>10.600000000000001</v>
      </c>
      <c r="AI874" s="12">
        <v>0</v>
      </c>
      <c r="AJ874" s="13">
        <f t="shared" si="54"/>
        <v>0</v>
      </c>
      <c r="AN874" s="12">
        <f t="shared" si="55"/>
        <v>28237</v>
      </c>
      <c r="AQ874" s="8" t="s">
        <v>417</v>
      </c>
      <c r="AR874" t="str">
        <f t="shared" si="56"/>
        <v>Oeste - A05</v>
      </c>
    </row>
    <row r="875" spans="1:44" x14ac:dyDescent="0.2">
      <c r="A875" s="107" t="s">
        <v>3085</v>
      </c>
      <c r="B875" s="106" t="s">
        <v>3084</v>
      </c>
      <c r="C875" s="106" t="s">
        <v>3083</v>
      </c>
      <c r="D875" s="106" t="s">
        <v>2859</v>
      </c>
      <c r="E875" s="106" t="s">
        <v>3082</v>
      </c>
      <c r="F875" s="106" t="s">
        <v>490</v>
      </c>
      <c r="G875" s="106" t="s">
        <v>3081</v>
      </c>
      <c r="H875" s="105" t="s">
        <v>3080</v>
      </c>
      <c r="I875" s="105" t="s">
        <v>2358</v>
      </c>
      <c r="J875" s="104">
        <v>5.55</v>
      </c>
      <c r="K875" s="103" t="s">
        <v>425</v>
      </c>
      <c r="L875" s="102" t="s">
        <v>507</v>
      </c>
      <c r="M875" s="95"/>
      <c r="N875" s="14"/>
      <c r="O875" s="94">
        <v>37</v>
      </c>
      <c r="P875" s="14" t="s">
        <v>485</v>
      </c>
      <c r="Q875" s="14" t="s">
        <v>497</v>
      </c>
      <c r="R875" s="14" t="s">
        <v>496</v>
      </c>
      <c r="S875" s="15">
        <v>6.7</v>
      </c>
      <c r="T875" s="15">
        <v>0</v>
      </c>
      <c r="U875" s="15">
        <v>0</v>
      </c>
      <c r="V875" s="14">
        <v>66</v>
      </c>
      <c r="W875" s="12">
        <v>0</v>
      </c>
      <c r="X875" s="12">
        <v>0</v>
      </c>
      <c r="Y875" s="12">
        <v>0</v>
      </c>
      <c r="Z875" s="12">
        <v>5.55</v>
      </c>
      <c r="AA875" s="12">
        <v>0</v>
      </c>
      <c r="AB875" s="13">
        <f t="shared" si="53"/>
        <v>0</v>
      </c>
      <c r="AE875" s="12">
        <v>0</v>
      </c>
      <c r="AF875" s="12">
        <v>0</v>
      </c>
      <c r="AG875" s="12">
        <v>0</v>
      </c>
      <c r="AH875" s="12">
        <v>5.55</v>
      </c>
      <c r="AI875" s="12">
        <v>0</v>
      </c>
      <c r="AJ875" s="13">
        <f t="shared" si="54"/>
        <v>0</v>
      </c>
      <c r="AN875" s="12">
        <f t="shared" si="55"/>
        <v>367</v>
      </c>
      <c r="AQ875" s="8" t="s">
        <v>417</v>
      </c>
      <c r="AR875" t="str">
        <f t="shared" si="56"/>
        <v>Oeste - A05</v>
      </c>
    </row>
    <row r="876" spans="1:44" x14ac:dyDescent="0.2">
      <c r="A876" s="107" t="s">
        <v>3079</v>
      </c>
      <c r="B876" s="106" t="s">
        <v>3078</v>
      </c>
      <c r="C876" s="106" t="s">
        <v>3067</v>
      </c>
      <c r="D876" s="106" t="s">
        <v>492</v>
      </c>
      <c r="E876" s="106" t="s">
        <v>3066</v>
      </c>
      <c r="F876" s="106" t="s">
        <v>490</v>
      </c>
      <c r="G876" s="106" t="s">
        <v>3077</v>
      </c>
      <c r="H876" s="105" t="s">
        <v>579</v>
      </c>
      <c r="I876" s="105" t="s">
        <v>3076</v>
      </c>
      <c r="J876" s="104">
        <v>7.66</v>
      </c>
      <c r="K876" s="103" t="s">
        <v>424</v>
      </c>
      <c r="L876" s="102" t="s">
        <v>507</v>
      </c>
      <c r="M876" s="95"/>
      <c r="N876" s="14"/>
      <c r="O876" s="94">
        <v>36</v>
      </c>
      <c r="P876" s="14" t="s">
        <v>485</v>
      </c>
      <c r="Q876" s="14" t="s">
        <v>497</v>
      </c>
      <c r="R876" s="14" t="s">
        <v>496</v>
      </c>
      <c r="S876" s="15">
        <v>6.2</v>
      </c>
      <c r="T876" s="15">
        <v>0</v>
      </c>
      <c r="U876" s="15">
        <v>0</v>
      </c>
      <c r="V876" s="14">
        <v>1066</v>
      </c>
      <c r="W876" s="12">
        <v>0</v>
      </c>
      <c r="X876" s="12">
        <v>0</v>
      </c>
      <c r="Y876" s="12">
        <v>0</v>
      </c>
      <c r="Z876" s="12">
        <v>7.66</v>
      </c>
      <c r="AA876" s="12">
        <v>0</v>
      </c>
      <c r="AB876" s="13">
        <f t="shared" si="53"/>
        <v>0</v>
      </c>
      <c r="AE876" s="12">
        <v>0</v>
      </c>
      <c r="AF876" s="12">
        <v>0</v>
      </c>
      <c r="AG876" s="12">
        <v>0</v>
      </c>
      <c r="AH876" s="12">
        <v>7.66</v>
      </c>
      <c r="AI876" s="12">
        <v>0</v>
      </c>
      <c r="AJ876" s="13">
        <f t="shared" si="54"/>
        <v>0</v>
      </c>
      <c r="AN876" s="12">
        <f t="shared" si="55"/>
        <v>8166</v>
      </c>
      <c r="AQ876" s="8" t="s">
        <v>417</v>
      </c>
      <c r="AR876" t="str">
        <f t="shared" si="56"/>
        <v>Oeste - A04</v>
      </c>
    </row>
    <row r="877" spans="1:44" x14ac:dyDescent="0.2">
      <c r="A877" s="107" t="s">
        <v>3075</v>
      </c>
      <c r="B877" s="106" t="s">
        <v>3074</v>
      </c>
      <c r="C877" s="106" t="s">
        <v>3067</v>
      </c>
      <c r="D877" s="106" t="s">
        <v>3073</v>
      </c>
      <c r="E877" s="106" t="s">
        <v>3066</v>
      </c>
      <c r="F877" s="106" t="s">
        <v>490</v>
      </c>
      <c r="G877" s="106" t="s">
        <v>3072</v>
      </c>
      <c r="H877" s="105" t="s">
        <v>3071</v>
      </c>
      <c r="I877" s="105" t="s">
        <v>3070</v>
      </c>
      <c r="J877" s="104">
        <v>12.17</v>
      </c>
      <c r="K877" s="103" t="s">
        <v>424</v>
      </c>
      <c r="L877" s="102" t="s">
        <v>507</v>
      </c>
      <c r="M877" s="95"/>
      <c r="N877" s="14"/>
      <c r="O877" s="94">
        <v>36</v>
      </c>
      <c r="P877" s="14" t="s">
        <v>485</v>
      </c>
      <c r="Q877" s="14" t="s">
        <v>497</v>
      </c>
      <c r="R877" s="14" t="s">
        <v>496</v>
      </c>
      <c r="S877" s="15">
        <v>6</v>
      </c>
      <c r="T877" s="15">
        <v>0</v>
      </c>
      <c r="U877" s="15">
        <v>0</v>
      </c>
      <c r="V877" s="14">
        <v>1109</v>
      </c>
      <c r="W877" s="12">
        <v>0</v>
      </c>
      <c r="X877" s="12">
        <v>0</v>
      </c>
      <c r="Y877" s="12">
        <v>3</v>
      </c>
      <c r="Z877" s="12">
        <v>9.17</v>
      </c>
      <c r="AA877" s="12">
        <v>0</v>
      </c>
      <c r="AB877" s="13">
        <f t="shared" si="53"/>
        <v>0</v>
      </c>
      <c r="AE877" s="12">
        <v>0</v>
      </c>
      <c r="AF877" s="12">
        <v>0</v>
      </c>
      <c r="AG877" s="12">
        <v>3</v>
      </c>
      <c r="AH877" s="12">
        <v>9.17</v>
      </c>
      <c r="AI877" s="12">
        <v>0</v>
      </c>
      <c r="AJ877" s="13">
        <f t="shared" si="54"/>
        <v>0</v>
      </c>
      <c r="AN877" s="12">
        <f t="shared" si="55"/>
        <v>13497</v>
      </c>
      <c r="AQ877" s="8" t="s">
        <v>417</v>
      </c>
      <c r="AR877" t="str">
        <f t="shared" si="56"/>
        <v>Oeste - A04</v>
      </c>
    </row>
    <row r="878" spans="1:44" x14ac:dyDescent="0.2">
      <c r="A878" s="107" t="s">
        <v>3069</v>
      </c>
      <c r="B878" s="106" t="s">
        <v>3068</v>
      </c>
      <c r="C878" s="106" t="s">
        <v>3067</v>
      </c>
      <c r="D878" s="106" t="s">
        <v>519</v>
      </c>
      <c r="E878" s="106" t="s">
        <v>3066</v>
      </c>
      <c r="F878" s="106" t="s">
        <v>490</v>
      </c>
      <c r="G878" s="106" t="s">
        <v>3065</v>
      </c>
      <c r="H878" s="105" t="s">
        <v>3064</v>
      </c>
      <c r="I878" s="105" t="s">
        <v>638</v>
      </c>
      <c r="J878" s="104">
        <v>8.39</v>
      </c>
      <c r="K878" s="103" t="s">
        <v>424</v>
      </c>
      <c r="L878" s="102" t="s">
        <v>507</v>
      </c>
      <c r="M878" s="95"/>
      <c r="N878" s="14"/>
      <c r="O878" s="94">
        <v>36</v>
      </c>
      <c r="P878" s="14" t="s">
        <v>485</v>
      </c>
      <c r="Q878" s="14" t="s">
        <v>497</v>
      </c>
      <c r="R878" s="14" t="s">
        <v>496</v>
      </c>
      <c r="S878" s="15">
        <v>6</v>
      </c>
      <c r="T878" s="15">
        <v>0</v>
      </c>
      <c r="U878" s="15">
        <v>0</v>
      </c>
      <c r="V878" s="14">
        <v>830</v>
      </c>
      <c r="W878" s="12">
        <v>0</v>
      </c>
      <c r="X878" s="12">
        <v>0</v>
      </c>
      <c r="Y878" s="12">
        <v>0</v>
      </c>
      <c r="Z878" s="12">
        <v>8.39</v>
      </c>
      <c r="AA878" s="12">
        <v>0</v>
      </c>
      <c r="AB878" s="13">
        <f t="shared" si="53"/>
        <v>0</v>
      </c>
      <c r="AE878" s="12">
        <v>0</v>
      </c>
      <c r="AF878" s="12">
        <v>0</v>
      </c>
      <c r="AG878" s="12">
        <v>0</v>
      </c>
      <c r="AH878" s="12">
        <v>8.39</v>
      </c>
      <c r="AI878" s="12">
        <v>0</v>
      </c>
      <c r="AJ878" s="13">
        <f t="shared" si="54"/>
        <v>0</v>
      </c>
      <c r="AN878" s="12">
        <f t="shared" si="55"/>
        <v>6964</v>
      </c>
      <c r="AQ878" s="8" t="s">
        <v>417</v>
      </c>
      <c r="AR878" t="str">
        <f t="shared" si="56"/>
        <v>Oeste - A04</v>
      </c>
    </row>
    <row r="879" spans="1:44" x14ac:dyDescent="0.2">
      <c r="A879" s="107" t="s">
        <v>3063</v>
      </c>
      <c r="B879" s="106" t="s">
        <v>3062</v>
      </c>
      <c r="C879" s="106" t="s">
        <v>3003</v>
      </c>
      <c r="D879" s="106" t="s">
        <v>513</v>
      </c>
      <c r="E879" s="106" t="s">
        <v>3009</v>
      </c>
      <c r="F879" s="106" t="s">
        <v>490</v>
      </c>
      <c r="G879" s="106" t="s">
        <v>3061</v>
      </c>
      <c r="H879" s="105" t="s">
        <v>731</v>
      </c>
      <c r="I879" s="105" t="s">
        <v>3060</v>
      </c>
      <c r="J879" s="104">
        <v>3</v>
      </c>
      <c r="K879" s="103" t="s">
        <v>427</v>
      </c>
      <c r="L879" s="102" t="s">
        <v>577</v>
      </c>
      <c r="M879" s="95"/>
      <c r="N879" s="14"/>
      <c r="O879" s="94">
        <v>12</v>
      </c>
      <c r="P879" s="14" t="s">
        <v>485</v>
      </c>
      <c r="Q879" s="14" t="s">
        <v>497</v>
      </c>
      <c r="R879" s="14" t="s">
        <v>496</v>
      </c>
      <c r="S879" s="15">
        <v>7</v>
      </c>
      <c r="T879" s="15">
        <v>0</v>
      </c>
      <c r="U879" s="15">
        <v>0</v>
      </c>
      <c r="V879" s="14">
        <v>995</v>
      </c>
      <c r="W879" s="12">
        <v>0</v>
      </c>
      <c r="X879" s="12">
        <v>0</v>
      </c>
      <c r="Y879" s="12">
        <v>0</v>
      </c>
      <c r="Z879" s="12">
        <v>3</v>
      </c>
      <c r="AA879" s="12">
        <v>0</v>
      </c>
      <c r="AB879" s="13">
        <f t="shared" si="53"/>
        <v>0</v>
      </c>
      <c r="AE879" s="12">
        <v>0</v>
      </c>
      <c r="AF879" s="12">
        <v>0</v>
      </c>
      <c r="AG879" s="12">
        <v>0</v>
      </c>
      <c r="AH879" s="12">
        <v>3</v>
      </c>
      <c r="AI879" s="12">
        <v>0</v>
      </c>
      <c r="AJ879" s="13">
        <f t="shared" si="54"/>
        <v>0</v>
      </c>
      <c r="AN879" s="12">
        <f t="shared" si="55"/>
        <v>2985</v>
      </c>
      <c r="AQ879" s="8" t="s">
        <v>420</v>
      </c>
      <c r="AR879" t="str">
        <f t="shared" si="56"/>
        <v>Campos Gerais - A07</v>
      </c>
    </row>
    <row r="880" spans="1:44" x14ac:dyDescent="0.2">
      <c r="A880" s="107" t="s">
        <v>3059</v>
      </c>
      <c r="B880" s="106" t="s">
        <v>3058</v>
      </c>
      <c r="C880" s="106" t="s">
        <v>3003</v>
      </c>
      <c r="D880" s="106" t="s">
        <v>989</v>
      </c>
      <c r="E880" s="106" t="s">
        <v>3009</v>
      </c>
      <c r="F880" s="106" t="s">
        <v>490</v>
      </c>
      <c r="G880" s="106" t="s">
        <v>3057</v>
      </c>
      <c r="H880" s="105" t="s">
        <v>3056</v>
      </c>
      <c r="I880" s="105" t="s">
        <v>3052</v>
      </c>
      <c r="J880" s="104">
        <v>9</v>
      </c>
      <c r="K880" s="103" t="s">
        <v>427</v>
      </c>
      <c r="L880" s="102" t="s">
        <v>507</v>
      </c>
      <c r="M880" s="95"/>
      <c r="N880" s="14"/>
      <c r="O880" s="94">
        <v>39</v>
      </c>
      <c r="P880" s="14" t="s">
        <v>485</v>
      </c>
      <c r="Q880" s="14" t="s">
        <v>497</v>
      </c>
      <c r="R880" s="14" t="s">
        <v>496</v>
      </c>
      <c r="S880" s="15">
        <v>7</v>
      </c>
      <c r="T880" s="15">
        <v>0.5</v>
      </c>
      <c r="U880" s="15">
        <v>0</v>
      </c>
      <c r="V880" s="14">
        <v>348</v>
      </c>
      <c r="W880" s="12">
        <v>0</v>
      </c>
      <c r="X880" s="12">
        <v>0</v>
      </c>
      <c r="Y880" s="12">
        <v>2</v>
      </c>
      <c r="Z880" s="12">
        <v>7</v>
      </c>
      <c r="AA880" s="12">
        <v>0</v>
      </c>
      <c r="AB880" s="13">
        <f t="shared" si="53"/>
        <v>0</v>
      </c>
      <c r="AE880" s="12">
        <v>0</v>
      </c>
      <c r="AF880" s="12">
        <v>0</v>
      </c>
      <c r="AG880" s="12">
        <v>2</v>
      </c>
      <c r="AH880" s="12">
        <v>7</v>
      </c>
      <c r="AI880" s="12">
        <v>0</v>
      </c>
      <c r="AJ880" s="13">
        <f t="shared" si="54"/>
        <v>0</v>
      </c>
      <c r="AN880" s="12">
        <f t="shared" si="55"/>
        <v>3132</v>
      </c>
      <c r="AQ880" s="8" t="s">
        <v>417</v>
      </c>
      <c r="AR880" t="str">
        <f t="shared" si="56"/>
        <v>Oeste - A07</v>
      </c>
    </row>
    <row r="881" spans="1:44" x14ac:dyDescent="0.2">
      <c r="A881" s="107" t="s">
        <v>3055</v>
      </c>
      <c r="B881" s="106" t="s">
        <v>3054</v>
      </c>
      <c r="C881" s="106" t="s">
        <v>3003</v>
      </c>
      <c r="D881" s="106" t="s">
        <v>1002</v>
      </c>
      <c r="E881" s="106" t="s">
        <v>3009</v>
      </c>
      <c r="F881" s="106" t="s">
        <v>490</v>
      </c>
      <c r="G881" s="106" t="s">
        <v>3053</v>
      </c>
      <c r="H881" s="105" t="s">
        <v>3052</v>
      </c>
      <c r="I881" s="105" t="s">
        <v>3048</v>
      </c>
      <c r="J881" s="104">
        <v>16.399999999999999</v>
      </c>
      <c r="K881" s="103" t="s">
        <v>427</v>
      </c>
      <c r="L881" s="102" t="s">
        <v>507</v>
      </c>
      <c r="M881" s="95"/>
      <c r="N881" s="14"/>
      <c r="O881" s="94">
        <v>39</v>
      </c>
      <c r="P881" s="14" t="s">
        <v>485</v>
      </c>
      <c r="Q881" s="14" t="s">
        <v>497</v>
      </c>
      <c r="R881" s="14" t="s">
        <v>496</v>
      </c>
      <c r="S881" s="15">
        <v>7</v>
      </c>
      <c r="T881" s="15">
        <v>0.5</v>
      </c>
      <c r="U881" s="15">
        <v>0</v>
      </c>
      <c r="V881" s="14">
        <v>348</v>
      </c>
      <c r="W881" s="12">
        <v>0</v>
      </c>
      <c r="X881" s="12">
        <v>0</v>
      </c>
      <c r="Y881" s="12">
        <v>4</v>
      </c>
      <c r="Z881" s="12">
        <v>12.399999999999999</v>
      </c>
      <c r="AA881" s="12">
        <v>0</v>
      </c>
      <c r="AB881" s="13">
        <f t="shared" si="53"/>
        <v>0</v>
      </c>
      <c r="AE881" s="12">
        <v>0</v>
      </c>
      <c r="AF881" s="12">
        <v>0</v>
      </c>
      <c r="AG881" s="12">
        <v>4</v>
      </c>
      <c r="AH881" s="12">
        <v>12.399999999999999</v>
      </c>
      <c r="AI881" s="12">
        <v>0</v>
      </c>
      <c r="AJ881" s="13">
        <f t="shared" si="54"/>
        <v>0</v>
      </c>
      <c r="AN881" s="12">
        <f t="shared" si="55"/>
        <v>5708</v>
      </c>
      <c r="AQ881" s="8" t="s">
        <v>417</v>
      </c>
      <c r="AR881" t="str">
        <f t="shared" si="56"/>
        <v>Oeste - A07</v>
      </c>
    </row>
    <row r="882" spans="1:44" x14ac:dyDescent="0.2">
      <c r="A882" s="107" t="s">
        <v>3051</v>
      </c>
      <c r="B882" s="106" t="s">
        <v>3050</v>
      </c>
      <c r="C882" s="106" t="s">
        <v>3003</v>
      </c>
      <c r="D882" s="106" t="s">
        <v>2487</v>
      </c>
      <c r="E882" s="106" t="s">
        <v>3032</v>
      </c>
      <c r="F882" s="106" t="s">
        <v>590</v>
      </c>
      <c r="G882" s="106" t="s">
        <v>3049</v>
      </c>
      <c r="H882" s="105" t="s">
        <v>3048</v>
      </c>
      <c r="I882" s="105" t="s">
        <v>3044</v>
      </c>
      <c r="J882" s="104">
        <v>0.96</v>
      </c>
      <c r="K882" s="103" t="s">
        <v>427</v>
      </c>
      <c r="L882" s="102" t="s">
        <v>507</v>
      </c>
      <c r="M882" s="95"/>
      <c r="N882" s="14"/>
      <c r="O882" s="94">
        <v>39</v>
      </c>
      <c r="P882" s="14" t="s">
        <v>586</v>
      </c>
      <c r="Q882" s="14" t="s">
        <v>691</v>
      </c>
      <c r="R882" s="14" t="s">
        <v>496</v>
      </c>
      <c r="S882" s="15">
        <v>14.8</v>
      </c>
      <c r="T882" s="15">
        <v>0</v>
      </c>
      <c r="U882" s="15">
        <v>0</v>
      </c>
      <c r="V882" s="14">
        <v>271</v>
      </c>
      <c r="W882" s="12">
        <v>0</v>
      </c>
      <c r="X882" s="12">
        <v>0</v>
      </c>
      <c r="Y882" s="12">
        <v>0.96</v>
      </c>
      <c r="Z882" s="12">
        <v>0</v>
      </c>
      <c r="AA882" s="12">
        <v>0</v>
      </c>
      <c r="AB882" s="13">
        <f t="shared" si="53"/>
        <v>0</v>
      </c>
      <c r="AE882" s="12">
        <v>0</v>
      </c>
      <c r="AF882" s="12">
        <v>0</v>
      </c>
      <c r="AG882" s="12">
        <v>0.96</v>
      </c>
      <c r="AH882" s="12">
        <v>0</v>
      </c>
      <c r="AI882" s="12">
        <v>0</v>
      </c>
      <c r="AJ882" s="13">
        <f t="shared" si="54"/>
        <v>0</v>
      </c>
      <c r="AN882" s="12">
        <f t="shared" si="55"/>
        <v>261</v>
      </c>
      <c r="AQ882" s="8" t="s">
        <v>417</v>
      </c>
      <c r="AR882" t="str">
        <f t="shared" si="56"/>
        <v>Oeste - A07</v>
      </c>
    </row>
    <row r="883" spans="1:44" x14ac:dyDescent="0.2">
      <c r="A883" s="107" t="s">
        <v>3047</v>
      </c>
      <c r="B883" s="106" t="s">
        <v>3046</v>
      </c>
      <c r="C883" s="106" t="s">
        <v>3003</v>
      </c>
      <c r="D883" s="106" t="s">
        <v>981</v>
      </c>
      <c r="E883" s="106" t="s">
        <v>3009</v>
      </c>
      <c r="F883" s="106" t="s">
        <v>490</v>
      </c>
      <c r="G883" s="106" t="s">
        <v>3045</v>
      </c>
      <c r="H883" s="105" t="s">
        <v>3044</v>
      </c>
      <c r="I883" s="105" t="s">
        <v>679</v>
      </c>
      <c r="J883" s="104">
        <v>3.2</v>
      </c>
      <c r="K883" s="103" t="s">
        <v>427</v>
      </c>
      <c r="L883" s="102" t="s">
        <v>507</v>
      </c>
      <c r="M883" s="95"/>
      <c r="N883" s="14"/>
      <c r="O883" s="94">
        <v>39</v>
      </c>
      <c r="P883" s="14" t="s">
        <v>485</v>
      </c>
      <c r="Q883" s="14" t="s">
        <v>497</v>
      </c>
      <c r="R883" s="14" t="s">
        <v>496</v>
      </c>
      <c r="S883" s="15">
        <v>6.8</v>
      </c>
      <c r="T883" s="15">
        <v>1</v>
      </c>
      <c r="U883" s="15">
        <v>0</v>
      </c>
      <c r="V883" s="14">
        <v>1570</v>
      </c>
      <c r="W883" s="12">
        <v>0</v>
      </c>
      <c r="X883" s="12">
        <v>0</v>
      </c>
      <c r="Y883" s="12">
        <v>0</v>
      </c>
      <c r="Z883" s="12">
        <v>3.2</v>
      </c>
      <c r="AA883" s="12">
        <v>0</v>
      </c>
      <c r="AB883" s="13">
        <f t="shared" si="53"/>
        <v>0</v>
      </c>
      <c r="AE883" s="12">
        <v>0</v>
      </c>
      <c r="AF883" s="12">
        <v>0</v>
      </c>
      <c r="AG883" s="12">
        <v>0</v>
      </c>
      <c r="AH883" s="12">
        <v>3.2</v>
      </c>
      <c r="AI883" s="12">
        <v>0</v>
      </c>
      <c r="AJ883" s="13">
        <f t="shared" si="54"/>
        <v>0</v>
      </c>
      <c r="AN883" s="12">
        <f t="shared" si="55"/>
        <v>5024</v>
      </c>
      <c r="AQ883" s="8" t="s">
        <v>417</v>
      </c>
      <c r="AR883" t="str">
        <f t="shared" si="56"/>
        <v>Oeste - A07</v>
      </c>
    </row>
    <row r="884" spans="1:44" x14ac:dyDescent="0.2">
      <c r="A884" s="107" t="s">
        <v>3043</v>
      </c>
      <c r="B884" s="106" t="s">
        <v>3042</v>
      </c>
      <c r="C884" s="106" t="s">
        <v>3003</v>
      </c>
      <c r="D884" s="106" t="s">
        <v>965</v>
      </c>
      <c r="E884" s="106" t="s">
        <v>3009</v>
      </c>
      <c r="F884" s="106" t="s">
        <v>490</v>
      </c>
      <c r="G884" s="106" t="s">
        <v>3041</v>
      </c>
      <c r="H884" s="105" t="s">
        <v>3040</v>
      </c>
      <c r="I884" s="105" t="s">
        <v>3036</v>
      </c>
      <c r="J884" s="104">
        <v>8.36</v>
      </c>
      <c r="K884" s="103" t="s">
        <v>427</v>
      </c>
      <c r="L884" s="102" t="s">
        <v>507</v>
      </c>
      <c r="M884" s="95"/>
      <c r="N884" s="14"/>
      <c r="O884" s="94">
        <v>39</v>
      </c>
      <c r="P884" s="14" t="s">
        <v>485</v>
      </c>
      <c r="Q884" s="14" t="s">
        <v>691</v>
      </c>
      <c r="R884" s="14" t="s">
        <v>496</v>
      </c>
      <c r="S884" s="15">
        <v>6.5</v>
      </c>
      <c r="T884" s="15">
        <v>0</v>
      </c>
      <c r="U884" s="15">
        <v>0</v>
      </c>
      <c r="V884" s="14">
        <v>348</v>
      </c>
      <c r="W884" s="12">
        <v>0</v>
      </c>
      <c r="X884" s="12">
        <v>0</v>
      </c>
      <c r="Y884" s="12">
        <v>1</v>
      </c>
      <c r="Z884" s="12">
        <v>7.3599999999999994</v>
      </c>
      <c r="AA884" s="12">
        <v>0</v>
      </c>
      <c r="AB884" s="13">
        <f t="shared" si="53"/>
        <v>0</v>
      </c>
      <c r="AE884" s="12">
        <v>0</v>
      </c>
      <c r="AF884" s="12">
        <v>0</v>
      </c>
      <c r="AG884" s="12">
        <v>1</v>
      </c>
      <c r="AH884" s="12">
        <v>7.3599999999999994</v>
      </c>
      <c r="AI884" s="12">
        <v>0</v>
      </c>
      <c r="AJ884" s="13">
        <f t="shared" si="54"/>
        <v>0</v>
      </c>
      <c r="AN884" s="12">
        <f t="shared" si="55"/>
        <v>2910</v>
      </c>
      <c r="AQ884" s="8" t="s">
        <v>417</v>
      </c>
      <c r="AR884" t="str">
        <f t="shared" si="56"/>
        <v>Oeste - A07</v>
      </c>
    </row>
    <row r="885" spans="1:44" x14ac:dyDescent="0.2">
      <c r="A885" s="107" t="s">
        <v>3039</v>
      </c>
      <c r="B885" s="106" t="s">
        <v>3038</v>
      </c>
      <c r="C885" s="106" t="s">
        <v>3003</v>
      </c>
      <c r="D885" s="106" t="s">
        <v>2152</v>
      </c>
      <c r="E885" s="106" t="s">
        <v>3009</v>
      </c>
      <c r="F885" s="106" t="s">
        <v>490</v>
      </c>
      <c r="G885" s="106" t="s">
        <v>3037</v>
      </c>
      <c r="H885" s="105" t="s">
        <v>3036</v>
      </c>
      <c r="I885" s="105" t="s">
        <v>2370</v>
      </c>
      <c r="J885" s="104">
        <v>7.19</v>
      </c>
      <c r="K885" s="103" t="s">
        <v>427</v>
      </c>
      <c r="L885" s="102" t="s">
        <v>507</v>
      </c>
      <c r="M885" s="95"/>
      <c r="N885" s="14"/>
      <c r="O885" s="94">
        <v>39</v>
      </c>
      <c r="P885" s="14" t="s">
        <v>485</v>
      </c>
      <c r="Q885" s="14" t="s">
        <v>691</v>
      </c>
      <c r="R885" s="14" t="s">
        <v>496</v>
      </c>
      <c r="S885" s="15">
        <v>6.5</v>
      </c>
      <c r="T885" s="15">
        <v>0</v>
      </c>
      <c r="U885" s="15">
        <v>0</v>
      </c>
      <c r="V885" s="14">
        <v>348</v>
      </c>
      <c r="W885" s="12">
        <v>0</v>
      </c>
      <c r="X885" s="12">
        <v>0</v>
      </c>
      <c r="Y885" s="12">
        <v>0</v>
      </c>
      <c r="Z885" s="12">
        <v>7.19</v>
      </c>
      <c r="AA885" s="12">
        <v>0</v>
      </c>
      <c r="AB885" s="13">
        <f t="shared" si="53"/>
        <v>0</v>
      </c>
      <c r="AE885" s="12">
        <v>0</v>
      </c>
      <c r="AF885" s="12">
        <v>0</v>
      </c>
      <c r="AG885" s="12">
        <v>0</v>
      </c>
      <c r="AH885" s="12">
        <v>7.19</v>
      </c>
      <c r="AI885" s="12">
        <v>0</v>
      </c>
      <c r="AJ885" s="13">
        <f t="shared" si="54"/>
        <v>0</v>
      </c>
      <c r="AN885" s="12">
        <f t="shared" si="55"/>
        <v>2503</v>
      </c>
      <c r="AQ885" s="8" t="s">
        <v>417</v>
      </c>
      <c r="AR885" t="str">
        <f t="shared" si="56"/>
        <v>Oeste - A07</v>
      </c>
    </row>
    <row r="886" spans="1:44" x14ac:dyDescent="0.2">
      <c r="A886" s="107" t="s">
        <v>3035</v>
      </c>
      <c r="B886" s="106" t="s">
        <v>3034</v>
      </c>
      <c r="C886" s="106" t="s">
        <v>3003</v>
      </c>
      <c r="D886" s="106" t="s">
        <v>3033</v>
      </c>
      <c r="E886" s="106" t="s">
        <v>3032</v>
      </c>
      <c r="F886" s="106" t="s">
        <v>590</v>
      </c>
      <c r="G886" s="106" t="s">
        <v>3031</v>
      </c>
      <c r="H886" s="105" t="s">
        <v>2370</v>
      </c>
      <c r="I886" s="105" t="s">
        <v>2359</v>
      </c>
      <c r="J886" s="104">
        <v>0.56000000000000005</v>
      </c>
      <c r="K886" s="103" t="s">
        <v>427</v>
      </c>
      <c r="L886" s="102" t="s">
        <v>507</v>
      </c>
      <c r="M886" s="95"/>
      <c r="N886" s="14"/>
      <c r="O886" s="94">
        <v>39</v>
      </c>
      <c r="P886" s="14" t="s">
        <v>586</v>
      </c>
      <c r="Q886" s="14" t="s">
        <v>691</v>
      </c>
      <c r="R886" s="14" t="s">
        <v>496</v>
      </c>
      <c r="S886" s="15">
        <v>7</v>
      </c>
      <c r="T886" s="15">
        <v>2.4</v>
      </c>
      <c r="U886" s="15">
        <v>0</v>
      </c>
      <c r="V886" s="14">
        <v>271</v>
      </c>
      <c r="W886" s="12">
        <v>0</v>
      </c>
      <c r="X886" s="12">
        <v>0</v>
      </c>
      <c r="Y886" s="12">
        <v>0</v>
      </c>
      <c r="Z886" s="12">
        <v>0.56000000000000005</v>
      </c>
      <c r="AA886" s="12">
        <v>0</v>
      </c>
      <c r="AB886" s="13">
        <f t="shared" si="53"/>
        <v>0</v>
      </c>
      <c r="AE886" s="12">
        <v>0</v>
      </c>
      <c r="AF886" s="12">
        <v>0</v>
      </c>
      <c r="AG886" s="12">
        <v>0</v>
      </c>
      <c r="AH886" s="12">
        <v>0.56000000000000005</v>
      </c>
      <c r="AI886" s="12">
        <v>0</v>
      </c>
      <c r="AJ886" s="13">
        <f t="shared" si="54"/>
        <v>0</v>
      </c>
      <c r="AN886" s="12">
        <f t="shared" si="55"/>
        <v>152</v>
      </c>
      <c r="AQ886" s="8" t="s">
        <v>417</v>
      </c>
      <c r="AR886" t="str">
        <f t="shared" si="56"/>
        <v>Oeste - A07</v>
      </c>
    </row>
    <row r="887" spans="1:44" x14ac:dyDescent="0.2">
      <c r="A887" s="107" t="s">
        <v>3030</v>
      </c>
      <c r="B887" s="106" t="s">
        <v>3029</v>
      </c>
      <c r="C887" s="106" t="s">
        <v>3003</v>
      </c>
      <c r="D887" s="106" t="s">
        <v>2145</v>
      </c>
      <c r="E887" s="106" t="s">
        <v>3009</v>
      </c>
      <c r="F887" s="106" t="s">
        <v>490</v>
      </c>
      <c r="G887" s="106" t="s">
        <v>3028</v>
      </c>
      <c r="H887" s="105" t="s">
        <v>2359</v>
      </c>
      <c r="I887" s="105" t="s">
        <v>3023</v>
      </c>
      <c r="J887" s="104">
        <v>13.37</v>
      </c>
      <c r="K887" s="103" t="s">
        <v>427</v>
      </c>
      <c r="L887" s="102" t="s">
        <v>507</v>
      </c>
      <c r="M887" s="95"/>
      <c r="N887" s="14"/>
      <c r="O887" s="94">
        <v>39</v>
      </c>
      <c r="P887" s="14" t="s">
        <v>485</v>
      </c>
      <c r="Q887" s="14" t="s">
        <v>497</v>
      </c>
      <c r="R887" s="14" t="s">
        <v>496</v>
      </c>
      <c r="S887" s="15">
        <v>6.8</v>
      </c>
      <c r="T887" s="15">
        <v>0</v>
      </c>
      <c r="U887" s="15">
        <v>0</v>
      </c>
      <c r="V887" s="14">
        <v>348</v>
      </c>
      <c r="W887" s="12">
        <v>0</v>
      </c>
      <c r="X887" s="12">
        <v>0</v>
      </c>
      <c r="Y887" s="12">
        <v>4</v>
      </c>
      <c r="Z887" s="12">
        <v>9.3699999999999992</v>
      </c>
      <c r="AA887" s="12">
        <v>0</v>
      </c>
      <c r="AB887" s="13">
        <f t="shared" si="53"/>
        <v>0</v>
      </c>
      <c r="AE887" s="12">
        <v>0</v>
      </c>
      <c r="AF887" s="12">
        <v>0</v>
      </c>
      <c r="AG887" s="12">
        <v>4</v>
      </c>
      <c r="AH887" s="12">
        <v>9.3699999999999992</v>
      </c>
      <c r="AI887" s="12">
        <v>0</v>
      </c>
      <c r="AJ887" s="13">
        <f t="shared" si="54"/>
        <v>0</v>
      </c>
      <c r="AN887" s="12">
        <f t="shared" si="55"/>
        <v>4653</v>
      </c>
      <c r="AQ887" s="8" t="s">
        <v>417</v>
      </c>
      <c r="AR887" t="str">
        <f t="shared" si="56"/>
        <v>Oeste - A07</v>
      </c>
    </row>
    <row r="888" spans="1:44" x14ac:dyDescent="0.2">
      <c r="A888" s="107" t="s">
        <v>3027</v>
      </c>
      <c r="B888" s="106" t="s">
        <v>3026</v>
      </c>
      <c r="C888" s="106" t="s">
        <v>3003</v>
      </c>
      <c r="D888" s="106" t="s">
        <v>3025</v>
      </c>
      <c r="E888" s="106" t="s">
        <v>3009</v>
      </c>
      <c r="F888" s="106" t="s">
        <v>490</v>
      </c>
      <c r="G888" s="106" t="s">
        <v>3024</v>
      </c>
      <c r="H888" s="105" t="s">
        <v>3023</v>
      </c>
      <c r="I888" s="105" t="s">
        <v>3013</v>
      </c>
      <c r="J888" s="104">
        <v>3.8</v>
      </c>
      <c r="K888" s="103" t="s">
        <v>425</v>
      </c>
      <c r="L888" s="102" t="s">
        <v>507</v>
      </c>
      <c r="M888" s="95"/>
      <c r="N888" s="14"/>
      <c r="O888" s="94">
        <v>37</v>
      </c>
      <c r="P888" s="14" t="s">
        <v>485</v>
      </c>
      <c r="Q888" s="14" t="s">
        <v>497</v>
      </c>
      <c r="R888" s="14" t="s">
        <v>496</v>
      </c>
      <c r="S888" s="15">
        <v>7.15</v>
      </c>
      <c r="T888" s="15">
        <v>0</v>
      </c>
      <c r="U888" s="15">
        <v>0</v>
      </c>
      <c r="V888" s="14">
        <v>318</v>
      </c>
      <c r="W888" s="12">
        <v>0</v>
      </c>
      <c r="X888" s="12">
        <v>0</v>
      </c>
      <c r="Y888" s="12">
        <v>0</v>
      </c>
      <c r="Z888" s="12">
        <v>3.8</v>
      </c>
      <c r="AA888" s="12">
        <v>0</v>
      </c>
      <c r="AB888" s="13">
        <f t="shared" si="53"/>
        <v>0</v>
      </c>
      <c r="AE888" s="12">
        <v>0</v>
      </c>
      <c r="AF888" s="12">
        <v>0</v>
      </c>
      <c r="AG888" s="12">
        <v>0</v>
      </c>
      <c r="AH888" s="12">
        <v>3.8</v>
      </c>
      <c r="AI888" s="12">
        <v>0</v>
      </c>
      <c r="AJ888" s="13">
        <f t="shared" si="54"/>
        <v>0</v>
      </c>
      <c r="AN888" s="12">
        <f t="shared" si="55"/>
        <v>1209</v>
      </c>
      <c r="AQ888" s="8" t="s">
        <v>417</v>
      </c>
      <c r="AR888" t="str">
        <f t="shared" si="56"/>
        <v>Oeste - A05</v>
      </c>
    </row>
    <row r="889" spans="1:44" x14ac:dyDescent="0.2">
      <c r="A889" s="107" t="s">
        <v>3022</v>
      </c>
      <c r="B889" s="106" t="s">
        <v>3021</v>
      </c>
      <c r="C889" s="106" t="s">
        <v>3003</v>
      </c>
      <c r="D889" s="106" t="s">
        <v>3016</v>
      </c>
      <c r="E889" s="106" t="s">
        <v>3020</v>
      </c>
      <c r="F889" s="106" t="s">
        <v>606</v>
      </c>
      <c r="G889" s="106" t="s">
        <v>3019</v>
      </c>
      <c r="H889" s="105" t="s">
        <v>3013</v>
      </c>
      <c r="I889" s="105" t="s">
        <v>1483</v>
      </c>
      <c r="J889" s="104">
        <v>1.01</v>
      </c>
      <c r="K889" s="103" t="s">
        <v>425</v>
      </c>
      <c r="L889" s="102" t="s">
        <v>507</v>
      </c>
      <c r="M889" s="95"/>
      <c r="N889" s="14"/>
      <c r="O889" s="94">
        <v>37</v>
      </c>
      <c r="P889" s="14" t="s">
        <v>596</v>
      </c>
      <c r="Q889" s="14" t="s">
        <v>497</v>
      </c>
      <c r="R889" s="14" t="s">
        <v>496</v>
      </c>
      <c r="S889" s="15">
        <v>4.1500000000000004</v>
      </c>
      <c r="T889" s="15">
        <v>0</v>
      </c>
      <c r="U889" s="15">
        <v>0</v>
      </c>
      <c r="V889" s="14">
        <v>248</v>
      </c>
      <c r="W889" s="12">
        <v>0</v>
      </c>
      <c r="X889" s="12">
        <v>0</v>
      </c>
      <c r="Y889" s="12">
        <v>0</v>
      </c>
      <c r="Z889" s="12">
        <v>1.01</v>
      </c>
      <c r="AA889" s="12">
        <v>0</v>
      </c>
      <c r="AB889" s="13">
        <f t="shared" si="53"/>
        <v>0</v>
      </c>
      <c r="AE889" s="12">
        <v>0</v>
      </c>
      <c r="AF889" s="12">
        <v>0</v>
      </c>
      <c r="AG889" s="12">
        <v>0</v>
      </c>
      <c r="AH889" s="12">
        <v>1.01</v>
      </c>
      <c r="AI889" s="12">
        <v>0</v>
      </c>
      <c r="AJ889" s="13">
        <f t="shared" si="54"/>
        <v>0</v>
      </c>
      <c r="AN889" s="12">
        <f t="shared" si="55"/>
        <v>251</v>
      </c>
      <c r="AQ889" s="8" t="s">
        <v>417</v>
      </c>
      <c r="AR889" t="str">
        <f t="shared" si="56"/>
        <v>Oeste - A05</v>
      </c>
    </row>
    <row r="890" spans="1:44" x14ac:dyDescent="0.2">
      <c r="A890" s="107" t="s">
        <v>3018</v>
      </c>
      <c r="B890" s="106" t="s">
        <v>3017</v>
      </c>
      <c r="C890" s="106" t="s">
        <v>3003</v>
      </c>
      <c r="D890" s="106" t="s">
        <v>3016</v>
      </c>
      <c r="E890" s="106" t="s">
        <v>3015</v>
      </c>
      <c r="F890" s="106" t="s">
        <v>600</v>
      </c>
      <c r="G890" s="106" t="s">
        <v>3014</v>
      </c>
      <c r="H890" s="105" t="s">
        <v>3013</v>
      </c>
      <c r="I890" s="105" t="s">
        <v>1483</v>
      </c>
      <c r="J890" s="104">
        <v>1.01</v>
      </c>
      <c r="K890" s="103" t="s">
        <v>425</v>
      </c>
      <c r="L890" s="102" t="s">
        <v>507</v>
      </c>
      <c r="M890" s="95"/>
      <c r="N890" s="14"/>
      <c r="O890" s="94">
        <v>37</v>
      </c>
      <c r="P890" s="14" t="s">
        <v>596</v>
      </c>
      <c r="Q890" s="14" t="s">
        <v>497</v>
      </c>
      <c r="R890" s="14" t="s">
        <v>496</v>
      </c>
      <c r="S890" s="15">
        <v>4.1500000000000004</v>
      </c>
      <c r="T890" s="15">
        <v>0</v>
      </c>
      <c r="U890" s="15">
        <v>0</v>
      </c>
      <c r="V890" s="14">
        <v>248</v>
      </c>
      <c r="W890" s="12">
        <v>0</v>
      </c>
      <c r="X890" s="12">
        <v>0</v>
      </c>
      <c r="Y890" s="12">
        <v>0</v>
      </c>
      <c r="Z890" s="12">
        <v>1.01</v>
      </c>
      <c r="AA890" s="12">
        <v>0</v>
      </c>
      <c r="AB890" s="13">
        <f t="shared" si="53"/>
        <v>0</v>
      </c>
      <c r="AE890" s="12">
        <v>0</v>
      </c>
      <c r="AF890" s="12">
        <v>0</v>
      </c>
      <c r="AG890" s="12">
        <v>0</v>
      </c>
      <c r="AH890" s="12">
        <v>1.01</v>
      </c>
      <c r="AI890" s="12">
        <v>0</v>
      </c>
      <c r="AJ890" s="13">
        <f t="shared" si="54"/>
        <v>0</v>
      </c>
      <c r="AN890" s="12">
        <f t="shared" si="55"/>
        <v>251</v>
      </c>
      <c r="AQ890" s="8" t="s">
        <v>417</v>
      </c>
      <c r="AR890" t="str">
        <f t="shared" si="56"/>
        <v>Oeste - A05</v>
      </c>
    </row>
    <row r="891" spans="1:44" x14ac:dyDescent="0.2">
      <c r="A891" s="107" t="s">
        <v>3012</v>
      </c>
      <c r="B891" s="106" t="s">
        <v>3011</v>
      </c>
      <c r="C891" s="106" t="s">
        <v>3003</v>
      </c>
      <c r="D891" s="106" t="s">
        <v>3010</v>
      </c>
      <c r="E891" s="106" t="s">
        <v>3009</v>
      </c>
      <c r="F891" s="106" t="s">
        <v>490</v>
      </c>
      <c r="G891" s="106" t="s">
        <v>3008</v>
      </c>
      <c r="H891" s="105" t="s">
        <v>3007</v>
      </c>
      <c r="I891" s="105" t="s">
        <v>3006</v>
      </c>
      <c r="J891" s="104">
        <v>8.15</v>
      </c>
      <c r="K891" s="103" t="s">
        <v>425</v>
      </c>
      <c r="L891" s="102" t="s">
        <v>507</v>
      </c>
      <c r="M891" s="95"/>
      <c r="N891" s="14"/>
      <c r="O891" s="94">
        <v>37</v>
      </c>
      <c r="P891" s="14" t="s">
        <v>485</v>
      </c>
      <c r="Q891" s="14" t="s">
        <v>497</v>
      </c>
      <c r="R891" s="14" t="s">
        <v>496</v>
      </c>
      <c r="S891" s="15">
        <v>7.2</v>
      </c>
      <c r="T891" s="15">
        <v>0</v>
      </c>
      <c r="U891" s="15">
        <v>0</v>
      </c>
      <c r="V891" s="14">
        <v>318</v>
      </c>
      <c r="W891" s="12">
        <v>0</v>
      </c>
      <c r="X891" s="12">
        <v>0</v>
      </c>
      <c r="Y891" s="12">
        <v>0</v>
      </c>
      <c r="Z891" s="12">
        <v>8.15</v>
      </c>
      <c r="AA891" s="12">
        <v>0</v>
      </c>
      <c r="AB891" s="13">
        <f t="shared" si="53"/>
        <v>0</v>
      </c>
      <c r="AE891" s="12">
        <v>0</v>
      </c>
      <c r="AF891" s="12">
        <v>0</v>
      </c>
      <c r="AG891" s="12">
        <v>0</v>
      </c>
      <c r="AH891" s="12">
        <v>8.15</v>
      </c>
      <c r="AI891" s="12">
        <v>0</v>
      </c>
      <c r="AJ891" s="13">
        <f t="shared" si="54"/>
        <v>0</v>
      </c>
      <c r="AN891" s="12">
        <f t="shared" si="55"/>
        <v>2592</v>
      </c>
      <c r="AQ891" s="8" t="s">
        <v>417</v>
      </c>
      <c r="AR891" t="str">
        <f t="shared" si="56"/>
        <v>Oeste - A05</v>
      </c>
    </row>
    <row r="892" spans="1:44" x14ac:dyDescent="0.2">
      <c r="A892" s="107" t="s">
        <v>3005</v>
      </c>
      <c r="B892" s="106" t="s">
        <v>3004</v>
      </c>
      <c r="C892" s="106" t="s">
        <v>3003</v>
      </c>
      <c r="D892" s="106" t="s">
        <v>2682</v>
      </c>
      <c r="E892" s="106" t="s">
        <v>3002</v>
      </c>
      <c r="F892" s="106" t="s">
        <v>511</v>
      </c>
      <c r="G892" s="106" t="s">
        <v>3001</v>
      </c>
      <c r="H892" s="105" t="s">
        <v>3000</v>
      </c>
      <c r="I892" s="105" t="s">
        <v>2999</v>
      </c>
      <c r="J892" s="104">
        <v>5.7</v>
      </c>
      <c r="K892" s="103" t="s">
        <v>425</v>
      </c>
      <c r="L892" s="102" t="s">
        <v>507</v>
      </c>
      <c r="M892" s="95"/>
      <c r="N892" s="14"/>
      <c r="O892" s="94">
        <v>37</v>
      </c>
      <c r="P892" s="14" t="s">
        <v>506</v>
      </c>
      <c r="Q892" s="14" t="s">
        <v>497</v>
      </c>
      <c r="R892" s="14" t="s">
        <v>496</v>
      </c>
      <c r="S892" s="15">
        <v>7.2</v>
      </c>
      <c r="T892" s="15">
        <v>2</v>
      </c>
      <c r="U892" s="15">
        <v>0</v>
      </c>
      <c r="V892" s="14">
        <v>318</v>
      </c>
      <c r="W892" s="12">
        <v>0</v>
      </c>
      <c r="X892" s="12">
        <v>0</v>
      </c>
      <c r="Y892" s="12">
        <v>0</v>
      </c>
      <c r="Z892" s="12">
        <v>5.7</v>
      </c>
      <c r="AA892" s="12">
        <v>0</v>
      </c>
      <c r="AB892" s="13">
        <f t="shared" si="53"/>
        <v>0</v>
      </c>
      <c r="AE892" s="12">
        <v>0</v>
      </c>
      <c r="AF892" s="12">
        <v>0</v>
      </c>
      <c r="AG892" s="12">
        <v>0</v>
      </c>
      <c r="AH892" s="12">
        <v>5.7</v>
      </c>
      <c r="AI892" s="12">
        <v>0</v>
      </c>
      <c r="AJ892" s="13">
        <f t="shared" si="54"/>
        <v>0</v>
      </c>
      <c r="AN892" s="12">
        <f t="shared" si="55"/>
        <v>1813</v>
      </c>
      <c r="AQ892" s="8" t="s">
        <v>417</v>
      </c>
      <c r="AR892" t="str">
        <f t="shared" si="56"/>
        <v>Oeste - A05</v>
      </c>
    </row>
    <row r="893" spans="1:44" x14ac:dyDescent="0.2">
      <c r="A893" s="107" t="s">
        <v>2998</v>
      </c>
      <c r="B893" s="106" t="s">
        <v>2997</v>
      </c>
      <c r="C893" s="106" t="s">
        <v>2986</v>
      </c>
      <c r="D893" s="106" t="s">
        <v>2996</v>
      </c>
      <c r="E893" s="106" t="s">
        <v>2985</v>
      </c>
      <c r="F893" s="106" t="s">
        <v>490</v>
      </c>
      <c r="G893" s="106" t="s">
        <v>2995</v>
      </c>
      <c r="H893" s="105" t="s">
        <v>2994</v>
      </c>
      <c r="I893" s="105" t="s">
        <v>2989</v>
      </c>
      <c r="J893" s="104">
        <v>2.15</v>
      </c>
      <c r="K893" s="103" t="s">
        <v>425</v>
      </c>
      <c r="L893" s="102" t="s">
        <v>801</v>
      </c>
      <c r="M893" s="95"/>
      <c r="N893" s="14"/>
      <c r="O893" s="94">
        <v>5</v>
      </c>
      <c r="P893" s="14" t="s">
        <v>485</v>
      </c>
      <c r="Q893" s="14" t="s">
        <v>872</v>
      </c>
      <c r="R893" s="14" t="s">
        <v>496</v>
      </c>
      <c r="S893" s="15">
        <v>7.86</v>
      </c>
      <c r="T893" s="15">
        <v>0.7699999999999998</v>
      </c>
      <c r="U893" s="15">
        <v>0</v>
      </c>
      <c r="V893" s="14">
        <v>3930</v>
      </c>
      <c r="W893" s="12">
        <v>0</v>
      </c>
      <c r="X893" s="12">
        <v>0</v>
      </c>
      <c r="Y893" s="12">
        <v>0</v>
      </c>
      <c r="Z893" s="12">
        <v>2.15</v>
      </c>
      <c r="AA893" s="12">
        <v>0</v>
      </c>
      <c r="AB893" s="13">
        <f t="shared" si="53"/>
        <v>0</v>
      </c>
      <c r="AE893" s="12">
        <v>0</v>
      </c>
      <c r="AF893" s="12">
        <v>0</v>
      </c>
      <c r="AG893" s="12">
        <v>0</v>
      </c>
      <c r="AH893" s="12">
        <v>2.15</v>
      </c>
      <c r="AI893" s="12">
        <v>0</v>
      </c>
      <c r="AJ893" s="13">
        <f t="shared" si="54"/>
        <v>0</v>
      </c>
      <c r="AN893" s="12">
        <f t="shared" si="55"/>
        <v>8450</v>
      </c>
      <c r="AQ893" s="8" t="s">
        <v>416</v>
      </c>
      <c r="AR893" t="str">
        <f t="shared" si="56"/>
        <v>Leste - A05</v>
      </c>
    </row>
    <row r="894" spans="1:44" x14ac:dyDescent="0.2">
      <c r="A894" s="107" t="s">
        <v>2993</v>
      </c>
      <c r="B894" s="106" t="s">
        <v>2992</v>
      </c>
      <c r="C894" s="106" t="s">
        <v>2986</v>
      </c>
      <c r="D894" s="106" t="s">
        <v>2991</v>
      </c>
      <c r="E894" s="106" t="s">
        <v>2985</v>
      </c>
      <c r="F894" s="106" t="s">
        <v>490</v>
      </c>
      <c r="G894" s="106" t="s">
        <v>2990</v>
      </c>
      <c r="H894" s="105" t="s">
        <v>2989</v>
      </c>
      <c r="I894" s="105" t="s">
        <v>2983</v>
      </c>
      <c r="J894" s="104">
        <v>2.65</v>
      </c>
      <c r="K894" s="103" t="s">
        <v>425</v>
      </c>
      <c r="L894" s="102" t="s">
        <v>801</v>
      </c>
      <c r="M894" s="95"/>
      <c r="N894" s="14"/>
      <c r="O894" s="94">
        <v>5</v>
      </c>
      <c r="P894" s="14" t="s">
        <v>485</v>
      </c>
      <c r="Q894" s="14" t="s">
        <v>872</v>
      </c>
      <c r="R894" s="14" t="s">
        <v>496</v>
      </c>
      <c r="S894" s="15">
        <v>7.77</v>
      </c>
      <c r="T894" s="15">
        <v>0.81500000000000017</v>
      </c>
      <c r="U894" s="15">
        <v>0</v>
      </c>
      <c r="V894" s="14">
        <v>5386</v>
      </c>
      <c r="W894" s="12">
        <v>1</v>
      </c>
      <c r="X894" s="12">
        <v>0</v>
      </c>
      <c r="Y894" s="12">
        <v>0</v>
      </c>
      <c r="Z894" s="12">
        <v>1.65</v>
      </c>
      <c r="AA894" s="12">
        <v>0</v>
      </c>
      <c r="AB894" s="13">
        <f t="shared" si="53"/>
        <v>0</v>
      </c>
      <c r="AE894" s="12">
        <v>1</v>
      </c>
      <c r="AF894" s="12">
        <v>0</v>
      </c>
      <c r="AG894" s="12">
        <v>0</v>
      </c>
      <c r="AH894" s="12">
        <v>1.65</v>
      </c>
      <c r="AI894" s="12">
        <v>0</v>
      </c>
      <c r="AJ894" s="13">
        <f t="shared" si="54"/>
        <v>0</v>
      </c>
      <c r="AN894" s="12">
        <f t="shared" si="55"/>
        <v>14273</v>
      </c>
      <c r="AQ894" s="8" t="s">
        <v>416</v>
      </c>
      <c r="AR894" t="str">
        <f t="shared" si="56"/>
        <v>Leste - A05</v>
      </c>
    </row>
    <row r="895" spans="1:44" x14ac:dyDescent="0.2">
      <c r="A895" s="107" t="s">
        <v>2988</v>
      </c>
      <c r="B895" s="106" t="s">
        <v>2987</v>
      </c>
      <c r="C895" s="106" t="s">
        <v>2986</v>
      </c>
      <c r="D895" s="106" t="s">
        <v>2682</v>
      </c>
      <c r="E895" s="106" t="s">
        <v>2985</v>
      </c>
      <c r="F895" s="106" t="s">
        <v>490</v>
      </c>
      <c r="G895" s="106" t="s">
        <v>2984</v>
      </c>
      <c r="H895" s="105" t="s">
        <v>2983</v>
      </c>
      <c r="I895" s="105" t="s">
        <v>2982</v>
      </c>
      <c r="J895" s="104">
        <v>0.23</v>
      </c>
      <c r="K895" s="103" t="s">
        <v>425</v>
      </c>
      <c r="L895" s="102" t="s">
        <v>801</v>
      </c>
      <c r="M895" s="95"/>
      <c r="N895" s="14"/>
      <c r="O895" s="94">
        <v>5</v>
      </c>
      <c r="P895" s="14" t="s">
        <v>485</v>
      </c>
      <c r="Q895" s="14" t="s">
        <v>497</v>
      </c>
      <c r="R895" s="14" t="s">
        <v>496</v>
      </c>
      <c r="S895" s="15">
        <v>7</v>
      </c>
      <c r="T895" s="15">
        <v>1</v>
      </c>
      <c r="U895" s="15">
        <v>0</v>
      </c>
      <c r="V895" s="14">
        <v>5503</v>
      </c>
      <c r="W895" s="12">
        <v>0</v>
      </c>
      <c r="X895" s="12">
        <v>0</v>
      </c>
      <c r="Y895" s="12">
        <v>0</v>
      </c>
      <c r="Z895" s="12">
        <v>0.23</v>
      </c>
      <c r="AA895" s="12">
        <v>0</v>
      </c>
      <c r="AB895" s="13">
        <f t="shared" si="53"/>
        <v>0</v>
      </c>
      <c r="AE895" s="12">
        <v>0</v>
      </c>
      <c r="AF895" s="12">
        <v>0</v>
      </c>
      <c r="AG895" s="12">
        <v>0</v>
      </c>
      <c r="AH895" s="12">
        <v>0.23</v>
      </c>
      <c r="AI895" s="12">
        <v>0</v>
      </c>
      <c r="AJ895" s="13">
        <f t="shared" si="54"/>
        <v>0</v>
      </c>
      <c r="AN895" s="12">
        <f t="shared" si="55"/>
        <v>1266</v>
      </c>
      <c r="AQ895" s="8" t="s">
        <v>416</v>
      </c>
      <c r="AR895" t="str">
        <f t="shared" si="56"/>
        <v>Leste - A05</v>
      </c>
    </row>
    <row r="896" spans="1:44" x14ac:dyDescent="0.2">
      <c r="A896" s="107" t="s">
        <v>2981</v>
      </c>
      <c r="B896" s="106" t="s">
        <v>2980</v>
      </c>
      <c r="C896" s="106" t="s">
        <v>2974</v>
      </c>
      <c r="D896" s="106" t="s">
        <v>492</v>
      </c>
      <c r="E896" s="106" t="s">
        <v>2979</v>
      </c>
      <c r="F896" s="106" t="s">
        <v>490</v>
      </c>
      <c r="G896" s="106" t="s">
        <v>2978</v>
      </c>
      <c r="H896" s="105" t="s">
        <v>2977</v>
      </c>
      <c r="I896" s="105" t="s">
        <v>2971</v>
      </c>
      <c r="J896" s="104">
        <v>37.28</v>
      </c>
      <c r="K896" s="103" t="s">
        <v>430</v>
      </c>
      <c r="L896" s="102" t="s">
        <v>533</v>
      </c>
      <c r="M896" s="95"/>
      <c r="N896" s="17">
        <f>O896</f>
        <v>32</v>
      </c>
      <c r="O896" s="94">
        <v>32</v>
      </c>
      <c r="P896" s="14" t="s">
        <v>485</v>
      </c>
      <c r="Q896" s="14" t="s">
        <v>505</v>
      </c>
      <c r="R896" s="14" t="s">
        <v>496</v>
      </c>
      <c r="S896" s="15">
        <v>6.6</v>
      </c>
      <c r="T896" s="15">
        <v>1.4</v>
      </c>
      <c r="U896" s="15">
        <v>0</v>
      </c>
      <c r="V896" s="14">
        <v>594</v>
      </c>
      <c r="W896" s="12">
        <v>0</v>
      </c>
      <c r="X896" s="12">
        <v>3</v>
      </c>
      <c r="Y896" s="12">
        <v>8</v>
      </c>
      <c r="Z896" s="12">
        <v>26.28</v>
      </c>
      <c r="AA896" s="12">
        <v>0</v>
      </c>
      <c r="AB896" s="13">
        <f t="shared" si="53"/>
        <v>0</v>
      </c>
      <c r="AE896" s="12">
        <v>0</v>
      </c>
      <c r="AF896" s="12">
        <v>3</v>
      </c>
      <c r="AG896" s="12">
        <v>8</v>
      </c>
      <c r="AH896" s="12">
        <v>26.28</v>
      </c>
      <c r="AI896" s="12">
        <v>0</v>
      </c>
      <c r="AJ896" s="13">
        <f t="shared" si="54"/>
        <v>0</v>
      </c>
      <c r="AN896" s="12">
        <f t="shared" si="55"/>
        <v>22145</v>
      </c>
      <c r="AQ896" s="8" t="s">
        <v>418</v>
      </c>
      <c r="AR896" t="str">
        <f t="shared" si="56"/>
        <v>Noroeste - A10</v>
      </c>
    </row>
    <row r="897" spans="1:44" x14ac:dyDescent="0.2">
      <c r="A897" s="107" t="s">
        <v>2976</v>
      </c>
      <c r="B897" s="106" t="s">
        <v>2975</v>
      </c>
      <c r="C897" s="106" t="s">
        <v>2974</v>
      </c>
      <c r="D897" s="106" t="s">
        <v>592</v>
      </c>
      <c r="E897" s="106" t="s">
        <v>2973</v>
      </c>
      <c r="F897" s="106" t="s">
        <v>590</v>
      </c>
      <c r="G897" s="106" t="s">
        <v>2972</v>
      </c>
      <c r="H897" s="105" t="s">
        <v>2971</v>
      </c>
      <c r="I897" s="105" t="s">
        <v>2970</v>
      </c>
      <c r="J897" s="104">
        <v>0.09</v>
      </c>
      <c r="K897" s="103" t="s">
        <v>427</v>
      </c>
      <c r="L897" s="102" t="s">
        <v>533</v>
      </c>
      <c r="M897" s="95"/>
      <c r="N897" s="14"/>
      <c r="O897" s="94">
        <v>29</v>
      </c>
      <c r="P897" s="14" t="s">
        <v>586</v>
      </c>
      <c r="Q897" s="14" t="s">
        <v>505</v>
      </c>
      <c r="R897" s="14" t="s">
        <v>496</v>
      </c>
      <c r="S897" s="15">
        <v>8</v>
      </c>
      <c r="T897" s="15">
        <v>0</v>
      </c>
      <c r="U897" s="15">
        <v>0</v>
      </c>
      <c r="V897" s="14">
        <v>325</v>
      </c>
      <c r="W897" s="12">
        <v>0</v>
      </c>
      <c r="X897" s="12">
        <v>0</v>
      </c>
      <c r="Y897" s="12">
        <v>0</v>
      </c>
      <c r="Z897" s="12">
        <v>0.09</v>
      </c>
      <c r="AA897" s="12">
        <v>0</v>
      </c>
      <c r="AB897" s="13">
        <f t="shared" si="53"/>
        <v>0</v>
      </c>
      <c r="AE897" s="12">
        <v>0</v>
      </c>
      <c r="AF897" s="12">
        <v>0</v>
      </c>
      <c r="AG897" s="12">
        <v>0</v>
      </c>
      <c r="AH897" s="12">
        <v>0.09</v>
      </c>
      <c r="AI897" s="12">
        <v>0</v>
      </c>
      <c r="AJ897" s="13">
        <f t="shared" si="54"/>
        <v>0</v>
      </c>
      <c r="AN897" s="12">
        <f t="shared" si="55"/>
        <v>30</v>
      </c>
      <c r="AQ897" s="8" t="s">
        <v>418</v>
      </c>
      <c r="AR897" t="str">
        <f t="shared" si="56"/>
        <v>Noroeste - A07</v>
      </c>
    </row>
    <row r="898" spans="1:44" x14ac:dyDescent="0.2">
      <c r="A898" s="107" t="s">
        <v>2969</v>
      </c>
      <c r="B898" s="106" t="s">
        <v>2968</v>
      </c>
      <c r="C898" s="106" t="s">
        <v>2945</v>
      </c>
      <c r="D898" s="106" t="s">
        <v>751</v>
      </c>
      <c r="E898" s="106" t="s">
        <v>2944</v>
      </c>
      <c r="F898" s="106" t="s">
        <v>590</v>
      </c>
      <c r="G898" s="106" t="s">
        <v>2967</v>
      </c>
      <c r="H898" s="105" t="s">
        <v>2966</v>
      </c>
      <c r="I898" s="105" t="s">
        <v>2965</v>
      </c>
      <c r="J898" s="104">
        <v>1.66</v>
      </c>
      <c r="K898" s="103" t="s">
        <v>429</v>
      </c>
      <c r="L898" s="102" t="s">
        <v>533</v>
      </c>
      <c r="M898" s="95"/>
      <c r="N898" s="14"/>
      <c r="O898" s="94">
        <v>31</v>
      </c>
      <c r="P898" s="14" t="s">
        <v>586</v>
      </c>
      <c r="Q898" s="14" t="s">
        <v>887</v>
      </c>
      <c r="R898" s="14" t="s">
        <v>585</v>
      </c>
      <c r="S898" s="15">
        <v>10.5</v>
      </c>
      <c r="T898" s="15">
        <v>0</v>
      </c>
      <c r="U898" s="15">
        <v>0</v>
      </c>
      <c r="V898" s="14">
        <v>200</v>
      </c>
      <c r="W898" s="12">
        <v>0</v>
      </c>
      <c r="X898" s="12">
        <v>0</v>
      </c>
      <c r="Y898" s="12">
        <v>0.60000000000000009</v>
      </c>
      <c r="Z898" s="12">
        <v>1</v>
      </c>
      <c r="AA898" s="12">
        <v>0</v>
      </c>
      <c r="AB898" s="13">
        <f t="shared" si="53"/>
        <v>-5.9999999999999831E-2</v>
      </c>
      <c r="AE898" s="12">
        <f>IF(W898=0,0,W898-$AB898)</f>
        <v>0</v>
      </c>
      <c r="AF898" s="12">
        <f>IF(X898=0,0,X898-$AB898)</f>
        <v>0</v>
      </c>
      <c r="AG898" s="12">
        <v>0.63</v>
      </c>
      <c r="AH898" s="12">
        <v>1.03</v>
      </c>
      <c r="AI898" s="12">
        <f>IF(AA898=0,0,AA898-$AB898)</f>
        <v>0</v>
      </c>
      <c r="AJ898" s="13">
        <f t="shared" si="54"/>
        <v>0</v>
      </c>
      <c r="AN898" s="12">
        <f t="shared" si="55"/>
        <v>332</v>
      </c>
      <c r="AQ898" s="8" t="s">
        <v>418</v>
      </c>
      <c r="AR898" t="str">
        <f t="shared" si="56"/>
        <v>Noroeste - A09</v>
      </c>
    </row>
    <row r="899" spans="1:44" x14ac:dyDescent="0.2">
      <c r="A899" s="107" t="s">
        <v>2964</v>
      </c>
      <c r="B899" s="106" t="s">
        <v>2963</v>
      </c>
      <c r="C899" s="106" t="s">
        <v>2945</v>
      </c>
      <c r="D899" s="106" t="s">
        <v>492</v>
      </c>
      <c r="E899" s="106" t="s">
        <v>2951</v>
      </c>
      <c r="F899" s="106" t="s">
        <v>490</v>
      </c>
      <c r="G899" s="106" t="s">
        <v>2962</v>
      </c>
      <c r="H899" s="105" t="s">
        <v>916</v>
      </c>
      <c r="I899" s="105" t="s">
        <v>2958</v>
      </c>
      <c r="J899" s="104">
        <v>4.4000000000000004</v>
      </c>
      <c r="K899" s="103" t="s">
        <v>429</v>
      </c>
      <c r="L899" s="102" t="s">
        <v>533</v>
      </c>
      <c r="M899" s="95"/>
      <c r="N899" s="14"/>
      <c r="O899" s="94">
        <v>31</v>
      </c>
      <c r="P899" s="14" t="s">
        <v>485</v>
      </c>
      <c r="Q899" s="14" t="s">
        <v>887</v>
      </c>
      <c r="R899" s="14" t="s">
        <v>496</v>
      </c>
      <c r="S899" s="15">
        <v>7</v>
      </c>
      <c r="T899" s="15">
        <v>1</v>
      </c>
      <c r="U899" s="15">
        <v>0</v>
      </c>
      <c r="V899" s="14">
        <v>420</v>
      </c>
      <c r="W899" s="12">
        <v>0</v>
      </c>
      <c r="X899" s="12">
        <v>0</v>
      </c>
      <c r="Y899" s="12">
        <v>1</v>
      </c>
      <c r="Z899" s="12">
        <v>3.4000000000000004</v>
      </c>
      <c r="AA899" s="12">
        <v>0</v>
      </c>
      <c r="AB899" s="13">
        <f t="shared" si="53"/>
        <v>0</v>
      </c>
      <c r="AE899" s="12">
        <v>0</v>
      </c>
      <c r="AF899" s="12">
        <v>0</v>
      </c>
      <c r="AG899" s="12">
        <v>1</v>
      </c>
      <c r="AH899" s="12">
        <v>3.4000000000000004</v>
      </c>
      <c r="AI899" s="12">
        <v>0</v>
      </c>
      <c r="AJ899" s="13">
        <f t="shared" si="54"/>
        <v>0</v>
      </c>
      <c r="AN899" s="12">
        <f t="shared" si="55"/>
        <v>1848</v>
      </c>
      <c r="AQ899" s="8" t="s">
        <v>418</v>
      </c>
      <c r="AR899" t="str">
        <f t="shared" si="56"/>
        <v>Noroeste - A09</v>
      </c>
    </row>
    <row r="900" spans="1:44" x14ac:dyDescent="0.2">
      <c r="A900" s="107" t="s">
        <v>2961</v>
      </c>
      <c r="B900" s="106" t="s">
        <v>2960</v>
      </c>
      <c r="C900" s="106" t="s">
        <v>2945</v>
      </c>
      <c r="D900" s="106" t="s">
        <v>519</v>
      </c>
      <c r="E900" s="106" t="s">
        <v>2951</v>
      </c>
      <c r="F900" s="106" t="s">
        <v>490</v>
      </c>
      <c r="G900" s="106" t="s">
        <v>2959</v>
      </c>
      <c r="H900" s="105" t="s">
        <v>2958</v>
      </c>
      <c r="I900" s="105" t="s">
        <v>2954</v>
      </c>
      <c r="J900" s="104">
        <v>4.07</v>
      </c>
      <c r="K900" s="103" t="s">
        <v>429</v>
      </c>
      <c r="L900" s="102" t="s">
        <v>533</v>
      </c>
      <c r="M900" s="95"/>
      <c r="N900" s="14"/>
      <c r="O900" s="94">
        <v>31</v>
      </c>
      <c r="P900" s="14" t="s">
        <v>485</v>
      </c>
      <c r="Q900" s="14" t="s">
        <v>887</v>
      </c>
      <c r="R900" s="14" t="s">
        <v>496</v>
      </c>
      <c r="S900" s="15">
        <v>7</v>
      </c>
      <c r="T900" s="15">
        <v>1</v>
      </c>
      <c r="U900" s="15">
        <v>0</v>
      </c>
      <c r="V900" s="14">
        <v>1072</v>
      </c>
      <c r="W900" s="12">
        <v>0</v>
      </c>
      <c r="X900" s="12">
        <v>0</v>
      </c>
      <c r="Y900" s="12">
        <v>2</v>
      </c>
      <c r="Z900" s="12">
        <v>2.0700000000000003</v>
      </c>
      <c r="AA900" s="12">
        <v>0</v>
      </c>
      <c r="AB900" s="13">
        <f t="shared" si="53"/>
        <v>0</v>
      </c>
      <c r="AE900" s="12">
        <v>0</v>
      </c>
      <c r="AF900" s="12">
        <v>0</v>
      </c>
      <c r="AG900" s="12">
        <v>2</v>
      </c>
      <c r="AH900" s="12">
        <v>2.0700000000000003</v>
      </c>
      <c r="AI900" s="12">
        <v>0</v>
      </c>
      <c r="AJ900" s="13">
        <f t="shared" si="54"/>
        <v>0</v>
      </c>
      <c r="AN900" s="12">
        <f t="shared" si="55"/>
        <v>4364</v>
      </c>
      <c r="AQ900" s="8" t="s">
        <v>418</v>
      </c>
      <c r="AR900" t="str">
        <f t="shared" si="56"/>
        <v>Noroeste - A09</v>
      </c>
    </row>
    <row r="901" spans="1:44" x14ac:dyDescent="0.2">
      <c r="A901" s="107" t="s">
        <v>2957</v>
      </c>
      <c r="B901" s="106" t="s">
        <v>2956</v>
      </c>
      <c r="C901" s="106" t="s">
        <v>2945</v>
      </c>
      <c r="D901" s="106" t="s">
        <v>1032</v>
      </c>
      <c r="E901" s="106" t="s">
        <v>2944</v>
      </c>
      <c r="F901" s="106" t="s">
        <v>590</v>
      </c>
      <c r="G901" s="106" t="s">
        <v>2955</v>
      </c>
      <c r="H901" s="105" t="s">
        <v>2954</v>
      </c>
      <c r="I901" s="105" t="s">
        <v>2949</v>
      </c>
      <c r="J901" s="104">
        <v>0.54</v>
      </c>
      <c r="K901" s="103" t="s">
        <v>429</v>
      </c>
      <c r="L901" s="102" t="s">
        <v>533</v>
      </c>
      <c r="M901" s="95"/>
      <c r="N901" s="14"/>
      <c r="O901" s="94">
        <v>31</v>
      </c>
      <c r="P901" s="14" t="s">
        <v>586</v>
      </c>
      <c r="Q901" s="14" t="s">
        <v>887</v>
      </c>
      <c r="R901" s="14" t="s">
        <v>585</v>
      </c>
      <c r="S901" s="15">
        <v>14</v>
      </c>
      <c r="T901" s="15">
        <v>0</v>
      </c>
      <c r="U901" s="15">
        <v>0</v>
      </c>
      <c r="V901" s="14">
        <v>760</v>
      </c>
      <c r="W901" s="12">
        <v>0</v>
      </c>
      <c r="X901" s="12">
        <v>0</v>
      </c>
      <c r="Y901" s="12">
        <v>0.54</v>
      </c>
      <c r="Z901" s="12">
        <v>0</v>
      </c>
      <c r="AA901" s="12">
        <v>0</v>
      </c>
      <c r="AB901" s="13">
        <f t="shared" si="53"/>
        <v>0</v>
      </c>
      <c r="AE901" s="12">
        <v>0</v>
      </c>
      <c r="AF901" s="12">
        <v>0</v>
      </c>
      <c r="AG901" s="12">
        <v>0.54</v>
      </c>
      <c r="AH901" s="12">
        <v>0</v>
      </c>
      <c r="AI901" s="12">
        <v>0</v>
      </c>
      <c r="AJ901" s="13">
        <f t="shared" si="54"/>
        <v>0</v>
      </c>
      <c r="AN901" s="12">
        <f t="shared" si="55"/>
        <v>411</v>
      </c>
      <c r="AQ901" s="8" t="s">
        <v>418</v>
      </c>
      <c r="AR901" t="str">
        <f t="shared" si="56"/>
        <v>Noroeste - A09</v>
      </c>
    </row>
    <row r="902" spans="1:44" x14ac:dyDescent="0.2">
      <c r="A902" s="107" t="s">
        <v>2953</v>
      </c>
      <c r="B902" s="106" t="s">
        <v>2952</v>
      </c>
      <c r="C902" s="106" t="s">
        <v>2945</v>
      </c>
      <c r="D902" s="106" t="s">
        <v>513</v>
      </c>
      <c r="E902" s="106" t="s">
        <v>2951</v>
      </c>
      <c r="F902" s="106" t="s">
        <v>490</v>
      </c>
      <c r="G902" s="106" t="s">
        <v>2950</v>
      </c>
      <c r="H902" s="105" t="s">
        <v>2949</v>
      </c>
      <c r="I902" s="105" t="s">
        <v>2948</v>
      </c>
      <c r="J902" s="104">
        <v>13.39</v>
      </c>
      <c r="K902" s="103" t="s">
        <v>429</v>
      </c>
      <c r="L902" s="102" t="s">
        <v>533</v>
      </c>
      <c r="M902" s="95"/>
      <c r="N902" s="14"/>
      <c r="O902" s="94">
        <v>31</v>
      </c>
      <c r="P902" s="14" t="s">
        <v>485</v>
      </c>
      <c r="Q902" s="14" t="s">
        <v>887</v>
      </c>
      <c r="R902" s="14" t="s">
        <v>496</v>
      </c>
      <c r="S902" s="15">
        <v>7</v>
      </c>
      <c r="T902" s="15">
        <v>1.5</v>
      </c>
      <c r="U902" s="15">
        <v>0</v>
      </c>
      <c r="V902" s="14">
        <v>1130</v>
      </c>
      <c r="W902" s="12">
        <v>0</v>
      </c>
      <c r="X902" s="12">
        <v>0</v>
      </c>
      <c r="Y902" s="12">
        <v>13.39</v>
      </c>
      <c r="Z902" s="12">
        <v>0</v>
      </c>
      <c r="AA902" s="12">
        <v>0</v>
      </c>
      <c r="AB902" s="13">
        <f t="shared" ref="AB902:AB965" si="57">SUM(W902:AA902)-J902</f>
        <v>0</v>
      </c>
      <c r="AE902" s="12">
        <v>0</v>
      </c>
      <c r="AF902" s="12">
        <v>0</v>
      </c>
      <c r="AG902" s="12">
        <v>13.39</v>
      </c>
      <c r="AH902" s="12">
        <v>0</v>
      </c>
      <c r="AI902" s="12">
        <v>0</v>
      </c>
      <c r="AJ902" s="13">
        <f t="shared" ref="AJ902:AJ965" si="58">SUM(AE902:AI902)-J902</f>
        <v>0</v>
      </c>
      <c r="AN902" s="12">
        <f t="shared" ref="AN902:AN965" si="59">ROUNDUP(V902*J902,0)</f>
        <v>15131</v>
      </c>
      <c r="AQ902" s="8" t="s">
        <v>418</v>
      </c>
      <c r="AR902" t="str">
        <f t="shared" ref="AR902:AR965" si="60">AQ902&amp;" - "&amp;K902</f>
        <v>Noroeste - A09</v>
      </c>
    </row>
    <row r="903" spans="1:44" x14ac:dyDescent="0.2">
      <c r="A903" s="107" t="s">
        <v>2947</v>
      </c>
      <c r="B903" s="106" t="s">
        <v>2946</v>
      </c>
      <c r="C903" s="106" t="s">
        <v>2945</v>
      </c>
      <c r="D903" s="106" t="s">
        <v>1284</v>
      </c>
      <c r="E903" s="106" t="s">
        <v>2944</v>
      </c>
      <c r="F903" s="106" t="s">
        <v>590</v>
      </c>
      <c r="G903" s="106" t="s">
        <v>2943</v>
      </c>
      <c r="H903" s="105" t="s">
        <v>2942</v>
      </c>
      <c r="I903" s="105" t="s">
        <v>2941</v>
      </c>
      <c r="J903" s="104">
        <v>1.36</v>
      </c>
      <c r="K903" s="103" t="s">
        <v>429</v>
      </c>
      <c r="L903" s="102" t="s">
        <v>533</v>
      </c>
      <c r="M903" s="95"/>
      <c r="N903" s="14"/>
      <c r="O903" s="94">
        <v>31</v>
      </c>
      <c r="P903" s="14" t="s">
        <v>586</v>
      </c>
      <c r="Q903" s="14" t="s">
        <v>887</v>
      </c>
      <c r="R903" s="14" t="s">
        <v>496</v>
      </c>
      <c r="S903" s="15">
        <v>14</v>
      </c>
      <c r="T903" s="15">
        <v>0</v>
      </c>
      <c r="U903" s="15">
        <v>0</v>
      </c>
      <c r="V903" s="14">
        <v>792</v>
      </c>
      <c r="W903" s="12">
        <v>0</v>
      </c>
      <c r="X903" s="12">
        <v>0.3600000000000001</v>
      </c>
      <c r="Y903" s="12">
        <v>1</v>
      </c>
      <c r="Z903" s="12">
        <v>0</v>
      </c>
      <c r="AA903" s="12">
        <v>0</v>
      </c>
      <c r="AB903" s="13">
        <f t="shared" si="57"/>
        <v>0</v>
      </c>
      <c r="AE903" s="12">
        <v>0</v>
      </c>
      <c r="AF903" s="12">
        <v>0.3600000000000001</v>
      </c>
      <c r="AG903" s="12">
        <v>1</v>
      </c>
      <c r="AH903" s="12">
        <v>0</v>
      </c>
      <c r="AI903" s="12">
        <v>0</v>
      </c>
      <c r="AJ903" s="13">
        <f t="shared" si="58"/>
        <v>0</v>
      </c>
      <c r="AN903" s="12">
        <f t="shared" si="59"/>
        <v>1078</v>
      </c>
      <c r="AQ903" s="8" t="s">
        <v>418</v>
      </c>
      <c r="AR903" t="str">
        <f t="shared" si="60"/>
        <v>Noroeste - A09</v>
      </c>
    </row>
    <row r="904" spans="1:44" x14ac:dyDescent="0.2">
      <c r="A904" s="107" t="s">
        <v>2940</v>
      </c>
      <c r="B904" s="106" t="s">
        <v>2939</v>
      </c>
      <c r="C904" s="106" t="s">
        <v>2911</v>
      </c>
      <c r="D904" s="106" t="s">
        <v>751</v>
      </c>
      <c r="E904" s="106" t="s">
        <v>2916</v>
      </c>
      <c r="F904" s="106" t="s">
        <v>490</v>
      </c>
      <c r="G904" s="106" t="s">
        <v>2938</v>
      </c>
      <c r="H904" s="105" t="s">
        <v>2937</v>
      </c>
      <c r="I904" s="105" t="s">
        <v>2932</v>
      </c>
      <c r="J904" s="104">
        <v>10.37</v>
      </c>
      <c r="K904" s="103" t="s">
        <v>423</v>
      </c>
      <c r="L904" s="102" t="s">
        <v>533</v>
      </c>
      <c r="M904" s="95"/>
      <c r="N904" s="14"/>
      <c r="O904" s="94">
        <v>25</v>
      </c>
      <c r="P904" s="14" t="s">
        <v>485</v>
      </c>
      <c r="Q904" s="14" t="s">
        <v>505</v>
      </c>
      <c r="R904" s="14" t="s">
        <v>1258</v>
      </c>
      <c r="S904" s="15">
        <v>6</v>
      </c>
      <c r="T904" s="15">
        <v>0</v>
      </c>
      <c r="U904" s="15">
        <v>0</v>
      </c>
      <c r="V904" s="14">
        <v>420</v>
      </c>
      <c r="W904" s="12">
        <v>0</v>
      </c>
      <c r="X904" s="12">
        <v>0</v>
      </c>
      <c r="Y904" s="12">
        <v>1</v>
      </c>
      <c r="Z904" s="12">
        <v>9.3699999999999992</v>
      </c>
      <c r="AA904" s="12">
        <v>0</v>
      </c>
      <c r="AB904" s="13">
        <f t="shared" si="57"/>
        <v>0</v>
      </c>
      <c r="AE904" s="12">
        <v>0</v>
      </c>
      <c r="AF904" s="12">
        <v>0</v>
      </c>
      <c r="AG904" s="12">
        <v>1</v>
      </c>
      <c r="AH904" s="12">
        <v>9.3699999999999992</v>
      </c>
      <c r="AI904" s="12">
        <v>0</v>
      </c>
      <c r="AJ904" s="13">
        <f t="shared" si="58"/>
        <v>0</v>
      </c>
      <c r="AN904" s="12">
        <f t="shared" si="59"/>
        <v>4356</v>
      </c>
      <c r="AQ904" s="8" t="s">
        <v>418</v>
      </c>
      <c r="AR904" t="str">
        <f t="shared" si="60"/>
        <v>Noroeste - A03</v>
      </c>
    </row>
    <row r="905" spans="1:44" x14ac:dyDescent="0.2">
      <c r="A905" s="107" t="s">
        <v>2936</v>
      </c>
      <c r="B905" s="106" t="s">
        <v>2935</v>
      </c>
      <c r="C905" s="106" t="s">
        <v>2911</v>
      </c>
      <c r="D905" s="106" t="s">
        <v>2934</v>
      </c>
      <c r="E905" s="106" t="s">
        <v>2910</v>
      </c>
      <c r="F905" s="106" t="s">
        <v>590</v>
      </c>
      <c r="G905" s="106" t="s">
        <v>2933</v>
      </c>
      <c r="H905" s="105" t="s">
        <v>2932</v>
      </c>
      <c r="I905" s="105" t="s">
        <v>2931</v>
      </c>
      <c r="J905" s="104">
        <v>1.64</v>
      </c>
      <c r="K905" s="103" t="s">
        <v>423</v>
      </c>
      <c r="L905" s="102" t="s">
        <v>533</v>
      </c>
      <c r="M905" s="95"/>
      <c r="N905" s="14"/>
      <c r="O905" s="94">
        <v>25</v>
      </c>
      <c r="P905" s="14" t="s">
        <v>586</v>
      </c>
      <c r="Q905" s="14" t="s">
        <v>505</v>
      </c>
      <c r="R905" s="14" t="s">
        <v>1258</v>
      </c>
      <c r="S905" s="15">
        <v>14.7</v>
      </c>
      <c r="T905" s="15">
        <v>0</v>
      </c>
      <c r="U905" s="15">
        <v>0</v>
      </c>
      <c r="V905" s="14">
        <v>813</v>
      </c>
      <c r="W905" s="12">
        <v>0</v>
      </c>
      <c r="X905" s="12">
        <v>0</v>
      </c>
      <c r="Y905" s="12">
        <v>1.64</v>
      </c>
      <c r="Z905" s="12">
        <v>0</v>
      </c>
      <c r="AA905" s="12">
        <v>0</v>
      </c>
      <c r="AB905" s="13">
        <f t="shared" si="57"/>
        <v>0</v>
      </c>
      <c r="AE905" s="12">
        <v>0</v>
      </c>
      <c r="AF905" s="12">
        <v>0</v>
      </c>
      <c r="AG905" s="12">
        <v>1.64</v>
      </c>
      <c r="AH905" s="12">
        <v>0</v>
      </c>
      <c r="AI905" s="12">
        <v>0</v>
      </c>
      <c r="AJ905" s="13">
        <f t="shared" si="58"/>
        <v>0</v>
      </c>
      <c r="AN905" s="12">
        <f t="shared" si="59"/>
        <v>1334</v>
      </c>
      <c r="AQ905" s="8" t="s">
        <v>418</v>
      </c>
      <c r="AR905" t="str">
        <f t="shared" si="60"/>
        <v>Noroeste - A03</v>
      </c>
    </row>
    <row r="906" spans="1:44" x14ac:dyDescent="0.2">
      <c r="A906" s="107" t="s">
        <v>2930</v>
      </c>
      <c r="B906" s="106" t="s">
        <v>2929</v>
      </c>
      <c r="C906" s="106" t="s">
        <v>2911</v>
      </c>
      <c r="D906" s="106" t="s">
        <v>492</v>
      </c>
      <c r="E906" s="106" t="s">
        <v>2916</v>
      </c>
      <c r="F906" s="106" t="s">
        <v>490</v>
      </c>
      <c r="G906" s="106" t="s">
        <v>2928</v>
      </c>
      <c r="H906" s="105" t="s">
        <v>2927</v>
      </c>
      <c r="I906" s="105" t="s">
        <v>2923</v>
      </c>
      <c r="J906" s="104">
        <v>14.8</v>
      </c>
      <c r="K906" s="103" t="s">
        <v>425</v>
      </c>
      <c r="L906" s="102" t="s">
        <v>533</v>
      </c>
      <c r="M906" s="95"/>
      <c r="N906" s="14"/>
      <c r="O906" s="94">
        <v>27</v>
      </c>
      <c r="P906" s="14" t="s">
        <v>485</v>
      </c>
      <c r="Q906" s="14" t="s">
        <v>561</v>
      </c>
      <c r="R906" s="14" t="s">
        <v>496</v>
      </c>
      <c r="S906" s="15">
        <v>7</v>
      </c>
      <c r="T906" s="15">
        <v>1</v>
      </c>
      <c r="U906" s="15">
        <v>0</v>
      </c>
      <c r="V906" s="14">
        <v>1070</v>
      </c>
      <c r="W906" s="12">
        <v>0</v>
      </c>
      <c r="X906" s="12">
        <v>0</v>
      </c>
      <c r="Y906" s="12">
        <v>4</v>
      </c>
      <c r="Z906" s="12">
        <v>10.8</v>
      </c>
      <c r="AA906" s="12">
        <v>0</v>
      </c>
      <c r="AB906" s="13">
        <f t="shared" si="57"/>
        <v>0</v>
      </c>
      <c r="AE906" s="12">
        <v>0</v>
      </c>
      <c r="AF906" s="12">
        <v>0</v>
      </c>
      <c r="AG906" s="12">
        <v>4</v>
      </c>
      <c r="AH906" s="12">
        <v>10.8</v>
      </c>
      <c r="AI906" s="12">
        <v>0</v>
      </c>
      <c r="AJ906" s="13">
        <f t="shared" si="58"/>
        <v>0</v>
      </c>
      <c r="AN906" s="12">
        <f t="shared" si="59"/>
        <v>15836</v>
      </c>
      <c r="AQ906" s="8" t="s">
        <v>418</v>
      </c>
      <c r="AR906" t="str">
        <f t="shared" si="60"/>
        <v>Noroeste - A05</v>
      </c>
    </row>
    <row r="907" spans="1:44" x14ac:dyDescent="0.2">
      <c r="A907" s="107" t="s">
        <v>2926</v>
      </c>
      <c r="B907" s="106" t="s">
        <v>2925</v>
      </c>
      <c r="C907" s="106" t="s">
        <v>2911</v>
      </c>
      <c r="D907" s="106" t="s">
        <v>592</v>
      </c>
      <c r="E907" s="106" t="s">
        <v>2910</v>
      </c>
      <c r="F907" s="106" t="s">
        <v>590</v>
      </c>
      <c r="G907" s="106" t="s">
        <v>2924</v>
      </c>
      <c r="H907" s="105" t="s">
        <v>2923</v>
      </c>
      <c r="I907" s="105" t="s">
        <v>2919</v>
      </c>
      <c r="J907" s="104">
        <v>0.25</v>
      </c>
      <c r="K907" s="103" t="s">
        <v>425</v>
      </c>
      <c r="L907" s="102" t="s">
        <v>533</v>
      </c>
      <c r="M907" s="95"/>
      <c r="N907" s="14"/>
      <c r="O907" s="94">
        <v>27</v>
      </c>
      <c r="P907" s="14" t="s">
        <v>586</v>
      </c>
      <c r="Q907" s="14" t="s">
        <v>561</v>
      </c>
      <c r="R907" s="14" t="s">
        <v>496</v>
      </c>
      <c r="S907" s="15">
        <v>14</v>
      </c>
      <c r="T907" s="15">
        <v>0</v>
      </c>
      <c r="U907" s="15">
        <v>0</v>
      </c>
      <c r="V907" s="14">
        <v>448</v>
      </c>
      <c r="W907" s="12">
        <v>0</v>
      </c>
      <c r="X907" s="12">
        <v>0</v>
      </c>
      <c r="Y907" s="12">
        <v>0</v>
      </c>
      <c r="Z907" s="12">
        <v>0.25</v>
      </c>
      <c r="AA907" s="12">
        <v>0</v>
      </c>
      <c r="AB907" s="13">
        <f t="shared" si="57"/>
        <v>0</v>
      </c>
      <c r="AE907" s="12">
        <v>0</v>
      </c>
      <c r="AF907" s="12">
        <v>0</v>
      </c>
      <c r="AG907" s="12">
        <v>0</v>
      </c>
      <c r="AH907" s="12">
        <v>0.25</v>
      </c>
      <c r="AI907" s="12">
        <v>0</v>
      </c>
      <c r="AJ907" s="13">
        <f t="shared" si="58"/>
        <v>0</v>
      </c>
      <c r="AN907" s="12">
        <f t="shared" si="59"/>
        <v>112</v>
      </c>
      <c r="AQ907" s="8" t="s">
        <v>418</v>
      </c>
      <c r="AR907" t="str">
        <f t="shared" si="60"/>
        <v>Noroeste - A05</v>
      </c>
    </row>
    <row r="908" spans="1:44" x14ac:dyDescent="0.2">
      <c r="A908" s="107" t="s">
        <v>2922</v>
      </c>
      <c r="B908" s="106" t="s">
        <v>2921</v>
      </c>
      <c r="C908" s="106" t="s">
        <v>2911</v>
      </c>
      <c r="D908" s="106" t="s">
        <v>519</v>
      </c>
      <c r="E908" s="106" t="s">
        <v>2910</v>
      </c>
      <c r="F908" s="106" t="s">
        <v>590</v>
      </c>
      <c r="G908" s="106" t="s">
        <v>2920</v>
      </c>
      <c r="H908" s="105" t="s">
        <v>2919</v>
      </c>
      <c r="I908" s="105" t="s">
        <v>2914</v>
      </c>
      <c r="J908" s="104">
        <v>0.93</v>
      </c>
      <c r="K908" s="103" t="s">
        <v>425</v>
      </c>
      <c r="L908" s="102" t="s">
        <v>533</v>
      </c>
      <c r="M908" s="95"/>
      <c r="N908" s="14"/>
      <c r="O908" s="94">
        <v>27</v>
      </c>
      <c r="P908" s="14" t="s">
        <v>586</v>
      </c>
      <c r="Q908" s="14" t="s">
        <v>561</v>
      </c>
      <c r="R908" s="14" t="s">
        <v>496</v>
      </c>
      <c r="S908" s="15">
        <v>14</v>
      </c>
      <c r="T908" s="15">
        <v>0</v>
      </c>
      <c r="U908" s="15">
        <v>0</v>
      </c>
      <c r="V908" s="14">
        <v>448</v>
      </c>
      <c r="W908" s="12">
        <v>0</v>
      </c>
      <c r="X908" s="12">
        <v>0</v>
      </c>
      <c r="Y908" s="12">
        <v>0.93</v>
      </c>
      <c r="Z908" s="12">
        <v>0</v>
      </c>
      <c r="AA908" s="12">
        <v>0</v>
      </c>
      <c r="AB908" s="13">
        <f t="shared" si="57"/>
        <v>0</v>
      </c>
      <c r="AE908" s="12">
        <v>0</v>
      </c>
      <c r="AF908" s="12">
        <v>0</v>
      </c>
      <c r="AG908" s="12">
        <v>0.93</v>
      </c>
      <c r="AH908" s="12">
        <v>0</v>
      </c>
      <c r="AI908" s="12">
        <v>0</v>
      </c>
      <c r="AJ908" s="13">
        <f t="shared" si="58"/>
        <v>0</v>
      </c>
      <c r="AN908" s="12">
        <f t="shared" si="59"/>
        <v>417</v>
      </c>
      <c r="AQ908" s="8" t="s">
        <v>418</v>
      </c>
      <c r="AR908" t="str">
        <f t="shared" si="60"/>
        <v>Noroeste - A05</v>
      </c>
    </row>
    <row r="909" spans="1:44" x14ac:dyDescent="0.2">
      <c r="A909" s="107" t="s">
        <v>2918</v>
      </c>
      <c r="B909" s="106" t="s">
        <v>2917</v>
      </c>
      <c r="C909" s="106" t="s">
        <v>2911</v>
      </c>
      <c r="D909" s="106" t="s">
        <v>513</v>
      </c>
      <c r="E909" s="106" t="s">
        <v>2916</v>
      </c>
      <c r="F909" s="106" t="s">
        <v>490</v>
      </c>
      <c r="G909" s="106" t="s">
        <v>2915</v>
      </c>
      <c r="H909" s="105" t="s">
        <v>2914</v>
      </c>
      <c r="I909" s="105" t="s">
        <v>2908</v>
      </c>
      <c r="J909" s="104">
        <v>28.16</v>
      </c>
      <c r="K909" s="103" t="s">
        <v>425</v>
      </c>
      <c r="L909" s="102" t="s">
        <v>533</v>
      </c>
      <c r="M909" s="95"/>
      <c r="N909" s="14"/>
      <c r="O909" s="94">
        <v>27</v>
      </c>
      <c r="P909" s="14" t="s">
        <v>485</v>
      </c>
      <c r="Q909" s="14" t="s">
        <v>561</v>
      </c>
      <c r="R909" s="14" t="s">
        <v>496</v>
      </c>
      <c r="S909" s="15">
        <v>7</v>
      </c>
      <c r="T909" s="15">
        <v>0.6</v>
      </c>
      <c r="U909" s="15">
        <v>0</v>
      </c>
      <c r="V909" s="14">
        <v>606</v>
      </c>
      <c r="W909" s="12">
        <v>0</v>
      </c>
      <c r="X909" s="12">
        <v>2</v>
      </c>
      <c r="Y909" s="12">
        <v>13</v>
      </c>
      <c r="Z909" s="12">
        <v>13.16</v>
      </c>
      <c r="AA909" s="12">
        <v>0</v>
      </c>
      <c r="AB909" s="13">
        <f t="shared" si="57"/>
        <v>0</v>
      </c>
      <c r="AE909" s="12">
        <v>0</v>
      </c>
      <c r="AF909" s="12">
        <v>2</v>
      </c>
      <c r="AG909" s="12">
        <v>13</v>
      </c>
      <c r="AH909" s="12">
        <v>13.16</v>
      </c>
      <c r="AI909" s="12">
        <v>0</v>
      </c>
      <c r="AJ909" s="13">
        <f t="shared" si="58"/>
        <v>0</v>
      </c>
      <c r="AN909" s="12">
        <f t="shared" si="59"/>
        <v>17065</v>
      </c>
      <c r="AQ909" s="8" t="s">
        <v>418</v>
      </c>
      <c r="AR909" t="str">
        <f t="shared" si="60"/>
        <v>Noroeste - A05</v>
      </c>
    </row>
    <row r="910" spans="1:44" x14ac:dyDescent="0.2">
      <c r="A910" s="107" t="s">
        <v>2913</v>
      </c>
      <c r="B910" s="106" t="s">
        <v>2912</v>
      </c>
      <c r="C910" s="106" t="s">
        <v>2911</v>
      </c>
      <c r="D910" s="106" t="s">
        <v>1324</v>
      </c>
      <c r="E910" s="106" t="s">
        <v>2910</v>
      </c>
      <c r="F910" s="106" t="s">
        <v>590</v>
      </c>
      <c r="G910" s="106" t="s">
        <v>2909</v>
      </c>
      <c r="H910" s="105" t="s">
        <v>2908</v>
      </c>
      <c r="I910" s="105" t="s">
        <v>2907</v>
      </c>
      <c r="J910" s="104">
        <v>0.59</v>
      </c>
      <c r="K910" s="103" t="s">
        <v>425</v>
      </c>
      <c r="L910" s="102" t="s">
        <v>533</v>
      </c>
      <c r="M910" s="95"/>
      <c r="N910" s="14"/>
      <c r="O910" s="94">
        <v>27</v>
      </c>
      <c r="P910" s="14" t="s">
        <v>586</v>
      </c>
      <c r="Q910" s="14" t="s">
        <v>561</v>
      </c>
      <c r="R910" s="14" t="s">
        <v>496</v>
      </c>
      <c r="S910" s="15">
        <v>14</v>
      </c>
      <c r="T910" s="15">
        <v>0</v>
      </c>
      <c r="U910" s="15">
        <v>0</v>
      </c>
      <c r="V910" s="14">
        <v>449</v>
      </c>
      <c r="W910" s="12">
        <v>0</v>
      </c>
      <c r="X910" s="12">
        <v>0</v>
      </c>
      <c r="Y910" s="12">
        <v>0</v>
      </c>
      <c r="Z910" s="12">
        <v>0.59</v>
      </c>
      <c r="AA910" s="12">
        <v>0</v>
      </c>
      <c r="AB910" s="13">
        <f t="shared" si="57"/>
        <v>0</v>
      </c>
      <c r="AE910" s="12">
        <v>0</v>
      </c>
      <c r="AF910" s="12">
        <v>0</v>
      </c>
      <c r="AG910" s="12">
        <v>0</v>
      </c>
      <c r="AH910" s="12">
        <v>0.59</v>
      </c>
      <c r="AI910" s="12">
        <v>0</v>
      </c>
      <c r="AJ910" s="13">
        <f t="shared" si="58"/>
        <v>0</v>
      </c>
      <c r="AN910" s="12">
        <f t="shared" si="59"/>
        <v>265</v>
      </c>
      <c r="AQ910" s="8" t="s">
        <v>418</v>
      </c>
      <c r="AR910" t="str">
        <f t="shared" si="60"/>
        <v>Noroeste - A05</v>
      </c>
    </row>
    <row r="911" spans="1:44" x14ac:dyDescent="0.2">
      <c r="A911" s="107" t="s">
        <v>2906</v>
      </c>
      <c r="B911" s="106" t="s">
        <v>2905</v>
      </c>
      <c r="C911" s="106" t="s">
        <v>2885</v>
      </c>
      <c r="D911" s="106" t="s">
        <v>492</v>
      </c>
      <c r="E911" s="106" t="s">
        <v>2884</v>
      </c>
      <c r="F911" s="106" t="s">
        <v>490</v>
      </c>
      <c r="G911" s="106" t="s">
        <v>2904</v>
      </c>
      <c r="H911" s="105" t="s">
        <v>535</v>
      </c>
      <c r="I911" s="105" t="s">
        <v>2900</v>
      </c>
      <c r="J911" s="104">
        <v>2.2599999999999998</v>
      </c>
      <c r="K911" s="103" t="s">
        <v>426</v>
      </c>
      <c r="L911" s="102" t="s">
        <v>507</v>
      </c>
      <c r="M911" s="95"/>
      <c r="N911" s="14"/>
      <c r="O911" s="94">
        <v>38</v>
      </c>
      <c r="P911" s="14" t="s">
        <v>485</v>
      </c>
      <c r="Q911" s="14" t="s">
        <v>497</v>
      </c>
      <c r="R911" s="14" t="s">
        <v>496</v>
      </c>
      <c r="S911" s="15">
        <v>6.8</v>
      </c>
      <c r="T911" s="15">
        <v>3.6</v>
      </c>
      <c r="U911" s="15">
        <v>0</v>
      </c>
      <c r="V911" s="14">
        <v>4615</v>
      </c>
      <c r="W911" s="12">
        <v>0</v>
      </c>
      <c r="X911" s="12">
        <v>0</v>
      </c>
      <c r="Y911" s="12">
        <v>0</v>
      </c>
      <c r="Z911" s="12">
        <v>2.2599999999999998</v>
      </c>
      <c r="AA911" s="12">
        <v>0</v>
      </c>
      <c r="AB911" s="13">
        <f t="shared" si="57"/>
        <v>0</v>
      </c>
      <c r="AE911" s="12">
        <v>0</v>
      </c>
      <c r="AF911" s="12">
        <v>0</v>
      </c>
      <c r="AG911" s="12">
        <v>0</v>
      </c>
      <c r="AH911" s="12">
        <v>2.2599999999999998</v>
      </c>
      <c r="AI911" s="12">
        <v>0</v>
      </c>
      <c r="AJ911" s="13">
        <f t="shared" si="58"/>
        <v>0</v>
      </c>
      <c r="AN911" s="12">
        <f t="shared" si="59"/>
        <v>10430</v>
      </c>
      <c r="AQ911" s="8" t="s">
        <v>417</v>
      </c>
      <c r="AR911" t="str">
        <f t="shared" si="60"/>
        <v>Oeste - A06</v>
      </c>
    </row>
    <row r="912" spans="1:44" x14ac:dyDescent="0.2">
      <c r="A912" s="107" t="s">
        <v>2903</v>
      </c>
      <c r="B912" s="106" t="s">
        <v>2902</v>
      </c>
      <c r="C912" s="106" t="s">
        <v>2885</v>
      </c>
      <c r="D912" s="106" t="s">
        <v>519</v>
      </c>
      <c r="E912" s="106" t="s">
        <v>2884</v>
      </c>
      <c r="F912" s="106" t="s">
        <v>490</v>
      </c>
      <c r="G912" s="106" t="s">
        <v>2901</v>
      </c>
      <c r="H912" s="105" t="s">
        <v>2900</v>
      </c>
      <c r="I912" s="105" t="s">
        <v>2896</v>
      </c>
      <c r="J912" s="104">
        <v>0.55000000000000004</v>
      </c>
      <c r="K912" s="103" t="s">
        <v>426</v>
      </c>
      <c r="L912" s="102" t="s">
        <v>507</v>
      </c>
      <c r="M912" s="95"/>
      <c r="N912" s="14"/>
      <c r="O912" s="94">
        <v>38</v>
      </c>
      <c r="P912" s="14" t="s">
        <v>485</v>
      </c>
      <c r="Q912" s="14" t="s">
        <v>497</v>
      </c>
      <c r="R912" s="14" t="s">
        <v>496</v>
      </c>
      <c r="S912" s="15">
        <v>8</v>
      </c>
      <c r="T912" s="15">
        <v>2.2999999999999998</v>
      </c>
      <c r="U912" s="15">
        <v>0</v>
      </c>
      <c r="V912" s="14">
        <v>4615</v>
      </c>
      <c r="W912" s="12">
        <v>0</v>
      </c>
      <c r="X912" s="12">
        <v>0</v>
      </c>
      <c r="Y912" s="12">
        <v>0</v>
      </c>
      <c r="Z912" s="12">
        <v>0.55000000000000004</v>
      </c>
      <c r="AA912" s="12">
        <v>0</v>
      </c>
      <c r="AB912" s="13">
        <f t="shared" si="57"/>
        <v>0</v>
      </c>
      <c r="AE912" s="12">
        <v>0</v>
      </c>
      <c r="AF912" s="12">
        <v>0</v>
      </c>
      <c r="AG912" s="12">
        <v>0</v>
      </c>
      <c r="AH912" s="12">
        <v>0.55000000000000004</v>
      </c>
      <c r="AI912" s="12">
        <v>0</v>
      </c>
      <c r="AJ912" s="13">
        <f t="shared" si="58"/>
        <v>0</v>
      </c>
      <c r="AN912" s="12">
        <f t="shared" si="59"/>
        <v>2539</v>
      </c>
      <c r="AQ912" s="8" t="s">
        <v>417</v>
      </c>
      <c r="AR912" t="str">
        <f t="shared" si="60"/>
        <v>Oeste - A06</v>
      </c>
    </row>
    <row r="913" spans="1:44" x14ac:dyDescent="0.2">
      <c r="A913" s="107" t="s">
        <v>2899</v>
      </c>
      <c r="B913" s="106" t="s">
        <v>2898</v>
      </c>
      <c r="C913" s="106" t="s">
        <v>2885</v>
      </c>
      <c r="D913" s="106" t="s">
        <v>1032</v>
      </c>
      <c r="E913" s="106" t="s">
        <v>2893</v>
      </c>
      <c r="F913" s="106" t="s">
        <v>590</v>
      </c>
      <c r="G913" s="106" t="s">
        <v>2897</v>
      </c>
      <c r="H913" s="105" t="s">
        <v>2896</v>
      </c>
      <c r="I913" s="105" t="s">
        <v>929</v>
      </c>
      <c r="J913" s="104">
        <v>0.96</v>
      </c>
      <c r="K913" s="103" t="s">
        <v>426</v>
      </c>
      <c r="L913" s="102" t="s">
        <v>507</v>
      </c>
      <c r="M913" s="95"/>
      <c r="N913" s="14"/>
      <c r="O913" s="94">
        <v>38</v>
      </c>
      <c r="P913" s="14" t="s">
        <v>586</v>
      </c>
      <c r="Q913" s="14" t="s">
        <v>691</v>
      </c>
      <c r="R913" s="14" t="s">
        <v>496</v>
      </c>
      <c r="S913" s="15">
        <v>14.4</v>
      </c>
      <c r="T913" s="15">
        <v>0</v>
      </c>
      <c r="U913" s="15">
        <v>0</v>
      </c>
      <c r="V913" s="14">
        <v>497</v>
      </c>
      <c r="W913" s="12">
        <v>0</v>
      </c>
      <c r="X913" s="12">
        <v>0</v>
      </c>
      <c r="Y913" s="12">
        <v>0</v>
      </c>
      <c r="Z913" s="12">
        <v>0.96</v>
      </c>
      <c r="AA913" s="12">
        <v>0</v>
      </c>
      <c r="AB913" s="13">
        <f t="shared" si="57"/>
        <v>0</v>
      </c>
      <c r="AE913" s="12">
        <v>0</v>
      </c>
      <c r="AF913" s="12">
        <v>0</v>
      </c>
      <c r="AG913" s="12">
        <v>0</v>
      </c>
      <c r="AH913" s="12">
        <v>0.96</v>
      </c>
      <c r="AI913" s="12">
        <v>0</v>
      </c>
      <c r="AJ913" s="13">
        <f t="shared" si="58"/>
        <v>0</v>
      </c>
      <c r="AN913" s="12">
        <f t="shared" si="59"/>
        <v>478</v>
      </c>
      <c r="AQ913" s="8" t="s">
        <v>417</v>
      </c>
      <c r="AR913" t="str">
        <f t="shared" si="60"/>
        <v>Oeste - A06</v>
      </c>
    </row>
    <row r="914" spans="1:44" x14ac:dyDescent="0.2">
      <c r="A914" s="107" t="s">
        <v>2895</v>
      </c>
      <c r="B914" s="106" t="s">
        <v>2894</v>
      </c>
      <c r="C914" s="106" t="s">
        <v>2885</v>
      </c>
      <c r="D914" s="106" t="s">
        <v>2327</v>
      </c>
      <c r="E914" s="106" t="s">
        <v>2893</v>
      </c>
      <c r="F914" s="106" t="s">
        <v>590</v>
      </c>
      <c r="G914" s="106" t="s">
        <v>2892</v>
      </c>
      <c r="H914" s="105" t="s">
        <v>929</v>
      </c>
      <c r="I914" s="105" t="s">
        <v>2891</v>
      </c>
      <c r="J914" s="104">
        <v>0.32</v>
      </c>
      <c r="K914" s="103" t="s">
        <v>426</v>
      </c>
      <c r="L914" s="102" t="s">
        <v>507</v>
      </c>
      <c r="M914" s="95"/>
      <c r="N914" s="14"/>
      <c r="O914" s="94">
        <v>38</v>
      </c>
      <c r="P914" s="14" t="s">
        <v>586</v>
      </c>
      <c r="Q914" s="14" t="s">
        <v>691</v>
      </c>
      <c r="R914" s="14" t="s">
        <v>496</v>
      </c>
      <c r="S914" s="15">
        <v>14.4</v>
      </c>
      <c r="T914" s="15">
        <v>0</v>
      </c>
      <c r="U914" s="15">
        <v>0</v>
      </c>
      <c r="V914" s="14">
        <v>497</v>
      </c>
      <c r="W914" s="12">
        <v>0</v>
      </c>
      <c r="X914" s="12">
        <v>0</v>
      </c>
      <c r="Y914" s="12">
        <v>0</v>
      </c>
      <c r="Z914" s="12">
        <v>0.32</v>
      </c>
      <c r="AA914" s="12">
        <v>0</v>
      </c>
      <c r="AB914" s="13">
        <f t="shared" si="57"/>
        <v>0</v>
      </c>
      <c r="AE914" s="12">
        <v>0</v>
      </c>
      <c r="AF914" s="12">
        <v>0</v>
      </c>
      <c r="AG914" s="12">
        <v>0</v>
      </c>
      <c r="AH914" s="12">
        <v>0.32</v>
      </c>
      <c r="AI914" s="12">
        <v>0</v>
      </c>
      <c r="AJ914" s="13">
        <f t="shared" si="58"/>
        <v>0</v>
      </c>
      <c r="AN914" s="12">
        <f t="shared" si="59"/>
        <v>160</v>
      </c>
      <c r="AQ914" s="8" t="s">
        <v>417</v>
      </c>
      <c r="AR914" t="str">
        <f t="shared" si="60"/>
        <v>Oeste - A06</v>
      </c>
    </row>
    <row r="915" spans="1:44" x14ac:dyDescent="0.2">
      <c r="A915" s="107" t="s">
        <v>2890</v>
      </c>
      <c r="B915" s="106" t="s">
        <v>2889</v>
      </c>
      <c r="C915" s="106" t="s">
        <v>2885</v>
      </c>
      <c r="D915" s="106" t="s">
        <v>513</v>
      </c>
      <c r="E915" s="106" t="s">
        <v>2884</v>
      </c>
      <c r="F915" s="106" t="s">
        <v>490</v>
      </c>
      <c r="G915" s="106" t="s">
        <v>2888</v>
      </c>
      <c r="H915" s="105" t="s">
        <v>929</v>
      </c>
      <c r="I915" s="105" t="s">
        <v>2882</v>
      </c>
      <c r="J915" s="104">
        <v>14.98</v>
      </c>
      <c r="K915" s="103" t="s">
        <v>426</v>
      </c>
      <c r="L915" s="102" t="s">
        <v>507</v>
      </c>
      <c r="M915" s="95"/>
      <c r="N915" s="14"/>
      <c r="O915" s="94">
        <v>38</v>
      </c>
      <c r="P915" s="14" t="s">
        <v>485</v>
      </c>
      <c r="Q915" s="14" t="s">
        <v>497</v>
      </c>
      <c r="R915" s="14" t="s">
        <v>496</v>
      </c>
      <c r="S915" s="15">
        <v>7.2</v>
      </c>
      <c r="T915" s="15">
        <v>0.3</v>
      </c>
      <c r="U915" s="15">
        <v>0</v>
      </c>
      <c r="V915" s="14">
        <v>1168</v>
      </c>
      <c r="W915" s="12">
        <v>0</v>
      </c>
      <c r="X915" s="12">
        <v>0</v>
      </c>
      <c r="Y915" s="12">
        <v>0</v>
      </c>
      <c r="Z915" s="12">
        <v>14.98</v>
      </c>
      <c r="AA915" s="12">
        <v>0</v>
      </c>
      <c r="AB915" s="13">
        <f t="shared" si="57"/>
        <v>0</v>
      </c>
      <c r="AE915" s="12">
        <v>0</v>
      </c>
      <c r="AF915" s="12">
        <v>0</v>
      </c>
      <c r="AG915" s="12">
        <v>0</v>
      </c>
      <c r="AH915" s="12">
        <v>14.98</v>
      </c>
      <c r="AI915" s="12">
        <v>0</v>
      </c>
      <c r="AJ915" s="13">
        <f t="shared" si="58"/>
        <v>0</v>
      </c>
      <c r="AN915" s="12">
        <f t="shared" si="59"/>
        <v>17497</v>
      </c>
      <c r="AQ915" s="8" t="s">
        <v>417</v>
      </c>
      <c r="AR915" t="str">
        <f t="shared" si="60"/>
        <v>Oeste - A06</v>
      </c>
    </row>
    <row r="916" spans="1:44" x14ac:dyDescent="0.2">
      <c r="A916" s="107" t="s">
        <v>2887</v>
      </c>
      <c r="B916" s="106" t="s">
        <v>2886</v>
      </c>
      <c r="C916" s="106" t="s">
        <v>2885</v>
      </c>
      <c r="D916" s="106" t="s">
        <v>989</v>
      </c>
      <c r="E916" s="106" t="s">
        <v>2884</v>
      </c>
      <c r="F916" s="106" t="s">
        <v>490</v>
      </c>
      <c r="G916" s="106" t="s">
        <v>2883</v>
      </c>
      <c r="H916" s="105" t="s">
        <v>2882</v>
      </c>
      <c r="I916" s="105" t="s">
        <v>2881</v>
      </c>
      <c r="J916" s="104">
        <v>19.88</v>
      </c>
      <c r="K916" s="103" t="s">
        <v>426</v>
      </c>
      <c r="L916" s="102" t="s">
        <v>507</v>
      </c>
      <c r="M916" s="95"/>
      <c r="N916" s="14"/>
      <c r="O916" s="94">
        <v>38</v>
      </c>
      <c r="P916" s="14" t="s">
        <v>485</v>
      </c>
      <c r="Q916" s="14" t="s">
        <v>497</v>
      </c>
      <c r="R916" s="14" t="s">
        <v>496</v>
      </c>
      <c r="S916" s="15">
        <v>7.1</v>
      </c>
      <c r="T916" s="15">
        <v>0</v>
      </c>
      <c r="U916" s="15">
        <v>0</v>
      </c>
      <c r="V916" s="14">
        <v>1328</v>
      </c>
      <c r="W916" s="12">
        <v>0</v>
      </c>
      <c r="X916" s="12">
        <v>0</v>
      </c>
      <c r="Y916" s="12">
        <v>0</v>
      </c>
      <c r="Z916" s="12">
        <v>19.88</v>
      </c>
      <c r="AA916" s="12">
        <v>0</v>
      </c>
      <c r="AB916" s="13">
        <f t="shared" si="57"/>
        <v>0</v>
      </c>
      <c r="AE916" s="12">
        <v>0</v>
      </c>
      <c r="AF916" s="12">
        <v>0</v>
      </c>
      <c r="AG916" s="12">
        <v>0</v>
      </c>
      <c r="AH916" s="12">
        <v>19.88</v>
      </c>
      <c r="AI916" s="12">
        <v>0</v>
      </c>
      <c r="AJ916" s="13">
        <f t="shared" si="58"/>
        <v>0</v>
      </c>
      <c r="AN916" s="12">
        <f t="shared" si="59"/>
        <v>26401</v>
      </c>
      <c r="AQ916" s="8" t="s">
        <v>417</v>
      </c>
      <c r="AR916" t="str">
        <f t="shared" si="60"/>
        <v>Oeste - A06</v>
      </c>
    </row>
    <row r="917" spans="1:44" x14ac:dyDescent="0.2">
      <c r="A917" s="107" t="s">
        <v>2880</v>
      </c>
      <c r="B917" s="106" t="s">
        <v>2879</v>
      </c>
      <c r="C917" s="106" t="s">
        <v>2826</v>
      </c>
      <c r="D917" s="106" t="s">
        <v>981</v>
      </c>
      <c r="E917" s="106" t="s">
        <v>2824</v>
      </c>
      <c r="F917" s="106" t="s">
        <v>490</v>
      </c>
      <c r="G917" s="106" t="s">
        <v>2878</v>
      </c>
      <c r="H917" s="105" t="s">
        <v>2877</v>
      </c>
      <c r="I917" s="105" t="s">
        <v>1287</v>
      </c>
      <c r="J917" s="104">
        <v>15.07</v>
      </c>
      <c r="K917" s="103" t="s">
        <v>427</v>
      </c>
      <c r="L917" s="102" t="s">
        <v>533</v>
      </c>
      <c r="M917" s="95"/>
      <c r="N917" s="14"/>
      <c r="O917" s="94">
        <v>29</v>
      </c>
      <c r="P917" s="14" t="s">
        <v>485</v>
      </c>
      <c r="Q917" s="14" t="s">
        <v>505</v>
      </c>
      <c r="R917" s="14" t="s">
        <v>585</v>
      </c>
      <c r="S917" s="15">
        <v>6.6</v>
      </c>
      <c r="T917" s="15">
        <v>0</v>
      </c>
      <c r="U917" s="15">
        <v>0</v>
      </c>
      <c r="V917" s="14">
        <v>2202</v>
      </c>
      <c r="W917" s="12">
        <v>0</v>
      </c>
      <c r="X917" s="12">
        <v>0</v>
      </c>
      <c r="Y917" s="12">
        <v>11</v>
      </c>
      <c r="Z917" s="12">
        <v>4.07</v>
      </c>
      <c r="AA917" s="12">
        <v>0</v>
      </c>
      <c r="AB917" s="13">
        <f t="shared" si="57"/>
        <v>0</v>
      </c>
      <c r="AE917" s="12">
        <v>0</v>
      </c>
      <c r="AF917" s="12">
        <v>0</v>
      </c>
      <c r="AG917" s="12">
        <v>11</v>
      </c>
      <c r="AH917" s="12">
        <v>4.07</v>
      </c>
      <c r="AI917" s="12">
        <v>0</v>
      </c>
      <c r="AJ917" s="13">
        <f t="shared" si="58"/>
        <v>0</v>
      </c>
      <c r="AN917" s="12">
        <f t="shared" si="59"/>
        <v>33185</v>
      </c>
      <c r="AQ917" s="8" t="s">
        <v>418</v>
      </c>
      <c r="AR917" t="str">
        <f t="shared" si="60"/>
        <v>Noroeste - A07</v>
      </c>
    </row>
    <row r="918" spans="1:44" x14ac:dyDescent="0.2">
      <c r="A918" s="107" t="s">
        <v>2876</v>
      </c>
      <c r="B918" s="106" t="s">
        <v>2875</v>
      </c>
      <c r="C918" s="106" t="s">
        <v>2826</v>
      </c>
      <c r="D918" s="106" t="s">
        <v>1304</v>
      </c>
      <c r="E918" s="106" t="s">
        <v>2846</v>
      </c>
      <c r="F918" s="106" t="s">
        <v>590</v>
      </c>
      <c r="G918" s="106" t="s">
        <v>2874</v>
      </c>
      <c r="H918" s="105" t="s">
        <v>1287</v>
      </c>
      <c r="I918" s="105" t="s">
        <v>2870</v>
      </c>
      <c r="J918" s="104">
        <v>0.88</v>
      </c>
      <c r="K918" s="103" t="s">
        <v>427</v>
      </c>
      <c r="L918" s="102" t="s">
        <v>533</v>
      </c>
      <c r="M918" s="95"/>
      <c r="N918" s="14"/>
      <c r="O918" s="94">
        <v>29</v>
      </c>
      <c r="P918" s="14" t="s">
        <v>586</v>
      </c>
      <c r="Q918" s="14" t="s">
        <v>505</v>
      </c>
      <c r="R918" s="14" t="s">
        <v>585</v>
      </c>
      <c r="S918" s="15">
        <v>14</v>
      </c>
      <c r="T918" s="15">
        <v>0</v>
      </c>
      <c r="U918" s="15">
        <v>0</v>
      </c>
      <c r="V918" s="14">
        <v>448</v>
      </c>
      <c r="W918" s="12">
        <v>0</v>
      </c>
      <c r="X918" s="12">
        <v>0</v>
      </c>
      <c r="Y918" s="12">
        <v>0.88</v>
      </c>
      <c r="Z918" s="12">
        <v>0</v>
      </c>
      <c r="AA918" s="12">
        <v>0</v>
      </c>
      <c r="AB918" s="13">
        <f t="shared" si="57"/>
        <v>0</v>
      </c>
      <c r="AE918" s="12">
        <v>0</v>
      </c>
      <c r="AF918" s="12">
        <v>0</v>
      </c>
      <c r="AG918" s="12">
        <v>0.88</v>
      </c>
      <c r="AH918" s="12">
        <v>0</v>
      </c>
      <c r="AI918" s="12">
        <v>0</v>
      </c>
      <c r="AJ918" s="13">
        <f t="shared" si="58"/>
        <v>0</v>
      </c>
      <c r="AN918" s="12">
        <f t="shared" si="59"/>
        <v>395</v>
      </c>
      <c r="AQ918" s="8" t="s">
        <v>418</v>
      </c>
      <c r="AR918" t="str">
        <f t="shared" si="60"/>
        <v>Noroeste - A07</v>
      </c>
    </row>
    <row r="919" spans="1:44" x14ac:dyDescent="0.2">
      <c r="A919" s="107" t="s">
        <v>2873</v>
      </c>
      <c r="B919" s="106" t="s">
        <v>2872</v>
      </c>
      <c r="C919" s="106" t="s">
        <v>2826</v>
      </c>
      <c r="D919" s="106" t="s">
        <v>975</v>
      </c>
      <c r="E919" s="106" t="s">
        <v>2846</v>
      </c>
      <c r="F919" s="106" t="s">
        <v>590</v>
      </c>
      <c r="G919" s="106" t="s">
        <v>2871</v>
      </c>
      <c r="H919" s="105" t="s">
        <v>2870</v>
      </c>
      <c r="I919" s="105" t="s">
        <v>2866</v>
      </c>
      <c r="J919" s="104">
        <v>0.14000000000000001</v>
      </c>
      <c r="K919" s="103" t="s">
        <v>427</v>
      </c>
      <c r="L919" s="102" t="s">
        <v>533</v>
      </c>
      <c r="M919" s="95"/>
      <c r="N919" s="14"/>
      <c r="O919" s="94">
        <v>29</v>
      </c>
      <c r="P919" s="14" t="s">
        <v>586</v>
      </c>
      <c r="Q919" s="14" t="s">
        <v>505</v>
      </c>
      <c r="R919" s="14" t="s">
        <v>585</v>
      </c>
      <c r="S919" s="15">
        <v>14</v>
      </c>
      <c r="T919" s="15">
        <v>0</v>
      </c>
      <c r="U919" s="15">
        <v>0</v>
      </c>
      <c r="V919" s="14">
        <v>448</v>
      </c>
      <c r="W919" s="12">
        <v>0</v>
      </c>
      <c r="X919" s="12">
        <v>0</v>
      </c>
      <c r="Y919" s="12">
        <v>0.14000000000000001</v>
      </c>
      <c r="Z919" s="12">
        <v>0</v>
      </c>
      <c r="AA919" s="12">
        <v>0</v>
      </c>
      <c r="AB919" s="13">
        <f t="shared" si="57"/>
        <v>0</v>
      </c>
      <c r="AE919" s="12">
        <v>0</v>
      </c>
      <c r="AF919" s="12">
        <v>0</v>
      </c>
      <c r="AG919" s="12">
        <v>0.14000000000000001</v>
      </c>
      <c r="AH919" s="12">
        <v>0</v>
      </c>
      <c r="AI919" s="12">
        <v>0</v>
      </c>
      <c r="AJ919" s="13">
        <f t="shared" si="58"/>
        <v>0</v>
      </c>
      <c r="AN919" s="12">
        <f t="shared" si="59"/>
        <v>63</v>
      </c>
      <c r="AQ919" s="8" t="s">
        <v>418</v>
      </c>
      <c r="AR919" t="str">
        <f t="shared" si="60"/>
        <v>Noroeste - A07</v>
      </c>
    </row>
    <row r="920" spans="1:44" x14ac:dyDescent="0.2">
      <c r="A920" s="107" t="s">
        <v>2869</v>
      </c>
      <c r="B920" s="106" t="s">
        <v>2868</v>
      </c>
      <c r="C920" s="106" t="s">
        <v>2826</v>
      </c>
      <c r="D920" s="106" t="s">
        <v>1284</v>
      </c>
      <c r="E920" s="106" t="s">
        <v>2846</v>
      </c>
      <c r="F920" s="106" t="s">
        <v>590</v>
      </c>
      <c r="G920" s="106" t="s">
        <v>2867</v>
      </c>
      <c r="H920" s="105" t="s">
        <v>2866</v>
      </c>
      <c r="I920" s="105" t="s">
        <v>1267</v>
      </c>
      <c r="J920" s="104">
        <v>0.24</v>
      </c>
      <c r="K920" s="103" t="s">
        <v>427</v>
      </c>
      <c r="L920" s="102" t="s">
        <v>533</v>
      </c>
      <c r="M920" s="95"/>
      <c r="N920" s="14"/>
      <c r="O920" s="94">
        <v>29</v>
      </c>
      <c r="P920" s="14" t="s">
        <v>586</v>
      </c>
      <c r="Q920" s="14" t="s">
        <v>505</v>
      </c>
      <c r="R920" s="14" t="s">
        <v>585</v>
      </c>
      <c r="S920" s="15">
        <v>14</v>
      </c>
      <c r="T920" s="15">
        <v>0</v>
      </c>
      <c r="U920" s="15">
        <v>0</v>
      </c>
      <c r="V920" s="14">
        <v>448</v>
      </c>
      <c r="W920" s="12">
        <v>0</v>
      </c>
      <c r="X920" s="12">
        <v>0</v>
      </c>
      <c r="Y920" s="12">
        <v>0.24</v>
      </c>
      <c r="Z920" s="12">
        <v>0</v>
      </c>
      <c r="AA920" s="12">
        <v>0</v>
      </c>
      <c r="AB920" s="13">
        <f t="shared" si="57"/>
        <v>0</v>
      </c>
      <c r="AE920" s="12">
        <v>0</v>
      </c>
      <c r="AF920" s="12">
        <v>0</v>
      </c>
      <c r="AG920" s="12">
        <v>0.24</v>
      </c>
      <c r="AH920" s="12">
        <v>0</v>
      </c>
      <c r="AI920" s="12">
        <v>0</v>
      </c>
      <c r="AJ920" s="13">
        <f t="shared" si="58"/>
        <v>0</v>
      </c>
      <c r="AN920" s="12">
        <f t="shared" si="59"/>
        <v>108</v>
      </c>
      <c r="AQ920" s="8" t="s">
        <v>418</v>
      </c>
      <c r="AR920" t="str">
        <f t="shared" si="60"/>
        <v>Noroeste - A07</v>
      </c>
    </row>
    <row r="921" spans="1:44" x14ac:dyDescent="0.2">
      <c r="A921" s="107" t="s">
        <v>2865</v>
      </c>
      <c r="B921" s="106" t="s">
        <v>2864</v>
      </c>
      <c r="C921" s="106" t="s">
        <v>2826</v>
      </c>
      <c r="D921" s="106" t="s">
        <v>1269</v>
      </c>
      <c r="E921" s="106" t="s">
        <v>2824</v>
      </c>
      <c r="F921" s="106" t="s">
        <v>490</v>
      </c>
      <c r="G921" s="106" t="s">
        <v>2863</v>
      </c>
      <c r="H921" s="105" t="s">
        <v>1267</v>
      </c>
      <c r="I921" s="105" t="s">
        <v>2862</v>
      </c>
      <c r="J921" s="104">
        <v>14.01</v>
      </c>
      <c r="K921" s="103" t="s">
        <v>427</v>
      </c>
      <c r="L921" s="102" t="s">
        <v>533</v>
      </c>
      <c r="M921" s="95"/>
      <c r="N921" s="14"/>
      <c r="O921" s="94">
        <v>29</v>
      </c>
      <c r="P921" s="14" t="s">
        <v>485</v>
      </c>
      <c r="Q921" s="14" t="s">
        <v>887</v>
      </c>
      <c r="R921" s="14" t="s">
        <v>1258</v>
      </c>
      <c r="S921" s="15">
        <v>7.2</v>
      </c>
      <c r="T921" s="15">
        <v>0</v>
      </c>
      <c r="U921" s="15">
        <v>0</v>
      </c>
      <c r="V921" s="14">
        <v>1031</v>
      </c>
      <c r="W921" s="12">
        <v>0</v>
      </c>
      <c r="X921" s="12">
        <v>9.9999999999997868E-3</v>
      </c>
      <c r="Y921" s="12">
        <v>1</v>
      </c>
      <c r="Z921" s="12">
        <v>13</v>
      </c>
      <c r="AA921" s="12">
        <v>0</v>
      </c>
      <c r="AB921" s="13">
        <f t="shared" si="57"/>
        <v>0</v>
      </c>
      <c r="AE921" s="12">
        <v>0</v>
      </c>
      <c r="AF921" s="12">
        <v>9.9999999999997868E-3</v>
      </c>
      <c r="AG921" s="12">
        <v>1</v>
      </c>
      <c r="AH921" s="12">
        <v>13</v>
      </c>
      <c r="AI921" s="12">
        <v>0</v>
      </c>
      <c r="AJ921" s="13">
        <f t="shared" si="58"/>
        <v>0</v>
      </c>
      <c r="AN921" s="12">
        <f t="shared" si="59"/>
        <v>14445</v>
      </c>
      <c r="AQ921" s="8" t="s">
        <v>418</v>
      </c>
      <c r="AR921" t="str">
        <f t="shared" si="60"/>
        <v>Noroeste - A07</v>
      </c>
    </row>
    <row r="922" spans="1:44" x14ac:dyDescent="0.2">
      <c r="A922" s="107" t="s">
        <v>2861</v>
      </c>
      <c r="B922" s="106" t="s">
        <v>2860</v>
      </c>
      <c r="C922" s="106" t="s">
        <v>2826</v>
      </c>
      <c r="D922" s="106" t="s">
        <v>2859</v>
      </c>
      <c r="E922" s="106" t="s">
        <v>2846</v>
      </c>
      <c r="F922" s="106" t="s">
        <v>590</v>
      </c>
      <c r="G922" s="106" t="s">
        <v>2858</v>
      </c>
      <c r="H922" s="105" t="s">
        <v>2857</v>
      </c>
      <c r="I922" s="105" t="s">
        <v>2853</v>
      </c>
      <c r="J922" s="104">
        <v>1.2</v>
      </c>
      <c r="K922" s="103" t="s">
        <v>427</v>
      </c>
      <c r="L922" s="102" t="s">
        <v>533</v>
      </c>
      <c r="M922" s="95"/>
      <c r="N922" s="14"/>
      <c r="O922" s="94">
        <v>29</v>
      </c>
      <c r="P922" s="14" t="s">
        <v>586</v>
      </c>
      <c r="Q922" s="14" t="s">
        <v>887</v>
      </c>
      <c r="R922" s="14" t="s">
        <v>496</v>
      </c>
      <c r="S922" s="15">
        <v>14</v>
      </c>
      <c r="T922" s="15">
        <v>0</v>
      </c>
      <c r="U922" s="15">
        <v>0</v>
      </c>
      <c r="V922" s="14">
        <v>269</v>
      </c>
      <c r="W922" s="12">
        <v>0</v>
      </c>
      <c r="X922" s="12">
        <v>0</v>
      </c>
      <c r="Y922" s="12">
        <v>0</v>
      </c>
      <c r="Z922" s="12">
        <v>1.2</v>
      </c>
      <c r="AA922" s="12">
        <v>0</v>
      </c>
      <c r="AB922" s="13">
        <f t="shared" si="57"/>
        <v>0</v>
      </c>
      <c r="AE922" s="12">
        <v>0</v>
      </c>
      <c r="AF922" s="12">
        <v>0</v>
      </c>
      <c r="AG922" s="12">
        <v>0</v>
      </c>
      <c r="AH922" s="12">
        <v>1.2</v>
      </c>
      <c r="AI922" s="12">
        <v>0</v>
      </c>
      <c r="AJ922" s="13">
        <f t="shared" si="58"/>
        <v>0</v>
      </c>
      <c r="AN922" s="12">
        <f t="shared" si="59"/>
        <v>323</v>
      </c>
      <c r="AQ922" s="8" t="s">
        <v>418</v>
      </c>
      <c r="AR922" t="str">
        <f t="shared" si="60"/>
        <v>Noroeste - A07</v>
      </c>
    </row>
    <row r="923" spans="1:44" x14ac:dyDescent="0.2">
      <c r="A923" s="107" t="s">
        <v>2856</v>
      </c>
      <c r="B923" s="106" t="s">
        <v>2855</v>
      </c>
      <c r="C923" s="106" t="s">
        <v>2826</v>
      </c>
      <c r="D923" s="106" t="s">
        <v>965</v>
      </c>
      <c r="E923" s="106" t="s">
        <v>2824</v>
      </c>
      <c r="F923" s="106" t="s">
        <v>490</v>
      </c>
      <c r="G923" s="106" t="s">
        <v>2854</v>
      </c>
      <c r="H923" s="105" t="s">
        <v>2853</v>
      </c>
      <c r="I923" s="105" t="s">
        <v>2849</v>
      </c>
      <c r="J923" s="104">
        <v>21.72</v>
      </c>
      <c r="K923" s="103" t="s">
        <v>430</v>
      </c>
      <c r="L923" s="102" t="s">
        <v>533</v>
      </c>
      <c r="M923" s="95"/>
      <c r="N923" s="17">
        <f>O923</f>
        <v>32</v>
      </c>
      <c r="O923" s="94">
        <v>32</v>
      </c>
      <c r="P923" s="14" t="s">
        <v>485</v>
      </c>
      <c r="Q923" s="14" t="s">
        <v>561</v>
      </c>
      <c r="R923" s="14" t="s">
        <v>496</v>
      </c>
      <c r="S923" s="15">
        <v>7</v>
      </c>
      <c r="T923" s="15">
        <v>1.3</v>
      </c>
      <c r="U923" s="15">
        <v>0</v>
      </c>
      <c r="V923" s="14">
        <v>1686</v>
      </c>
      <c r="W923" s="12">
        <v>0</v>
      </c>
      <c r="X923" s="12">
        <v>1</v>
      </c>
      <c r="Y923" s="12">
        <v>3</v>
      </c>
      <c r="Z923" s="12">
        <v>17.72</v>
      </c>
      <c r="AA923" s="12">
        <v>0</v>
      </c>
      <c r="AB923" s="13">
        <f t="shared" si="57"/>
        <v>0</v>
      </c>
      <c r="AE923" s="12">
        <v>0</v>
      </c>
      <c r="AF923" s="12">
        <v>1</v>
      </c>
      <c r="AG923" s="12">
        <v>3</v>
      </c>
      <c r="AH923" s="12">
        <v>17.72</v>
      </c>
      <c r="AI923" s="12">
        <v>0</v>
      </c>
      <c r="AJ923" s="13">
        <f t="shared" si="58"/>
        <v>0</v>
      </c>
      <c r="AN923" s="12">
        <f t="shared" si="59"/>
        <v>36620</v>
      </c>
      <c r="AQ923" s="8" t="s">
        <v>418</v>
      </c>
      <c r="AR923" t="str">
        <f t="shared" si="60"/>
        <v>Noroeste - A10</v>
      </c>
    </row>
    <row r="924" spans="1:44" x14ac:dyDescent="0.2">
      <c r="A924" s="107" t="s">
        <v>2852</v>
      </c>
      <c r="B924" s="106" t="s">
        <v>2851</v>
      </c>
      <c r="C924" s="106" t="s">
        <v>2826</v>
      </c>
      <c r="D924" s="106" t="s">
        <v>633</v>
      </c>
      <c r="E924" s="106" t="s">
        <v>2824</v>
      </c>
      <c r="F924" s="106" t="s">
        <v>490</v>
      </c>
      <c r="G924" s="106" t="s">
        <v>2850</v>
      </c>
      <c r="H924" s="105" t="s">
        <v>2849</v>
      </c>
      <c r="I924" s="105" t="s">
        <v>2844</v>
      </c>
      <c r="J924" s="104">
        <v>0.55000000000000004</v>
      </c>
      <c r="K924" s="103" t="s">
        <v>430</v>
      </c>
      <c r="L924" s="102" t="s">
        <v>533</v>
      </c>
      <c r="M924" s="95"/>
      <c r="N924" s="17">
        <f>O924</f>
        <v>32</v>
      </c>
      <c r="O924" s="94">
        <v>32</v>
      </c>
      <c r="P924" s="14" t="s">
        <v>485</v>
      </c>
      <c r="Q924" s="14" t="s">
        <v>561</v>
      </c>
      <c r="R924" s="14" t="s">
        <v>496</v>
      </c>
      <c r="S924" s="15">
        <v>14</v>
      </c>
      <c r="T924" s="15">
        <v>0</v>
      </c>
      <c r="U924" s="15">
        <v>0</v>
      </c>
      <c r="V924" s="14">
        <v>1686</v>
      </c>
      <c r="W924" s="12">
        <v>0</v>
      </c>
      <c r="X924" s="12">
        <v>0</v>
      </c>
      <c r="Y924" s="12">
        <v>0</v>
      </c>
      <c r="Z924" s="12">
        <v>0.55000000000000004</v>
      </c>
      <c r="AA924" s="12">
        <v>0</v>
      </c>
      <c r="AB924" s="13">
        <f t="shared" si="57"/>
        <v>0</v>
      </c>
      <c r="AE924" s="12">
        <v>0</v>
      </c>
      <c r="AF924" s="12">
        <v>0</v>
      </c>
      <c r="AG924" s="12">
        <v>0</v>
      </c>
      <c r="AH924" s="12">
        <v>0.55000000000000004</v>
      </c>
      <c r="AI924" s="12">
        <v>0</v>
      </c>
      <c r="AJ924" s="13">
        <f t="shared" si="58"/>
        <v>0</v>
      </c>
      <c r="AN924" s="12">
        <f t="shared" si="59"/>
        <v>928</v>
      </c>
      <c r="AQ924" s="8" t="s">
        <v>418</v>
      </c>
      <c r="AR924" t="str">
        <f t="shared" si="60"/>
        <v>Noroeste - A10</v>
      </c>
    </row>
    <row r="925" spans="1:44" x14ac:dyDescent="0.2">
      <c r="A925" s="107" t="s">
        <v>2848</v>
      </c>
      <c r="B925" s="106" t="s">
        <v>2847</v>
      </c>
      <c r="C925" s="106" t="s">
        <v>2826</v>
      </c>
      <c r="D925" s="106" t="s">
        <v>2256</v>
      </c>
      <c r="E925" s="106" t="s">
        <v>2846</v>
      </c>
      <c r="F925" s="106" t="s">
        <v>590</v>
      </c>
      <c r="G925" s="106" t="s">
        <v>2845</v>
      </c>
      <c r="H925" s="105" t="s">
        <v>2844</v>
      </c>
      <c r="I925" s="105" t="s">
        <v>2840</v>
      </c>
      <c r="J925" s="104">
        <v>2.2799999999999998</v>
      </c>
      <c r="K925" s="103" t="s">
        <v>430</v>
      </c>
      <c r="L925" s="102" t="s">
        <v>533</v>
      </c>
      <c r="M925" s="95"/>
      <c r="N925" s="14"/>
      <c r="O925" s="94">
        <v>32</v>
      </c>
      <c r="P925" s="14" t="s">
        <v>586</v>
      </c>
      <c r="Q925" s="14" t="s">
        <v>561</v>
      </c>
      <c r="R925" s="14" t="s">
        <v>496</v>
      </c>
      <c r="S925" s="15">
        <v>14</v>
      </c>
      <c r="T925" s="15">
        <v>0</v>
      </c>
      <c r="U925" s="15">
        <v>0</v>
      </c>
      <c r="V925" s="14">
        <v>811</v>
      </c>
      <c r="W925" s="12">
        <v>0</v>
      </c>
      <c r="X925" s="12">
        <v>0</v>
      </c>
      <c r="Y925" s="12">
        <v>1.2799999999999998</v>
      </c>
      <c r="Z925" s="12">
        <v>1</v>
      </c>
      <c r="AA925" s="12">
        <v>0</v>
      </c>
      <c r="AB925" s="13">
        <f t="shared" si="57"/>
        <v>0</v>
      </c>
      <c r="AE925" s="12">
        <v>0</v>
      </c>
      <c r="AF925" s="12">
        <v>0</v>
      </c>
      <c r="AG925" s="12">
        <v>1.2799999999999998</v>
      </c>
      <c r="AH925" s="12">
        <v>1</v>
      </c>
      <c r="AI925" s="12">
        <v>0</v>
      </c>
      <c r="AJ925" s="13">
        <f t="shared" si="58"/>
        <v>0</v>
      </c>
      <c r="AN925" s="12">
        <f t="shared" si="59"/>
        <v>1850</v>
      </c>
      <c r="AQ925" s="8" t="s">
        <v>418</v>
      </c>
      <c r="AR925" t="str">
        <f t="shared" si="60"/>
        <v>Noroeste - A10</v>
      </c>
    </row>
    <row r="926" spans="1:44" x14ac:dyDescent="0.2">
      <c r="A926" s="107" t="s">
        <v>2843</v>
      </c>
      <c r="B926" s="106" t="s">
        <v>2842</v>
      </c>
      <c r="C926" s="106" t="s">
        <v>2826</v>
      </c>
      <c r="D926" s="106" t="s">
        <v>2145</v>
      </c>
      <c r="E926" s="106" t="s">
        <v>2824</v>
      </c>
      <c r="F926" s="106" t="s">
        <v>490</v>
      </c>
      <c r="G926" s="106" t="s">
        <v>2841</v>
      </c>
      <c r="H926" s="105" t="s">
        <v>2840</v>
      </c>
      <c r="I926" s="105" t="s">
        <v>2835</v>
      </c>
      <c r="J926" s="104">
        <v>8.4</v>
      </c>
      <c r="K926" s="103" t="s">
        <v>430</v>
      </c>
      <c r="L926" s="102" t="s">
        <v>533</v>
      </c>
      <c r="M926" s="95"/>
      <c r="N926" s="17">
        <f>O926</f>
        <v>32</v>
      </c>
      <c r="O926" s="94">
        <v>32</v>
      </c>
      <c r="P926" s="14" t="s">
        <v>485</v>
      </c>
      <c r="Q926" s="14" t="s">
        <v>561</v>
      </c>
      <c r="R926" s="14" t="s">
        <v>496</v>
      </c>
      <c r="S926" s="15">
        <v>7</v>
      </c>
      <c r="T926" s="15">
        <v>1.3</v>
      </c>
      <c r="U926" s="15">
        <v>0</v>
      </c>
      <c r="V926" s="14">
        <v>2746</v>
      </c>
      <c r="W926" s="12">
        <v>0</v>
      </c>
      <c r="X926" s="12">
        <v>0</v>
      </c>
      <c r="Y926" s="12">
        <v>4.4000000000000004</v>
      </c>
      <c r="Z926" s="12">
        <v>4</v>
      </c>
      <c r="AA926" s="12">
        <v>0</v>
      </c>
      <c r="AB926" s="13">
        <f t="shared" si="57"/>
        <v>0</v>
      </c>
      <c r="AE926" s="12">
        <v>0</v>
      </c>
      <c r="AF926" s="12">
        <v>0</v>
      </c>
      <c r="AG926" s="12">
        <v>4.4000000000000004</v>
      </c>
      <c r="AH926" s="12">
        <v>4</v>
      </c>
      <c r="AI926" s="12">
        <v>0</v>
      </c>
      <c r="AJ926" s="13">
        <f t="shared" si="58"/>
        <v>0</v>
      </c>
      <c r="AN926" s="12">
        <f t="shared" si="59"/>
        <v>23067</v>
      </c>
      <c r="AQ926" s="8" t="s">
        <v>418</v>
      </c>
      <c r="AR926" t="str">
        <f t="shared" si="60"/>
        <v>Noroeste - A10</v>
      </c>
    </row>
    <row r="927" spans="1:44" x14ac:dyDescent="0.2">
      <c r="A927" s="107" t="s">
        <v>2839</v>
      </c>
      <c r="B927" s="106" t="s">
        <v>2838</v>
      </c>
      <c r="C927" s="106" t="s">
        <v>2826</v>
      </c>
      <c r="D927" s="106" t="s">
        <v>2837</v>
      </c>
      <c r="E927" s="106" t="s">
        <v>2824</v>
      </c>
      <c r="F927" s="106" t="s">
        <v>490</v>
      </c>
      <c r="G927" s="106" t="s">
        <v>2836</v>
      </c>
      <c r="H927" s="105" t="s">
        <v>2835</v>
      </c>
      <c r="I927" s="105" t="s">
        <v>2830</v>
      </c>
      <c r="J927" s="104">
        <v>8.66</v>
      </c>
      <c r="K927" s="103" t="s">
        <v>430</v>
      </c>
      <c r="L927" s="102" t="s">
        <v>533</v>
      </c>
      <c r="M927" s="95"/>
      <c r="N927" s="17">
        <f>O927</f>
        <v>32</v>
      </c>
      <c r="O927" s="94">
        <v>32</v>
      </c>
      <c r="P927" s="14" t="s">
        <v>485</v>
      </c>
      <c r="Q927" s="14" t="s">
        <v>561</v>
      </c>
      <c r="R927" s="14" t="s">
        <v>496</v>
      </c>
      <c r="S927" s="15">
        <v>7</v>
      </c>
      <c r="T927" s="15">
        <v>1.3</v>
      </c>
      <c r="U927" s="15">
        <v>0</v>
      </c>
      <c r="V927" s="14">
        <v>4057</v>
      </c>
      <c r="W927" s="12">
        <v>0</v>
      </c>
      <c r="X927" s="12">
        <v>0</v>
      </c>
      <c r="Y927" s="12">
        <v>2</v>
      </c>
      <c r="Z927" s="12">
        <v>6.66</v>
      </c>
      <c r="AA927" s="12">
        <v>0</v>
      </c>
      <c r="AB927" s="13">
        <f t="shared" si="57"/>
        <v>0</v>
      </c>
      <c r="AE927" s="12">
        <v>0</v>
      </c>
      <c r="AF927" s="12">
        <v>0</v>
      </c>
      <c r="AG927" s="12">
        <v>2</v>
      </c>
      <c r="AH927" s="12">
        <v>6.66</v>
      </c>
      <c r="AI927" s="12">
        <v>0</v>
      </c>
      <c r="AJ927" s="13">
        <f t="shared" si="58"/>
        <v>0</v>
      </c>
      <c r="AN927" s="12">
        <f t="shared" si="59"/>
        <v>35134</v>
      </c>
      <c r="AQ927" s="8" t="s">
        <v>418</v>
      </c>
      <c r="AR927" t="str">
        <f t="shared" si="60"/>
        <v>Noroeste - A10</v>
      </c>
    </row>
    <row r="928" spans="1:44" x14ac:dyDescent="0.2">
      <c r="A928" s="107" t="s">
        <v>2834</v>
      </c>
      <c r="B928" s="106" t="s">
        <v>2833</v>
      </c>
      <c r="C928" s="106" t="s">
        <v>2826</v>
      </c>
      <c r="D928" s="106" t="s">
        <v>2832</v>
      </c>
      <c r="E928" s="106" t="s">
        <v>2824</v>
      </c>
      <c r="F928" s="106" t="s">
        <v>490</v>
      </c>
      <c r="G928" s="106" t="s">
        <v>2831</v>
      </c>
      <c r="H928" s="105" t="s">
        <v>2830</v>
      </c>
      <c r="I928" s="105" t="s">
        <v>2829</v>
      </c>
      <c r="J928" s="104">
        <v>0.5</v>
      </c>
      <c r="K928" s="103" t="s">
        <v>430</v>
      </c>
      <c r="L928" s="102" t="s">
        <v>533</v>
      </c>
      <c r="M928" s="95"/>
      <c r="N928" s="17">
        <f>O928</f>
        <v>32</v>
      </c>
      <c r="O928" s="94">
        <v>32</v>
      </c>
      <c r="P928" s="14" t="s">
        <v>485</v>
      </c>
      <c r="Q928" s="14" t="s">
        <v>561</v>
      </c>
      <c r="R928" s="14" t="s">
        <v>496</v>
      </c>
      <c r="S928" s="15">
        <v>7</v>
      </c>
      <c r="T928" s="15">
        <v>1.3</v>
      </c>
      <c r="U928" s="15">
        <v>0</v>
      </c>
      <c r="V928" s="14">
        <v>2746</v>
      </c>
      <c r="W928" s="12">
        <v>0</v>
      </c>
      <c r="X928" s="12">
        <v>0</v>
      </c>
      <c r="Y928" s="12">
        <v>0</v>
      </c>
      <c r="Z928" s="12">
        <v>0.5</v>
      </c>
      <c r="AA928" s="12">
        <v>0</v>
      </c>
      <c r="AB928" s="13">
        <f t="shared" si="57"/>
        <v>0</v>
      </c>
      <c r="AE928" s="12">
        <v>0</v>
      </c>
      <c r="AF928" s="12">
        <v>0</v>
      </c>
      <c r="AG928" s="12">
        <v>0</v>
      </c>
      <c r="AH928" s="12">
        <v>0.5</v>
      </c>
      <c r="AI928" s="12">
        <v>0</v>
      </c>
      <c r="AJ928" s="13">
        <f t="shared" si="58"/>
        <v>0</v>
      </c>
      <c r="AN928" s="12">
        <f t="shared" si="59"/>
        <v>1373</v>
      </c>
      <c r="AQ928" s="8" t="s">
        <v>418</v>
      </c>
      <c r="AR928" t="str">
        <f t="shared" si="60"/>
        <v>Noroeste - A10</v>
      </c>
    </row>
    <row r="929" spans="1:44" x14ac:dyDescent="0.2">
      <c r="A929" s="107" t="s">
        <v>2828</v>
      </c>
      <c r="B929" s="106" t="s">
        <v>2827</v>
      </c>
      <c r="C929" s="106" t="s">
        <v>2826</v>
      </c>
      <c r="D929" s="106" t="s">
        <v>2825</v>
      </c>
      <c r="E929" s="106" t="s">
        <v>2824</v>
      </c>
      <c r="F929" s="106" t="s">
        <v>490</v>
      </c>
      <c r="G929" s="106" t="s">
        <v>2823</v>
      </c>
      <c r="H929" s="105" t="s">
        <v>2822</v>
      </c>
      <c r="I929" s="105" t="s">
        <v>2821</v>
      </c>
      <c r="J929" s="104">
        <v>2.92</v>
      </c>
      <c r="K929" s="103" t="s">
        <v>430</v>
      </c>
      <c r="L929" s="102" t="s">
        <v>533</v>
      </c>
      <c r="M929" s="95"/>
      <c r="N929" s="17">
        <f>O929</f>
        <v>32</v>
      </c>
      <c r="O929" s="94">
        <v>32</v>
      </c>
      <c r="P929" s="14" t="s">
        <v>485</v>
      </c>
      <c r="Q929" s="14" t="s">
        <v>561</v>
      </c>
      <c r="R929" s="14" t="s">
        <v>496</v>
      </c>
      <c r="S929" s="15">
        <v>7</v>
      </c>
      <c r="T929" s="15">
        <v>1.3</v>
      </c>
      <c r="U929" s="15">
        <v>0</v>
      </c>
      <c r="V929" s="14">
        <v>2746</v>
      </c>
      <c r="W929" s="12">
        <v>0</v>
      </c>
      <c r="X929" s="12">
        <v>0</v>
      </c>
      <c r="Y929" s="12">
        <v>0.91999999999999993</v>
      </c>
      <c r="Z929" s="12">
        <v>2</v>
      </c>
      <c r="AA929" s="12">
        <v>0</v>
      </c>
      <c r="AB929" s="13">
        <f t="shared" si="57"/>
        <v>0</v>
      </c>
      <c r="AE929" s="12">
        <v>0</v>
      </c>
      <c r="AF929" s="12">
        <v>0</v>
      </c>
      <c r="AG929" s="12">
        <v>0.91999999999999993</v>
      </c>
      <c r="AH929" s="12">
        <v>2</v>
      </c>
      <c r="AI929" s="12">
        <v>0</v>
      </c>
      <c r="AJ929" s="13">
        <f t="shared" si="58"/>
        <v>0</v>
      </c>
      <c r="AN929" s="12">
        <f t="shared" si="59"/>
        <v>8019</v>
      </c>
      <c r="AQ929" s="8" t="s">
        <v>418</v>
      </c>
      <c r="AR929" t="str">
        <f t="shared" si="60"/>
        <v>Noroeste - A10</v>
      </c>
    </row>
    <row r="930" spans="1:44" x14ac:dyDescent="0.2">
      <c r="A930" s="107" t="s">
        <v>2820</v>
      </c>
      <c r="B930" s="106" t="s">
        <v>2819</v>
      </c>
      <c r="C930" s="106" t="s">
        <v>2769</v>
      </c>
      <c r="D930" s="106" t="s">
        <v>492</v>
      </c>
      <c r="E930" s="106" t="s">
        <v>2768</v>
      </c>
      <c r="F930" s="106" t="s">
        <v>490</v>
      </c>
      <c r="G930" s="106" t="s">
        <v>2818</v>
      </c>
      <c r="H930" s="105" t="s">
        <v>2817</v>
      </c>
      <c r="I930" s="105" t="s">
        <v>2813</v>
      </c>
      <c r="J930" s="104">
        <v>23.15</v>
      </c>
      <c r="K930" s="103" t="s">
        <v>427</v>
      </c>
      <c r="L930" s="102" t="s">
        <v>577</v>
      </c>
      <c r="M930" s="95"/>
      <c r="N930" s="14"/>
      <c r="O930" s="94">
        <v>12</v>
      </c>
      <c r="P930" s="14" t="s">
        <v>485</v>
      </c>
      <c r="Q930" s="14" t="s">
        <v>497</v>
      </c>
      <c r="R930" s="14" t="s">
        <v>496</v>
      </c>
      <c r="S930" s="15">
        <v>7</v>
      </c>
      <c r="T930" s="15">
        <v>0</v>
      </c>
      <c r="U930" s="15">
        <v>4.25</v>
      </c>
      <c r="V930" s="14">
        <v>6126</v>
      </c>
      <c r="W930" s="12">
        <v>0</v>
      </c>
      <c r="X930" s="12">
        <v>0</v>
      </c>
      <c r="Y930" s="12">
        <v>6</v>
      </c>
      <c r="Z930" s="12">
        <v>17.149999999999999</v>
      </c>
      <c r="AA930" s="12">
        <v>0</v>
      </c>
      <c r="AB930" s="13">
        <f t="shared" si="57"/>
        <v>0</v>
      </c>
      <c r="AE930" s="12">
        <v>0</v>
      </c>
      <c r="AF930" s="12">
        <v>0</v>
      </c>
      <c r="AG930" s="12">
        <v>6</v>
      </c>
      <c r="AH930" s="12">
        <v>17.149999999999999</v>
      </c>
      <c r="AI930" s="12">
        <v>0</v>
      </c>
      <c r="AJ930" s="13">
        <f t="shared" si="58"/>
        <v>0</v>
      </c>
      <c r="AN930" s="12">
        <f t="shared" si="59"/>
        <v>141817</v>
      </c>
      <c r="AQ930" s="8" t="s">
        <v>420</v>
      </c>
      <c r="AR930" t="str">
        <f t="shared" si="60"/>
        <v>Campos Gerais - A07</v>
      </c>
    </row>
    <row r="931" spans="1:44" x14ac:dyDescent="0.2">
      <c r="A931" s="107" t="s">
        <v>2816</v>
      </c>
      <c r="B931" s="106" t="s">
        <v>2815</v>
      </c>
      <c r="C931" s="106" t="s">
        <v>2769</v>
      </c>
      <c r="D931" s="106" t="s">
        <v>513</v>
      </c>
      <c r="E931" s="106" t="s">
        <v>2768</v>
      </c>
      <c r="F931" s="106" t="s">
        <v>490</v>
      </c>
      <c r="G931" s="106" t="s">
        <v>2814</v>
      </c>
      <c r="H931" s="105" t="s">
        <v>2813</v>
      </c>
      <c r="I931" s="105" t="s">
        <v>2809</v>
      </c>
      <c r="J931" s="104">
        <v>7.37</v>
      </c>
      <c r="K931" s="103" t="s">
        <v>424</v>
      </c>
      <c r="L931" s="102" t="s">
        <v>507</v>
      </c>
      <c r="M931" s="95"/>
      <c r="N931" s="14"/>
      <c r="O931" s="94">
        <v>36</v>
      </c>
      <c r="P931" s="14" t="s">
        <v>485</v>
      </c>
      <c r="Q931" s="14" t="s">
        <v>497</v>
      </c>
      <c r="R931" s="14" t="s">
        <v>496</v>
      </c>
      <c r="S931" s="15">
        <v>7</v>
      </c>
      <c r="T931" s="15">
        <v>0</v>
      </c>
      <c r="U931" s="15">
        <v>2.2000000000000002</v>
      </c>
      <c r="V931" s="14">
        <v>2307</v>
      </c>
      <c r="W931" s="12">
        <v>0</v>
      </c>
      <c r="X931" s="12">
        <v>0</v>
      </c>
      <c r="Y931" s="12">
        <v>0</v>
      </c>
      <c r="Z931" s="12">
        <v>7.37</v>
      </c>
      <c r="AA931" s="12">
        <v>0</v>
      </c>
      <c r="AB931" s="13">
        <f t="shared" si="57"/>
        <v>0</v>
      </c>
      <c r="AE931" s="12">
        <v>0</v>
      </c>
      <c r="AF931" s="12">
        <v>0</v>
      </c>
      <c r="AG931" s="12">
        <v>0</v>
      </c>
      <c r="AH931" s="12">
        <v>7.37</v>
      </c>
      <c r="AI931" s="12">
        <v>0</v>
      </c>
      <c r="AJ931" s="13">
        <f t="shared" si="58"/>
        <v>0</v>
      </c>
      <c r="AN931" s="12">
        <f t="shared" si="59"/>
        <v>17003</v>
      </c>
      <c r="AQ931" s="8" t="s">
        <v>417</v>
      </c>
      <c r="AR931" t="str">
        <f t="shared" si="60"/>
        <v>Oeste - A04</v>
      </c>
    </row>
    <row r="932" spans="1:44" x14ac:dyDescent="0.2">
      <c r="A932" s="107" t="s">
        <v>2812</v>
      </c>
      <c r="B932" s="106" t="s">
        <v>2811</v>
      </c>
      <c r="C932" s="106" t="s">
        <v>2769</v>
      </c>
      <c r="D932" s="106" t="s">
        <v>989</v>
      </c>
      <c r="E932" s="106" t="s">
        <v>2768</v>
      </c>
      <c r="F932" s="106" t="s">
        <v>490</v>
      </c>
      <c r="G932" s="106" t="s">
        <v>2810</v>
      </c>
      <c r="H932" s="105" t="s">
        <v>2809</v>
      </c>
      <c r="I932" s="105" t="s">
        <v>2808</v>
      </c>
      <c r="J932" s="104">
        <v>26.53</v>
      </c>
      <c r="K932" s="103" t="s">
        <v>424</v>
      </c>
      <c r="L932" s="102" t="s">
        <v>507</v>
      </c>
      <c r="M932" s="95"/>
      <c r="N932" s="17">
        <f>O932</f>
        <v>36</v>
      </c>
      <c r="O932" s="94">
        <v>36</v>
      </c>
      <c r="P932" s="14" t="s">
        <v>485</v>
      </c>
      <c r="Q932" s="14" t="s">
        <v>497</v>
      </c>
      <c r="R932" s="14" t="s">
        <v>496</v>
      </c>
      <c r="S932" s="15">
        <v>6.6</v>
      </c>
      <c r="T932" s="15">
        <v>0</v>
      </c>
      <c r="U932" s="15">
        <v>4.3</v>
      </c>
      <c r="V932" s="14">
        <v>1336</v>
      </c>
      <c r="W932" s="12">
        <v>0</v>
      </c>
      <c r="X932" s="12">
        <v>0</v>
      </c>
      <c r="Y932" s="12">
        <v>3</v>
      </c>
      <c r="Z932" s="12">
        <v>23.53</v>
      </c>
      <c r="AA932" s="12">
        <v>0</v>
      </c>
      <c r="AB932" s="13">
        <f t="shared" si="57"/>
        <v>0</v>
      </c>
      <c r="AE932" s="12">
        <v>0</v>
      </c>
      <c r="AF932" s="12">
        <v>0</v>
      </c>
      <c r="AG932" s="12">
        <v>3</v>
      </c>
      <c r="AH932" s="12">
        <v>23.53</v>
      </c>
      <c r="AI932" s="12">
        <v>0</v>
      </c>
      <c r="AJ932" s="13">
        <f t="shared" si="58"/>
        <v>0</v>
      </c>
      <c r="AN932" s="12">
        <f t="shared" si="59"/>
        <v>35445</v>
      </c>
      <c r="AQ932" s="8" t="s">
        <v>417</v>
      </c>
      <c r="AR932" t="str">
        <f t="shared" si="60"/>
        <v>Oeste - A04</v>
      </c>
    </row>
    <row r="933" spans="1:44" x14ac:dyDescent="0.2">
      <c r="A933" s="107" t="s">
        <v>2807</v>
      </c>
      <c r="B933" s="106" t="s">
        <v>2806</v>
      </c>
      <c r="C933" s="106" t="s">
        <v>2769</v>
      </c>
      <c r="D933" s="106" t="s">
        <v>2805</v>
      </c>
      <c r="E933" s="106" t="s">
        <v>2792</v>
      </c>
      <c r="F933" s="106" t="s">
        <v>590</v>
      </c>
      <c r="G933" s="106" t="s">
        <v>2804</v>
      </c>
      <c r="H933" s="105" t="s">
        <v>2803</v>
      </c>
      <c r="I933" s="105" t="s">
        <v>2800</v>
      </c>
      <c r="J933" s="104">
        <v>0.4</v>
      </c>
      <c r="K933" s="103" t="s">
        <v>424</v>
      </c>
      <c r="L933" s="102" t="s">
        <v>507</v>
      </c>
      <c r="M933" s="95"/>
      <c r="N933" s="14"/>
      <c r="O933" s="94">
        <v>36</v>
      </c>
      <c r="P933" s="14" t="s">
        <v>586</v>
      </c>
      <c r="Q933" s="14" t="s">
        <v>497</v>
      </c>
      <c r="R933" s="14" t="s">
        <v>496</v>
      </c>
      <c r="S933" s="15">
        <v>14</v>
      </c>
      <c r="T933" s="15">
        <v>0</v>
      </c>
      <c r="U933" s="15">
        <v>0</v>
      </c>
      <c r="V933" s="14">
        <v>311</v>
      </c>
      <c r="W933" s="12">
        <v>0</v>
      </c>
      <c r="X933" s="12">
        <v>0</v>
      </c>
      <c r="Y933" s="12">
        <v>0.4</v>
      </c>
      <c r="Z933" s="12">
        <v>0</v>
      </c>
      <c r="AA933" s="12">
        <v>0</v>
      </c>
      <c r="AB933" s="13">
        <f t="shared" si="57"/>
        <v>0</v>
      </c>
      <c r="AE933" s="12">
        <v>0</v>
      </c>
      <c r="AF933" s="12">
        <v>0</v>
      </c>
      <c r="AG933" s="12">
        <v>0.4</v>
      </c>
      <c r="AH933" s="12">
        <v>0</v>
      </c>
      <c r="AI933" s="12">
        <v>0</v>
      </c>
      <c r="AJ933" s="13">
        <f t="shared" si="58"/>
        <v>0</v>
      </c>
      <c r="AN933" s="12">
        <f t="shared" si="59"/>
        <v>125</v>
      </c>
      <c r="AQ933" s="8" t="s">
        <v>417</v>
      </c>
      <c r="AR933" t="str">
        <f t="shared" si="60"/>
        <v>Oeste - A04</v>
      </c>
    </row>
    <row r="934" spans="1:44" x14ac:dyDescent="0.2">
      <c r="A934" s="107" t="s">
        <v>2802</v>
      </c>
      <c r="B934" s="106" t="s">
        <v>2798</v>
      </c>
      <c r="C934" s="106" t="s">
        <v>2769</v>
      </c>
      <c r="D934" s="106" t="s">
        <v>2797</v>
      </c>
      <c r="E934" s="106" t="s">
        <v>2792</v>
      </c>
      <c r="F934" s="106" t="s">
        <v>590</v>
      </c>
      <c r="G934" s="106" t="s">
        <v>2801</v>
      </c>
      <c r="H934" s="105" t="s">
        <v>2800</v>
      </c>
      <c r="I934" s="105" t="s">
        <v>2790</v>
      </c>
      <c r="J934" s="104">
        <v>0.82</v>
      </c>
      <c r="K934" s="103" t="s">
        <v>424</v>
      </c>
      <c r="L934" s="102" t="s">
        <v>507</v>
      </c>
      <c r="M934" s="95"/>
      <c r="N934" s="14"/>
      <c r="O934" s="94">
        <v>36</v>
      </c>
      <c r="P934" s="14" t="s">
        <v>586</v>
      </c>
      <c r="Q934" s="14" t="s">
        <v>497</v>
      </c>
      <c r="R934" s="14" t="s">
        <v>496</v>
      </c>
      <c r="S934" s="15">
        <v>14</v>
      </c>
      <c r="T934" s="15">
        <v>0</v>
      </c>
      <c r="U934" s="15">
        <v>0</v>
      </c>
      <c r="V934" s="14">
        <v>311</v>
      </c>
      <c r="W934" s="12">
        <v>0</v>
      </c>
      <c r="X934" s="12">
        <v>0</v>
      </c>
      <c r="Y934" s="12">
        <v>0.82</v>
      </c>
      <c r="Z934" s="12">
        <v>0</v>
      </c>
      <c r="AA934" s="12">
        <v>0</v>
      </c>
      <c r="AB934" s="13">
        <f t="shared" si="57"/>
        <v>0</v>
      </c>
      <c r="AE934" s="12">
        <v>0</v>
      </c>
      <c r="AF934" s="12">
        <v>0</v>
      </c>
      <c r="AG934" s="12">
        <v>0.82</v>
      </c>
      <c r="AH934" s="12">
        <v>0</v>
      </c>
      <c r="AI934" s="12">
        <v>0</v>
      </c>
      <c r="AJ934" s="13">
        <f t="shared" si="58"/>
        <v>0</v>
      </c>
      <c r="AN934" s="12">
        <f t="shared" si="59"/>
        <v>256</v>
      </c>
      <c r="AQ934" s="8" t="s">
        <v>417</v>
      </c>
      <c r="AR934" t="str">
        <f t="shared" si="60"/>
        <v>Oeste - A04</v>
      </c>
    </row>
    <row r="935" spans="1:44" x14ac:dyDescent="0.2">
      <c r="A935" s="107" t="s">
        <v>2799</v>
      </c>
      <c r="B935" s="106" t="s">
        <v>2798</v>
      </c>
      <c r="C935" s="106" t="s">
        <v>2769</v>
      </c>
      <c r="D935" s="106" t="s">
        <v>2797</v>
      </c>
      <c r="E935" s="106" t="s">
        <v>2792</v>
      </c>
      <c r="F935" s="106" t="s">
        <v>590</v>
      </c>
      <c r="G935" s="106" t="s">
        <v>2796</v>
      </c>
      <c r="H935" s="105" t="s">
        <v>2790</v>
      </c>
      <c r="I935" s="105" t="s">
        <v>2795</v>
      </c>
      <c r="J935" s="104">
        <v>0.43</v>
      </c>
      <c r="K935" s="103" t="s">
        <v>424</v>
      </c>
      <c r="L935" s="102" t="s">
        <v>507</v>
      </c>
      <c r="M935" s="95"/>
      <c r="N935" s="14"/>
      <c r="O935" s="94">
        <v>36</v>
      </c>
      <c r="P935" s="14" t="s">
        <v>586</v>
      </c>
      <c r="Q935" s="14" t="s">
        <v>497</v>
      </c>
      <c r="R935" s="14" t="s">
        <v>496</v>
      </c>
      <c r="S935" s="15">
        <v>14</v>
      </c>
      <c r="T935" s="15">
        <v>0</v>
      </c>
      <c r="U935" s="15">
        <v>0</v>
      </c>
      <c r="V935" s="14">
        <v>311</v>
      </c>
      <c r="W935" s="12">
        <v>0</v>
      </c>
      <c r="X935" s="12">
        <v>0.82</v>
      </c>
      <c r="Y935" s="12">
        <v>0</v>
      </c>
      <c r="Z935" s="12">
        <v>0</v>
      </c>
      <c r="AA935" s="12">
        <v>0</v>
      </c>
      <c r="AB935" s="13">
        <f t="shared" si="57"/>
        <v>0.38999999999999996</v>
      </c>
      <c r="AE935" s="12">
        <f>IF(W935=0,0,W935-$AB935)</f>
        <v>0</v>
      </c>
      <c r="AF935" s="12">
        <f>IF(X935=0,0,X935-$AB935)</f>
        <v>0.43</v>
      </c>
      <c r="AG935" s="12">
        <f>IF(Y935=0,0,Y935-$AB935)</f>
        <v>0</v>
      </c>
      <c r="AH935" s="12">
        <f>IF(Z935=0,0,Z935-$AB935)</f>
        <v>0</v>
      </c>
      <c r="AI935" s="12">
        <f>IF(AA935=0,0,AA935-$AB935)</f>
        <v>0</v>
      </c>
      <c r="AJ935" s="13">
        <f t="shared" si="58"/>
        <v>0</v>
      </c>
      <c r="AN935" s="12">
        <f t="shared" si="59"/>
        <v>134</v>
      </c>
      <c r="AQ935" s="8" t="s">
        <v>417</v>
      </c>
      <c r="AR935" t="str">
        <f t="shared" si="60"/>
        <v>Oeste - A04</v>
      </c>
    </row>
    <row r="936" spans="1:44" x14ac:dyDescent="0.2">
      <c r="A936" s="107" t="s">
        <v>2794</v>
      </c>
      <c r="B936" s="106" t="s">
        <v>2793</v>
      </c>
      <c r="C936" s="106" t="s">
        <v>2769</v>
      </c>
      <c r="D936" s="106" t="s">
        <v>2482</v>
      </c>
      <c r="E936" s="106" t="s">
        <v>2792</v>
      </c>
      <c r="F936" s="106" t="s">
        <v>590</v>
      </c>
      <c r="G936" s="106" t="s">
        <v>2791</v>
      </c>
      <c r="H936" s="105" t="s">
        <v>2790</v>
      </c>
      <c r="I936" s="105" t="s">
        <v>2786</v>
      </c>
      <c r="J936" s="104">
        <v>0.23</v>
      </c>
      <c r="K936" s="103" t="s">
        <v>424</v>
      </c>
      <c r="L936" s="102" t="s">
        <v>507</v>
      </c>
      <c r="M936" s="95"/>
      <c r="N936" s="14"/>
      <c r="O936" s="94">
        <v>36</v>
      </c>
      <c r="P936" s="14" t="s">
        <v>586</v>
      </c>
      <c r="Q936" s="14" t="s">
        <v>497</v>
      </c>
      <c r="R936" s="14" t="s">
        <v>496</v>
      </c>
      <c r="S936" s="15">
        <v>14</v>
      </c>
      <c r="T936" s="15">
        <v>0</v>
      </c>
      <c r="U936" s="15">
        <v>0</v>
      </c>
      <c r="V936" s="14">
        <v>311</v>
      </c>
      <c r="W936" s="12">
        <v>0</v>
      </c>
      <c r="X936" s="12">
        <v>0</v>
      </c>
      <c r="Y936" s="12">
        <v>0.23</v>
      </c>
      <c r="Z936" s="12">
        <v>0</v>
      </c>
      <c r="AA936" s="12">
        <v>0</v>
      </c>
      <c r="AB936" s="13">
        <f t="shared" si="57"/>
        <v>0</v>
      </c>
      <c r="AE936" s="12">
        <v>0</v>
      </c>
      <c r="AF936" s="12">
        <v>0</v>
      </c>
      <c r="AG936" s="12">
        <v>0.23</v>
      </c>
      <c r="AH936" s="12">
        <v>0</v>
      </c>
      <c r="AI936" s="12">
        <v>0</v>
      </c>
      <c r="AJ936" s="13">
        <f t="shared" si="58"/>
        <v>0</v>
      </c>
      <c r="AN936" s="12">
        <f t="shared" si="59"/>
        <v>72</v>
      </c>
      <c r="AQ936" s="8" t="s">
        <v>417</v>
      </c>
      <c r="AR936" t="str">
        <f t="shared" si="60"/>
        <v>Oeste - A04</v>
      </c>
    </row>
    <row r="937" spans="1:44" x14ac:dyDescent="0.2">
      <c r="A937" s="107" t="s">
        <v>2789</v>
      </c>
      <c r="B937" s="106" t="s">
        <v>2788</v>
      </c>
      <c r="C937" s="106" t="s">
        <v>2769</v>
      </c>
      <c r="D937" s="106" t="s">
        <v>981</v>
      </c>
      <c r="E937" s="106" t="s">
        <v>2768</v>
      </c>
      <c r="F937" s="106" t="s">
        <v>490</v>
      </c>
      <c r="G937" s="106" t="s">
        <v>2787</v>
      </c>
      <c r="H937" s="105" t="s">
        <v>2786</v>
      </c>
      <c r="I937" s="105" t="s">
        <v>2777</v>
      </c>
      <c r="J937" s="104">
        <v>11.5</v>
      </c>
      <c r="K937" s="103" t="s">
        <v>424</v>
      </c>
      <c r="L937" s="102" t="s">
        <v>507</v>
      </c>
      <c r="M937" s="95"/>
      <c r="N937" s="17">
        <f>O937</f>
        <v>36</v>
      </c>
      <c r="O937" s="94">
        <v>36</v>
      </c>
      <c r="P937" s="14" t="s">
        <v>485</v>
      </c>
      <c r="Q937" s="14" t="s">
        <v>497</v>
      </c>
      <c r="R937" s="14" t="s">
        <v>496</v>
      </c>
      <c r="S937" s="15">
        <v>7</v>
      </c>
      <c r="T937" s="15">
        <v>0</v>
      </c>
      <c r="U937" s="15">
        <v>0</v>
      </c>
      <c r="V937" s="14">
        <v>1336</v>
      </c>
      <c r="W937" s="12">
        <v>0</v>
      </c>
      <c r="X937" s="12">
        <v>0</v>
      </c>
      <c r="Y937" s="12">
        <v>6</v>
      </c>
      <c r="Z937" s="12">
        <v>5.5</v>
      </c>
      <c r="AA937" s="12">
        <v>0</v>
      </c>
      <c r="AB937" s="13">
        <f t="shared" si="57"/>
        <v>0</v>
      </c>
      <c r="AE937" s="12">
        <v>0</v>
      </c>
      <c r="AF937" s="12">
        <v>0</v>
      </c>
      <c r="AG937" s="12">
        <v>6</v>
      </c>
      <c r="AH937" s="12">
        <v>5.5</v>
      </c>
      <c r="AI937" s="12">
        <v>0</v>
      </c>
      <c r="AJ937" s="13">
        <f t="shared" si="58"/>
        <v>0</v>
      </c>
      <c r="AN937" s="12">
        <f t="shared" si="59"/>
        <v>15364</v>
      </c>
      <c r="AQ937" s="8" t="s">
        <v>417</v>
      </c>
      <c r="AR937" t="str">
        <f t="shared" si="60"/>
        <v>Oeste - A04</v>
      </c>
    </row>
    <row r="938" spans="1:44" x14ac:dyDescent="0.2">
      <c r="A938" s="107" t="s">
        <v>2785</v>
      </c>
      <c r="B938" s="106" t="s">
        <v>2784</v>
      </c>
      <c r="C938" s="106" t="s">
        <v>2769</v>
      </c>
      <c r="D938" s="106" t="s">
        <v>1314</v>
      </c>
      <c r="E938" s="106" t="s">
        <v>2783</v>
      </c>
      <c r="F938" s="106" t="s">
        <v>606</v>
      </c>
      <c r="G938" s="106" t="s">
        <v>2782</v>
      </c>
      <c r="H938" s="105" t="s">
        <v>2777</v>
      </c>
      <c r="I938" s="105" t="s">
        <v>1483</v>
      </c>
      <c r="J938" s="104">
        <v>1.0900000000000001</v>
      </c>
      <c r="K938" s="103" t="s">
        <v>424</v>
      </c>
      <c r="L938" s="102" t="s">
        <v>507</v>
      </c>
      <c r="M938" s="95"/>
      <c r="N938" s="17">
        <f>O938</f>
        <v>36</v>
      </c>
      <c r="O938" s="94">
        <v>36</v>
      </c>
      <c r="P938" s="14" t="s">
        <v>596</v>
      </c>
      <c r="Q938" s="14" t="s">
        <v>497</v>
      </c>
      <c r="R938" s="14" t="s">
        <v>496</v>
      </c>
      <c r="S938" s="15">
        <v>10</v>
      </c>
      <c r="T938" s="15">
        <v>0</v>
      </c>
      <c r="U938" s="15">
        <v>0</v>
      </c>
      <c r="V938" s="14">
        <v>1020</v>
      </c>
      <c r="W938" s="12">
        <v>0</v>
      </c>
      <c r="X938" s="12">
        <v>9.000000000000008E-2</v>
      </c>
      <c r="Y938" s="12">
        <v>1</v>
      </c>
      <c r="Z938" s="12">
        <v>0</v>
      </c>
      <c r="AA938" s="12">
        <v>0</v>
      </c>
      <c r="AB938" s="13">
        <f t="shared" si="57"/>
        <v>0</v>
      </c>
      <c r="AE938" s="12">
        <v>0</v>
      </c>
      <c r="AF938" s="12">
        <v>9.000000000000008E-2</v>
      </c>
      <c r="AG938" s="12">
        <v>1</v>
      </c>
      <c r="AH938" s="12">
        <v>0</v>
      </c>
      <c r="AI938" s="12">
        <v>0</v>
      </c>
      <c r="AJ938" s="13">
        <f t="shared" si="58"/>
        <v>0</v>
      </c>
      <c r="AN938" s="12">
        <f t="shared" si="59"/>
        <v>1112</v>
      </c>
      <c r="AQ938" s="8" t="s">
        <v>417</v>
      </c>
      <c r="AR938" t="str">
        <f t="shared" si="60"/>
        <v>Oeste - A04</v>
      </c>
    </row>
    <row r="939" spans="1:44" x14ac:dyDescent="0.2">
      <c r="A939" s="107" t="s">
        <v>2781</v>
      </c>
      <c r="B939" s="106" t="s">
        <v>2780</v>
      </c>
      <c r="C939" s="106" t="s">
        <v>2769</v>
      </c>
      <c r="D939" s="106" t="s">
        <v>1314</v>
      </c>
      <c r="E939" s="106" t="s">
        <v>2779</v>
      </c>
      <c r="F939" s="106" t="s">
        <v>600</v>
      </c>
      <c r="G939" s="106" t="s">
        <v>2778</v>
      </c>
      <c r="H939" s="105" t="s">
        <v>2777</v>
      </c>
      <c r="I939" s="105" t="s">
        <v>1483</v>
      </c>
      <c r="J939" s="104">
        <v>1.0900000000000001</v>
      </c>
      <c r="K939" s="103" t="s">
        <v>424</v>
      </c>
      <c r="L939" s="102" t="s">
        <v>507</v>
      </c>
      <c r="M939" s="95"/>
      <c r="N939" s="17">
        <f>O939</f>
        <v>36</v>
      </c>
      <c r="O939" s="94">
        <v>36</v>
      </c>
      <c r="P939" s="14" t="s">
        <v>596</v>
      </c>
      <c r="Q939" s="14" t="s">
        <v>497</v>
      </c>
      <c r="R939" s="14" t="s">
        <v>496</v>
      </c>
      <c r="S939" s="15">
        <v>10</v>
      </c>
      <c r="T939" s="15">
        <v>0</v>
      </c>
      <c r="U939" s="15">
        <v>0</v>
      </c>
      <c r="V939" s="14">
        <v>1020</v>
      </c>
      <c r="W939" s="12">
        <v>0</v>
      </c>
      <c r="X939" s="12">
        <v>9.000000000000008E-2</v>
      </c>
      <c r="Y939" s="12">
        <v>1</v>
      </c>
      <c r="Z939" s="12">
        <v>0</v>
      </c>
      <c r="AA939" s="12">
        <v>0</v>
      </c>
      <c r="AB939" s="13">
        <f t="shared" si="57"/>
        <v>0</v>
      </c>
      <c r="AE939" s="12">
        <v>0</v>
      </c>
      <c r="AF939" s="12">
        <v>9.000000000000008E-2</v>
      </c>
      <c r="AG939" s="12">
        <v>1</v>
      </c>
      <c r="AH939" s="12">
        <v>0</v>
      </c>
      <c r="AI939" s="12">
        <v>0</v>
      </c>
      <c r="AJ939" s="13">
        <f t="shared" si="58"/>
        <v>0</v>
      </c>
      <c r="AN939" s="12">
        <f t="shared" si="59"/>
        <v>1112</v>
      </c>
      <c r="AQ939" s="8" t="s">
        <v>417</v>
      </c>
      <c r="AR939" t="str">
        <f t="shared" si="60"/>
        <v>Oeste - A04</v>
      </c>
    </row>
    <row r="940" spans="1:44" x14ac:dyDescent="0.2">
      <c r="A940" s="107" t="s">
        <v>2776</v>
      </c>
      <c r="B940" s="106" t="s">
        <v>2775</v>
      </c>
      <c r="C940" s="106" t="s">
        <v>2769</v>
      </c>
      <c r="D940" s="106" t="s">
        <v>1304</v>
      </c>
      <c r="E940" s="106" t="s">
        <v>2768</v>
      </c>
      <c r="F940" s="106" t="s">
        <v>490</v>
      </c>
      <c r="G940" s="106" t="s">
        <v>2774</v>
      </c>
      <c r="H940" s="105" t="s">
        <v>2773</v>
      </c>
      <c r="I940" s="105" t="s">
        <v>2772</v>
      </c>
      <c r="J940" s="104">
        <v>5.33</v>
      </c>
      <c r="K940" s="103" t="s">
        <v>424</v>
      </c>
      <c r="L940" s="102" t="s">
        <v>507</v>
      </c>
      <c r="M940" s="95"/>
      <c r="N940" s="17">
        <f>O940</f>
        <v>36</v>
      </c>
      <c r="O940" s="94">
        <v>36</v>
      </c>
      <c r="P940" s="14" t="s">
        <v>485</v>
      </c>
      <c r="Q940" s="14" t="s">
        <v>497</v>
      </c>
      <c r="R940" s="14" t="s">
        <v>496</v>
      </c>
      <c r="S940" s="15">
        <v>7</v>
      </c>
      <c r="T940" s="15">
        <v>0</v>
      </c>
      <c r="U940" s="15">
        <v>0</v>
      </c>
      <c r="V940" s="14">
        <v>1212</v>
      </c>
      <c r="W940" s="12">
        <v>0</v>
      </c>
      <c r="X940" s="12">
        <v>1.33</v>
      </c>
      <c r="Y940" s="12">
        <v>3</v>
      </c>
      <c r="Z940" s="12">
        <v>1</v>
      </c>
      <c r="AA940" s="12">
        <v>0</v>
      </c>
      <c r="AB940" s="13">
        <f t="shared" si="57"/>
        <v>0</v>
      </c>
      <c r="AE940" s="12">
        <v>0</v>
      </c>
      <c r="AF940" s="12">
        <v>1.33</v>
      </c>
      <c r="AG940" s="12">
        <v>3</v>
      </c>
      <c r="AH940" s="12">
        <v>1</v>
      </c>
      <c r="AI940" s="12">
        <v>0</v>
      </c>
      <c r="AJ940" s="13">
        <f t="shared" si="58"/>
        <v>0</v>
      </c>
      <c r="AN940" s="12">
        <f t="shared" si="59"/>
        <v>6460</v>
      </c>
      <c r="AQ940" s="8" t="s">
        <v>417</v>
      </c>
      <c r="AR940" t="str">
        <f t="shared" si="60"/>
        <v>Oeste - A04</v>
      </c>
    </row>
    <row r="941" spans="1:44" x14ac:dyDescent="0.2">
      <c r="A941" s="107" t="s">
        <v>2771</v>
      </c>
      <c r="B941" s="106" t="s">
        <v>2770</v>
      </c>
      <c r="C941" s="106" t="s">
        <v>2769</v>
      </c>
      <c r="D941" s="106" t="s">
        <v>975</v>
      </c>
      <c r="E941" s="106" t="s">
        <v>2768</v>
      </c>
      <c r="F941" s="106" t="s">
        <v>490</v>
      </c>
      <c r="G941" s="106" t="s">
        <v>2767</v>
      </c>
      <c r="H941" s="105" t="s">
        <v>2766</v>
      </c>
      <c r="I941" s="105" t="s">
        <v>2765</v>
      </c>
      <c r="J941" s="104">
        <v>7.76</v>
      </c>
      <c r="K941" s="103" t="s">
        <v>424</v>
      </c>
      <c r="L941" s="102" t="s">
        <v>507</v>
      </c>
      <c r="M941" s="95"/>
      <c r="N941" s="17">
        <f>O941</f>
        <v>36</v>
      </c>
      <c r="O941" s="94">
        <v>36</v>
      </c>
      <c r="P941" s="14" t="s">
        <v>485</v>
      </c>
      <c r="Q941" s="14" t="s">
        <v>497</v>
      </c>
      <c r="R941" s="14" t="s">
        <v>496</v>
      </c>
      <c r="S941" s="15">
        <v>7</v>
      </c>
      <c r="T941" s="15">
        <v>0</v>
      </c>
      <c r="U941" s="15">
        <v>0</v>
      </c>
      <c r="V941" s="14">
        <v>2077</v>
      </c>
      <c r="W941" s="12">
        <v>0</v>
      </c>
      <c r="X941" s="12">
        <v>1.7599999999999998</v>
      </c>
      <c r="Y941" s="12">
        <v>4</v>
      </c>
      <c r="Z941" s="12">
        <v>2</v>
      </c>
      <c r="AA941" s="12">
        <v>0</v>
      </c>
      <c r="AB941" s="13">
        <f t="shared" si="57"/>
        <v>0</v>
      </c>
      <c r="AE941" s="12">
        <v>0</v>
      </c>
      <c r="AF941" s="12">
        <v>1.7599999999999998</v>
      </c>
      <c r="AG941" s="12">
        <v>4</v>
      </c>
      <c r="AH941" s="12">
        <v>2</v>
      </c>
      <c r="AI941" s="12">
        <v>0</v>
      </c>
      <c r="AJ941" s="13">
        <f t="shared" si="58"/>
        <v>0</v>
      </c>
      <c r="AN941" s="12">
        <f t="shared" si="59"/>
        <v>16118</v>
      </c>
      <c r="AQ941" s="8" t="s">
        <v>417</v>
      </c>
      <c r="AR941" t="str">
        <f t="shared" si="60"/>
        <v>Oeste - A04</v>
      </c>
    </row>
    <row r="942" spans="1:44" x14ac:dyDescent="0.2">
      <c r="A942" s="107" t="s">
        <v>2764</v>
      </c>
      <c r="B942" s="106" t="s">
        <v>2763</v>
      </c>
      <c r="C942" s="106" t="s">
        <v>2735</v>
      </c>
      <c r="D942" s="106" t="s">
        <v>492</v>
      </c>
      <c r="E942" s="106" t="s">
        <v>2734</v>
      </c>
      <c r="F942" s="106" t="s">
        <v>490</v>
      </c>
      <c r="G942" s="106" t="s">
        <v>2762</v>
      </c>
      <c r="H942" s="105" t="s">
        <v>2761</v>
      </c>
      <c r="I942" s="105" t="s">
        <v>2756</v>
      </c>
      <c r="J942" s="104">
        <v>20.55</v>
      </c>
      <c r="K942" s="103" t="s">
        <v>428</v>
      </c>
      <c r="L942" s="102" t="s">
        <v>533</v>
      </c>
      <c r="M942" s="95"/>
      <c r="N942" s="14"/>
      <c r="O942" s="94">
        <v>30</v>
      </c>
      <c r="P942" s="14" t="s">
        <v>485</v>
      </c>
      <c r="Q942" s="14" t="s">
        <v>561</v>
      </c>
      <c r="R942" s="14" t="s">
        <v>496</v>
      </c>
      <c r="S942" s="15">
        <v>7</v>
      </c>
      <c r="T942" s="15">
        <v>0.7</v>
      </c>
      <c r="U942" s="15">
        <v>0</v>
      </c>
      <c r="V942" s="14">
        <v>1196</v>
      </c>
      <c r="W942" s="12">
        <v>0</v>
      </c>
      <c r="X942" s="12">
        <v>0</v>
      </c>
      <c r="Y942" s="12">
        <v>1</v>
      </c>
      <c r="Z942" s="12">
        <v>19.55</v>
      </c>
      <c r="AA942" s="12">
        <v>0</v>
      </c>
      <c r="AB942" s="13">
        <f t="shared" si="57"/>
        <v>0</v>
      </c>
      <c r="AE942" s="12">
        <v>0</v>
      </c>
      <c r="AF942" s="12">
        <v>0</v>
      </c>
      <c r="AG942" s="12">
        <v>1</v>
      </c>
      <c r="AH942" s="12">
        <v>19.55</v>
      </c>
      <c r="AI942" s="12">
        <v>0</v>
      </c>
      <c r="AJ942" s="13">
        <f t="shared" si="58"/>
        <v>0</v>
      </c>
      <c r="AN942" s="12">
        <f t="shared" si="59"/>
        <v>24578</v>
      </c>
      <c r="AQ942" s="8" t="s">
        <v>418</v>
      </c>
      <c r="AR942" t="str">
        <f t="shared" si="60"/>
        <v>Noroeste - A08</v>
      </c>
    </row>
    <row r="943" spans="1:44" x14ac:dyDescent="0.2">
      <c r="A943" s="107" t="s">
        <v>2760</v>
      </c>
      <c r="B943" s="106" t="s">
        <v>2759</v>
      </c>
      <c r="C943" s="106" t="s">
        <v>2735</v>
      </c>
      <c r="D943" s="106" t="s">
        <v>592</v>
      </c>
      <c r="E943" s="106" t="s">
        <v>2758</v>
      </c>
      <c r="F943" s="106" t="s">
        <v>590</v>
      </c>
      <c r="G943" s="106" t="s">
        <v>2757</v>
      </c>
      <c r="H943" s="105" t="s">
        <v>2756</v>
      </c>
      <c r="I943" s="105" t="s">
        <v>2755</v>
      </c>
      <c r="J943" s="104">
        <v>1</v>
      </c>
      <c r="K943" s="103" t="s">
        <v>428</v>
      </c>
      <c r="L943" s="102" t="s">
        <v>533</v>
      </c>
      <c r="M943" s="95"/>
      <c r="N943" s="14"/>
      <c r="O943" s="94">
        <v>30</v>
      </c>
      <c r="P943" s="14" t="s">
        <v>586</v>
      </c>
      <c r="Q943" s="14" t="s">
        <v>561</v>
      </c>
      <c r="R943" s="14" t="s">
        <v>496</v>
      </c>
      <c r="S943" s="15">
        <v>14</v>
      </c>
      <c r="T943" s="15">
        <v>0</v>
      </c>
      <c r="U943" s="15">
        <v>0</v>
      </c>
      <c r="V943" s="14">
        <v>211</v>
      </c>
      <c r="W943" s="12">
        <v>0</v>
      </c>
      <c r="X943" s="12">
        <v>0</v>
      </c>
      <c r="Y943" s="12">
        <v>0</v>
      </c>
      <c r="Z943" s="12">
        <v>1</v>
      </c>
      <c r="AA943" s="12">
        <v>0</v>
      </c>
      <c r="AB943" s="13">
        <f t="shared" si="57"/>
        <v>0</v>
      </c>
      <c r="AE943" s="12">
        <v>0</v>
      </c>
      <c r="AF943" s="12">
        <v>0</v>
      </c>
      <c r="AG943" s="12">
        <v>0</v>
      </c>
      <c r="AH943" s="12">
        <v>1</v>
      </c>
      <c r="AI943" s="12">
        <v>0</v>
      </c>
      <c r="AJ943" s="13">
        <f t="shared" si="58"/>
        <v>0</v>
      </c>
      <c r="AN943" s="12">
        <f t="shared" si="59"/>
        <v>211</v>
      </c>
      <c r="AQ943" s="8" t="s">
        <v>418</v>
      </c>
      <c r="AR943" t="str">
        <f t="shared" si="60"/>
        <v>Noroeste - A08</v>
      </c>
    </row>
    <row r="944" spans="1:44" x14ac:dyDescent="0.2">
      <c r="A944" s="107" t="s">
        <v>2754</v>
      </c>
      <c r="B944" s="106" t="s">
        <v>2753</v>
      </c>
      <c r="C944" s="106" t="s">
        <v>2735</v>
      </c>
      <c r="D944" s="106" t="s">
        <v>513</v>
      </c>
      <c r="E944" s="106" t="s">
        <v>2734</v>
      </c>
      <c r="F944" s="106" t="s">
        <v>490</v>
      </c>
      <c r="G944" s="106" t="s">
        <v>2752</v>
      </c>
      <c r="H944" s="105" t="s">
        <v>2751</v>
      </c>
      <c r="I944" s="105" t="s">
        <v>2742</v>
      </c>
      <c r="J944" s="104">
        <v>31.36</v>
      </c>
      <c r="K944" s="103" t="s">
        <v>430</v>
      </c>
      <c r="L944" s="102" t="s">
        <v>533</v>
      </c>
      <c r="M944" s="95"/>
      <c r="N944" s="14"/>
      <c r="O944" s="94">
        <v>32</v>
      </c>
      <c r="P944" s="14" t="s">
        <v>485</v>
      </c>
      <c r="Q944" s="14" t="s">
        <v>561</v>
      </c>
      <c r="R944" s="14" t="s">
        <v>496</v>
      </c>
      <c r="S944" s="15">
        <v>7</v>
      </c>
      <c r="T944" s="15">
        <v>0.7</v>
      </c>
      <c r="U944" s="15">
        <v>0</v>
      </c>
      <c r="V944" s="14">
        <v>460</v>
      </c>
      <c r="W944" s="12">
        <v>0</v>
      </c>
      <c r="X944" s="12">
        <v>0</v>
      </c>
      <c r="Y944" s="12">
        <v>0</v>
      </c>
      <c r="Z944" s="12">
        <v>31.36</v>
      </c>
      <c r="AA944" s="12">
        <v>0</v>
      </c>
      <c r="AB944" s="13">
        <f t="shared" si="57"/>
        <v>0</v>
      </c>
      <c r="AE944" s="12">
        <v>0</v>
      </c>
      <c r="AF944" s="12">
        <v>0</v>
      </c>
      <c r="AG944" s="12">
        <v>0</v>
      </c>
      <c r="AH944" s="12">
        <v>31.36</v>
      </c>
      <c r="AI944" s="12">
        <v>0</v>
      </c>
      <c r="AJ944" s="13">
        <f t="shared" si="58"/>
        <v>0</v>
      </c>
      <c r="AN944" s="12">
        <f t="shared" si="59"/>
        <v>14426</v>
      </c>
      <c r="AQ944" s="8" t="s">
        <v>418</v>
      </c>
      <c r="AR944" t="str">
        <f t="shared" si="60"/>
        <v>Noroeste - A10</v>
      </c>
    </row>
    <row r="945" spans="1:44" x14ac:dyDescent="0.2">
      <c r="A945" s="107" t="s">
        <v>2750</v>
      </c>
      <c r="B945" s="106" t="s">
        <v>2749</v>
      </c>
      <c r="C945" s="106" t="s">
        <v>2735</v>
      </c>
      <c r="D945" s="106" t="s">
        <v>989</v>
      </c>
      <c r="E945" s="106" t="s">
        <v>2748</v>
      </c>
      <c r="F945" s="106" t="s">
        <v>606</v>
      </c>
      <c r="G945" s="106" t="s">
        <v>2747</v>
      </c>
      <c r="H945" s="105" t="s">
        <v>2742</v>
      </c>
      <c r="I945" s="105" t="s">
        <v>2738</v>
      </c>
      <c r="J945" s="104">
        <v>0.74</v>
      </c>
      <c r="K945" s="103" t="s">
        <v>430</v>
      </c>
      <c r="L945" s="102" t="s">
        <v>533</v>
      </c>
      <c r="M945" s="95"/>
      <c r="N945" s="14"/>
      <c r="O945" s="94">
        <v>32</v>
      </c>
      <c r="P945" s="14" t="s">
        <v>596</v>
      </c>
      <c r="Q945" s="14" t="s">
        <v>561</v>
      </c>
      <c r="R945" s="14" t="s">
        <v>496</v>
      </c>
      <c r="S945" s="15">
        <v>6</v>
      </c>
      <c r="T945" s="15">
        <v>0</v>
      </c>
      <c r="U945" s="15">
        <v>0</v>
      </c>
      <c r="V945" s="14">
        <v>330</v>
      </c>
      <c r="W945" s="12">
        <v>0</v>
      </c>
      <c r="X945" s="12">
        <v>0</v>
      </c>
      <c r="Y945" s="12">
        <v>0</v>
      </c>
      <c r="Z945" s="12">
        <v>0.74</v>
      </c>
      <c r="AA945" s="12">
        <v>0</v>
      </c>
      <c r="AB945" s="13">
        <f t="shared" si="57"/>
        <v>0</v>
      </c>
      <c r="AE945" s="12">
        <v>0</v>
      </c>
      <c r="AF945" s="12">
        <v>0</v>
      </c>
      <c r="AG945" s="12">
        <v>0</v>
      </c>
      <c r="AH945" s="12">
        <v>0.74</v>
      </c>
      <c r="AI945" s="12">
        <v>0</v>
      </c>
      <c r="AJ945" s="13">
        <f t="shared" si="58"/>
        <v>0</v>
      </c>
      <c r="AN945" s="12">
        <f t="shared" si="59"/>
        <v>245</v>
      </c>
      <c r="AQ945" s="8" t="s">
        <v>418</v>
      </c>
      <c r="AR945" t="str">
        <f t="shared" si="60"/>
        <v>Noroeste - A10</v>
      </c>
    </row>
    <row r="946" spans="1:44" x14ac:dyDescent="0.2">
      <c r="A946" s="107" t="s">
        <v>2746</v>
      </c>
      <c r="B946" s="106" t="s">
        <v>2745</v>
      </c>
      <c r="C946" s="106" t="s">
        <v>2735</v>
      </c>
      <c r="D946" s="106" t="s">
        <v>989</v>
      </c>
      <c r="E946" s="106" t="s">
        <v>2744</v>
      </c>
      <c r="F946" s="106" t="s">
        <v>600</v>
      </c>
      <c r="G946" s="106" t="s">
        <v>2743</v>
      </c>
      <c r="H946" s="105" t="s">
        <v>2742</v>
      </c>
      <c r="I946" s="105" t="s">
        <v>2738</v>
      </c>
      <c r="J946" s="104">
        <v>0.74</v>
      </c>
      <c r="K946" s="103" t="s">
        <v>430</v>
      </c>
      <c r="L946" s="102" t="s">
        <v>533</v>
      </c>
      <c r="M946" s="95"/>
      <c r="N946" s="14"/>
      <c r="O946" s="94">
        <v>32</v>
      </c>
      <c r="P946" s="14" t="s">
        <v>596</v>
      </c>
      <c r="Q946" s="14" t="s">
        <v>561</v>
      </c>
      <c r="R946" s="14" t="s">
        <v>496</v>
      </c>
      <c r="S946" s="15">
        <v>6</v>
      </c>
      <c r="T946" s="15">
        <v>0</v>
      </c>
      <c r="U946" s="15">
        <v>0</v>
      </c>
      <c r="V946" s="14">
        <v>330</v>
      </c>
      <c r="W946" s="12">
        <v>0</v>
      </c>
      <c r="X946" s="12">
        <v>0</v>
      </c>
      <c r="Y946" s="12">
        <v>0</v>
      </c>
      <c r="Z946" s="12">
        <v>0.74</v>
      </c>
      <c r="AA946" s="12">
        <v>0</v>
      </c>
      <c r="AB946" s="13">
        <f t="shared" si="57"/>
        <v>0</v>
      </c>
      <c r="AE946" s="12">
        <v>0</v>
      </c>
      <c r="AF946" s="12">
        <v>0</v>
      </c>
      <c r="AG946" s="12">
        <v>0</v>
      </c>
      <c r="AH946" s="12">
        <v>0.74</v>
      </c>
      <c r="AI946" s="12">
        <v>0</v>
      </c>
      <c r="AJ946" s="13">
        <f t="shared" si="58"/>
        <v>0</v>
      </c>
      <c r="AN946" s="12">
        <f t="shared" si="59"/>
        <v>245</v>
      </c>
      <c r="AQ946" s="8" t="s">
        <v>418</v>
      </c>
      <c r="AR946" t="str">
        <f t="shared" si="60"/>
        <v>Noroeste - A10</v>
      </c>
    </row>
    <row r="947" spans="1:44" x14ac:dyDescent="0.2">
      <c r="A947" s="107" t="s">
        <v>2741</v>
      </c>
      <c r="B947" s="106" t="s">
        <v>2740</v>
      </c>
      <c r="C947" s="106" t="s">
        <v>2735</v>
      </c>
      <c r="D947" s="106" t="s">
        <v>2418</v>
      </c>
      <c r="E947" s="106" t="s">
        <v>2734</v>
      </c>
      <c r="F947" s="106" t="s">
        <v>490</v>
      </c>
      <c r="G947" s="106" t="s">
        <v>2739</v>
      </c>
      <c r="H947" s="105" t="s">
        <v>2738</v>
      </c>
      <c r="I947" s="105" t="s">
        <v>949</v>
      </c>
      <c r="J947" s="104">
        <v>2.3199999999999998</v>
      </c>
      <c r="K947" s="103" t="s">
        <v>430</v>
      </c>
      <c r="L947" s="102" t="s">
        <v>533</v>
      </c>
      <c r="M947" s="95"/>
      <c r="N947" s="14"/>
      <c r="O947" s="94">
        <v>32</v>
      </c>
      <c r="P947" s="14" t="s">
        <v>485</v>
      </c>
      <c r="Q947" s="14" t="s">
        <v>561</v>
      </c>
      <c r="R947" s="14" t="s">
        <v>496</v>
      </c>
      <c r="S947" s="15">
        <v>7</v>
      </c>
      <c r="T947" s="15">
        <v>0</v>
      </c>
      <c r="U947" s="15">
        <v>0</v>
      </c>
      <c r="V947" s="14">
        <v>1096</v>
      </c>
      <c r="W947" s="12">
        <v>0</v>
      </c>
      <c r="X947" s="12">
        <v>0</v>
      </c>
      <c r="Y947" s="12">
        <v>0</v>
      </c>
      <c r="Z947" s="12">
        <v>2.3199999999999998</v>
      </c>
      <c r="AA947" s="12">
        <v>0</v>
      </c>
      <c r="AB947" s="13">
        <f t="shared" si="57"/>
        <v>0</v>
      </c>
      <c r="AE947" s="12">
        <v>0</v>
      </c>
      <c r="AF947" s="12">
        <v>0</v>
      </c>
      <c r="AG947" s="12">
        <v>0</v>
      </c>
      <c r="AH947" s="12">
        <v>2.3199999999999998</v>
      </c>
      <c r="AI947" s="12">
        <v>0</v>
      </c>
      <c r="AJ947" s="13">
        <f t="shared" si="58"/>
        <v>0</v>
      </c>
      <c r="AN947" s="12">
        <f t="shared" si="59"/>
        <v>2543</v>
      </c>
      <c r="AQ947" s="8" t="s">
        <v>418</v>
      </c>
      <c r="AR947" t="str">
        <f t="shared" si="60"/>
        <v>Noroeste - A10</v>
      </c>
    </row>
    <row r="948" spans="1:44" x14ac:dyDescent="0.2">
      <c r="A948" s="107" t="s">
        <v>2737</v>
      </c>
      <c r="B948" s="106" t="s">
        <v>2736</v>
      </c>
      <c r="C948" s="106" t="s">
        <v>2735</v>
      </c>
      <c r="D948" s="106" t="s">
        <v>1002</v>
      </c>
      <c r="E948" s="106" t="s">
        <v>2734</v>
      </c>
      <c r="F948" s="106" t="s">
        <v>490</v>
      </c>
      <c r="G948" s="106" t="s">
        <v>2733</v>
      </c>
      <c r="H948" s="105" t="s">
        <v>949</v>
      </c>
      <c r="I948" s="105" t="s">
        <v>2732</v>
      </c>
      <c r="J948" s="104">
        <v>15.6</v>
      </c>
      <c r="K948" s="103" t="s">
        <v>430</v>
      </c>
      <c r="L948" s="102" t="s">
        <v>533</v>
      </c>
      <c r="M948" s="95"/>
      <c r="N948" s="14"/>
      <c r="O948" s="94">
        <v>32</v>
      </c>
      <c r="P948" s="14" t="s">
        <v>485</v>
      </c>
      <c r="Q948" s="14" t="s">
        <v>561</v>
      </c>
      <c r="R948" s="14" t="s">
        <v>496</v>
      </c>
      <c r="S948" s="15">
        <v>7.2</v>
      </c>
      <c r="T948" s="15">
        <v>0</v>
      </c>
      <c r="U948" s="15">
        <v>0</v>
      </c>
      <c r="V948" s="14">
        <v>460</v>
      </c>
      <c r="W948" s="12">
        <v>0</v>
      </c>
      <c r="X948" s="12">
        <v>0</v>
      </c>
      <c r="Y948" s="12">
        <v>1</v>
      </c>
      <c r="Z948" s="12">
        <v>14.6</v>
      </c>
      <c r="AA948" s="12">
        <v>0</v>
      </c>
      <c r="AB948" s="13">
        <f t="shared" si="57"/>
        <v>0</v>
      </c>
      <c r="AE948" s="12">
        <v>0</v>
      </c>
      <c r="AF948" s="12">
        <v>0</v>
      </c>
      <c r="AG948" s="12">
        <v>1</v>
      </c>
      <c r="AH948" s="12">
        <v>14.6</v>
      </c>
      <c r="AI948" s="12">
        <v>0</v>
      </c>
      <c r="AJ948" s="13">
        <f t="shared" si="58"/>
        <v>0</v>
      </c>
      <c r="AN948" s="12">
        <f t="shared" si="59"/>
        <v>7176</v>
      </c>
      <c r="AQ948" s="8" t="s">
        <v>418</v>
      </c>
      <c r="AR948" t="str">
        <f t="shared" si="60"/>
        <v>Noroeste - A10</v>
      </c>
    </row>
    <row r="949" spans="1:44" x14ac:dyDescent="0.2">
      <c r="A949" s="107" t="s">
        <v>2731</v>
      </c>
      <c r="B949" s="106" t="s">
        <v>2730</v>
      </c>
      <c r="C949" s="106" t="s">
        <v>2693</v>
      </c>
      <c r="D949" s="106" t="s">
        <v>2729</v>
      </c>
      <c r="E949" s="106" t="s">
        <v>2720</v>
      </c>
      <c r="F949" s="106" t="s">
        <v>590</v>
      </c>
      <c r="G949" s="106" t="s">
        <v>2728</v>
      </c>
      <c r="H949" s="105" t="s">
        <v>2727</v>
      </c>
      <c r="I949" s="105" t="s">
        <v>2723</v>
      </c>
      <c r="J949" s="104">
        <v>3.6</v>
      </c>
      <c r="K949" s="103" t="s">
        <v>423</v>
      </c>
      <c r="L949" s="102" t="s">
        <v>507</v>
      </c>
      <c r="M949" s="95"/>
      <c r="N949" s="14"/>
      <c r="O949" s="94">
        <v>35</v>
      </c>
      <c r="P949" s="14" t="s">
        <v>586</v>
      </c>
      <c r="Q949" s="14" t="s">
        <v>497</v>
      </c>
      <c r="R949" s="14" t="s">
        <v>496</v>
      </c>
      <c r="S949" s="15">
        <v>6</v>
      </c>
      <c r="T949" s="15">
        <v>0</v>
      </c>
      <c r="U949" s="15">
        <v>0</v>
      </c>
      <c r="V949" s="14">
        <v>1633</v>
      </c>
      <c r="W949" s="12">
        <v>0</v>
      </c>
      <c r="X949" s="12">
        <v>0.60000000000000009</v>
      </c>
      <c r="Y949" s="12">
        <v>1</v>
      </c>
      <c r="Z949" s="12">
        <v>2</v>
      </c>
      <c r="AA949" s="12">
        <v>0</v>
      </c>
      <c r="AB949" s="13">
        <f t="shared" si="57"/>
        <v>0</v>
      </c>
      <c r="AE949" s="12">
        <v>0</v>
      </c>
      <c r="AF949" s="12">
        <v>0.60000000000000009</v>
      </c>
      <c r="AG949" s="12">
        <v>1</v>
      </c>
      <c r="AH949" s="12">
        <v>2</v>
      </c>
      <c r="AI949" s="12">
        <v>0</v>
      </c>
      <c r="AJ949" s="13">
        <f t="shared" si="58"/>
        <v>0</v>
      </c>
      <c r="AN949" s="12">
        <f t="shared" si="59"/>
        <v>5879</v>
      </c>
      <c r="AQ949" s="8" t="s">
        <v>417</v>
      </c>
      <c r="AR949" t="str">
        <f t="shared" si="60"/>
        <v>Oeste - A03</v>
      </c>
    </row>
    <row r="950" spans="1:44" x14ac:dyDescent="0.2">
      <c r="A950" s="107" t="s">
        <v>2726</v>
      </c>
      <c r="B950" s="106" t="s">
        <v>2725</v>
      </c>
      <c r="C950" s="106" t="s">
        <v>2693</v>
      </c>
      <c r="D950" s="106" t="s">
        <v>1065</v>
      </c>
      <c r="E950" s="106" t="s">
        <v>2692</v>
      </c>
      <c r="F950" s="106" t="s">
        <v>490</v>
      </c>
      <c r="G950" s="106" t="s">
        <v>2724</v>
      </c>
      <c r="H950" s="105" t="s">
        <v>2723</v>
      </c>
      <c r="I950" s="105" t="s">
        <v>2718</v>
      </c>
      <c r="J950" s="104">
        <v>30.08</v>
      </c>
      <c r="K950" s="103" t="s">
        <v>423</v>
      </c>
      <c r="L950" s="102" t="s">
        <v>507</v>
      </c>
      <c r="M950" s="95"/>
      <c r="N950" s="14"/>
      <c r="O950" s="94">
        <v>35</v>
      </c>
      <c r="P950" s="14" t="s">
        <v>485</v>
      </c>
      <c r="Q950" s="14" t="s">
        <v>497</v>
      </c>
      <c r="R950" s="14" t="s">
        <v>496</v>
      </c>
      <c r="S950" s="15">
        <v>6</v>
      </c>
      <c r="T950" s="15">
        <v>0</v>
      </c>
      <c r="U950" s="15">
        <v>0</v>
      </c>
      <c r="V950" s="14">
        <v>1633</v>
      </c>
      <c r="W950" s="12">
        <v>0</v>
      </c>
      <c r="X950" s="12">
        <v>0</v>
      </c>
      <c r="Y950" s="12">
        <v>7.0799999999999983</v>
      </c>
      <c r="Z950" s="12">
        <v>23</v>
      </c>
      <c r="AA950" s="12">
        <v>0</v>
      </c>
      <c r="AB950" s="13">
        <f t="shared" si="57"/>
        <v>0</v>
      </c>
      <c r="AE950" s="12">
        <v>0</v>
      </c>
      <c r="AF950" s="12">
        <v>0</v>
      </c>
      <c r="AG950" s="12">
        <v>7.0799999999999983</v>
      </c>
      <c r="AH950" s="12">
        <v>23</v>
      </c>
      <c r="AI950" s="12">
        <v>0</v>
      </c>
      <c r="AJ950" s="13">
        <f t="shared" si="58"/>
        <v>0</v>
      </c>
      <c r="AN950" s="12">
        <f t="shared" si="59"/>
        <v>49121</v>
      </c>
      <c r="AQ950" s="8" t="s">
        <v>417</v>
      </c>
      <c r="AR950" t="str">
        <f t="shared" si="60"/>
        <v>Oeste - A03</v>
      </c>
    </row>
    <row r="951" spans="1:44" x14ac:dyDescent="0.2">
      <c r="A951" s="107" t="s">
        <v>2722</v>
      </c>
      <c r="B951" s="106" t="s">
        <v>2721</v>
      </c>
      <c r="C951" s="106" t="s">
        <v>2693</v>
      </c>
      <c r="D951" s="106" t="s">
        <v>1373</v>
      </c>
      <c r="E951" s="106" t="s">
        <v>2720</v>
      </c>
      <c r="F951" s="106" t="s">
        <v>590</v>
      </c>
      <c r="G951" s="106" t="s">
        <v>2719</v>
      </c>
      <c r="H951" s="105" t="s">
        <v>2718</v>
      </c>
      <c r="I951" s="105" t="s">
        <v>2717</v>
      </c>
      <c r="J951" s="104">
        <v>1.33</v>
      </c>
      <c r="K951" s="103" t="s">
        <v>423</v>
      </c>
      <c r="L951" s="102" t="s">
        <v>507</v>
      </c>
      <c r="M951" s="95"/>
      <c r="N951" s="14"/>
      <c r="O951" s="94">
        <v>35</v>
      </c>
      <c r="P951" s="14" t="s">
        <v>586</v>
      </c>
      <c r="Q951" s="14" t="s">
        <v>497</v>
      </c>
      <c r="R951" s="14" t="s">
        <v>496</v>
      </c>
      <c r="S951" s="15">
        <v>14</v>
      </c>
      <c r="T951" s="15">
        <v>1</v>
      </c>
      <c r="U951" s="15">
        <v>0</v>
      </c>
      <c r="V951" s="14">
        <v>1417</v>
      </c>
      <c r="W951" s="12">
        <v>0</v>
      </c>
      <c r="X951" s="12">
        <v>0</v>
      </c>
      <c r="Y951" s="12">
        <v>0</v>
      </c>
      <c r="Z951" s="12">
        <v>1.33</v>
      </c>
      <c r="AA951" s="12">
        <v>0</v>
      </c>
      <c r="AB951" s="13">
        <f t="shared" si="57"/>
        <v>0</v>
      </c>
      <c r="AE951" s="12">
        <v>0</v>
      </c>
      <c r="AF951" s="12">
        <v>0</v>
      </c>
      <c r="AG951" s="12">
        <v>0</v>
      </c>
      <c r="AH951" s="12">
        <v>1.33</v>
      </c>
      <c r="AI951" s="12">
        <v>0</v>
      </c>
      <c r="AJ951" s="13">
        <f t="shared" si="58"/>
        <v>0</v>
      </c>
      <c r="AN951" s="12">
        <f t="shared" si="59"/>
        <v>1885</v>
      </c>
      <c r="AQ951" s="8" t="s">
        <v>417</v>
      </c>
      <c r="AR951" t="str">
        <f t="shared" si="60"/>
        <v>Oeste - A03</v>
      </c>
    </row>
    <row r="952" spans="1:44" x14ac:dyDescent="0.2">
      <c r="A952" s="107" t="s">
        <v>2716</v>
      </c>
      <c r="B952" s="106" t="s">
        <v>2715</v>
      </c>
      <c r="C952" s="106" t="s">
        <v>2693</v>
      </c>
      <c r="D952" s="106" t="s">
        <v>751</v>
      </c>
      <c r="E952" s="106" t="s">
        <v>2692</v>
      </c>
      <c r="F952" s="106" t="s">
        <v>490</v>
      </c>
      <c r="G952" s="106" t="s">
        <v>2714</v>
      </c>
      <c r="H952" s="105" t="s">
        <v>2713</v>
      </c>
      <c r="I952" s="105" t="s">
        <v>2709</v>
      </c>
      <c r="J952" s="104">
        <v>1.21</v>
      </c>
      <c r="K952" s="103" t="s">
        <v>423</v>
      </c>
      <c r="L952" s="102" t="s">
        <v>507</v>
      </c>
      <c r="M952" s="95"/>
      <c r="N952" s="14"/>
      <c r="O952" s="94">
        <v>35</v>
      </c>
      <c r="P952" s="14" t="s">
        <v>485</v>
      </c>
      <c r="Q952" s="14" t="s">
        <v>497</v>
      </c>
      <c r="R952" s="14" t="s">
        <v>496</v>
      </c>
      <c r="S952" s="15">
        <v>7</v>
      </c>
      <c r="T952" s="15">
        <v>2</v>
      </c>
      <c r="U952" s="15">
        <v>0</v>
      </c>
      <c r="V952" s="14">
        <v>4845</v>
      </c>
      <c r="W952" s="12">
        <v>0</v>
      </c>
      <c r="X952" s="12">
        <v>0</v>
      </c>
      <c r="Y952" s="12">
        <v>0</v>
      </c>
      <c r="Z952" s="12">
        <v>1.21</v>
      </c>
      <c r="AA952" s="12">
        <v>0</v>
      </c>
      <c r="AB952" s="13">
        <f t="shared" si="57"/>
        <v>0</v>
      </c>
      <c r="AE952" s="12">
        <v>0</v>
      </c>
      <c r="AF952" s="12">
        <v>0</v>
      </c>
      <c r="AG952" s="12">
        <v>0</v>
      </c>
      <c r="AH952" s="12">
        <v>1.21</v>
      </c>
      <c r="AI952" s="12">
        <v>0</v>
      </c>
      <c r="AJ952" s="13">
        <f t="shared" si="58"/>
        <v>0</v>
      </c>
      <c r="AN952" s="12">
        <f t="shared" si="59"/>
        <v>5863</v>
      </c>
      <c r="AQ952" s="8" t="s">
        <v>417</v>
      </c>
      <c r="AR952" t="str">
        <f t="shared" si="60"/>
        <v>Oeste - A03</v>
      </c>
    </row>
    <row r="953" spans="1:44" x14ac:dyDescent="0.2">
      <c r="A953" s="107" t="s">
        <v>2712</v>
      </c>
      <c r="B953" s="106" t="s">
        <v>2711</v>
      </c>
      <c r="C953" s="106" t="s">
        <v>2693</v>
      </c>
      <c r="D953" s="106" t="s">
        <v>492</v>
      </c>
      <c r="E953" s="106" t="s">
        <v>2692</v>
      </c>
      <c r="F953" s="106" t="s">
        <v>490</v>
      </c>
      <c r="G953" s="106" t="s">
        <v>2710</v>
      </c>
      <c r="H953" s="105" t="s">
        <v>2709</v>
      </c>
      <c r="I953" s="105" t="s">
        <v>2705</v>
      </c>
      <c r="J953" s="104">
        <v>17.38</v>
      </c>
      <c r="K953" s="103" t="s">
        <v>423</v>
      </c>
      <c r="L953" s="102" t="s">
        <v>507</v>
      </c>
      <c r="M953" s="95"/>
      <c r="N953" s="14"/>
      <c r="O953" s="94">
        <v>35</v>
      </c>
      <c r="P953" s="14" t="s">
        <v>485</v>
      </c>
      <c r="Q953" s="14" t="s">
        <v>497</v>
      </c>
      <c r="R953" s="14" t="s">
        <v>496</v>
      </c>
      <c r="S953" s="15">
        <v>7</v>
      </c>
      <c r="T953" s="15">
        <v>2</v>
      </c>
      <c r="U953" s="15">
        <v>1.3</v>
      </c>
      <c r="V953" s="14">
        <v>3406</v>
      </c>
      <c r="W953" s="12">
        <v>0</v>
      </c>
      <c r="X953" s="12">
        <v>0</v>
      </c>
      <c r="Y953" s="12">
        <v>0</v>
      </c>
      <c r="Z953" s="12">
        <v>17.38</v>
      </c>
      <c r="AA953" s="12">
        <v>0</v>
      </c>
      <c r="AB953" s="13">
        <f t="shared" si="57"/>
        <v>0</v>
      </c>
      <c r="AE953" s="12">
        <v>0</v>
      </c>
      <c r="AF953" s="12">
        <v>0</v>
      </c>
      <c r="AG953" s="12">
        <v>0</v>
      </c>
      <c r="AH953" s="12">
        <v>17.38</v>
      </c>
      <c r="AI953" s="12">
        <v>0</v>
      </c>
      <c r="AJ953" s="13">
        <f t="shared" si="58"/>
        <v>0</v>
      </c>
      <c r="AN953" s="12">
        <f t="shared" si="59"/>
        <v>59197</v>
      </c>
      <c r="AQ953" s="8" t="s">
        <v>417</v>
      </c>
      <c r="AR953" t="str">
        <f t="shared" si="60"/>
        <v>Oeste - A03</v>
      </c>
    </row>
    <row r="954" spans="1:44" x14ac:dyDescent="0.2">
      <c r="A954" s="107" t="s">
        <v>2708</v>
      </c>
      <c r="B954" s="106" t="s">
        <v>2707</v>
      </c>
      <c r="C954" s="106" t="s">
        <v>2693</v>
      </c>
      <c r="D954" s="106" t="s">
        <v>519</v>
      </c>
      <c r="E954" s="106" t="s">
        <v>2692</v>
      </c>
      <c r="F954" s="106" t="s">
        <v>490</v>
      </c>
      <c r="G954" s="106" t="s">
        <v>2706</v>
      </c>
      <c r="H954" s="105" t="s">
        <v>2705</v>
      </c>
      <c r="I954" s="105" t="s">
        <v>2701</v>
      </c>
      <c r="J954" s="104">
        <v>4.28</v>
      </c>
      <c r="K954" s="103" t="s">
        <v>428</v>
      </c>
      <c r="L954" s="102" t="s">
        <v>533</v>
      </c>
      <c r="M954" s="95"/>
      <c r="N954" s="14"/>
      <c r="O954" s="94">
        <v>30</v>
      </c>
      <c r="P954" s="14" t="s">
        <v>485</v>
      </c>
      <c r="Q954" s="14" t="s">
        <v>2700</v>
      </c>
      <c r="R954" s="14" t="s">
        <v>496</v>
      </c>
      <c r="S954" s="15">
        <v>7.2</v>
      </c>
      <c r="T954" s="15">
        <v>1.7</v>
      </c>
      <c r="U954" s="15">
        <v>2.2999999999999998</v>
      </c>
      <c r="V954" s="14">
        <v>310</v>
      </c>
      <c r="W954" s="12">
        <v>0</v>
      </c>
      <c r="X954" s="12">
        <v>0</v>
      </c>
      <c r="Y954" s="12">
        <v>3</v>
      </c>
      <c r="Z954" s="12">
        <v>1.2800000000000002</v>
      </c>
      <c r="AA954" s="12">
        <v>0</v>
      </c>
      <c r="AB954" s="13">
        <f t="shared" si="57"/>
        <v>0</v>
      </c>
      <c r="AE954" s="12">
        <v>0</v>
      </c>
      <c r="AF954" s="12">
        <v>0</v>
      </c>
      <c r="AG954" s="12">
        <v>3</v>
      </c>
      <c r="AH954" s="12">
        <v>1.2800000000000002</v>
      </c>
      <c r="AI954" s="12">
        <v>0</v>
      </c>
      <c r="AJ954" s="13">
        <f t="shared" si="58"/>
        <v>0</v>
      </c>
      <c r="AN954" s="12">
        <f t="shared" si="59"/>
        <v>1327</v>
      </c>
      <c r="AQ954" s="8" t="s">
        <v>418</v>
      </c>
      <c r="AR954" t="str">
        <f t="shared" si="60"/>
        <v>Noroeste - A08</v>
      </c>
    </row>
    <row r="955" spans="1:44" x14ac:dyDescent="0.2">
      <c r="A955" s="107" t="s">
        <v>2704</v>
      </c>
      <c r="B955" s="106" t="s">
        <v>2703</v>
      </c>
      <c r="C955" s="106" t="s">
        <v>2693</v>
      </c>
      <c r="D955" s="106" t="s">
        <v>1032</v>
      </c>
      <c r="E955" s="106" t="s">
        <v>2692</v>
      </c>
      <c r="F955" s="106" t="s">
        <v>490</v>
      </c>
      <c r="G955" s="106" t="s">
        <v>2702</v>
      </c>
      <c r="H955" s="105" t="s">
        <v>2701</v>
      </c>
      <c r="I955" s="105" t="s">
        <v>2696</v>
      </c>
      <c r="J955" s="104">
        <v>1.74</v>
      </c>
      <c r="K955" s="103" t="s">
        <v>428</v>
      </c>
      <c r="L955" s="102" t="s">
        <v>533</v>
      </c>
      <c r="M955" s="95"/>
      <c r="N955" s="14"/>
      <c r="O955" s="94">
        <v>30</v>
      </c>
      <c r="P955" s="14" t="s">
        <v>485</v>
      </c>
      <c r="Q955" s="14" t="s">
        <v>2700</v>
      </c>
      <c r="R955" s="14" t="s">
        <v>496</v>
      </c>
      <c r="S955" s="15">
        <v>7.2</v>
      </c>
      <c r="T955" s="15">
        <v>1.7</v>
      </c>
      <c r="U955" s="15">
        <v>2</v>
      </c>
      <c r="V955" s="14">
        <v>752</v>
      </c>
      <c r="W955" s="12">
        <v>0</v>
      </c>
      <c r="X955" s="12">
        <v>0</v>
      </c>
      <c r="Y955" s="12">
        <v>0</v>
      </c>
      <c r="Z955" s="12">
        <v>1.74</v>
      </c>
      <c r="AA955" s="12">
        <v>0</v>
      </c>
      <c r="AB955" s="13">
        <f t="shared" si="57"/>
        <v>0</v>
      </c>
      <c r="AE955" s="12">
        <v>0</v>
      </c>
      <c r="AF955" s="12">
        <v>0</v>
      </c>
      <c r="AG955" s="12">
        <v>0</v>
      </c>
      <c r="AH955" s="12">
        <v>1.74</v>
      </c>
      <c r="AI955" s="12">
        <v>0</v>
      </c>
      <c r="AJ955" s="13">
        <f t="shared" si="58"/>
        <v>0</v>
      </c>
      <c r="AN955" s="12">
        <f t="shared" si="59"/>
        <v>1309</v>
      </c>
      <c r="AQ955" s="8" t="s">
        <v>418</v>
      </c>
      <c r="AR955" t="str">
        <f t="shared" si="60"/>
        <v>Noroeste - A08</v>
      </c>
    </row>
    <row r="956" spans="1:44" x14ac:dyDescent="0.2">
      <c r="A956" s="107" t="s">
        <v>2699</v>
      </c>
      <c r="B956" s="106" t="s">
        <v>2698</v>
      </c>
      <c r="C956" s="106" t="s">
        <v>2693</v>
      </c>
      <c r="D956" s="106" t="s">
        <v>513</v>
      </c>
      <c r="E956" s="106" t="s">
        <v>2692</v>
      </c>
      <c r="F956" s="106" t="s">
        <v>490</v>
      </c>
      <c r="G956" s="106" t="s">
        <v>2697</v>
      </c>
      <c r="H956" s="105" t="s">
        <v>2696</v>
      </c>
      <c r="I956" s="105" t="s">
        <v>2690</v>
      </c>
      <c r="J956" s="104">
        <v>23.23</v>
      </c>
      <c r="K956" s="103" t="s">
        <v>428</v>
      </c>
      <c r="L956" s="102" t="s">
        <v>533</v>
      </c>
      <c r="M956" s="95"/>
      <c r="N956" s="14"/>
      <c r="O956" s="94">
        <v>30</v>
      </c>
      <c r="P956" s="14" t="s">
        <v>485</v>
      </c>
      <c r="Q956" s="14" t="s">
        <v>561</v>
      </c>
      <c r="R956" s="14" t="s">
        <v>496</v>
      </c>
      <c r="S956" s="15">
        <v>7.2</v>
      </c>
      <c r="T956" s="15">
        <v>1.7</v>
      </c>
      <c r="U956" s="15">
        <v>0</v>
      </c>
      <c r="V956" s="14">
        <v>2929</v>
      </c>
      <c r="W956" s="12">
        <v>0</v>
      </c>
      <c r="X956" s="12">
        <v>0</v>
      </c>
      <c r="Y956" s="12">
        <v>1</v>
      </c>
      <c r="Z956" s="12">
        <v>22.23</v>
      </c>
      <c r="AA956" s="12">
        <v>0</v>
      </c>
      <c r="AB956" s="13">
        <f t="shared" si="57"/>
        <v>0</v>
      </c>
      <c r="AE956" s="12">
        <v>0</v>
      </c>
      <c r="AF956" s="12">
        <v>0</v>
      </c>
      <c r="AG956" s="12">
        <v>1</v>
      </c>
      <c r="AH956" s="12">
        <v>22.23</v>
      </c>
      <c r="AI956" s="12">
        <v>0</v>
      </c>
      <c r="AJ956" s="13">
        <f t="shared" si="58"/>
        <v>0</v>
      </c>
      <c r="AN956" s="12">
        <f t="shared" si="59"/>
        <v>68041</v>
      </c>
      <c r="AQ956" s="8" t="s">
        <v>418</v>
      </c>
      <c r="AR956" t="str">
        <f t="shared" si="60"/>
        <v>Noroeste - A08</v>
      </c>
    </row>
    <row r="957" spans="1:44" x14ac:dyDescent="0.2">
      <c r="A957" s="107" t="s">
        <v>2695</v>
      </c>
      <c r="B957" s="106" t="s">
        <v>2694</v>
      </c>
      <c r="C957" s="106" t="s">
        <v>2693</v>
      </c>
      <c r="D957" s="106" t="s">
        <v>981</v>
      </c>
      <c r="E957" s="106" t="s">
        <v>2692</v>
      </c>
      <c r="F957" s="106" t="s">
        <v>490</v>
      </c>
      <c r="G957" s="106" t="s">
        <v>2691</v>
      </c>
      <c r="H957" s="105" t="s">
        <v>2690</v>
      </c>
      <c r="I957" s="105" t="s">
        <v>2689</v>
      </c>
      <c r="J957" s="104">
        <v>13.28</v>
      </c>
      <c r="K957" s="103" t="s">
        <v>428</v>
      </c>
      <c r="L957" s="102" t="s">
        <v>533</v>
      </c>
      <c r="M957" s="95"/>
      <c r="N957" s="14"/>
      <c r="O957" s="94">
        <v>30</v>
      </c>
      <c r="P957" s="14" t="s">
        <v>485</v>
      </c>
      <c r="Q957" s="14" t="s">
        <v>561</v>
      </c>
      <c r="R957" s="14" t="s">
        <v>496</v>
      </c>
      <c r="S957" s="15">
        <v>7.2</v>
      </c>
      <c r="T957" s="15">
        <v>1.7</v>
      </c>
      <c r="U957" s="15">
        <v>0</v>
      </c>
      <c r="V957" s="14">
        <v>3161</v>
      </c>
      <c r="W957" s="12">
        <v>0</v>
      </c>
      <c r="X957" s="12">
        <v>0</v>
      </c>
      <c r="Y957" s="12">
        <v>8</v>
      </c>
      <c r="Z957" s="12">
        <v>5.2799999999999994</v>
      </c>
      <c r="AA957" s="12">
        <v>0</v>
      </c>
      <c r="AB957" s="13">
        <f t="shared" si="57"/>
        <v>0</v>
      </c>
      <c r="AE957" s="12">
        <v>0</v>
      </c>
      <c r="AF957" s="12">
        <v>0</v>
      </c>
      <c r="AG957" s="12">
        <v>8</v>
      </c>
      <c r="AH957" s="12">
        <v>5.2799999999999994</v>
      </c>
      <c r="AI957" s="12">
        <v>0</v>
      </c>
      <c r="AJ957" s="13">
        <f t="shared" si="58"/>
        <v>0</v>
      </c>
      <c r="AN957" s="12">
        <f t="shared" si="59"/>
        <v>41979</v>
      </c>
      <c r="AQ957" s="8" t="s">
        <v>418</v>
      </c>
      <c r="AR957" t="str">
        <f t="shared" si="60"/>
        <v>Noroeste - A08</v>
      </c>
    </row>
    <row r="958" spans="1:44" x14ac:dyDescent="0.2">
      <c r="A958" s="107" t="s">
        <v>2688</v>
      </c>
      <c r="B958" s="106" t="s">
        <v>2687</v>
      </c>
      <c r="C958" s="106" t="s">
        <v>2561</v>
      </c>
      <c r="D958" s="106" t="s">
        <v>2682</v>
      </c>
      <c r="E958" s="106" t="s">
        <v>2686</v>
      </c>
      <c r="F958" s="106" t="s">
        <v>606</v>
      </c>
      <c r="G958" s="106" t="s">
        <v>2685</v>
      </c>
      <c r="H958" s="105" t="s">
        <v>2679</v>
      </c>
      <c r="I958" s="105" t="s">
        <v>2674</v>
      </c>
      <c r="J958" s="104">
        <v>1.7</v>
      </c>
      <c r="K958" s="103" t="s">
        <v>426</v>
      </c>
      <c r="L958" s="102" t="s">
        <v>533</v>
      </c>
      <c r="M958" s="95"/>
      <c r="N958" s="14"/>
      <c r="O958" s="94">
        <v>28</v>
      </c>
      <c r="P958" s="14" t="s">
        <v>596</v>
      </c>
      <c r="Q958" s="14" t="s">
        <v>497</v>
      </c>
      <c r="R958" s="14" t="s">
        <v>496</v>
      </c>
      <c r="S958" s="15">
        <v>8</v>
      </c>
      <c r="T958" s="15">
        <v>0.5</v>
      </c>
      <c r="U958" s="15">
        <v>0</v>
      </c>
      <c r="V958" s="14">
        <v>1002</v>
      </c>
      <c r="W958" s="12">
        <v>0</v>
      </c>
      <c r="X958" s="12">
        <v>0</v>
      </c>
      <c r="Y958" s="12">
        <v>0</v>
      </c>
      <c r="Z958" s="12">
        <v>1.7</v>
      </c>
      <c r="AA958" s="12">
        <v>0</v>
      </c>
      <c r="AB958" s="13">
        <f t="shared" si="57"/>
        <v>0</v>
      </c>
      <c r="AE958" s="12">
        <v>0</v>
      </c>
      <c r="AF958" s="12">
        <v>0</v>
      </c>
      <c r="AG958" s="12">
        <v>0</v>
      </c>
      <c r="AH958" s="12">
        <v>1.7</v>
      </c>
      <c r="AI958" s="12">
        <v>0</v>
      </c>
      <c r="AJ958" s="13">
        <f t="shared" si="58"/>
        <v>0</v>
      </c>
      <c r="AN958" s="12">
        <f t="shared" si="59"/>
        <v>1704</v>
      </c>
      <c r="AQ958" s="8" t="s">
        <v>418</v>
      </c>
      <c r="AR958" t="str">
        <f t="shared" si="60"/>
        <v>Noroeste - A06</v>
      </c>
    </row>
    <row r="959" spans="1:44" x14ac:dyDescent="0.2">
      <c r="A959" s="107" t="s">
        <v>2684</v>
      </c>
      <c r="B959" s="106" t="s">
        <v>2683</v>
      </c>
      <c r="C959" s="106" t="s">
        <v>2561</v>
      </c>
      <c r="D959" s="106" t="s">
        <v>2682</v>
      </c>
      <c r="E959" s="106" t="s">
        <v>2681</v>
      </c>
      <c r="F959" s="106" t="s">
        <v>600</v>
      </c>
      <c r="G959" s="106" t="s">
        <v>2680</v>
      </c>
      <c r="H959" s="105" t="s">
        <v>2679</v>
      </c>
      <c r="I959" s="105" t="s">
        <v>2674</v>
      </c>
      <c r="J959" s="104">
        <v>1.7</v>
      </c>
      <c r="K959" s="103" t="s">
        <v>426</v>
      </c>
      <c r="L959" s="102" t="s">
        <v>533</v>
      </c>
      <c r="M959" s="95"/>
      <c r="N959" s="14"/>
      <c r="O959" s="94">
        <v>28</v>
      </c>
      <c r="P959" s="14" t="s">
        <v>596</v>
      </c>
      <c r="Q959" s="14" t="s">
        <v>497</v>
      </c>
      <c r="R959" s="14" t="s">
        <v>496</v>
      </c>
      <c r="S959" s="15">
        <v>8</v>
      </c>
      <c r="T959" s="15">
        <v>0.5</v>
      </c>
      <c r="U959" s="15">
        <v>0</v>
      </c>
      <c r="V959" s="14">
        <v>1002</v>
      </c>
      <c r="W959" s="12">
        <v>0</v>
      </c>
      <c r="X959" s="12">
        <v>0</v>
      </c>
      <c r="Y959" s="12">
        <v>0</v>
      </c>
      <c r="Z959" s="12">
        <v>1.7</v>
      </c>
      <c r="AA959" s="12">
        <v>0</v>
      </c>
      <c r="AB959" s="13">
        <f t="shared" si="57"/>
        <v>0</v>
      </c>
      <c r="AE959" s="12">
        <v>0</v>
      </c>
      <c r="AF959" s="12">
        <v>0</v>
      </c>
      <c r="AG959" s="12">
        <v>0</v>
      </c>
      <c r="AH959" s="12">
        <v>1.7</v>
      </c>
      <c r="AI959" s="12">
        <v>0</v>
      </c>
      <c r="AJ959" s="13">
        <f t="shared" si="58"/>
        <v>0</v>
      </c>
      <c r="AN959" s="12">
        <f t="shared" si="59"/>
        <v>1704</v>
      </c>
      <c r="AQ959" s="8" t="s">
        <v>418</v>
      </c>
      <c r="AR959" t="str">
        <f t="shared" si="60"/>
        <v>Noroeste - A06</v>
      </c>
    </row>
    <row r="960" spans="1:44" x14ac:dyDescent="0.2">
      <c r="A960" s="107" t="s">
        <v>2678</v>
      </c>
      <c r="B960" s="106" t="s">
        <v>2677</v>
      </c>
      <c r="C960" s="106" t="s">
        <v>2561</v>
      </c>
      <c r="D960" s="106" t="s">
        <v>2676</v>
      </c>
      <c r="E960" s="106" t="s">
        <v>2559</v>
      </c>
      <c r="F960" s="106" t="s">
        <v>490</v>
      </c>
      <c r="G960" s="106" t="s">
        <v>2675</v>
      </c>
      <c r="H960" s="105" t="s">
        <v>2674</v>
      </c>
      <c r="I960" s="105" t="s">
        <v>2669</v>
      </c>
      <c r="J960" s="104">
        <v>3.03</v>
      </c>
      <c r="K960" s="103" t="s">
        <v>426</v>
      </c>
      <c r="L960" s="102" t="s">
        <v>533</v>
      </c>
      <c r="M960" s="95"/>
      <c r="N960" s="14"/>
      <c r="O960" s="94">
        <v>28</v>
      </c>
      <c r="P960" s="14" t="s">
        <v>485</v>
      </c>
      <c r="Q960" s="14" t="s">
        <v>497</v>
      </c>
      <c r="R960" s="14" t="s">
        <v>496</v>
      </c>
      <c r="S960" s="15">
        <v>7</v>
      </c>
      <c r="T960" s="15">
        <v>2</v>
      </c>
      <c r="U960" s="15">
        <v>0</v>
      </c>
      <c r="V960" s="14">
        <v>11012</v>
      </c>
      <c r="W960" s="12">
        <v>0</v>
      </c>
      <c r="X960" s="12">
        <v>0</v>
      </c>
      <c r="Y960" s="12">
        <v>0</v>
      </c>
      <c r="Z960" s="12">
        <v>3.03</v>
      </c>
      <c r="AA960" s="12">
        <v>0</v>
      </c>
      <c r="AB960" s="13">
        <f t="shared" si="57"/>
        <v>0</v>
      </c>
      <c r="AE960" s="12">
        <v>0</v>
      </c>
      <c r="AF960" s="12">
        <v>0</v>
      </c>
      <c r="AG960" s="12">
        <v>0</v>
      </c>
      <c r="AH960" s="12">
        <v>3.03</v>
      </c>
      <c r="AI960" s="12">
        <v>0</v>
      </c>
      <c r="AJ960" s="13">
        <f t="shared" si="58"/>
        <v>0</v>
      </c>
      <c r="AN960" s="12">
        <f t="shared" si="59"/>
        <v>33367</v>
      </c>
      <c r="AQ960" s="8" t="s">
        <v>418</v>
      </c>
      <c r="AR960" t="str">
        <f t="shared" si="60"/>
        <v>Noroeste - A06</v>
      </c>
    </row>
    <row r="961" spans="1:44" x14ac:dyDescent="0.2">
      <c r="A961" s="107" t="s">
        <v>2673</v>
      </c>
      <c r="B961" s="106" t="s">
        <v>2672</v>
      </c>
      <c r="C961" s="106" t="s">
        <v>2561</v>
      </c>
      <c r="D961" s="106" t="s">
        <v>2671</v>
      </c>
      <c r="E961" s="106" t="s">
        <v>2559</v>
      </c>
      <c r="F961" s="106" t="s">
        <v>490</v>
      </c>
      <c r="G961" s="106" t="s">
        <v>2670</v>
      </c>
      <c r="H961" s="105" t="s">
        <v>2669</v>
      </c>
      <c r="I961" s="105" t="s">
        <v>2664</v>
      </c>
      <c r="J961" s="104">
        <v>5.18</v>
      </c>
      <c r="K961" s="103" t="s">
        <v>426</v>
      </c>
      <c r="L961" s="102" t="s">
        <v>533</v>
      </c>
      <c r="M961" s="95"/>
      <c r="N961" s="14"/>
      <c r="O961" s="94">
        <v>28</v>
      </c>
      <c r="P961" s="14" t="s">
        <v>485</v>
      </c>
      <c r="Q961" s="14" t="s">
        <v>497</v>
      </c>
      <c r="R961" s="14" t="s">
        <v>496</v>
      </c>
      <c r="S961" s="15">
        <v>7</v>
      </c>
      <c r="T961" s="15">
        <v>2</v>
      </c>
      <c r="U961" s="15">
        <v>0</v>
      </c>
      <c r="V961" s="14">
        <v>1936</v>
      </c>
      <c r="W961" s="12">
        <v>0</v>
      </c>
      <c r="X961" s="12">
        <v>1</v>
      </c>
      <c r="Y961" s="12">
        <v>4.18</v>
      </c>
      <c r="Z961" s="12">
        <v>0</v>
      </c>
      <c r="AA961" s="12">
        <v>0</v>
      </c>
      <c r="AB961" s="13">
        <f t="shared" si="57"/>
        <v>0</v>
      </c>
      <c r="AE961" s="12">
        <v>0</v>
      </c>
      <c r="AF961" s="12">
        <v>1</v>
      </c>
      <c r="AG961" s="12">
        <v>4.18</v>
      </c>
      <c r="AH961" s="12">
        <v>0</v>
      </c>
      <c r="AI961" s="12">
        <v>0</v>
      </c>
      <c r="AJ961" s="13">
        <f t="shared" si="58"/>
        <v>0</v>
      </c>
      <c r="AN961" s="12">
        <f t="shared" si="59"/>
        <v>10029</v>
      </c>
      <c r="AQ961" s="8" t="s">
        <v>418</v>
      </c>
      <c r="AR961" t="str">
        <f t="shared" si="60"/>
        <v>Noroeste - A06</v>
      </c>
    </row>
    <row r="962" spans="1:44" x14ac:dyDescent="0.2">
      <c r="A962" s="107" t="s">
        <v>2668</v>
      </c>
      <c r="B962" s="106" t="s">
        <v>2667</v>
      </c>
      <c r="C962" s="106" t="s">
        <v>2561</v>
      </c>
      <c r="D962" s="106" t="s">
        <v>2666</v>
      </c>
      <c r="E962" s="106" t="s">
        <v>2559</v>
      </c>
      <c r="F962" s="106" t="s">
        <v>490</v>
      </c>
      <c r="G962" s="106" t="s">
        <v>2665</v>
      </c>
      <c r="H962" s="105" t="s">
        <v>2664</v>
      </c>
      <c r="I962" s="105" t="s">
        <v>2659</v>
      </c>
      <c r="J962" s="104">
        <v>16.07</v>
      </c>
      <c r="K962" s="103" t="s">
        <v>426</v>
      </c>
      <c r="L962" s="102" t="s">
        <v>533</v>
      </c>
      <c r="M962" s="95"/>
      <c r="N962" s="14"/>
      <c r="O962" s="94">
        <v>28</v>
      </c>
      <c r="P962" s="14" t="s">
        <v>485</v>
      </c>
      <c r="Q962" s="14" t="s">
        <v>497</v>
      </c>
      <c r="R962" s="14" t="s">
        <v>496</v>
      </c>
      <c r="S962" s="15">
        <v>7</v>
      </c>
      <c r="T962" s="15">
        <v>2</v>
      </c>
      <c r="U962" s="15">
        <v>0</v>
      </c>
      <c r="V962" s="14">
        <v>1936</v>
      </c>
      <c r="W962" s="12">
        <v>0</v>
      </c>
      <c r="X962" s="12">
        <v>1</v>
      </c>
      <c r="Y962" s="12">
        <v>7.07</v>
      </c>
      <c r="Z962" s="12">
        <v>8</v>
      </c>
      <c r="AA962" s="12">
        <v>0</v>
      </c>
      <c r="AB962" s="13">
        <f t="shared" si="57"/>
        <v>0</v>
      </c>
      <c r="AE962" s="12">
        <v>0</v>
      </c>
      <c r="AF962" s="12">
        <v>1</v>
      </c>
      <c r="AG962" s="12">
        <v>7.07</v>
      </c>
      <c r="AH962" s="12">
        <v>8</v>
      </c>
      <c r="AI962" s="12">
        <v>0</v>
      </c>
      <c r="AJ962" s="13">
        <f t="shared" si="58"/>
        <v>0</v>
      </c>
      <c r="AN962" s="12">
        <f t="shared" si="59"/>
        <v>31112</v>
      </c>
      <c r="AQ962" s="8" t="s">
        <v>418</v>
      </c>
      <c r="AR962" t="str">
        <f t="shared" si="60"/>
        <v>Noroeste - A06</v>
      </c>
    </row>
    <row r="963" spans="1:44" x14ac:dyDescent="0.2">
      <c r="A963" s="107" t="s">
        <v>2663</v>
      </c>
      <c r="B963" s="106" t="s">
        <v>2662</v>
      </c>
      <c r="C963" s="106" t="s">
        <v>2561</v>
      </c>
      <c r="D963" s="106" t="s">
        <v>2661</v>
      </c>
      <c r="E963" s="106" t="s">
        <v>2559</v>
      </c>
      <c r="F963" s="106" t="s">
        <v>490</v>
      </c>
      <c r="G963" s="106" t="s">
        <v>2660</v>
      </c>
      <c r="H963" s="105" t="s">
        <v>2659</v>
      </c>
      <c r="I963" s="105" t="s">
        <v>2654</v>
      </c>
      <c r="J963" s="104">
        <v>21.46</v>
      </c>
      <c r="K963" s="103" t="s">
        <v>426</v>
      </c>
      <c r="L963" s="102" t="s">
        <v>533</v>
      </c>
      <c r="M963" s="95"/>
      <c r="N963" s="14"/>
      <c r="O963" s="94">
        <v>28</v>
      </c>
      <c r="P963" s="14" t="s">
        <v>485</v>
      </c>
      <c r="Q963" s="14" t="s">
        <v>497</v>
      </c>
      <c r="R963" s="14" t="s">
        <v>496</v>
      </c>
      <c r="S963" s="15">
        <v>7</v>
      </c>
      <c r="T963" s="15">
        <v>2</v>
      </c>
      <c r="U963" s="15">
        <v>0</v>
      </c>
      <c r="V963" s="14">
        <v>1936</v>
      </c>
      <c r="W963" s="12">
        <v>0</v>
      </c>
      <c r="X963" s="12">
        <v>1</v>
      </c>
      <c r="Y963" s="12">
        <v>3</v>
      </c>
      <c r="Z963" s="12">
        <v>17.46</v>
      </c>
      <c r="AA963" s="12">
        <v>0</v>
      </c>
      <c r="AB963" s="13">
        <f t="shared" si="57"/>
        <v>0</v>
      </c>
      <c r="AE963" s="12">
        <v>0</v>
      </c>
      <c r="AF963" s="12">
        <v>1</v>
      </c>
      <c r="AG963" s="12">
        <v>3</v>
      </c>
      <c r="AH963" s="12">
        <v>17.46</v>
      </c>
      <c r="AI963" s="12">
        <v>0</v>
      </c>
      <c r="AJ963" s="13">
        <f t="shared" si="58"/>
        <v>0</v>
      </c>
      <c r="AN963" s="12">
        <f t="shared" si="59"/>
        <v>41547</v>
      </c>
      <c r="AQ963" s="8" t="s">
        <v>418</v>
      </c>
      <c r="AR963" t="str">
        <f t="shared" si="60"/>
        <v>Noroeste - A06</v>
      </c>
    </row>
    <row r="964" spans="1:44" x14ac:dyDescent="0.2">
      <c r="A964" s="107" t="s">
        <v>2658</v>
      </c>
      <c r="B964" s="106" t="s">
        <v>2657</v>
      </c>
      <c r="C964" s="106" t="s">
        <v>2561</v>
      </c>
      <c r="D964" s="106" t="s">
        <v>2656</v>
      </c>
      <c r="E964" s="106" t="s">
        <v>2559</v>
      </c>
      <c r="F964" s="106" t="s">
        <v>490</v>
      </c>
      <c r="G964" s="106" t="s">
        <v>2655</v>
      </c>
      <c r="H964" s="105" t="s">
        <v>2654</v>
      </c>
      <c r="I964" s="105" t="s">
        <v>2649</v>
      </c>
      <c r="J964" s="104">
        <v>10.25</v>
      </c>
      <c r="K964" s="103" t="s">
        <v>426</v>
      </c>
      <c r="L964" s="102" t="s">
        <v>533</v>
      </c>
      <c r="M964" s="95"/>
      <c r="N964" s="14"/>
      <c r="O964" s="94">
        <v>28</v>
      </c>
      <c r="P964" s="14" t="s">
        <v>485</v>
      </c>
      <c r="Q964" s="14" t="s">
        <v>497</v>
      </c>
      <c r="R964" s="14" t="s">
        <v>496</v>
      </c>
      <c r="S964" s="15">
        <v>7</v>
      </c>
      <c r="T964" s="15">
        <v>2</v>
      </c>
      <c r="U964" s="15">
        <v>0</v>
      </c>
      <c r="V964" s="14">
        <v>4038</v>
      </c>
      <c r="W964" s="12">
        <v>0</v>
      </c>
      <c r="X964" s="12">
        <v>0</v>
      </c>
      <c r="Y964" s="12">
        <v>4.25</v>
      </c>
      <c r="Z964" s="12">
        <v>6</v>
      </c>
      <c r="AA964" s="12">
        <v>0</v>
      </c>
      <c r="AB964" s="13">
        <f t="shared" si="57"/>
        <v>0</v>
      </c>
      <c r="AE964" s="12">
        <v>0</v>
      </c>
      <c r="AF964" s="12">
        <v>0</v>
      </c>
      <c r="AG964" s="12">
        <v>4.25</v>
      </c>
      <c r="AH964" s="12">
        <v>6</v>
      </c>
      <c r="AI964" s="12">
        <v>0</v>
      </c>
      <c r="AJ964" s="13">
        <f t="shared" si="58"/>
        <v>0</v>
      </c>
      <c r="AN964" s="12">
        <f t="shared" si="59"/>
        <v>41390</v>
      </c>
      <c r="AQ964" s="8" t="s">
        <v>418</v>
      </c>
      <c r="AR964" t="str">
        <f t="shared" si="60"/>
        <v>Noroeste - A06</v>
      </c>
    </row>
    <row r="965" spans="1:44" x14ac:dyDescent="0.2">
      <c r="A965" s="107" t="s">
        <v>2653</v>
      </c>
      <c r="B965" s="106" t="s">
        <v>2652</v>
      </c>
      <c r="C965" s="106" t="s">
        <v>2561</v>
      </c>
      <c r="D965" s="106" t="s">
        <v>2651</v>
      </c>
      <c r="E965" s="106" t="s">
        <v>2559</v>
      </c>
      <c r="F965" s="106" t="s">
        <v>490</v>
      </c>
      <c r="G965" s="106" t="s">
        <v>2650</v>
      </c>
      <c r="H965" s="105" t="s">
        <v>2649</v>
      </c>
      <c r="I965" s="105" t="s">
        <v>2644</v>
      </c>
      <c r="J965" s="104">
        <v>5.43</v>
      </c>
      <c r="K965" s="103" t="s">
        <v>426</v>
      </c>
      <c r="L965" s="102" t="s">
        <v>533</v>
      </c>
      <c r="M965" s="95"/>
      <c r="N965" s="14"/>
      <c r="O965" s="94">
        <v>28</v>
      </c>
      <c r="P965" s="14" t="s">
        <v>485</v>
      </c>
      <c r="Q965" s="14" t="s">
        <v>497</v>
      </c>
      <c r="R965" s="14" t="s">
        <v>496</v>
      </c>
      <c r="S965" s="15">
        <v>7</v>
      </c>
      <c r="T965" s="15">
        <v>2</v>
      </c>
      <c r="U965" s="15">
        <v>0</v>
      </c>
      <c r="V965" s="14">
        <v>1936</v>
      </c>
      <c r="W965" s="12">
        <v>0</v>
      </c>
      <c r="X965" s="12">
        <v>0.42999999999999972</v>
      </c>
      <c r="Y965" s="12">
        <v>4</v>
      </c>
      <c r="Z965" s="12">
        <v>1</v>
      </c>
      <c r="AA965" s="12">
        <v>0</v>
      </c>
      <c r="AB965" s="13">
        <f t="shared" si="57"/>
        <v>0</v>
      </c>
      <c r="AE965" s="12">
        <v>0</v>
      </c>
      <c r="AF965" s="12">
        <v>0.42999999999999972</v>
      </c>
      <c r="AG965" s="12">
        <v>4</v>
      </c>
      <c r="AH965" s="12">
        <v>1</v>
      </c>
      <c r="AI965" s="12">
        <v>0</v>
      </c>
      <c r="AJ965" s="13">
        <f t="shared" si="58"/>
        <v>0</v>
      </c>
      <c r="AN965" s="12">
        <f t="shared" si="59"/>
        <v>10513</v>
      </c>
      <c r="AQ965" s="8" t="s">
        <v>418</v>
      </c>
      <c r="AR965" t="str">
        <f t="shared" si="60"/>
        <v>Noroeste - A06</v>
      </c>
    </row>
    <row r="966" spans="1:44" x14ac:dyDescent="0.2">
      <c r="A966" s="107" t="s">
        <v>2648</v>
      </c>
      <c r="B966" s="106" t="s">
        <v>2647</v>
      </c>
      <c r="C966" s="106" t="s">
        <v>2561</v>
      </c>
      <c r="D966" s="106" t="s">
        <v>2646</v>
      </c>
      <c r="E966" s="106" t="s">
        <v>2559</v>
      </c>
      <c r="F966" s="106" t="s">
        <v>490</v>
      </c>
      <c r="G966" s="106" t="s">
        <v>2645</v>
      </c>
      <c r="H966" s="105" t="s">
        <v>2644</v>
      </c>
      <c r="I966" s="105" t="s">
        <v>2639</v>
      </c>
      <c r="J966" s="104">
        <v>12.73</v>
      </c>
      <c r="K966" s="103" t="s">
        <v>426</v>
      </c>
      <c r="L966" s="102" t="s">
        <v>577</v>
      </c>
      <c r="M966" s="95"/>
      <c r="N966" s="14"/>
      <c r="O966" s="94">
        <v>11</v>
      </c>
      <c r="P966" s="14" t="s">
        <v>485</v>
      </c>
      <c r="Q966" s="14" t="s">
        <v>497</v>
      </c>
      <c r="R966" s="14" t="s">
        <v>496</v>
      </c>
      <c r="S966" s="15">
        <v>7.2</v>
      </c>
      <c r="T966" s="15">
        <v>2.2999999999999998</v>
      </c>
      <c r="U966" s="15">
        <v>4.7</v>
      </c>
      <c r="V966" s="14">
        <v>1886</v>
      </c>
      <c r="W966" s="12">
        <v>0</v>
      </c>
      <c r="X966" s="12">
        <v>0</v>
      </c>
      <c r="Y966" s="12">
        <v>2</v>
      </c>
      <c r="Z966" s="12">
        <v>10.73</v>
      </c>
      <c r="AA966" s="12">
        <v>0</v>
      </c>
      <c r="AB966" s="13">
        <f t="shared" ref="AB966:AB1029" si="61">SUM(W966:AA966)-J966</f>
        <v>0</v>
      </c>
      <c r="AE966" s="12">
        <v>0</v>
      </c>
      <c r="AF966" s="12">
        <v>0</v>
      </c>
      <c r="AG966" s="12">
        <v>2</v>
      </c>
      <c r="AH966" s="12">
        <v>10.73</v>
      </c>
      <c r="AI966" s="12">
        <v>0</v>
      </c>
      <c r="AJ966" s="13">
        <f t="shared" ref="AJ966:AJ1029" si="62">SUM(AE966:AI966)-J966</f>
        <v>0</v>
      </c>
      <c r="AN966" s="12">
        <f t="shared" ref="AN966:AN1029" si="63">ROUNDUP(V966*J966,0)</f>
        <v>24009</v>
      </c>
      <c r="AQ966" s="8" t="s">
        <v>420</v>
      </c>
      <c r="AR966" t="str">
        <f t="shared" ref="AR966:AR1029" si="64">AQ966&amp;" - "&amp;K966</f>
        <v>Campos Gerais - A06</v>
      </c>
    </row>
    <row r="967" spans="1:44" x14ac:dyDescent="0.2">
      <c r="A967" s="107" t="s">
        <v>2643</v>
      </c>
      <c r="B967" s="106" t="s">
        <v>2642</v>
      </c>
      <c r="C967" s="106" t="s">
        <v>2561</v>
      </c>
      <c r="D967" s="106" t="s">
        <v>2641</v>
      </c>
      <c r="E967" s="106" t="s">
        <v>2559</v>
      </c>
      <c r="F967" s="106" t="s">
        <v>490</v>
      </c>
      <c r="G967" s="106" t="s">
        <v>2640</v>
      </c>
      <c r="H967" s="105" t="s">
        <v>2639</v>
      </c>
      <c r="I967" s="105" t="s">
        <v>2634</v>
      </c>
      <c r="J967" s="104">
        <v>1.48</v>
      </c>
      <c r="K967" s="103" t="s">
        <v>426</v>
      </c>
      <c r="L967" s="102" t="s">
        <v>577</v>
      </c>
      <c r="M967" s="95"/>
      <c r="N967" s="14"/>
      <c r="O967" s="94">
        <v>11</v>
      </c>
      <c r="P967" s="14" t="s">
        <v>485</v>
      </c>
      <c r="Q967" s="14" t="s">
        <v>497</v>
      </c>
      <c r="R967" s="14" t="s">
        <v>496</v>
      </c>
      <c r="S967" s="15">
        <v>7.4</v>
      </c>
      <c r="T967" s="15">
        <v>2.2999999999999998</v>
      </c>
      <c r="U967" s="15">
        <v>0</v>
      </c>
      <c r="V967" s="14">
        <v>1886</v>
      </c>
      <c r="W967" s="12">
        <v>0</v>
      </c>
      <c r="X967" s="12">
        <v>0</v>
      </c>
      <c r="Y967" s="12">
        <v>0</v>
      </c>
      <c r="Z967" s="12">
        <v>1.48</v>
      </c>
      <c r="AA967" s="12">
        <v>0</v>
      </c>
      <c r="AB967" s="13">
        <f t="shared" si="61"/>
        <v>0</v>
      </c>
      <c r="AE967" s="12">
        <v>0</v>
      </c>
      <c r="AF967" s="12">
        <v>0</v>
      </c>
      <c r="AG967" s="12">
        <v>0</v>
      </c>
      <c r="AH967" s="12">
        <v>1.48</v>
      </c>
      <c r="AI967" s="12">
        <v>0</v>
      </c>
      <c r="AJ967" s="13">
        <f t="shared" si="62"/>
        <v>0</v>
      </c>
      <c r="AN967" s="12">
        <f t="shared" si="63"/>
        <v>2792</v>
      </c>
      <c r="AQ967" s="8" t="s">
        <v>420</v>
      </c>
      <c r="AR967" t="str">
        <f t="shared" si="64"/>
        <v>Campos Gerais - A06</v>
      </c>
    </row>
    <row r="968" spans="1:44" x14ac:dyDescent="0.2">
      <c r="A968" s="107" t="s">
        <v>2638</v>
      </c>
      <c r="B968" s="106" t="s">
        <v>2637</v>
      </c>
      <c r="C968" s="106" t="s">
        <v>2561</v>
      </c>
      <c r="D968" s="106" t="s">
        <v>2636</v>
      </c>
      <c r="E968" s="106" t="s">
        <v>2559</v>
      </c>
      <c r="F968" s="106" t="s">
        <v>490</v>
      </c>
      <c r="G968" s="106" t="s">
        <v>2635</v>
      </c>
      <c r="H968" s="105" t="s">
        <v>2634</v>
      </c>
      <c r="I968" s="105" t="s">
        <v>2629</v>
      </c>
      <c r="J968" s="104">
        <v>6.41</v>
      </c>
      <c r="K968" s="103" t="s">
        <v>426</v>
      </c>
      <c r="L968" s="102" t="s">
        <v>577</v>
      </c>
      <c r="M968" s="95"/>
      <c r="N968" s="14"/>
      <c r="O968" s="94">
        <v>11</v>
      </c>
      <c r="P968" s="14" t="s">
        <v>485</v>
      </c>
      <c r="Q968" s="14" t="s">
        <v>497</v>
      </c>
      <c r="R968" s="14" t="s">
        <v>496</v>
      </c>
      <c r="S968" s="15">
        <v>7.6</v>
      </c>
      <c r="T968" s="15">
        <v>2.4</v>
      </c>
      <c r="U968" s="15">
        <v>3.5</v>
      </c>
      <c r="V968" s="14">
        <v>1886</v>
      </c>
      <c r="W968" s="12">
        <v>0</v>
      </c>
      <c r="X968" s="12">
        <v>0</v>
      </c>
      <c r="Y968" s="12">
        <v>2.41</v>
      </c>
      <c r="Z968" s="12">
        <v>4</v>
      </c>
      <c r="AA968" s="12">
        <v>0</v>
      </c>
      <c r="AB968" s="13">
        <f t="shared" si="61"/>
        <v>0</v>
      </c>
      <c r="AE968" s="12">
        <v>0</v>
      </c>
      <c r="AF968" s="12">
        <v>0</v>
      </c>
      <c r="AG968" s="12">
        <v>2.41</v>
      </c>
      <c r="AH968" s="12">
        <v>4</v>
      </c>
      <c r="AI968" s="12">
        <v>0</v>
      </c>
      <c r="AJ968" s="13">
        <f t="shared" si="62"/>
        <v>0</v>
      </c>
      <c r="AN968" s="12">
        <f t="shared" si="63"/>
        <v>12090</v>
      </c>
      <c r="AQ968" s="8" t="s">
        <v>420</v>
      </c>
      <c r="AR968" t="str">
        <f t="shared" si="64"/>
        <v>Campos Gerais - A06</v>
      </c>
    </row>
    <row r="969" spans="1:44" x14ac:dyDescent="0.2">
      <c r="A969" s="107" t="s">
        <v>2633</v>
      </c>
      <c r="B969" s="106" t="s">
        <v>2632</v>
      </c>
      <c r="C969" s="106" t="s">
        <v>2561</v>
      </c>
      <c r="D969" s="106" t="s">
        <v>2631</v>
      </c>
      <c r="E969" s="106" t="s">
        <v>2559</v>
      </c>
      <c r="F969" s="106" t="s">
        <v>490</v>
      </c>
      <c r="G969" s="106" t="s">
        <v>2630</v>
      </c>
      <c r="H969" s="105" t="s">
        <v>2629</v>
      </c>
      <c r="I969" s="105" t="s">
        <v>2624</v>
      </c>
      <c r="J969" s="104">
        <v>15.75</v>
      </c>
      <c r="K969" s="103" t="s">
        <v>426</v>
      </c>
      <c r="L969" s="102" t="s">
        <v>577</v>
      </c>
      <c r="M969" s="95"/>
      <c r="N969" s="17"/>
      <c r="O969" s="18" t="s">
        <v>443</v>
      </c>
      <c r="P969" s="14" t="s">
        <v>485</v>
      </c>
      <c r="Q969" s="14" t="s">
        <v>497</v>
      </c>
      <c r="R969" s="14" t="s">
        <v>496</v>
      </c>
      <c r="S969" s="15">
        <v>7.2</v>
      </c>
      <c r="T969" s="15">
        <v>0</v>
      </c>
      <c r="U969" s="15">
        <v>5.4</v>
      </c>
      <c r="V969" s="14">
        <v>821</v>
      </c>
      <c r="W969" s="12">
        <v>0</v>
      </c>
      <c r="X969" s="12">
        <v>0</v>
      </c>
      <c r="Y969" s="12">
        <v>0</v>
      </c>
      <c r="Z969" s="12">
        <v>15.75</v>
      </c>
      <c r="AA969" s="12">
        <v>0</v>
      </c>
      <c r="AB969" s="13">
        <f t="shared" si="61"/>
        <v>0</v>
      </c>
      <c r="AE969" s="12">
        <v>0</v>
      </c>
      <c r="AF969" s="12">
        <v>0</v>
      </c>
      <c r="AG969" s="12">
        <v>0</v>
      </c>
      <c r="AH969" s="12">
        <v>15.75</v>
      </c>
      <c r="AI969" s="12">
        <v>0</v>
      </c>
      <c r="AJ969" s="13">
        <f t="shared" si="62"/>
        <v>0</v>
      </c>
      <c r="AN969" s="12">
        <f t="shared" si="63"/>
        <v>12931</v>
      </c>
      <c r="AQ969" s="8" t="s">
        <v>420</v>
      </c>
      <c r="AR969" t="str">
        <f t="shared" si="64"/>
        <v>Campos Gerais - A06</v>
      </c>
    </row>
    <row r="970" spans="1:44" x14ac:dyDescent="0.2">
      <c r="A970" s="107" t="s">
        <v>2628</v>
      </c>
      <c r="B970" s="106" t="s">
        <v>2627</v>
      </c>
      <c r="C970" s="106" t="s">
        <v>2561</v>
      </c>
      <c r="D970" s="106" t="s">
        <v>2626</v>
      </c>
      <c r="E970" s="106" t="s">
        <v>2559</v>
      </c>
      <c r="F970" s="106" t="s">
        <v>490</v>
      </c>
      <c r="G970" s="106" t="s">
        <v>2625</v>
      </c>
      <c r="H970" s="105" t="s">
        <v>2624</v>
      </c>
      <c r="I970" s="105" t="s">
        <v>2623</v>
      </c>
      <c r="J970" s="104">
        <v>12.49</v>
      </c>
      <c r="K970" s="103" t="s">
        <v>426</v>
      </c>
      <c r="L970" s="102" t="s">
        <v>577</v>
      </c>
      <c r="M970" s="95"/>
      <c r="N970" s="17"/>
      <c r="O970" s="18" t="s">
        <v>443</v>
      </c>
      <c r="P970" s="14" t="s">
        <v>485</v>
      </c>
      <c r="Q970" s="14" t="s">
        <v>497</v>
      </c>
      <c r="R970" s="14" t="s">
        <v>496</v>
      </c>
      <c r="S970" s="15">
        <v>7.1</v>
      </c>
      <c r="T970" s="15">
        <v>0</v>
      </c>
      <c r="U970" s="15">
        <v>1.3000000000000005</v>
      </c>
      <c r="V970" s="14">
        <v>2684</v>
      </c>
      <c r="W970" s="12">
        <v>0</v>
      </c>
      <c r="X970" s="12">
        <v>0</v>
      </c>
      <c r="Y970" s="12">
        <v>0</v>
      </c>
      <c r="Z970" s="12">
        <v>12.49</v>
      </c>
      <c r="AA970" s="12">
        <v>0</v>
      </c>
      <c r="AB970" s="13">
        <f t="shared" si="61"/>
        <v>0</v>
      </c>
      <c r="AE970" s="12">
        <v>0</v>
      </c>
      <c r="AF970" s="12">
        <v>0</v>
      </c>
      <c r="AG970" s="12">
        <v>0</v>
      </c>
      <c r="AH970" s="12">
        <v>12.49</v>
      </c>
      <c r="AI970" s="12">
        <v>0</v>
      </c>
      <c r="AJ970" s="13">
        <f t="shared" si="62"/>
        <v>0</v>
      </c>
      <c r="AN970" s="12">
        <f t="shared" si="63"/>
        <v>33524</v>
      </c>
      <c r="AQ970" s="8" t="s">
        <v>420</v>
      </c>
      <c r="AR970" t="str">
        <f t="shared" si="64"/>
        <v>Campos Gerais - A06</v>
      </c>
    </row>
    <row r="971" spans="1:44" x14ac:dyDescent="0.2">
      <c r="A971" s="107" t="s">
        <v>2622</v>
      </c>
      <c r="B971" s="106" t="s">
        <v>2621</v>
      </c>
      <c r="C971" s="106" t="s">
        <v>2561</v>
      </c>
      <c r="D971" s="106" t="s">
        <v>2620</v>
      </c>
      <c r="E971" s="106" t="s">
        <v>2559</v>
      </c>
      <c r="F971" s="106" t="s">
        <v>490</v>
      </c>
      <c r="G971" s="106" t="s">
        <v>2619</v>
      </c>
      <c r="H971" s="105" t="s">
        <v>768</v>
      </c>
      <c r="I971" s="105" t="s">
        <v>2614</v>
      </c>
      <c r="J971" s="104">
        <v>4.1500000000000004</v>
      </c>
      <c r="K971" s="103" t="s">
        <v>426</v>
      </c>
      <c r="L971" s="102" t="s">
        <v>577</v>
      </c>
      <c r="M971" s="95"/>
      <c r="N971" s="17"/>
      <c r="O971" s="18" t="s">
        <v>443</v>
      </c>
      <c r="P971" s="14" t="s">
        <v>485</v>
      </c>
      <c r="Q971" s="14" t="s">
        <v>497</v>
      </c>
      <c r="R971" s="14" t="s">
        <v>496</v>
      </c>
      <c r="S971" s="15">
        <v>7</v>
      </c>
      <c r="T971" s="15">
        <v>0</v>
      </c>
      <c r="U971" s="15">
        <v>0.7</v>
      </c>
      <c r="V971" s="14">
        <v>3621</v>
      </c>
      <c r="W971" s="12">
        <v>0</v>
      </c>
      <c r="X971" s="12">
        <v>2</v>
      </c>
      <c r="Y971" s="12">
        <v>1.1500000000000004</v>
      </c>
      <c r="Z971" s="12">
        <v>1</v>
      </c>
      <c r="AA971" s="12">
        <v>0</v>
      </c>
      <c r="AB971" s="13">
        <f t="shared" si="61"/>
        <v>0</v>
      </c>
      <c r="AE971" s="12">
        <v>0</v>
      </c>
      <c r="AF971" s="12">
        <v>2</v>
      </c>
      <c r="AG971" s="12">
        <v>1.1500000000000004</v>
      </c>
      <c r="AH971" s="12">
        <v>1</v>
      </c>
      <c r="AI971" s="12">
        <v>0</v>
      </c>
      <c r="AJ971" s="13">
        <f t="shared" si="62"/>
        <v>0</v>
      </c>
      <c r="AN971" s="12">
        <f t="shared" si="63"/>
        <v>15028</v>
      </c>
      <c r="AQ971" s="8" t="s">
        <v>420</v>
      </c>
      <c r="AR971" t="str">
        <f t="shared" si="64"/>
        <v>Campos Gerais - A06</v>
      </c>
    </row>
    <row r="972" spans="1:44" x14ac:dyDescent="0.2">
      <c r="A972" s="107" t="s">
        <v>2618</v>
      </c>
      <c r="B972" s="106" t="s">
        <v>2617</v>
      </c>
      <c r="C972" s="106" t="s">
        <v>2561</v>
      </c>
      <c r="D972" s="106" t="s">
        <v>2616</v>
      </c>
      <c r="E972" s="106" t="s">
        <v>2559</v>
      </c>
      <c r="F972" s="106" t="s">
        <v>490</v>
      </c>
      <c r="G972" s="106" t="s">
        <v>2615</v>
      </c>
      <c r="H972" s="105" t="s">
        <v>2614</v>
      </c>
      <c r="I972" s="105" t="s">
        <v>1288</v>
      </c>
      <c r="J972" s="104">
        <v>24.35</v>
      </c>
      <c r="K972" s="103" t="s">
        <v>426</v>
      </c>
      <c r="L972" s="102" t="s">
        <v>577</v>
      </c>
      <c r="M972" s="95"/>
      <c r="N972" s="14"/>
      <c r="O972" s="94">
        <v>11</v>
      </c>
      <c r="P972" s="14" t="s">
        <v>485</v>
      </c>
      <c r="Q972" s="14" t="s">
        <v>497</v>
      </c>
      <c r="R972" s="14" t="s">
        <v>496</v>
      </c>
      <c r="S972" s="15">
        <v>7</v>
      </c>
      <c r="T972" s="15">
        <v>0</v>
      </c>
      <c r="U972" s="15">
        <v>0</v>
      </c>
      <c r="V972" s="14">
        <v>1720</v>
      </c>
      <c r="W972" s="12">
        <v>0</v>
      </c>
      <c r="X972" s="12">
        <v>1</v>
      </c>
      <c r="Y972" s="12">
        <v>16.350000000000001</v>
      </c>
      <c r="Z972" s="12">
        <v>7</v>
      </c>
      <c r="AA972" s="12">
        <v>0</v>
      </c>
      <c r="AB972" s="13">
        <f t="shared" si="61"/>
        <v>0</v>
      </c>
      <c r="AE972" s="12">
        <v>0</v>
      </c>
      <c r="AF972" s="12">
        <v>1</v>
      </c>
      <c r="AG972" s="12">
        <v>16.350000000000001</v>
      </c>
      <c r="AH972" s="12">
        <v>7</v>
      </c>
      <c r="AI972" s="12">
        <v>0</v>
      </c>
      <c r="AJ972" s="13">
        <f t="shared" si="62"/>
        <v>0</v>
      </c>
      <c r="AN972" s="12">
        <f t="shared" si="63"/>
        <v>41882</v>
      </c>
      <c r="AQ972" s="8" t="s">
        <v>420</v>
      </c>
      <c r="AR972" t="str">
        <f t="shared" si="64"/>
        <v>Campos Gerais - A06</v>
      </c>
    </row>
    <row r="973" spans="1:44" x14ac:dyDescent="0.2">
      <c r="A973" s="107" t="s">
        <v>2613</v>
      </c>
      <c r="B973" s="106" t="s">
        <v>2612</v>
      </c>
      <c r="C973" s="106" t="s">
        <v>2561</v>
      </c>
      <c r="D973" s="106" t="s">
        <v>2611</v>
      </c>
      <c r="E973" s="106" t="s">
        <v>2559</v>
      </c>
      <c r="F973" s="106" t="s">
        <v>490</v>
      </c>
      <c r="G973" s="106" t="s">
        <v>2610</v>
      </c>
      <c r="H973" s="105" t="s">
        <v>1288</v>
      </c>
      <c r="I973" s="105" t="s">
        <v>2605</v>
      </c>
      <c r="J973" s="104">
        <v>11.49</v>
      </c>
      <c r="K973" s="103" t="s">
        <v>423</v>
      </c>
      <c r="L973" s="102" t="s">
        <v>577</v>
      </c>
      <c r="M973" s="95"/>
      <c r="N973" s="14"/>
      <c r="O973" s="94">
        <v>8</v>
      </c>
      <c r="P973" s="14" t="s">
        <v>485</v>
      </c>
      <c r="Q973" s="14" t="s">
        <v>865</v>
      </c>
      <c r="R973" s="14" t="s">
        <v>576</v>
      </c>
      <c r="S973" s="15">
        <v>7.3</v>
      </c>
      <c r="T973" s="15">
        <v>0.8</v>
      </c>
      <c r="U973" s="15">
        <v>0</v>
      </c>
      <c r="V973" s="14">
        <v>1009</v>
      </c>
      <c r="W973" s="12">
        <v>0</v>
      </c>
      <c r="X973" s="12">
        <v>1.4900000000000002</v>
      </c>
      <c r="Y973" s="12">
        <v>2</v>
      </c>
      <c r="Z973" s="12">
        <v>8</v>
      </c>
      <c r="AA973" s="12">
        <v>0</v>
      </c>
      <c r="AB973" s="13">
        <f t="shared" si="61"/>
        <v>0</v>
      </c>
      <c r="AE973" s="12">
        <v>0</v>
      </c>
      <c r="AF973" s="12">
        <v>1.4900000000000002</v>
      </c>
      <c r="AG973" s="12">
        <v>2</v>
      </c>
      <c r="AH973" s="12">
        <v>8</v>
      </c>
      <c r="AI973" s="12">
        <v>0</v>
      </c>
      <c r="AJ973" s="13">
        <f t="shared" si="62"/>
        <v>0</v>
      </c>
      <c r="AN973" s="12">
        <f t="shared" si="63"/>
        <v>11594</v>
      </c>
      <c r="AQ973" s="8" t="s">
        <v>420</v>
      </c>
      <c r="AR973" t="str">
        <f t="shared" si="64"/>
        <v>Campos Gerais - A03</v>
      </c>
    </row>
    <row r="974" spans="1:44" x14ac:dyDescent="0.2">
      <c r="A974" s="107" t="s">
        <v>2609</v>
      </c>
      <c r="B974" s="106" t="s">
        <v>2608</v>
      </c>
      <c r="C974" s="106" t="s">
        <v>2561</v>
      </c>
      <c r="D974" s="106" t="s">
        <v>2607</v>
      </c>
      <c r="E974" s="106" t="s">
        <v>2559</v>
      </c>
      <c r="F974" s="106" t="s">
        <v>490</v>
      </c>
      <c r="G974" s="106" t="s">
        <v>2606</v>
      </c>
      <c r="H974" s="105" t="s">
        <v>2605</v>
      </c>
      <c r="I974" s="105" t="s">
        <v>2600</v>
      </c>
      <c r="J974" s="104">
        <v>6.58</v>
      </c>
      <c r="K974" s="103" t="s">
        <v>423</v>
      </c>
      <c r="L974" s="102" t="s">
        <v>577</v>
      </c>
      <c r="M974" s="95"/>
      <c r="N974" s="14"/>
      <c r="O974" s="94">
        <v>8</v>
      </c>
      <c r="P974" s="14" t="s">
        <v>485</v>
      </c>
      <c r="Q974" s="14" t="s">
        <v>865</v>
      </c>
      <c r="R974" s="14" t="s">
        <v>576</v>
      </c>
      <c r="S974" s="15">
        <v>7.3</v>
      </c>
      <c r="T974" s="15">
        <v>0.8</v>
      </c>
      <c r="U974" s="15">
        <v>0</v>
      </c>
      <c r="V974" s="14">
        <v>1009</v>
      </c>
      <c r="W974" s="12">
        <v>0</v>
      </c>
      <c r="X974" s="12">
        <v>1</v>
      </c>
      <c r="Y974" s="12">
        <v>3</v>
      </c>
      <c r="Z974" s="12">
        <v>2.58</v>
      </c>
      <c r="AA974" s="12">
        <v>0</v>
      </c>
      <c r="AB974" s="13">
        <f t="shared" si="61"/>
        <v>0</v>
      </c>
      <c r="AE974" s="12">
        <v>0</v>
      </c>
      <c r="AF974" s="12">
        <v>1</v>
      </c>
      <c r="AG974" s="12">
        <v>3</v>
      </c>
      <c r="AH974" s="12">
        <v>2.58</v>
      </c>
      <c r="AI974" s="12">
        <v>0</v>
      </c>
      <c r="AJ974" s="13">
        <f t="shared" si="62"/>
        <v>0</v>
      </c>
      <c r="AN974" s="12">
        <f t="shared" si="63"/>
        <v>6640</v>
      </c>
      <c r="AQ974" s="8" t="s">
        <v>420</v>
      </c>
      <c r="AR974" t="str">
        <f t="shared" si="64"/>
        <v>Campos Gerais - A03</v>
      </c>
    </row>
    <row r="975" spans="1:44" x14ac:dyDescent="0.2">
      <c r="A975" s="107" t="s">
        <v>2604</v>
      </c>
      <c r="B975" s="106" t="s">
        <v>2603</v>
      </c>
      <c r="C975" s="106" t="s">
        <v>2561</v>
      </c>
      <c r="D975" s="106" t="s">
        <v>2602</v>
      </c>
      <c r="E975" s="106" t="s">
        <v>2559</v>
      </c>
      <c r="F975" s="106" t="s">
        <v>490</v>
      </c>
      <c r="G975" s="106" t="s">
        <v>2601</v>
      </c>
      <c r="H975" s="105" t="s">
        <v>2600</v>
      </c>
      <c r="I975" s="105" t="s">
        <v>2595</v>
      </c>
      <c r="J975" s="104">
        <v>21.28</v>
      </c>
      <c r="K975" s="103" t="s">
        <v>423</v>
      </c>
      <c r="L975" s="102" t="s">
        <v>577</v>
      </c>
      <c r="M975" s="95"/>
      <c r="N975" s="14"/>
      <c r="O975" s="94">
        <v>8</v>
      </c>
      <c r="P975" s="14" t="s">
        <v>485</v>
      </c>
      <c r="Q975" s="14" t="s">
        <v>865</v>
      </c>
      <c r="R975" s="14" t="s">
        <v>576</v>
      </c>
      <c r="S975" s="15">
        <v>7.6</v>
      </c>
      <c r="T975" s="15">
        <v>0</v>
      </c>
      <c r="U975" s="15">
        <v>0</v>
      </c>
      <c r="V975" s="14">
        <v>883</v>
      </c>
      <c r="W975" s="12">
        <v>0</v>
      </c>
      <c r="X975" s="12">
        <v>3</v>
      </c>
      <c r="Y975" s="12">
        <v>12.280000000000001</v>
      </c>
      <c r="Z975" s="12">
        <v>6</v>
      </c>
      <c r="AA975" s="12">
        <v>0</v>
      </c>
      <c r="AB975" s="13">
        <f t="shared" si="61"/>
        <v>0</v>
      </c>
      <c r="AE975" s="12">
        <v>0</v>
      </c>
      <c r="AF975" s="12">
        <v>3</v>
      </c>
      <c r="AG975" s="12">
        <v>12.280000000000001</v>
      </c>
      <c r="AH975" s="12">
        <v>6</v>
      </c>
      <c r="AI975" s="12">
        <v>0</v>
      </c>
      <c r="AJ975" s="13">
        <f t="shared" si="62"/>
        <v>0</v>
      </c>
      <c r="AN975" s="12">
        <f t="shared" si="63"/>
        <v>18791</v>
      </c>
      <c r="AQ975" s="8" t="s">
        <v>420</v>
      </c>
      <c r="AR975" t="str">
        <f t="shared" si="64"/>
        <v>Campos Gerais - A03</v>
      </c>
    </row>
    <row r="976" spans="1:44" x14ac:dyDescent="0.2">
      <c r="A976" s="107" t="s">
        <v>2599</v>
      </c>
      <c r="B976" s="106" t="s">
        <v>2598</v>
      </c>
      <c r="C976" s="106" t="s">
        <v>2561</v>
      </c>
      <c r="D976" s="106" t="s">
        <v>2597</v>
      </c>
      <c r="E976" s="106" t="s">
        <v>2559</v>
      </c>
      <c r="F976" s="106" t="s">
        <v>490</v>
      </c>
      <c r="G976" s="106" t="s">
        <v>2596</v>
      </c>
      <c r="H976" s="105" t="s">
        <v>2595</v>
      </c>
      <c r="I976" s="105" t="s">
        <v>2594</v>
      </c>
      <c r="J976" s="104">
        <v>1.76</v>
      </c>
      <c r="K976" s="103" t="s">
        <v>423</v>
      </c>
      <c r="L976" s="102" t="s">
        <v>577</v>
      </c>
      <c r="M976" s="95"/>
      <c r="N976" s="14"/>
      <c r="O976" s="94">
        <v>8</v>
      </c>
      <c r="P976" s="14" t="s">
        <v>485</v>
      </c>
      <c r="Q976" s="14" t="s">
        <v>865</v>
      </c>
      <c r="R976" s="14" t="s">
        <v>576</v>
      </c>
      <c r="S976" s="15">
        <v>7.3</v>
      </c>
      <c r="T976" s="15">
        <v>0.4</v>
      </c>
      <c r="U976" s="15">
        <v>0</v>
      </c>
      <c r="V976" s="14">
        <v>896</v>
      </c>
      <c r="W976" s="12">
        <v>0</v>
      </c>
      <c r="X976" s="12">
        <v>0</v>
      </c>
      <c r="Y976" s="12">
        <v>1</v>
      </c>
      <c r="Z976" s="12">
        <v>0.76</v>
      </c>
      <c r="AA976" s="12">
        <v>0</v>
      </c>
      <c r="AB976" s="13">
        <f t="shared" si="61"/>
        <v>0</v>
      </c>
      <c r="AE976" s="12">
        <v>0</v>
      </c>
      <c r="AF976" s="12">
        <v>0</v>
      </c>
      <c r="AG976" s="12">
        <v>1</v>
      </c>
      <c r="AH976" s="12">
        <v>0.76</v>
      </c>
      <c r="AI976" s="12">
        <v>0</v>
      </c>
      <c r="AJ976" s="13">
        <f t="shared" si="62"/>
        <v>0</v>
      </c>
      <c r="AN976" s="12">
        <f t="shared" si="63"/>
        <v>1577</v>
      </c>
      <c r="AQ976" s="8" t="s">
        <v>420</v>
      </c>
      <c r="AR976" t="str">
        <f t="shared" si="64"/>
        <v>Campos Gerais - A03</v>
      </c>
    </row>
    <row r="977" spans="1:44" x14ac:dyDescent="0.2">
      <c r="A977" s="107" t="s">
        <v>2593</v>
      </c>
      <c r="B977" s="106" t="s">
        <v>2592</v>
      </c>
      <c r="C977" s="106" t="s">
        <v>2561</v>
      </c>
      <c r="D977" s="106" t="s">
        <v>2591</v>
      </c>
      <c r="E977" s="106" t="s">
        <v>2566</v>
      </c>
      <c r="F977" s="106" t="s">
        <v>590</v>
      </c>
      <c r="G977" s="106" t="s">
        <v>2590</v>
      </c>
      <c r="H977" s="105" t="s">
        <v>2589</v>
      </c>
      <c r="I977" s="105" t="s">
        <v>2584</v>
      </c>
      <c r="J977" s="104">
        <v>1.77</v>
      </c>
      <c r="K977" s="103" t="s">
        <v>424</v>
      </c>
      <c r="L977" s="102" t="s">
        <v>577</v>
      </c>
      <c r="M977" s="95"/>
      <c r="N977" s="14"/>
      <c r="O977" s="94">
        <v>9</v>
      </c>
      <c r="P977" s="14" t="s">
        <v>586</v>
      </c>
      <c r="Q977" s="14" t="s">
        <v>561</v>
      </c>
      <c r="R977" s="14" t="s">
        <v>496</v>
      </c>
      <c r="S977" s="15">
        <v>10</v>
      </c>
      <c r="T977" s="15">
        <v>0</v>
      </c>
      <c r="U977" s="15">
        <v>0</v>
      </c>
      <c r="V977" s="14">
        <v>123</v>
      </c>
      <c r="W977" s="12">
        <v>0</v>
      </c>
      <c r="X977" s="12">
        <v>0</v>
      </c>
      <c r="Y977" s="12">
        <v>0</v>
      </c>
      <c r="Z977" s="12">
        <v>1.77</v>
      </c>
      <c r="AA977" s="12">
        <v>0</v>
      </c>
      <c r="AB977" s="13">
        <f t="shared" si="61"/>
        <v>0</v>
      </c>
      <c r="AE977" s="12">
        <v>0</v>
      </c>
      <c r="AF977" s="12">
        <v>0</v>
      </c>
      <c r="AG977" s="12">
        <v>0</v>
      </c>
      <c r="AH977" s="12">
        <v>1.77</v>
      </c>
      <c r="AI977" s="12">
        <v>0</v>
      </c>
      <c r="AJ977" s="13">
        <f t="shared" si="62"/>
        <v>0</v>
      </c>
      <c r="AN977" s="12">
        <f t="shared" si="63"/>
        <v>218</v>
      </c>
      <c r="AQ977" s="8" t="s">
        <v>420</v>
      </c>
      <c r="AR977" t="str">
        <f t="shared" si="64"/>
        <v>Campos Gerais - A04</v>
      </c>
    </row>
    <row r="978" spans="1:44" x14ac:dyDescent="0.2">
      <c r="A978" s="107" t="s">
        <v>2588</v>
      </c>
      <c r="B978" s="106" t="s">
        <v>2587</v>
      </c>
      <c r="C978" s="106" t="s">
        <v>2561</v>
      </c>
      <c r="D978" s="106" t="s">
        <v>2586</v>
      </c>
      <c r="E978" s="106" t="s">
        <v>2559</v>
      </c>
      <c r="F978" s="106" t="s">
        <v>490</v>
      </c>
      <c r="G978" s="106" t="s">
        <v>2585</v>
      </c>
      <c r="H978" s="105" t="s">
        <v>2584</v>
      </c>
      <c r="I978" s="105" t="s">
        <v>2579</v>
      </c>
      <c r="J978" s="104">
        <v>11.24</v>
      </c>
      <c r="K978" s="103" t="s">
        <v>424</v>
      </c>
      <c r="L978" s="102" t="s">
        <v>577</v>
      </c>
      <c r="M978" s="95"/>
      <c r="N978" s="14"/>
      <c r="O978" s="94">
        <v>9</v>
      </c>
      <c r="P978" s="14" t="s">
        <v>485</v>
      </c>
      <c r="Q978" s="14" t="s">
        <v>561</v>
      </c>
      <c r="R978" s="14" t="s">
        <v>585</v>
      </c>
      <c r="S978" s="15">
        <v>7</v>
      </c>
      <c r="T978" s="15">
        <v>0.7</v>
      </c>
      <c r="U978" s="15">
        <v>0</v>
      </c>
      <c r="V978" s="14">
        <v>1371</v>
      </c>
      <c r="W978" s="12">
        <v>0</v>
      </c>
      <c r="X978" s="12">
        <v>0</v>
      </c>
      <c r="Y978" s="12">
        <v>0</v>
      </c>
      <c r="Z978" s="12">
        <v>11.24</v>
      </c>
      <c r="AA978" s="12">
        <v>0</v>
      </c>
      <c r="AB978" s="13">
        <f t="shared" si="61"/>
        <v>0</v>
      </c>
      <c r="AE978" s="12">
        <v>0</v>
      </c>
      <c r="AF978" s="12">
        <v>0</v>
      </c>
      <c r="AG978" s="12">
        <v>0</v>
      </c>
      <c r="AH978" s="12">
        <v>11.24</v>
      </c>
      <c r="AI978" s="12">
        <v>0</v>
      </c>
      <c r="AJ978" s="13">
        <f t="shared" si="62"/>
        <v>0</v>
      </c>
      <c r="AN978" s="12">
        <f t="shared" si="63"/>
        <v>15411</v>
      </c>
      <c r="AQ978" s="8" t="s">
        <v>420</v>
      </c>
      <c r="AR978" t="str">
        <f t="shared" si="64"/>
        <v>Campos Gerais - A04</v>
      </c>
    </row>
    <row r="979" spans="1:44" x14ac:dyDescent="0.2">
      <c r="A979" s="107" t="s">
        <v>2583</v>
      </c>
      <c r="B979" s="106" t="s">
        <v>2582</v>
      </c>
      <c r="C979" s="106" t="s">
        <v>2561</v>
      </c>
      <c r="D979" s="106" t="s">
        <v>2581</v>
      </c>
      <c r="E979" s="106" t="s">
        <v>2559</v>
      </c>
      <c r="F979" s="106" t="s">
        <v>490</v>
      </c>
      <c r="G979" s="106" t="s">
        <v>2580</v>
      </c>
      <c r="H979" s="105" t="s">
        <v>2579</v>
      </c>
      <c r="I979" s="105" t="s">
        <v>2578</v>
      </c>
      <c r="J979" s="104">
        <v>1.59</v>
      </c>
      <c r="K979" s="103" t="s">
        <v>424</v>
      </c>
      <c r="L979" s="102" t="s">
        <v>577</v>
      </c>
      <c r="M979" s="95"/>
      <c r="N979" s="14"/>
      <c r="O979" s="94">
        <v>9</v>
      </c>
      <c r="P979" s="14" t="s">
        <v>485</v>
      </c>
      <c r="Q979" s="14" t="s">
        <v>561</v>
      </c>
      <c r="R979" s="14" t="s">
        <v>585</v>
      </c>
      <c r="S979" s="15">
        <v>8</v>
      </c>
      <c r="T979" s="15">
        <v>0</v>
      </c>
      <c r="U979" s="15">
        <v>0</v>
      </c>
      <c r="V979" s="14">
        <v>51</v>
      </c>
      <c r="W979" s="12">
        <v>0</v>
      </c>
      <c r="X979" s="12">
        <v>0</v>
      </c>
      <c r="Y979" s="12">
        <v>1</v>
      </c>
      <c r="Z979" s="12">
        <v>0.59000000000000008</v>
      </c>
      <c r="AA979" s="12">
        <v>0</v>
      </c>
      <c r="AB979" s="13">
        <f t="shared" si="61"/>
        <v>0</v>
      </c>
      <c r="AE979" s="12">
        <v>0</v>
      </c>
      <c r="AF979" s="12">
        <v>0</v>
      </c>
      <c r="AG979" s="12">
        <v>1</v>
      </c>
      <c r="AH979" s="12">
        <v>0.59000000000000008</v>
      </c>
      <c r="AI979" s="12">
        <v>0</v>
      </c>
      <c r="AJ979" s="13">
        <f t="shared" si="62"/>
        <v>0</v>
      </c>
      <c r="AN979" s="12">
        <f t="shared" si="63"/>
        <v>82</v>
      </c>
      <c r="AQ979" s="8" t="s">
        <v>420</v>
      </c>
      <c r="AR979" t="str">
        <f t="shared" si="64"/>
        <v>Campos Gerais - A04</v>
      </c>
    </row>
    <row r="980" spans="1:44" x14ac:dyDescent="0.2">
      <c r="A980" s="107" t="s">
        <v>2577</v>
      </c>
      <c r="B980" s="106" t="s">
        <v>2576</v>
      </c>
      <c r="C980" s="106" t="s">
        <v>2561</v>
      </c>
      <c r="D980" s="106" t="s">
        <v>2575</v>
      </c>
      <c r="E980" s="106" t="s">
        <v>2566</v>
      </c>
      <c r="F980" s="106" t="s">
        <v>590</v>
      </c>
      <c r="G980" s="106" t="s">
        <v>2574</v>
      </c>
      <c r="H980" s="105" t="s">
        <v>2573</v>
      </c>
      <c r="I980" s="105" t="s">
        <v>2570</v>
      </c>
      <c r="J980" s="104">
        <v>0.22</v>
      </c>
      <c r="K980" s="103" t="s">
        <v>423</v>
      </c>
      <c r="L980" s="102" t="s">
        <v>577</v>
      </c>
      <c r="M980" s="95"/>
      <c r="N980" s="14"/>
      <c r="O980" s="94">
        <v>8</v>
      </c>
      <c r="P980" s="14" t="s">
        <v>586</v>
      </c>
      <c r="Q980" s="14" t="s">
        <v>561</v>
      </c>
      <c r="R980" s="14" t="s">
        <v>496</v>
      </c>
      <c r="S980" s="15">
        <v>10</v>
      </c>
      <c r="T980" s="15">
        <v>0</v>
      </c>
      <c r="U980" s="15">
        <v>0</v>
      </c>
      <c r="V980" s="14">
        <v>123</v>
      </c>
      <c r="W980" s="12">
        <v>0</v>
      </c>
      <c r="X980" s="12">
        <v>0</v>
      </c>
      <c r="Y980" s="12">
        <v>0</v>
      </c>
      <c r="Z980" s="12">
        <v>1.34</v>
      </c>
      <c r="AA980" s="12">
        <v>0</v>
      </c>
      <c r="AB980" s="13">
        <f t="shared" si="61"/>
        <v>1.1200000000000001</v>
      </c>
      <c r="AE980" s="12">
        <f>IF(W980=0,0,W980-$AB980)</f>
        <v>0</v>
      </c>
      <c r="AF980" s="12">
        <f>IF(X980=0,0,X980-$AB980)</f>
        <v>0</v>
      </c>
      <c r="AG980" s="12">
        <f>IF(Y980=0,0,Y980-$AB980)</f>
        <v>0</v>
      </c>
      <c r="AH980" s="12">
        <f>IF(Z980=0,0,Z980-$AB980)</f>
        <v>0.21999999999999997</v>
      </c>
      <c r="AI980" s="12">
        <f>IF(AA980=0,0,AA980-$AB980)</f>
        <v>0</v>
      </c>
      <c r="AJ980" s="13">
        <f t="shared" si="62"/>
        <v>0</v>
      </c>
      <c r="AN980" s="12">
        <f t="shared" si="63"/>
        <v>28</v>
      </c>
      <c r="AQ980" s="8" t="s">
        <v>420</v>
      </c>
      <c r="AR980" t="str">
        <f t="shared" si="64"/>
        <v>Campos Gerais - A03</v>
      </c>
    </row>
    <row r="981" spans="1:44" x14ac:dyDescent="0.2">
      <c r="A981" s="107" t="s">
        <v>2572</v>
      </c>
      <c r="B981" s="106" t="s">
        <v>2568</v>
      </c>
      <c r="C981" s="106" t="s">
        <v>2561</v>
      </c>
      <c r="D981" s="106" t="s">
        <v>2567</v>
      </c>
      <c r="E981" s="106" t="s">
        <v>2566</v>
      </c>
      <c r="F981" s="106" t="s">
        <v>590</v>
      </c>
      <c r="G981" s="106" t="s">
        <v>2571</v>
      </c>
      <c r="H981" s="105" t="s">
        <v>2570</v>
      </c>
      <c r="I981" s="105" t="s">
        <v>2557</v>
      </c>
      <c r="J981" s="104">
        <v>1.29</v>
      </c>
      <c r="K981" s="103" t="s">
        <v>423</v>
      </c>
      <c r="L981" s="102" t="s">
        <v>577</v>
      </c>
      <c r="M981" s="95"/>
      <c r="N981" s="14"/>
      <c r="O981" s="94">
        <v>8</v>
      </c>
      <c r="P981" s="14" t="s">
        <v>586</v>
      </c>
      <c r="Q981" s="14" t="s">
        <v>561</v>
      </c>
      <c r="R981" s="14" t="s">
        <v>496</v>
      </c>
      <c r="S981" s="15">
        <v>10</v>
      </c>
      <c r="T981" s="15">
        <v>0</v>
      </c>
      <c r="U981" s="15">
        <v>0</v>
      </c>
      <c r="V981" s="14">
        <v>123</v>
      </c>
      <c r="W981" s="12">
        <v>0</v>
      </c>
      <c r="X981" s="12">
        <v>0</v>
      </c>
      <c r="Y981" s="12">
        <v>0.29000000000000004</v>
      </c>
      <c r="Z981" s="12">
        <v>1</v>
      </c>
      <c r="AA981" s="12">
        <v>0</v>
      </c>
      <c r="AB981" s="13">
        <f t="shared" si="61"/>
        <v>0</v>
      </c>
      <c r="AE981" s="12">
        <v>0</v>
      </c>
      <c r="AF981" s="12">
        <v>0</v>
      </c>
      <c r="AG981" s="12">
        <v>0.29000000000000004</v>
      </c>
      <c r="AH981" s="12">
        <v>1</v>
      </c>
      <c r="AI981" s="12">
        <v>0</v>
      </c>
      <c r="AJ981" s="13">
        <f t="shared" si="62"/>
        <v>0</v>
      </c>
      <c r="AN981" s="12">
        <f t="shared" si="63"/>
        <v>159</v>
      </c>
      <c r="AQ981" s="8" t="s">
        <v>420</v>
      </c>
      <c r="AR981" t="str">
        <f t="shared" si="64"/>
        <v>Campos Gerais - A03</v>
      </c>
    </row>
    <row r="982" spans="1:44" x14ac:dyDescent="0.2">
      <c r="A982" s="107" t="s">
        <v>2569</v>
      </c>
      <c r="B982" s="106" t="s">
        <v>2568</v>
      </c>
      <c r="C982" s="106" t="s">
        <v>2561</v>
      </c>
      <c r="D982" s="106" t="s">
        <v>2567</v>
      </c>
      <c r="E982" s="106" t="s">
        <v>2566</v>
      </c>
      <c r="F982" s="106" t="s">
        <v>590</v>
      </c>
      <c r="G982" s="106" t="s">
        <v>2565</v>
      </c>
      <c r="H982" s="105" t="s">
        <v>2557</v>
      </c>
      <c r="I982" s="105" t="s">
        <v>2564</v>
      </c>
      <c r="J982" s="104">
        <v>1.34</v>
      </c>
      <c r="K982" s="103" t="s">
        <v>423</v>
      </c>
      <c r="L982" s="102" t="s">
        <v>577</v>
      </c>
      <c r="M982" s="95"/>
      <c r="N982" s="14"/>
      <c r="O982" s="94">
        <v>8</v>
      </c>
      <c r="P982" s="14" t="s">
        <v>586</v>
      </c>
      <c r="Q982" s="14" t="s">
        <v>561</v>
      </c>
      <c r="R982" s="14" t="s">
        <v>496</v>
      </c>
      <c r="S982" s="15">
        <v>10</v>
      </c>
      <c r="T982" s="15">
        <v>0</v>
      </c>
      <c r="U982" s="15">
        <v>0</v>
      </c>
      <c r="V982" s="14">
        <v>123</v>
      </c>
      <c r="W982" s="12">
        <v>0</v>
      </c>
      <c r="X982" s="12">
        <v>0</v>
      </c>
      <c r="Y982" s="12">
        <v>0</v>
      </c>
      <c r="Z982" s="12">
        <v>1.34</v>
      </c>
      <c r="AA982" s="12">
        <v>0</v>
      </c>
      <c r="AB982" s="13">
        <f t="shared" si="61"/>
        <v>0</v>
      </c>
      <c r="AE982" s="12">
        <v>0</v>
      </c>
      <c r="AF982" s="12">
        <v>0</v>
      </c>
      <c r="AG982" s="12">
        <v>0</v>
      </c>
      <c r="AH982" s="12">
        <v>1.34</v>
      </c>
      <c r="AI982" s="12">
        <v>0</v>
      </c>
      <c r="AJ982" s="13">
        <f t="shared" si="62"/>
        <v>0</v>
      </c>
      <c r="AN982" s="12">
        <f t="shared" si="63"/>
        <v>165</v>
      </c>
      <c r="AQ982" s="8" t="s">
        <v>420</v>
      </c>
      <c r="AR982" t="str">
        <f t="shared" si="64"/>
        <v>Campos Gerais - A03</v>
      </c>
    </row>
    <row r="983" spans="1:44" x14ac:dyDescent="0.2">
      <c r="A983" s="107" t="s">
        <v>2563</v>
      </c>
      <c r="B983" s="106" t="s">
        <v>2562</v>
      </c>
      <c r="C983" s="106" t="s">
        <v>2561</v>
      </c>
      <c r="D983" s="106" t="s">
        <v>2560</v>
      </c>
      <c r="E983" s="106" t="s">
        <v>2559</v>
      </c>
      <c r="F983" s="106" t="s">
        <v>490</v>
      </c>
      <c r="G983" s="106" t="s">
        <v>2558</v>
      </c>
      <c r="H983" s="105" t="s">
        <v>2557</v>
      </c>
      <c r="I983" s="105" t="s">
        <v>2556</v>
      </c>
      <c r="J983" s="104">
        <v>21.62</v>
      </c>
      <c r="K983" s="103" t="s">
        <v>423</v>
      </c>
      <c r="L983" s="102" t="s">
        <v>577</v>
      </c>
      <c r="M983" s="95"/>
      <c r="N983" s="14"/>
      <c r="O983" s="94">
        <v>8</v>
      </c>
      <c r="P983" s="14" t="s">
        <v>485</v>
      </c>
      <c r="Q983" s="14" t="s">
        <v>561</v>
      </c>
      <c r="R983" s="14" t="s">
        <v>585</v>
      </c>
      <c r="S983" s="15">
        <v>7</v>
      </c>
      <c r="T983" s="15">
        <v>0</v>
      </c>
      <c r="U983" s="15">
        <v>0</v>
      </c>
      <c r="V983" s="14">
        <v>2405</v>
      </c>
      <c r="W983" s="12">
        <v>0</v>
      </c>
      <c r="X983" s="12">
        <v>0</v>
      </c>
      <c r="Y983" s="12">
        <v>0</v>
      </c>
      <c r="Z983" s="12">
        <v>21.62</v>
      </c>
      <c r="AA983" s="12">
        <v>0</v>
      </c>
      <c r="AB983" s="13">
        <f t="shared" si="61"/>
        <v>0</v>
      </c>
      <c r="AE983" s="12">
        <v>0</v>
      </c>
      <c r="AF983" s="12">
        <v>0</v>
      </c>
      <c r="AG983" s="12">
        <v>0</v>
      </c>
      <c r="AH983" s="12">
        <v>21.62</v>
      </c>
      <c r="AI983" s="12">
        <v>0</v>
      </c>
      <c r="AJ983" s="13">
        <f t="shared" si="62"/>
        <v>0</v>
      </c>
      <c r="AN983" s="12">
        <f t="shared" si="63"/>
        <v>51997</v>
      </c>
      <c r="AQ983" s="8" t="s">
        <v>420</v>
      </c>
      <c r="AR983" t="str">
        <f t="shared" si="64"/>
        <v>Campos Gerais - A03</v>
      </c>
    </row>
    <row r="984" spans="1:44" x14ac:dyDescent="0.2">
      <c r="A984" s="107" t="s">
        <v>2555</v>
      </c>
      <c r="B984" s="106" t="s">
        <v>2554</v>
      </c>
      <c r="C984" s="106" t="s">
        <v>2527</v>
      </c>
      <c r="D984" s="106" t="s">
        <v>492</v>
      </c>
      <c r="E984" s="106" t="s">
        <v>2526</v>
      </c>
      <c r="F984" s="106" t="s">
        <v>490</v>
      </c>
      <c r="G984" s="106" t="s">
        <v>2553</v>
      </c>
      <c r="H984" s="105" t="s">
        <v>2552</v>
      </c>
      <c r="I984" s="105" t="s">
        <v>2548</v>
      </c>
      <c r="J984" s="104">
        <v>8.9499999999999993</v>
      </c>
      <c r="K984" s="103" t="s">
        <v>421</v>
      </c>
      <c r="L984" s="102" t="s">
        <v>507</v>
      </c>
      <c r="M984" s="95"/>
      <c r="N984" s="17">
        <f>O984</f>
        <v>33</v>
      </c>
      <c r="O984" s="94">
        <v>33</v>
      </c>
      <c r="P984" s="14" t="s">
        <v>485</v>
      </c>
      <c r="Q984" s="14" t="s">
        <v>497</v>
      </c>
      <c r="R984" s="14" t="s">
        <v>496</v>
      </c>
      <c r="S984" s="15">
        <v>6.8</v>
      </c>
      <c r="T984" s="15">
        <v>0</v>
      </c>
      <c r="U984" s="15">
        <v>0</v>
      </c>
      <c r="V984" s="14">
        <v>4059</v>
      </c>
      <c r="W984" s="12">
        <v>0</v>
      </c>
      <c r="X984" s="12">
        <v>0</v>
      </c>
      <c r="Y984" s="12">
        <v>6.9499999999999993</v>
      </c>
      <c r="Z984" s="12">
        <v>2</v>
      </c>
      <c r="AA984" s="12">
        <v>0</v>
      </c>
      <c r="AB984" s="13">
        <f t="shared" si="61"/>
        <v>0</v>
      </c>
      <c r="AE984" s="12">
        <v>0</v>
      </c>
      <c r="AF984" s="12">
        <v>0</v>
      </c>
      <c r="AG984" s="12">
        <v>6.9499999999999993</v>
      </c>
      <c r="AH984" s="12">
        <v>2</v>
      </c>
      <c r="AI984" s="12">
        <v>0</v>
      </c>
      <c r="AJ984" s="13">
        <f t="shared" si="62"/>
        <v>0</v>
      </c>
      <c r="AN984" s="12">
        <f t="shared" si="63"/>
        <v>36329</v>
      </c>
      <c r="AQ984" s="8" t="s">
        <v>417</v>
      </c>
      <c r="AR984" t="str">
        <f t="shared" si="64"/>
        <v>Oeste - A01</v>
      </c>
    </row>
    <row r="985" spans="1:44" x14ac:dyDescent="0.2">
      <c r="A985" s="107" t="s">
        <v>2551</v>
      </c>
      <c r="B985" s="106" t="s">
        <v>2550</v>
      </c>
      <c r="C985" s="106" t="s">
        <v>2527</v>
      </c>
      <c r="D985" s="106" t="s">
        <v>592</v>
      </c>
      <c r="E985" s="106" t="s">
        <v>2537</v>
      </c>
      <c r="F985" s="106" t="s">
        <v>590</v>
      </c>
      <c r="G985" s="106" t="s">
        <v>2549</v>
      </c>
      <c r="H985" s="105" t="s">
        <v>2548</v>
      </c>
      <c r="I985" s="105" t="s">
        <v>2543</v>
      </c>
      <c r="J985" s="104">
        <v>1.57</v>
      </c>
      <c r="K985" s="103" t="s">
        <v>421</v>
      </c>
      <c r="L985" s="102" t="s">
        <v>507</v>
      </c>
      <c r="M985" s="95"/>
      <c r="N985" s="14"/>
      <c r="O985" s="94">
        <v>33</v>
      </c>
      <c r="P985" s="14" t="s">
        <v>586</v>
      </c>
      <c r="Q985" s="14" t="s">
        <v>497</v>
      </c>
      <c r="R985" s="14" t="s">
        <v>496</v>
      </c>
      <c r="S985" s="15">
        <v>18</v>
      </c>
      <c r="T985" s="15">
        <v>0</v>
      </c>
      <c r="U985" s="15">
        <v>0</v>
      </c>
      <c r="V985" s="14">
        <v>800</v>
      </c>
      <c r="W985" s="12">
        <v>0</v>
      </c>
      <c r="X985" s="12">
        <v>0</v>
      </c>
      <c r="Y985" s="12">
        <v>0</v>
      </c>
      <c r="Z985" s="12">
        <v>1.57</v>
      </c>
      <c r="AA985" s="12">
        <v>0</v>
      </c>
      <c r="AB985" s="13">
        <f t="shared" si="61"/>
        <v>0</v>
      </c>
      <c r="AE985" s="12">
        <v>0</v>
      </c>
      <c r="AF985" s="12">
        <v>0</v>
      </c>
      <c r="AG985" s="12">
        <v>0</v>
      </c>
      <c r="AH985" s="12">
        <v>1.57</v>
      </c>
      <c r="AI985" s="12">
        <v>0</v>
      </c>
      <c r="AJ985" s="13">
        <f t="shared" si="62"/>
        <v>0</v>
      </c>
      <c r="AN985" s="12">
        <f t="shared" si="63"/>
        <v>1256</v>
      </c>
      <c r="AQ985" s="8" t="s">
        <v>417</v>
      </c>
      <c r="AR985" t="str">
        <f t="shared" si="64"/>
        <v>Oeste - A01</v>
      </c>
    </row>
    <row r="986" spans="1:44" x14ac:dyDescent="0.2">
      <c r="A986" s="107" t="s">
        <v>2547</v>
      </c>
      <c r="B986" s="106" t="s">
        <v>2546</v>
      </c>
      <c r="C986" s="106" t="s">
        <v>2527</v>
      </c>
      <c r="D986" s="106" t="s">
        <v>2545</v>
      </c>
      <c r="E986" s="106" t="s">
        <v>2537</v>
      </c>
      <c r="F986" s="106" t="s">
        <v>590</v>
      </c>
      <c r="G986" s="106" t="s">
        <v>2544</v>
      </c>
      <c r="H986" s="105" t="s">
        <v>2543</v>
      </c>
      <c r="I986" s="105" t="s">
        <v>1171</v>
      </c>
      <c r="J986" s="104">
        <v>0.49</v>
      </c>
      <c r="K986" s="103" t="s">
        <v>421</v>
      </c>
      <c r="L986" s="102" t="s">
        <v>507</v>
      </c>
      <c r="M986" s="95"/>
      <c r="N986" s="14"/>
      <c r="O986" s="94">
        <v>33</v>
      </c>
      <c r="P986" s="14" t="s">
        <v>586</v>
      </c>
      <c r="Q986" s="14" t="s">
        <v>497</v>
      </c>
      <c r="R986" s="14" t="s">
        <v>496</v>
      </c>
      <c r="S986" s="15">
        <v>18</v>
      </c>
      <c r="T986" s="15">
        <v>0</v>
      </c>
      <c r="U986" s="15">
        <v>0</v>
      </c>
      <c r="V986" s="14">
        <v>800</v>
      </c>
      <c r="W986" s="12">
        <v>0</v>
      </c>
      <c r="X986" s="12">
        <v>0</v>
      </c>
      <c r="Y986" s="12">
        <v>0</v>
      </c>
      <c r="Z986" s="12">
        <v>0.49</v>
      </c>
      <c r="AA986" s="12">
        <v>0</v>
      </c>
      <c r="AB986" s="13">
        <f t="shared" si="61"/>
        <v>0</v>
      </c>
      <c r="AE986" s="12">
        <v>0</v>
      </c>
      <c r="AF986" s="12">
        <v>0</v>
      </c>
      <c r="AG986" s="12">
        <v>0</v>
      </c>
      <c r="AH986" s="12">
        <v>0.49</v>
      </c>
      <c r="AI986" s="12">
        <v>0</v>
      </c>
      <c r="AJ986" s="13">
        <f t="shared" si="62"/>
        <v>0</v>
      </c>
      <c r="AN986" s="12">
        <f t="shared" si="63"/>
        <v>392</v>
      </c>
      <c r="AQ986" s="8" t="s">
        <v>417</v>
      </c>
      <c r="AR986" t="str">
        <f t="shared" si="64"/>
        <v>Oeste - A01</v>
      </c>
    </row>
    <row r="987" spans="1:44" x14ac:dyDescent="0.2">
      <c r="A987" s="107" t="s">
        <v>2542</v>
      </c>
      <c r="B987" s="106" t="s">
        <v>2541</v>
      </c>
      <c r="C987" s="106" t="s">
        <v>2527</v>
      </c>
      <c r="D987" s="106" t="s">
        <v>513</v>
      </c>
      <c r="E987" s="106" t="s">
        <v>2526</v>
      </c>
      <c r="F987" s="106" t="s">
        <v>490</v>
      </c>
      <c r="G987" s="106" t="s">
        <v>2540</v>
      </c>
      <c r="H987" s="105" t="s">
        <v>1171</v>
      </c>
      <c r="I987" s="105" t="s">
        <v>2535</v>
      </c>
      <c r="J987" s="104">
        <v>26.82</v>
      </c>
      <c r="K987" s="103" t="s">
        <v>421</v>
      </c>
      <c r="L987" s="102" t="s">
        <v>507</v>
      </c>
      <c r="M987" s="95"/>
      <c r="N987" s="14"/>
      <c r="O987" s="94">
        <v>33</v>
      </c>
      <c r="P987" s="14" t="s">
        <v>485</v>
      </c>
      <c r="Q987" s="14" t="s">
        <v>497</v>
      </c>
      <c r="R987" s="14" t="s">
        <v>496</v>
      </c>
      <c r="S987" s="15">
        <v>7</v>
      </c>
      <c r="T987" s="15">
        <v>0</v>
      </c>
      <c r="U987" s="15">
        <v>0</v>
      </c>
      <c r="V987" s="14">
        <v>1106</v>
      </c>
      <c r="W987" s="12">
        <v>0</v>
      </c>
      <c r="X987" s="12">
        <v>1.8200000000000003</v>
      </c>
      <c r="Y987" s="12">
        <v>17</v>
      </c>
      <c r="Z987" s="12">
        <v>8</v>
      </c>
      <c r="AA987" s="12">
        <v>0</v>
      </c>
      <c r="AB987" s="13">
        <f t="shared" si="61"/>
        <v>0</v>
      </c>
      <c r="AE987" s="12">
        <v>0</v>
      </c>
      <c r="AF987" s="12">
        <v>1.8200000000000003</v>
      </c>
      <c r="AG987" s="12">
        <v>17</v>
      </c>
      <c r="AH987" s="12">
        <v>8</v>
      </c>
      <c r="AI987" s="12">
        <v>0</v>
      </c>
      <c r="AJ987" s="13">
        <f t="shared" si="62"/>
        <v>0</v>
      </c>
      <c r="AN987" s="12">
        <f t="shared" si="63"/>
        <v>29663</v>
      </c>
      <c r="AQ987" s="8" t="s">
        <v>417</v>
      </c>
      <c r="AR987" t="str">
        <f t="shared" si="64"/>
        <v>Oeste - A01</v>
      </c>
    </row>
    <row r="988" spans="1:44" x14ac:dyDescent="0.2">
      <c r="A988" s="107" t="s">
        <v>2539</v>
      </c>
      <c r="B988" s="106" t="s">
        <v>2538</v>
      </c>
      <c r="C988" s="106" t="s">
        <v>2527</v>
      </c>
      <c r="D988" s="106" t="s">
        <v>1324</v>
      </c>
      <c r="E988" s="106" t="s">
        <v>2537</v>
      </c>
      <c r="F988" s="106" t="s">
        <v>590</v>
      </c>
      <c r="G988" s="106" t="s">
        <v>2536</v>
      </c>
      <c r="H988" s="105" t="s">
        <v>2535</v>
      </c>
      <c r="I988" s="105" t="s">
        <v>2531</v>
      </c>
      <c r="J988" s="104">
        <v>0.75</v>
      </c>
      <c r="K988" s="103" t="s">
        <v>421</v>
      </c>
      <c r="L988" s="102" t="s">
        <v>507</v>
      </c>
      <c r="M988" s="95"/>
      <c r="N988" s="14"/>
      <c r="O988" s="94">
        <v>33</v>
      </c>
      <c r="P988" s="14" t="s">
        <v>586</v>
      </c>
      <c r="Q988" s="14" t="s">
        <v>497</v>
      </c>
      <c r="R988" s="14" t="s">
        <v>496</v>
      </c>
      <c r="S988" s="15">
        <v>14</v>
      </c>
      <c r="T988" s="15">
        <v>0</v>
      </c>
      <c r="U988" s="15">
        <v>0</v>
      </c>
      <c r="V988" s="14">
        <v>840</v>
      </c>
      <c r="W988" s="12">
        <v>0</v>
      </c>
      <c r="X988" s="12">
        <v>0</v>
      </c>
      <c r="Y988" s="12">
        <v>0</v>
      </c>
      <c r="Z988" s="12">
        <v>0.75</v>
      </c>
      <c r="AA988" s="12">
        <v>0</v>
      </c>
      <c r="AB988" s="13">
        <f t="shared" si="61"/>
        <v>0</v>
      </c>
      <c r="AE988" s="12">
        <v>0</v>
      </c>
      <c r="AF988" s="12">
        <v>0</v>
      </c>
      <c r="AG988" s="12">
        <v>0</v>
      </c>
      <c r="AH988" s="12">
        <v>0.75</v>
      </c>
      <c r="AI988" s="12">
        <v>0</v>
      </c>
      <c r="AJ988" s="13">
        <f t="shared" si="62"/>
        <v>0</v>
      </c>
      <c r="AN988" s="12">
        <f t="shared" si="63"/>
        <v>630</v>
      </c>
      <c r="AQ988" s="8" t="s">
        <v>417</v>
      </c>
      <c r="AR988" t="str">
        <f t="shared" si="64"/>
        <v>Oeste - A01</v>
      </c>
    </row>
    <row r="989" spans="1:44" x14ac:dyDescent="0.2">
      <c r="A989" s="107" t="s">
        <v>2534</v>
      </c>
      <c r="B989" s="106" t="s">
        <v>2533</v>
      </c>
      <c r="C989" s="106" t="s">
        <v>2527</v>
      </c>
      <c r="D989" s="106" t="s">
        <v>989</v>
      </c>
      <c r="E989" s="106" t="s">
        <v>2526</v>
      </c>
      <c r="F989" s="106" t="s">
        <v>490</v>
      </c>
      <c r="G989" s="106" t="s">
        <v>2532</v>
      </c>
      <c r="H989" s="105" t="s">
        <v>2531</v>
      </c>
      <c r="I989" s="105" t="s">
        <v>2530</v>
      </c>
      <c r="J989" s="104">
        <v>22.68</v>
      </c>
      <c r="K989" s="103" t="s">
        <v>421</v>
      </c>
      <c r="L989" s="102" t="s">
        <v>507</v>
      </c>
      <c r="M989" s="95"/>
      <c r="N989" s="14"/>
      <c r="O989" s="94">
        <v>33</v>
      </c>
      <c r="P989" s="14" t="s">
        <v>485</v>
      </c>
      <c r="Q989" s="14" t="s">
        <v>497</v>
      </c>
      <c r="R989" s="14" t="s">
        <v>496</v>
      </c>
      <c r="S989" s="15">
        <v>7</v>
      </c>
      <c r="T989" s="15">
        <v>0</v>
      </c>
      <c r="U989" s="15">
        <v>0</v>
      </c>
      <c r="V989" s="14">
        <v>1106</v>
      </c>
      <c r="W989" s="12">
        <v>0</v>
      </c>
      <c r="X989" s="12">
        <v>2</v>
      </c>
      <c r="Y989" s="12">
        <v>9</v>
      </c>
      <c r="Z989" s="12">
        <v>11.68</v>
      </c>
      <c r="AA989" s="12">
        <v>0</v>
      </c>
      <c r="AB989" s="13">
        <f t="shared" si="61"/>
        <v>0</v>
      </c>
      <c r="AE989" s="12">
        <v>0</v>
      </c>
      <c r="AF989" s="12">
        <v>2</v>
      </c>
      <c r="AG989" s="12">
        <v>9</v>
      </c>
      <c r="AH989" s="12">
        <v>11.68</v>
      </c>
      <c r="AI989" s="12">
        <v>0</v>
      </c>
      <c r="AJ989" s="13">
        <f t="shared" si="62"/>
        <v>0</v>
      </c>
      <c r="AN989" s="12">
        <f t="shared" si="63"/>
        <v>25085</v>
      </c>
      <c r="AQ989" s="8" t="s">
        <v>417</v>
      </c>
      <c r="AR989" t="str">
        <f t="shared" si="64"/>
        <v>Oeste - A01</v>
      </c>
    </row>
    <row r="990" spans="1:44" x14ac:dyDescent="0.2">
      <c r="A990" s="107" t="s">
        <v>2529</v>
      </c>
      <c r="B990" s="106" t="s">
        <v>2528</v>
      </c>
      <c r="C990" s="106" t="s">
        <v>2527</v>
      </c>
      <c r="D990" s="106" t="s">
        <v>981</v>
      </c>
      <c r="E990" s="106" t="s">
        <v>2526</v>
      </c>
      <c r="F990" s="106" t="s">
        <v>490</v>
      </c>
      <c r="G990" s="106" t="s">
        <v>2525</v>
      </c>
      <c r="H990" s="105" t="s">
        <v>2524</v>
      </c>
      <c r="I990" s="105" t="s">
        <v>2523</v>
      </c>
      <c r="J990" s="104">
        <v>7.51</v>
      </c>
      <c r="K990" s="103" t="s">
        <v>421</v>
      </c>
      <c r="L990" s="102" t="s">
        <v>507</v>
      </c>
      <c r="M990" s="95"/>
      <c r="N990" s="14"/>
      <c r="O990" s="94">
        <v>33</v>
      </c>
      <c r="P990" s="14" t="s">
        <v>485</v>
      </c>
      <c r="Q990" s="14" t="s">
        <v>497</v>
      </c>
      <c r="R990" s="14" t="s">
        <v>496</v>
      </c>
      <c r="S990" s="15">
        <v>7</v>
      </c>
      <c r="T990" s="15">
        <v>0</v>
      </c>
      <c r="U990" s="15">
        <v>0</v>
      </c>
      <c r="V990" s="14">
        <v>2151</v>
      </c>
      <c r="W990" s="12">
        <v>0</v>
      </c>
      <c r="X990" s="12">
        <v>0</v>
      </c>
      <c r="Y990" s="12">
        <v>7</v>
      </c>
      <c r="Z990" s="12">
        <v>0.50999999999999979</v>
      </c>
      <c r="AA990" s="12">
        <v>0</v>
      </c>
      <c r="AB990" s="13">
        <f t="shared" si="61"/>
        <v>0</v>
      </c>
      <c r="AE990" s="12">
        <v>0</v>
      </c>
      <c r="AF990" s="12">
        <v>0</v>
      </c>
      <c r="AG990" s="12">
        <v>7</v>
      </c>
      <c r="AH990" s="12">
        <v>0.50999999999999979</v>
      </c>
      <c r="AI990" s="12">
        <v>0</v>
      </c>
      <c r="AJ990" s="13">
        <f t="shared" si="62"/>
        <v>0</v>
      </c>
      <c r="AN990" s="12">
        <f t="shared" si="63"/>
        <v>16155</v>
      </c>
      <c r="AQ990" s="8" t="s">
        <v>417</v>
      </c>
      <c r="AR990" t="str">
        <f t="shared" si="64"/>
        <v>Oeste - A01</v>
      </c>
    </row>
    <row r="991" spans="1:44" x14ac:dyDescent="0.2">
      <c r="A991" s="107" t="s">
        <v>2522</v>
      </c>
      <c r="B991" s="106" t="s">
        <v>2521</v>
      </c>
      <c r="C991" s="106" t="s">
        <v>2506</v>
      </c>
      <c r="D991" s="106" t="s">
        <v>751</v>
      </c>
      <c r="E991" s="106" t="s">
        <v>2520</v>
      </c>
      <c r="F991" s="106" t="s">
        <v>590</v>
      </c>
      <c r="G991" s="106" t="s">
        <v>2519</v>
      </c>
      <c r="H991" s="105" t="s">
        <v>2518</v>
      </c>
      <c r="I991" s="105" t="s">
        <v>1217</v>
      </c>
      <c r="J991" s="104">
        <v>3.46</v>
      </c>
      <c r="K991" s="103" t="s">
        <v>428</v>
      </c>
      <c r="L991" s="102" t="s">
        <v>533</v>
      </c>
      <c r="M991" s="95"/>
      <c r="N991" s="14"/>
      <c r="O991" s="94">
        <v>30</v>
      </c>
      <c r="P991" s="14" t="s">
        <v>586</v>
      </c>
      <c r="Q991" s="14" t="s">
        <v>561</v>
      </c>
      <c r="R991" s="14" t="s">
        <v>496</v>
      </c>
      <c r="S991" s="15">
        <v>14</v>
      </c>
      <c r="T991" s="15">
        <v>0</v>
      </c>
      <c r="U991" s="15">
        <v>0</v>
      </c>
      <c r="V991" s="14">
        <v>1806</v>
      </c>
      <c r="W991" s="12">
        <v>0</v>
      </c>
      <c r="X991" s="12">
        <v>0</v>
      </c>
      <c r="Y991" s="12">
        <v>0</v>
      </c>
      <c r="Z991" s="12">
        <v>3.46</v>
      </c>
      <c r="AA991" s="12">
        <v>0</v>
      </c>
      <c r="AB991" s="13">
        <f t="shared" si="61"/>
        <v>0</v>
      </c>
      <c r="AE991" s="12">
        <v>0</v>
      </c>
      <c r="AF991" s="12">
        <v>0</v>
      </c>
      <c r="AG991" s="12">
        <v>0</v>
      </c>
      <c r="AH991" s="12">
        <v>3.46</v>
      </c>
      <c r="AI991" s="12">
        <v>0</v>
      </c>
      <c r="AJ991" s="13">
        <f t="shared" si="62"/>
        <v>0</v>
      </c>
      <c r="AN991" s="12">
        <f t="shared" si="63"/>
        <v>6249</v>
      </c>
      <c r="AQ991" s="8" t="s">
        <v>418</v>
      </c>
      <c r="AR991" t="str">
        <f t="shared" si="64"/>
        <v>Noroeste - A08</v>
      </c>
    </row>
    <row r="992" spans="1:44" x14ac:dyDescent="0.2">
      <c r="A992" s="107" t="s">
        <v>2517</v>
      </c>
      <c r="B992" s="106" t="s">
        <v>2516</v>
      </c>
      <c r="C992" s="106" t="s">
        <v>2506</v>
      </c>
      <c r="D992" s="106" t="s">
        <v>492</v>
      </c>
      <c r="E992" s="106" t="s">
        <v>2505</v>
      </c>
      <c r="F992" s="106" t="s">
        <v>490</v>
      </c>
      <c r="G992" s="106" t="s">
        <v>2515</v>
      </c>
      <c r="H992" s="105" t="s">
        <v>2514</v>
      </c>
      <c r="I992" s="105" t="s">
        <v>2513</v>
      </c>
      <c r="J992" s="104">
        <v>17.32</v>
      </c>
      <c r="K992" s="103" t="s">
        <v>428</v>
      </c>
      <c r="L992" s="102" t="s">
        <v>533</v>
      </c>
      <c r="M992" s="95"/>
      <c r="N992" s="14"/>
      <c r="O992" s="94">
        <v>30</v>
      </c>
      <c r="P992" s="14" t="s">
        <v>485</v>
      </c>
      <c r="Q992" s="14" t="s">
        <v>561</v>
      </c>
      <c r="R992" s="14" t="s">
        <v>496</v>
      </c>
      <c r="S992" s="15">
        <v>7</v>
      </c>
      <c r="T992" s="15">
        <v>1.2</v>
      </c>
      <c r="U992" s="15">
        <v>0</v>
      </c>
      <c r="V992" s="14">
        <v>2870</v>
      </c>
      <c r="W992" s="12">
        <v>0</v>
      </c>
      <c r="X992" s="12">
        <v>0</v>
      </c>
      <c r="Y992" s="12">
        <v>0</v>
      </c>
      <c r="Z992" s="12">
        <v>17.32</v>
      </c>
      <c r="AA992" s="12">
        <v>0</v>
      </c>
      <c r="AB992" s="13">
        <f t="shared" si="61"/>
        <v>0</v>
      </c>
      <c r="AE992" s="12">
        <v>0</v>
      </c>
      <c r="AF992" s="12">
        <v>0</v>
      </c>
      <c r="AG992" s="12">
        <v>0</v>
      </c>
      <c r="AH992" s="12">
        <v>17.32</v>
      </c>
      <c r="AI992" s="12">
        <v>0</v>
      </c>
      <c r="AJ992" s="13">
        <f t="shared" si="62"/>
        <v>0</v>
      </c>
      <c r="AN992" s="12">
        <f t="shared" si="63"/>
        <v>49709</v>
      </c>
      <c r="AQ992" s="8" t="s">
        <v>418</v>
      </c>
      <c r="AR992" t="str">
        <f t="shared" si="64"/>
        <v>Noroeste - A08</v>
      </c>
    </row>
    <row r="993" spans="1:44" x14ac:dyDescent="0.2">
      <c r="A993" s="107" t="s">
        <v>2512</v>
      </c>
      <c r="B993" s="106" t="s">
        <v>2511</v>
      </c>
      <c r="C993" s="106" t="s">
        <v>2506</v>
      </c>
      <c r="D993" s="106" t="s">
        <v>981</v>
      </c>
      <c r="E993" s="106" t="s">
        <v>2505</v>
      </c>
      <c r="F993" s="106" t="s">
        <v>490</v>
      </c>
      <c r="G993" s="106" t="s">
        <v>2510</v>
      </c>
      <c r="H993" s="105" t="s">
        <v>2509</v>
      </c>
      <c r="I993" s="105" t="s">
        <v>2503</v>
      </c>
      <c r="J993" s="104">
        <v>9.31</v>
      </c>
      <c r="K993" s="103" t="s">
        <v>430</v>
      </c>
      <c r="L993" s="102" t="s">
        <v>533</v>
      </c>
      <c r="M993" s="95"/>
      <c r="N993" s="14"/>
      <c r="O993" s="94">
        <v>32</v>
      </c>
      <c r="P993" s="14" t="s">
        <v>485</v>
      </c>
      <c r="Q993" s="14" t="s">
        <v>505</v>
      </c>
      <c r="R993" s="14" t="s">
        <v>496</v>
      </c>
      <c r="S993" s="15">
        <v>7</v>
      </c>
      <c r="T993" s="15">
        <v>0</v>
      </c>
      <c r="U993" s="15">
        <v>0</v>
      </c>
      <c r="V993" s="14">
        <v>566</v>
      </c>
      <c r="W993" s="12">
        <v>0</v>
      </c>
      <c r="X993" s="12">
        <v>0</v>
      </c>
      <c r="Y993" s="12">
        <v>0</v>
      </c>
      <c r="Z993" s="12">
        <v>9.31</v>
      </c>
      <c r="AA993" s="12">
        <v>0</v>
      </c>
      <c r="AB993" s="13">
        <f t="shared" si="61"/>
        <v>0</v>
      </c>
      <c r="AE993" s="12">
        <v>0</v>
      </c>
      <c r="AF993" s="12">
        <v>0</v>
      </c>
      <c r="AG993" s="12">
        <v>0</v>
      </c>
      <c r="AH993" s="12">
        <v>9.31</v>
      </c>
      <c r="AI993" s="12">
        <v>0</v>
      </c>
      <c r="AJ993" s="13">
        <f t="shared" si="62"/>
        <v>0</v>
      </c>
      <c r="AN993" s="12">
        <f t="shared" si="63"/>
        <v>5270</v>
      </c>
      <c r="AQ993" s="8" t="s">
        <v>418</v>
      </c>
      <c r="AR993" t="str">
        <f t="shared" si="64"/>
        <v>Noroeste - A10</v>
      </c>
    </row>
    <row r="994" spans="1:44" x14ac:dyDescent="0.2">
      <c r="A994" s="107" t="s">
        <v>2508</v>
      </c>
      <c r="B994" s="106" t="s">
        <v>2507</v>
      </c>
      <c r="C994" s="106" t="s">
        <v>2506</v>
      </c>
      <c r="D994" s="106" t="s">
        <v>975</v>
      </c>
      <c r="E994" s="106" t="s">
        <v>2505</v>
      </c>
      <c r="F994" s="106" t="s">
        <v>490</v>
      </c>
      <c r="G994" s="106" t="s">
        <v>2504</v>
      </c>
      <c r="H994" s="105" t="s">
        <v>2503</v>
      </c>
      <c r="I994" s="105" t="s">
        <v>2502</v>
      </c>
      <c r="J994" s="104">
        <v>3.6</v>
      </c>
      <c r="K994" s="103" t="s">
        <v>430</v>
      </c>
      <c r="L994" s="102" t="s">
        <v>533</v>
      </c>
      <c r="M994" s="95"/>
      <c r="N994" s="14"/>
      <c r="O994" s="94">
        <v>32</v>
      </c>
      <c r="P994" s="14" t="s">
        <v>485</v>
      </c>
      <c r="Q994" s="14" t="s">
        <v>505</v>
      </c>
      <c r="R994" s="14" t="s">
        <v>496</v>
      </c>
      <c r="S994" s="15">
        <v>7</v>
      </c>
      <c r="T994" s="15">
        <v>0</v>
      </c>
      <c r="U994" s="15">
        <v>0</v>
      </c>
      <c r="V994" s="14">
        <v>566</v>
      </c>
      <c r="W994" s="12">
        <v>0</v>
      </c>
      <c r="X994" s="12">
        <v>0</v>
      </c>
      <c r="Y994" s="12">
        <v>0</v>
      </c>
      <c r="Z994" s="12">
        <v>3.6</v>
      </c>
      <c r="AA994" s="12">
        <v>0</v>
      </c>
      <c r="AB994" s="13">
        <f t="shared" si="61"/>
        <v>0</v>
      </c>
      <c r="AE994" s="12">
        <v>0</v>
      </c>
      <c r="AF994" s="12">
        <v>0</v>
      </c>
      <c r="AG994" s="12">
        <v>0</v>
      </c>
      <c r="AH994" s="12">
        <v>3.6</v>
      </c>
      <c r="AI994" s="12">
        <v>0</v>
      </c>
      <c r="AJ994" s="13">
        <f t="shared" si="62"/>
        <v>0</v>
      </c>
      <c r="AN994" s="12">
        <f t="shared" si="63"/>
        <v>2038</v>
      </c>
      <c r="AQ994" s="8" t="s">
        <v>418</v>
      </c>
      <c r="AR994" t="str">
        <f t="shared" si="64"/>
        <v>Noroeste - A10</v>
      </c>
    </row>
    <row r="995" spans="1:44" x14ac:dyDescent="0.2">
      <c r="A995" s="107" t="s">
        <v>2501</v>
      </c>
      <c r="B995" s="106" t="s">
        <v>2500</v>
      </c>
      <c r="C995" s="106" t="s">
        <v>2468</v>
      </c>
      <c r="D995" s="106" t="s">
        <v>513</v>
      </c>
      <c r="E995" s="106" t="s">
        <v>2473</v>
      </c>
      <c r="F995" s="106" t="s">
        <v>490</v>
      </c>
      <c r="G995" s="106" t="s">
        <v>2499</v>
      </c>
      <c r="H995" s="105" t="s">
        <v>2498</v>
      </c>
      <c r="I995" s="105" t="s">
        <v>2494</v>
      </c>
      <c r="J995" s="104">
        <v>0.27</v>
      </c>
      <c r="K995" s="103" t="s">
        <v>428</v>
      </c>
      <c r="L995" s="102" t="s">
        <v>533</v>
      </c>
      <c r="M995" s="95"/>
      <c r="N995" s="14"/>
      <c r="O995" s="94">
        <v>30</v>
      </c>
      <c r="P995" s="14" t="s">
        <v>485</v>
      </c>
      <c r="Q995" s="14" t="s">
        <v>947</v>
      </c>
      <c r="R995" s="14" t="s">
        <v>585</v>
      </c>
      <c r="S995" s="15">
        <v>7</v>
      </c>
      <c r="T995" s="15">
        <v>0.5</v>
      </c>
      <c r="U995" s="15">
        <v>0</v>
      </c>
      <c r="V995" s="14">
        <v>2012</v>
      </c>
      <c r="W995" s="12">
        <v>0</v>
      </c>
      <c r="X995" s="12">
        <v>0</v>
      </c>
      <c r="Y995" s="12">
        <v>0</v>
      </c>
      <c r="Z995" s="12">
        <v>0.27</v>
      </c>
      <c r="AA995" s="12">
        <v>0</v>
      </c>
      <c r="AB995" s="13">
        <f t="shared" si="61"/>
        <v>0</v>
      </c>
      <c r="AE995" s="12">
        <v>0</v>
      </c>
      <c r="AF995" s="12">
        <v>0</v>
      </c>
      <c r="AG995" s="12">
        <v>0</v>
      </c>
      <c r="AH995" s="12">
        <v>0.27</v>
      </c>
      <c r="AI995" s="12">
        <v>0</v>
      </c>
      <c r="AJ995" s="13">
        <f t="shared" si="62"/>
        <v>0</v>
      </c>
      <c r="AN995" s="12">
        <f t="shared" si="63"/>
        <v>544</v>
      </c>
      <c r="AQ995" s="8" t="s">
        <v>418</v>
      </c>
      <c r="AR995" t="str">
        <f t="shared" si="64"/>
        <v>Noroeste - A08</v>
      </c>
    </row>
    <row r="996" spans="1:44" x14ac:dyDescent="0.2">
      <c r="A996" s="107" t="s">
        <v>2497</v>
      </c>
      <c r="B996" s="106" t="s">
        <v>2496</v>
      </c>
      <c r="C996" s="106" t="s">
        <v>2468</v>
      </c>
      <c r="D996" s="106" t="s">
        <v>989</v>
      </c>
      <c r="E996" s="106" t="s">
        <v>2473</v>
      </c>
      <c r="F996" s="106" t="s">
        <v>490</v>
      </c>
      <c r="G996" s="106" t="s">
        <v>2495</v>
      </c>
      <c r="H996" s="105" t="s">
        <v>2494</v>
      </c>
      <c r="I996" s="105" t="s">
        <v>2490</v>
      </c>
      <c r="J996" s="104">
        <v>9.0399999999999991</v>
      </c>
      <c r="K996" s="103" t="s">
        <v>428</v>
      </c>
      <c r="L996" s="102" t="s">
        <v>533</v>
      </c>
      <c r="M996" s="95"/>
      <c r="N996" s="14"/>
      <c r="O996" s="94">
        <v>30</v>
      </c>
      <c r="P996" s="14" t="s">
        <v>485</v>
      </c>
      <c r="Q996" s="14" t="s">
        <v>947</v>
      </c>
      <c r="R996" s="14" t="s">
        <v>585</v>
      </c>
      <c r="S996" s="15">
        <v>8</v>
      </c>
      <c r="T996" s="15">
        <v>0</v>
      </c>
      <c r="U996" s="15">
        <v>0</v>
      </c>
      <c r="V996" s="14">
        <v>2012</v>
      </c>
      <c r="W996" s="12">
        <v>0</v>
      </c>
      <c r="X996" s="12">
        <v>0</v>
      </c>
      <c r="Y996" s="12">
        <v>7</v>
      </c>
      <c r="Z996" s="12">
        <v>2.0399999999999991</v>
      </c>
      <c r="AA996" s="12">
        <v>0</v>
      </c>
      <c r="AB996" s="13">
        <f t="shared" si="61"/>
        <v>0</v>
      </c>
      <c r="AE996" s="12">
        <v>0</v>
      </c>
      <c r="AF996" s="12">
        <v>0</v>
      </c>
      <c r="AG996" s="12">
        <v>7</v>
      </c>
      <c r="AH996" s="12">
        <v>2.0399999999999991</v>
      </c>
      <c r="AI996" s="12">
        <v>0</v>
      </c>
      <c r="AJ996" s="13">
        <f t="shared" si="62"/>
        <v>0</v>
      </c>
      <c r="AN996" s="12">
        <f t="shared" si="63"/>
        <v>18189</v>
      </c>
      <c r="AQ996" s="8" t="s">
        <v>418</v>
      </c>
      <c r="AR996" t="str">
        <f t="shared" si="64"/>
        <v>Noroeste - A08</v>
      </c>
    </row>
    <row r="997" spans="1:44" x14ac:dyDescent="0.2">
      <c r="A997" s="107" t="s">
        <v>2493</v>
      </c>
      <c r="B997" s="106" t="s">
        <v>2492</v>
      </c>
      <c r="C997" s="106" t="s">
        <v>2468</v>
      </c>
      <c r="D997" s="106" t="s">
        <v>1002</v>
      </c>
      <c r="E997" s="106" t="s">
        <v>2473</v>
      </c>
      <c r="F997" s="106" t="s">
        <v>490</v>
      </c>
      <c r="G997" s="106" t="s">
        <v>2491</v>
      </c>
      <c r="H997" s="105" t="s">
        <v>2490</v>
      </c>
      <c r="I997" s="105" t="s">
        <v>2485</v>
      </c>
      <c r="J997" s="104">
        <v>5.1100000000000003</v>
      </c>
      <c r="K997" s="103" t="s">
        <v>428</v>
      </c>
      <c r="L997" s="102" t="s">
        <v>533</v>
      </c>
      <c r="M997" s="95"/>
      <c r="N997" s="14"/>
      <c r="O997" s="94">
        <v>30</v>
      </c>
      <c r="P997" s="14" t="s">
        <v>485</v>
      </c>
      <c r="Q997" s="14" t="s">
        <v>947</v>
      </c>
      <c r="R997" s="14" t="s">
        <v>585</v>
      </c>
      <c r="S997" s="15">
        <v>8</v>
      </c>
      <c r="T997" s="15">
        <v>0</v>
      </c>
      <c r="U997" s="15">
        <v>0</v>
      </c>
      <c r="V997" s="14">
        <v>1122</v>
      </c>
      <c r="W997" s="12">
        <v>0</v>
      </c>
      <c r="X997" s="12">
        <v>0</v>
      </c>
      <c r="Y997" s="12">
        <v>4.1100000000000003</v>
      </c>
      <c r="Z997" s="12">
        <v>1</v>
      </c>
      <c r="AA997" s="12">
        <v>0</v>
      </c>
      <c r="AB997" s="13">
        <f t="shared" si="61"/>
        <v>0</v>
      </c>
      <c r="AE997" s="12">
        <v>0</v>
      </c>
      <c r="AF997" s="12">
        <v>0</v>
      </c>
      <c r="AG997" s="12">
        <v>4.1100000000000003</v>
      </c>
      <c r="AH997" s="12">
        <v>1</v>
      </c>
      <c r="AI997" s="12">
        <v>0</v>
      </c>
      <c r="AJ997" s="13">
        <f t="shared" si="62"/>
        <v>0</v>
      </c>
      <c r="AN997" s="12">
        <f t="shared" si="63"/>
        <v>5734</v>
      </c>
      <c r="AQ997" s="8" t="s">
        <v>418</v>
      </c>
      <c r="AR997" t="str">
        <f t="shared" si="64"/>
        <v>Noroeste - A08</v>
      </c>
    </row>
    <row r="998" spans="1:44" x14ac:dyDescent="0.2">
      <c r="A998" s="107" t="s">
        <v>2489</v>
      </c>
      <c r="B998" s="106" t="s">
        <v>2488</v>
      </c>
      <c r="C998" s="106" t="s">
        <v>2468</v>
      </c>
      <c r="D998" s="106" t="s">
        <v>2487</v>
      </c>
      <c r="E998" s="106" t="s">
        <v>2473</v>
      </c>
      <c r="F998" s="106" t="s">
        <v>490</v>
      </c>
      <c r="G998" s="106" t="s">
        <v>2486</v>
      </c>
      <c r="H998" s="105" t="s">
        <v>2485</v>
      </c>
      <c r="I998" s="105" t="s">
        <v>2225</v>
      </c>
      <c r="J998" s="104">
        <v>12.06</v>
      </c>
      <c r="K998" s="103" t="s">
        <v>428</v>
      </c>
      <c r="L998" s="102" t="s">
        <v>533</v>
      </c>
      <c r="M998" s="95"/>
      <c r="N998" s="14"/>
      <c r="O998" s="94">
        <v>30</v>
      </c>
      <c r="P998" s="14" t="s">
        <v>485</v>
      </c>
      <c r="Q998" s="14" t="s">
        <v>947</v>
      </c>
      <c r="R998" s="14" t="s">
        <v>585</v>
      </c>
      <c r="S998" s="15">
        <v>7.4</v>
      </c>
      <c r="T998" s="15">
        <v>0</v>
      </c>
      <c r="U998" s="15">
        <v>0</v>
      </c>
      <c r="V998" s="14">
        <v>1122</v>
      </c>
      <c r="W998" s="12">
        <v>0</v>
      </c>
      <c r="X998" s="12">
        <v>0</v>
      </c>
      <c r="Y998" s="12">
        <v>9.06</v>
      </c>
      <c r="Z998" s="12">
        <v>3</v>
      </c>
      <c r="AA998" s="12">
        <v>0</v>
      </c>
      <c r="AB998" s="13">
        <f t="shared" si="61"/>
        <v>0</v>
      </c>
      <c r="AE998" s="12">
        <v>0</v>
      </c>
      <c r="AF998" s="12">
        <v>0</v>
      </c>
      <c r="AG998" s="12">
        <v>9.06</v>
      </c>
      <c r="AH998" s="12">
        <v>3</v>
      </c>
      <c r="AI998" s="12">
        <v>0</v>
      </c>
      <c r="AJ998" s="13">
        <f t="shared" si="62"/>
        <v>0</v>
      </c>
      <c r="AN998" s="12">
        <f t="shared" si="63"/>
        <v>13532</v>
      </c>
      <c r="AQ998" s="8" t="s">
        <v>418</v>
      </c>
      <c r="AR998" t="str">
        <f t="shared" si="64"/>
        <v>Noroeste - A08</v>
      </c>
    </row>
    <row r="999" spans="1:44" x14ac:dyDescent="0.2">
      <c r="A999" s="107" t="s">
        <v>2484</v>
      </c>
      <c r="B999" s="106" t="s">
        <v>2483</v>
      </c>
      <c r="C999" s="106" t="s">
        <v>2468</v>
      </c>
      <c r="D999" s="106" t="s">
        <v>2482</v>
      </c>
      <c r="E999" s="106" t="s">
        <v>2467</v>
      </c>
      <c r="F999" s="106" t="s">
        <v>590</v>
      </c>
      <c r="G999" s="106" t="s">
        <v>2481</v>
      </c>
      <c r="H999" s="105" t="s">
        <v>2225</v>
      </c>
      <c r="I999" s="105" t="s">
        <v>2476</v>
      </c>
      <c r="J999" s="104">
        <v>1.82</v>
      </c>
      <c r="K999" s="103" t="s">
        <v>428</v>
      </c>
      <c r="L999" s="102" t="s">
        <v>533</v>
      </c>
      <c r="M999" s="95"/>
      <c r="N999" s="14"/>
      <c r="O999" s="94">
        <v>30</v>
      </c>
      <c r="P999" s="14" t="s">
        <v>586</v>
      </c>
      <c r="Q999" s="14" t="s">
        <v>947</v>
      </c>
      <c r="R999" s="14" t="s">
        <v>585</v>
      </c>
      <c r="S999" s="15">
        <v>7</v>
      </c>
      <c r="T999" s="15">
        <v>0.5</v>
      </c>
      <c r="U999" s="15">
        <v>0</v>
      </c>
      <c r="V999" s="14">
        <v>200</v>
      </c>
      <c r="W999" s="12">
        <v>0</v>
      </c>
      <c r="X999" s="12">
        <v>0</v>
      </c>
      <c r="Y999" s="12">
        <v>0.82000000000000006</v>
      </c>
      <c r="Z999" s="12">
        <v>1</v>
      </c>
      <c r="AA999" s="12">
        <v>0</v>
      </c>
      <c r="AB999" s="13">
        <f t="shared" si="61"/>
        <v>0</v>
      </c>
      <c r="AE999" s="12">
        <v>0</v>
      </c>
      <c r="AF999" s="12">
        <v>0</v>
      </c>
      <c r="AG999" s="12">
        <v>0.82000000000000006</v>
      </c>
      <c r="AH999" s="12">
        <v>1</v>
      </c>
      <c r="AI999" s="12">
        <v>0</v>
      </c>
      <c r="AJ999" s="13">
        <f t="shared" si="62"/>
        <v>0</v>
      </c>
      <c r="AN999" s="12">
        <f t="shared" si="63"/>
        <v>364</v>
      </c>
      <c r="AQ999" s="8" t="s">
        <v>418</v>
      </c>
      <c r="AR999" t="str">
        <f t="shared" si="64"/>
        <v>Noroeste - A08</v>
      </c>
    </row>
    <row r="1000" spans="1:44" x14ac:dyDescent="0.2">
      <c r="A1000" s="107" t="s">
        <v>2480</v>
      </c>
      <c r="B1000" s="106" t="s">
        <v>2479</v>
      </c>
      <c r="C1000" s="106" t="s">
        <v>2468</v>
      </c>
      <c r="D1000" s="106" t="s">
        <v>2478</v>
      </c>
      <c r="E1000" s="106" t="s">
        <v>2467</v>
      </c>
      <c r="F1000" s="106" t="s">
        <v>590</v>
      </c>
      <c r="G1000" s="106" t="s">
        <v>2477</v>
      </c>
      <c r="H1000" s="105" t="s">
        <v>2476</v>
      </c>
      <c r="I1000" s="105" t="s">
        <v>2471</v>
      </c>
      <c r="J1000" s="104">
        <v>1.51</v>
      </c>
      <c r="K1000" s="103" t="s">
        <v>428</v>
      </c>
      <c r="L1000" s="102" t="s">
        <v>533</v>
      </c>
      <c r="M1000" s="95"/>
      <c r="N1000" s="14"/>
      <c r="O1000" s="94">
        <v>30</v>
      </c>
      <c r="P1000" s="14" t="s">
        <v>586</v>
      </c>
      <c r="Q1000" s="14" t="s">
        <v>947</v>
      </c>
      <c r="R1000" s="14" t="s">
        <v>585</v>
      </c>
      <c r="S1000" s="15">
        <v>7</v>
      </c>
      <c r="T1000" s="15">
        <v>0.5</v>
      </c>
      <c r="U1000" s="15">
        <v>0</v>
      </c>
      <c r="V1000" s="14">
        <v>200</v>
      </c>
      <c r="W1000" s="12">
        <v>0</v>
      </c>
      <c r="X1000" s="12">
        <v>0</v>
      </c>
      <c r="Y1000" s="12">
        <v>0</v>
      </c>
      <c r="Z1000" s="12">
        <v>0.97</v>
      </c>
      <c r="AA1000" s="12">
        <v>0</v>
      </c>
      <c r="AB1000" s="13">
        <f t="shared" si="61"/>
        <v>-0.54</v>
      </c>
      <c r="AE1000" s="12">
        <f>IF(W1000=0,0,W1000-$AB1000)</f>
        <v>0</v>
      </c>
      <c r="AF1000" s="12">
        <f>IF(X1000=0,0,X1000-$AB1000)</f>
        <v>0</v>
      </c>
      <c r="AG1000" s="12">
        <f>IF(Y1000=0,0,Y1000-$AB1000)</f>
        <v>0</v>
      </c>
      <c r="AH1000" s="12">
        <f>IF(Z1000=0,0,Z1000-$AB1000)</f>
        <v>1.51</v>
      </c>
      <c r="AI1000" s="12">
        <f>IF(AA1000=0,0,AA1000-$AB1000)</f>
        <v>0</v>
      </c>
      <c r="AJ1000" s="13">
        <f t="shared" si="62"/>
        <v>0</v>
      </c>
      <c r="AN1000" s="12">
        <f t="shared" si="63"/>
        <v>302</v>
      </c>
      <c r="AQ1000" s="8" t="s">
        <v>418</v>
      </c>
      <c r="AR1000" t="str">
        <f t="shared" si="64"/>
        <v>Noroeste - A08</v>
      </c>
    </row>
    <row r="1001" spans="1:44" x14ac:dyDescent="0.2">
      <c r="A1001" s="107" t="s">
        <v>2475</v>
      </c>
      <c r="B1001" s="106" t="s">
        <v>2474</v>
      </c>
      <c r="C1001" s="106" t="s">
        <v>2468</v>
      </c>
      <c r="D1001" s="106" t="s">
        <v>981</v>
      </c>
      <c r="E1001" s="106" t="s">
        <v>2473</v>
      </c>
      <c r="F1001" s="106" t="s">
        <v>490</v>
      </c>
      <c r="G1001" s="106" t="s">
        <v>2472</v>
      </c>
      <c r="H1001" s="105" t="s">
        <v>2471</v>
      </c>
      <c r="I1001" s="105" t="s">
        <v>2465</v>
      </c>
      <c r="J1001" s="104">
        <v>12.35</v>
      </c>
      <c r="K1001" s="103" t="s">
        <v>428</v>
      </c>
      <c r="L1001" s="102" t="s">
        <v>533</v>
      </c>
      <c r="M1001" s="95"/>
      <c r="N1001" s="14"/>
      <c r="O1001" s="94">
        <v>30</v>
      </c>
      <c r="P1001" s="14" t="s">
        <v>485</v>
      </c>
      <c r="Q1001" s="14" t="s">
        <v>947</v>
      </c>
      <c r="R1001" s="14" t="s">
        <v>585</v>
      </c>
      <c r="S1001" s="15">
        <v>14</v>
      </c>
      <c r="T1001" s="15">
        <v>0.7</v>
      </c>
      <c r="U1001" s="15">
        <v>0</v>
      </c>
      <c r="V1001" s="14">
        <v>1122</v>
      </c>
      <c r="W1001" s="12">
        <v>0</v>
      </c>
      <c r="X1001" s="12">
        <v>0</v>
      </c>
      <c r="Y1001" s="12">
        <v>2</v>
      </c>
      <c r="Z1001" s="12">
        <v>10.35</v>
      </c>
      <c r="AA1001" s="12">
        <v>0</v>
      </c>
      <c r="AB1001" s="13">
        <f t="shared" si="61"/>
        <v>0</v>
      </c>
      <c r="AE1001" s="12">
        <v>0</v>
      </c>
      <c r="AF1001" s="12">
        <v>0</v>
      </c>
      <c r="AG1001" s="12">
        <v>2</v>
      </c>
      <c r="AH1001" s="12">
        <v>10.35</v>
      </c>
      <c r="AI1001" s="12">
        <v>0</v>
      </c>
      <c r="AJ1001" s="13">
        <f t="shared" si="62"/>
        <v>0</v>
      </c>
      <c r="AN1001" s="12">
        <f t="shared" si="63"/>
        <v>13857</v>
      </c>
      <c r="AQ1001" s="8" t="s">
        <v>418</v>
      </c>
      <c r="AR1001" t="str">
        <f t="shared" si="64"/>
        <v>Noroeste - A08</v>
      </c>
    </row>
    <row r="1002" spans="1:44" x14ac:dyDescent="0.2">
      <c r="A1002" s="107" t="s">
        <v>2470</v>
      </c>
      <c r="B1002" s="106" t="s">
        <v>2469</v>
      </c>
      <c r="C1002" s="106" t="s">
        <v>2468</v>
      </c>
      <c r="D1002" s="106" t="s">
        <v>1304</v>
      </c>
      <c r="E1002" s="106" t="s">
        <v>2467</v>
      </c>
      <c r="F1002" s="106" t="s">
        <v>590</v>
      </c>
      <c r="G1002" s="106" t="s">
        <v>2466</v>
      </c>
      <c r="H1002" s="105" t="s">
        <v>2465</v>
      </c>
      <c r="I1002" s="105" t="s">
        <v>2464</v>
      </c>
      <c r="J1002" s="104">
        <v>0.97</v>
      </c>
      <c r="K1002" s="103" t="s">
        <v>428</v>
      </c>
      <c r="L1002" s="102" t="s">
        <v>533</v>
      </c>
      <c r="M1002" s="95"/>
      <c r="N1002" s="14"/>
      <c r="O1002" s="94">
        <v>30</v>
      </c>
      <c r="P1002" s="14" t="s">
        <v>586</v>
      </c>
      <c r="Q1002" s="14" t="s">
        <v>947</v>
      </c>
      <c r="R1002" s="14" t="s">
        <v>585</v>
      </c>
      <c r="S1002" s="15">
        <v>7</v>
      </c>
      <c r="T1002" s="15">
        <v>0.5</v>
      </c>
      <c r="U1002" s="15">
        <v>0</v>
      </c>
      <c r="V1002" s="14">
        <v>200</v>
      </c>
      <c r="W1002" s="12">
        <v>0</v>
      </c>
      <c r="X1002" s="12">
        <v>0</v>
      </c>
      <c r="Y1002" s="12">
        <v>0</v>
      </c>
      <c r="Z1002" s="12">
        <v>0.97</v>
      </c>
      <c r="AA1002" s="12">
        <v>0</v>
      </c>
      <c r="AB1002" s="13">
        <f t="shared" si="61"/>
        <v>0</v>
      </c>
      <c r="AE1002" s="12">
        <v>0</v>
      </c>
      <c r="AF1002" s="12">
        <v>0</v>
      </c>
      <c r="AG1002" s="12">
        <v>0</v>
      </c>
      <c r="AH1002" s="12">
        <v>0.97</v>
      </c>
      <c r="AI1002" s="12">
        <v>0</v>
      </c>
      <c r="AJ1002" s="13">
        <f t="shared" si="62"/>
        <v>0</v>
      </c>
      <c r="AN1002" s="12">
        <f t="shared" si="63"/>
        <v>194</v>
      </c>
      <c r="AQ1002" s="8" t="s">
        <v>418</v>
      </c>
      <c r="AR1002" t="str">
        <f t="shared" si="64"/>
        <v>Noroeste - A08</v>
      </c>
    </row>
    <row r="1003" spans="1:44" x14ac:dyDescent="0.2">
      <c r="A1003" s="107" t="s">
        <v>2463</v>
      </c>
      <c r="B1003" s="106" t="s">
        <v>2462</v>
      </c>
      <c r="C1003" s="106" t="s">
        <v>2443</v>
      </c>
      <c r="D1003" s="106" t="s">
        <v>492</v>
      </c>
      <c r="E1003" s="106" t="s">
        <v>2442</v>
      </c>
      <c r="F1003" s="106" t="s">
        <v>490</v>
      </c>
      <c r="G1003" s="106" t="s">
        <v>2461</v>
      </c>
      <c r="H1003" s="105" t="s">
        <v>2460</v>
      </c>
      <c r="I1003" s="105" t="s">
        <v>1131</v>
      </c>
      <c r="J1003" s="104">
        <v>12.92</v>
      </c>
      <c r="K1003" s="103" t="s">
        <v>422</v>
      </c>
      <c r="L1003" s="102" t="s">
        <v>507</v>
      </c>
      <c r="M1003" s="95"/>
      <c r="N1003" s="14"/>
      <c r="O1003" s="94">
        <v>34</v>
      </c>
      <c r="P1003" s="14" t="s">
        <v>485</v>
      </c>
      <c r="Q1003" s="14" t="s">
        <v>497</v>
      </c>
      <c r="R1003" s="14" t="s">
        <v>496</v>
      </c>
      <c r="S1003" s="15">
        <v>7.2</v>
      </c>
      <c r="T1003" s="15">
        <v>0</v>
      </c>
      <c r="U1003" s="15">
        <v>0</v>
      </c>
      <c r="V1003" s="14">
        <v>3566</v>
      </c>
      <c r="W1003" s="12">
        <v>0</v>
      </c>
      <c r="X1003" s="12">
        <v>0</v>
      </c>
      <c r="Y1003" s="12">
        <v>0</v>
      </c>
      <c r="Z1003" s="12">
        <v>12.92</v>
      </c>
      <c r="AA1003" s="12">
        <v>0</v>
      </c>
      <c r="AB1003" s="13">
        <f t="shared" si="61"/>
        <v>0</v>
      </c>
      <c r="AE1003" s="12">
        <v>0</v>
      </c>
      <c r="AF1003" s="12">
        <v>0</v>
      </c>
      <c r="AG1003" s="12">
        <v>0</v>
      </c>
      <c r="AH1003" s="12">
        <v>12.92</v>
      </c>
      <c r="AI1003" s="12">
        <v>0</v>
      </c>
      <c r="AJ1003" s="13">
        <f t="shared" si="62"/>
        <v>0</v>
      </c>
      <c r="AN1003" s="12">
        <f t="shared" si="63"/>
        <v>46073</v>
      </c>
      <c r="AQ1003" s="8" t="s">
        <v>417</v>
      </c>
      <c r="AR1003" t="str">
        <f t="shared" si="64"/>
        <v>Oeste - A02</v>
      </c>
    </row>
    <row r="1004" spans="1:44" x14ac:dyDescent="0.2">
      <c r="A1004" s="107" t="s">
        <v>2459</v>
      </c>
      <c r="B1004" s="106" t="s">
        <v>2458</v>
      </c>
      <c r="C1004" s="106" t="s">
        <v>2443</v>
      </c>
      <c r="D1004" s="106" t="s">
        <v>519</v>
      </c>
      <c r="E1004" s="106" t="s">
        <v>2449</v>
      </c>
      <c r="F1004" s="106" t="s">
        <v>590</v>
      </c>
      <c r="G1004" s="106" t="s">
        <v>2457</v>
      </c>
      <c r="H1004" s="105" t="s">
        <v>1131</v>
      </c>
      <c r="I1004" s="105" t="s">
        <v>1126</v>
      </c>
      <c r="J1004" s="104">
        <v>1.04</v>
      </c>
      <c r="K1004" s="103" t="s">
        <v>422</v>
      </c>
      <c r="L1004" s="102" t="s">
        <v>507</v>
      </c>
      <c r="M1004" s="95"/>
      <c r="N1004" s="14"/>
      <c r="O1004" s="94">
        <v>34</v>
      </c>
      <c r="P1004" s="14" t="s">
        <v>586</v>
      </c>
      <c r="Q1004" s="14" t="s">
        <v>497</v>
      </c>
      <c r="R1004" s="14" t="s">
        <v>496</v>
      </c>
      <c r="S1004" s="15">
        <v>12</v>
      </c>
      <c r="T1004" s="15">
        <v>0</v>
      </c>
      <c r="U1004" s="15">
        <v>0</v>
      </c>
      <c r="V1004" s="14">
        <v>212</v>
      </c>
      <c r="W1004" s="12">
        <v>0</v>
      </c>
      <c r="X1004" s="12">
        <v>0</v>
      </c>
      <c r="Y1004" s="12">
        <v>0</v>
      </c>
      <c r="Z1004" s="12">
        <v>1.04</v>
      </c>
      <c r="AA1004" s="12">
        <v>0</v>
      </c>
      <c r="AB1004" s="13">
        <f t="shared" si="61"/>
        <v>0</v>
      </c>
      <c r="AE1004" s="12">
        <v>0</v>
      </c>
      <c r="AF1004" s="12">
        <v>0</v>
      </c>
      <c r="AG1004" s="12">
        <v>0</v>
      </c>
      <c r="AH1004" s="12">
        <v>1.04</v>
      </c>
      <c r="AI1004" s="12">
        <v>0</v>
      </c>
      <c r="AJ1004" s="13">
        <f t="shared" si="62"/>
        <v>0</v>
      </c>
      <c r="AN1004" s="12">
        <f t="shared" si="63"/>
        <v>221</v>
      </c>
      <c r="AQ1004" s="8" t="s">
        <v>417</v>
      </c>
      <c r="AR1004" t="str">
        <f t="shared" si="64"/>
        <v>Oeste - A02</v>
      </c>
    </row>
    <row r="1005" spans="1:44" x14ac:dyDescent="0.2">
      <c r="A1005" s="107" t="s">
        <v>2456</v>
      </c>
      <c r="B1005" s="106" t="s">
        <v>2455</v>
      </c>
      <c r="C1005" s="106" t="s">
        <v>2443</v>
      </c>
      <c r="D1005" s="106" t="s">
        <v>2454</v>
      </c>
      <c r="E1005" s="106" t="s">
        <v>2449</v>
      </c>
      <c r="F1005" s="106" t="s">
        <v>590</v>
      </c>
      <c r="G1005" s="106" t="s">
        <v>2453</v>
      </c>
      <c r="H1005" s="105" t="s">
        <v>2452</v>
      </c>
      <c r="I1005" s="105" t="s">
        <v>2447</v>
      </c>
      <c r="J1005" s="104">
        <v>1.44</v>
      </c>
      <c r="K1005" s="103" t="s">
        <v>422</v>
      </c>
      <c r="L1005" s="102" t="s">
        <v>507</v>
      </c>
      <c r="M1005" s="95"/>
      <c r="N1005" s="14"/>
      <c r="O1005" s="94">
        <v>34</v>
      </c>
      <c r="P1005" s="14" t="s">
        <v>586</v>
      </c>
      <c r="Q1005" s="14" t="s">
        <v>497</v>
      </c>
      <c r="R1005" s="14" t="s">
        <v>496</v>
      </c>
      <c r="S1005" s="15">
        <v>11.6</v>
      </c>
      <c r="T1005" s="15">
        <v>0</v>
      </c>
      <c r="U1005" s="15">
        <v>0</v>
      </c>
      <c r="V1005" s="14">
        <v>212</v>
      </c>
      <c r="W1005" s="12">
        <v>0</v>
      </c>
      <c r="X1005" s="12">
        <v>0</v>
      </c>
      <c r="Y1005" s="12">
        <v>0</v>
      </c>
      <c r="Z1005" s="12">
        <v>1.44</v>
      </c>
      <c r="AA1005" s="12">
        <v>0</v>
      </c>
      <c r="AB1005" s="13">
        <f t="shared" si="61"/>
        <v>0</v>
      </c>
      <c r="AE1005" s="12">
        <v>0</v>
      </c>
      <c r="AF1005" s="12">
        <v>0</v>
      </c>
      <c r="AG1005" s="12">
        <v>0</v>
      </c>
      <c r="AH1005" s="12">
        <v>1.44</v>
      </c>
      <c r="AI1005" s="12">
        <v>0</v>
      </c>
      <c r="AJ1005" s="13">
        <f t="shared" si="62"/>
        <v>0</v>
      </c>
      <c r="AN1005" s="12">
        <f t="shared" si="63"/>
        <v>306</v>
      </c>
      <c r="AQ1005" s="8" t="s">
        <v>417</v>
      </c>
      <c r="AR1005" t="str">
        <f t="shared" si="64"/>
        <v>Oeste - A02</v>
      </c>
    </row>
    <row r="1006" spans="1:44" x14ac:dyDescent="0.2">
      <c r="A1006" s="107" t="s">
        <v>2451</v>
      </c>
      <c r="B1006" s="106" t="s">
        <v>2450</v>
      </c>
      <c r="C1006" s="106" t="s">
        <v>2443</v>
      </c>
      <c r="D1006" s="106" t="s">
        <v>1032</v>
      </c>
      <c r="E1006" s="106" t="s">
        <v>2449</v>
      </c>
      <c r="F1006" s="106" t="s">
        <v>590</v>
      </c>
      <c r="G1006" s="106" t="s">
        <v>2448</v>
      </c>
      <c r="H1006" s="105" t="s">
        <v>2447</v>
      </c>
      <c r="I1006" s="105" t="s">
        <v>2446</v>
      </c>
      <c r="J1006" s="104">
        <v>0.57999999999999996</v>
      </c>
      <c r="K1006" s="103" t="s">
        <v>422</v>
      </c>
      <c r="L1006" s="102" t="s">
        <v>507</v>
      </c>
      <c r="M1006" s="95"/>
      <c r="N1006" s="14"/>
      <c r="O1006" s="94">
        <v>34</v>
      </c>
      <c r="P1006" s="14" t="s">
        <v>586</v>
      </c>
      <c r="Q1006" s="14" t="s">
        <v>497</v>
      </c>
      <c r="R1006" s="14" t="s">
        <v>496</v>
      </c>
      <c r="S1006" s="15">
        <v>12</v>
      </c>
      <c r="T1006" s="15">
        <v>0</v>
      </c>
      <c r="U1006" s="15">
        <v>0</v>
      </c>
      <c r="V1006" s="14">
        <v>212</v>
      </c>
      <c r="W1006" s="12">
        <v>0</v>
      </c>
      <c r="X1006" s="12">
        <v>0</v>
      </c>
      <c r="Y1006" s="12">
        <v>0</v>
      </c>
      <c r="Z1006" s="12">
        <v>2.0099999999999998</v>
      </c>
      <c r="AA1006" s="12">
        <v>0</v>
      </c>
      <c r="AB1006" s="13">
        <f t="shared" si="61"/>
        <v>1.4299999999999997</v>
      </c>
      <c r="AE1006" s="12">
        <f>IF(W1006=0,0,W1006-$AB1006)</f>
        <v>0</v>
      </c>
      <c r="AF1006" s="12">
        <f>IF(X1006=0,0,X1006-$AB1006)</f>
        <v>0</v>
      </c>
      <c r="AG1006" s="12">
        <f>IF(Y1006=0,0,Y1006-$AB1006)</f>
        <v>0</v>
      </c>
      <c r="AH1006" s="12">
        <f>IF(Z1006=0,0,Z1006-$AB1006)</f>
        <v>0.58000000000000007</v>
      </c>
      <c r="AI1006" s="12">
        <f>IF(AA1006=0,0,AA1006-$AB1006)</f>
        <v>0</v>
      </c>
      <c r="AJ1006" s="13">
        <f t="shared" si="62"/>
        <v>0</v>
      </c>
      <c r="AN1006" s="12">
        <f t="shared" si="63"/>
        <v>123</v>
      </c>
      <c r="AQ1006" s="8" t="s">
        <v>417</v>
      </c>
      <c r="AR1006" t="str">
        <f t="shared" si="64"/>
        <v>Oeste - A02</v>
      </c>
    </row>
    <row r="1007" spans="1:44" x14ac:dyDescent="0.2">
      <c r="A1007" s="107" t="s">
        <v>2445</v>
      </c>
      <c r="B1007" s="106" t="s">
        <v>2444</v>
      </c>
      <c r="C1007" s="106" t="s">
        <v>2443</v>
      </c>
      <c r="D1007" s="106" t="s">
        <v>513</v>
      </c>
      <c r="E1007" s="106" t="s">
        <v>2442</v>
      </c>
      <c r="F1007" s="106" t="s">
        <v>490</v>
      </c>
      <c r="G1007" s="106" t="s">
        <v>2441</v>
      </c>
      <c r="H1007" s="105" t="s">
        <v>1126</v>
      </c>
      <c r="I1007" s="105" t="s">
        <v>2440</v>
      </c>
      <c r="J1007" s="104">
        <v>10.73</v>
      </c>
      <c r="K1007" s="103" t="s">
        <v>422</v>
      </c>
      <c r="L1007" s="102" t="s">
        <v>507</v>
      </c>
      <c r="M1007" s="95"/>
      <c r="N1007" s="14"/>
      <c r="O1007" s="94">
        <v>34</v>
      </c>
      <c r="P1007" s="14" t="s">
        <v>485</v>
      </c>
      <c r="Q1007" s="14" t="s">
        <v>497</v>
      </c>
      <c r="R1007" s="14" t="s">
        <v>496</v>
      </c>
      <c r="S1007" s="15">
        <v>6.8</v>
      </c>
      <c r="T1007" s="15">
        <v>0</v>
      </c>
      <c r="U1007" s="15">
        <v>0</v>
      </c>
      <c r="V1007" s="14">
        <v>817</v>
      </c>
      <c r="W1007" s="12">
        <v>0</v>
      </c>
      <c r="X1007" s="12">
        <v>2</v>
      </c>
      <c r="Y1007" s="12">
        <v>2.7300000000000004</v>
      </c>
      <c r="Z1007" s="12">
        <v>6</v>
      </c>
      <c r="AA1007" s="12">
        <v>0</v>
      </c>
      <c r="AB1007" s="13">
        <f t="shared" si="61"/>
        <v>0</v>
      </c>
      <c r="AE1007" s="12">
        <v>0</v>
      </c>
      <c r="AF1007" s="12">
        <v>2</v>
      </c>
      <c r="AG1007" s="12">
        <v>2.7300000000000004</v>
      </c>
      <c r="AH1007" s="12">
        <v>6</v>
      </c>
      <c r="AI1007" s="12">
        <v>0</v>
      </c>
      <c r="AJ1007" s="13">
        <f t="shared" si="62"/>
        <v>0</v>
      </c>
      <c r="AN1007" s="12">
        <f t="shared" si="63"/>
        <v>8767</v>
      </c>
      <c r="AQ1007" s="8" t="s">
        <v>417</v>
      </c>
      <c r="AR1007" t="str">
        <f t="shared" si="64"/>
        <v>Oeste - A02</v>
      </c>
    </row>
    <row r="1008" spans="1:44" x14ac:dyDescent="0.2">
      <c r="A1008" s="107" t="s">
        <v>2439</v>
      </c>
      <c r="B1008" s="106" t="s">
        <v>2438</v>
      </c>
      <c r="C1008" s="106" t="s">
        <v>2405</v>
      </c>
      <c r="D1008" s="106" t="s">
        <v>592</v>
      </c>
      <c r="E1008" s="106" t="s">
        <v>2437</v>
      </c>
      <c r="F1008" s="106" t="s">
        <v>590</v>
      </c>
      <c r="G1008" s="106" t="s">
        <v>2436</v>
      </c>
      <c r="H1008" s="105" t="s">
        <v>2435</v>
      </c>
      <c r="I1008" s="105" t="s">
        <v>2434</v>
      </c>
      <c r="J1008" s="104">
        <v>2.0699999999999998</v>
      </c>
      <c r="K1008" s="103" t="s">
        <v>427</v>
      </c>
      <c r="L1008" s="102" t="s">
        <v>533</v>
      </c>
      <c r="M1008" s="95"/>
      <c r="N1008" s="14"/>
      <c r="O1008" s="94">
        <v>29</v>
      </c>
      <c r="P1008" s="14" t="s">
        <v>586</v>
      </c>
      <c r="Q1008" s="14" t="s">
        <v>887</v>
      </c>
      <c r="R1008" s="14" t="s">
        <v>496</v>
      </c>
      <c r="S1008" s="15">
        <v>14</v>
      </c>
      <c r="T1008" s="15">
        <v>0.5</v>
      </c>
      <c r="U1008" s="15">
        <v>0</v>
      </c>
      <c r="V1008" s="14">
        <v>248</v>
      </c>
      <c r="W1008" s="12">
        <v>0</v>
      </c>
      <c r="X1008" s="12">
        <v>0</v>
      </c>
      <c r="Y1008" s="12">
        <v>1.0699999999999998</v>
      </c>
      <c r="Z1008" s="12">
        <v>1</v>
      </c>
      <c r="AA1008" s="12">
        <v>0</v>
      </c>
      <c r="AB1008" s="13">
        <f t="shared" si="61"/>
        <v>0</v>
      </c>
      <c r="AE1008" s="12">
        <v>0</v>
      </c>
      <c r="AF1008" s="12">
        <v>0</v>
      </c>
      <c r="AG1008" s="12">
        <v>1.0699999999999998</v>
      </c>
      <c r="AH1008" s="12">
        <v>1</v>
      </c>
      <c r="AI1008" s="12">
        <v>0</v>
      </c>
      <c r="AJ1008" s="13">
        <f t="shared" si="62"/>
        <v>0</v>
      </c>
      <c r="AN1008" s="12">
        <f t="shared" si="63"/>
        <v>514</v>
      </c>
      <c r="AQ1008" s="8" t="s">
        <v>418</v>
      </c>
      <c r="AR1008" t="str">
        <f t="shared" si="64"/>
        <v>Noroeste - A07</v>
      </c>
    </row>
    <row r="1009" spans="1:44" x14ac:dyDescent="0.2">
      <c r="A1009" s="107" t="s">
        <v>2433</v>
      </c>
      <c r="B1009" s="106" t="s">
        <v>2432</v>
      </c>
      <c r="C1009" s="106" t="s">
        <v>2405</v>
      </c>
      <c r="D1009" s="106" t="s">
        <v>519</v>
      </c>
      <c r="E1009" s="106" t="s">
        <v>2404</v>
      </c>
      <c r="F1009" s="106" t="s">
        <v>490</v>
      </c>
      <c r="G1009" s="106" t="s">
        <v>2431</v>
      </c>
      <c r="H1009" s="105" t="s">
        <v>2430</v>
      </c>
      <c r="I1009" s="105" t="s">
        <v>2426</v>
      </c>
      <c r="J1009" s="104">
        <v>7.85</v>
      </c>
      <c r="K1009" s="103" t="s">
        <v>427</v>
      </c>
      <c r="L1009" s="102" t="s">
        <v>533</v>
      </c>
      <c r="M1009" s="95"/>
      <c r="N1009" s="14"/>
      <c r="O1009" s="94">
        <v>29</v>
      </c>
      <c r="P1009" s="14" t="s">
        <v>485</v>
      </c>
      <c r="Q1009" s="14" t="s">
        <v>887</v>
      </c>
      <c r="R1009" s="14" t="s">
        <v>496</v>
      </c>
      <c r="S1009" s="15">
        <v>7</v>
      </c>
      <c r="T1009" s="15">
        <v>0.5</v>
      </c>
      <c r="U1009" s="15">
        <v>0</v>
      </c>
      <c r="V1009" s="14">
        <v>4262</v>
      </c>
      <c r="W1009" s="12">
        <v>0</v>
      </c>
      <c r="X1009" s="12">
        <v>0</v>
      </c>
      <c r="Y1009" s="12">
        <v>2</v>
      </c>
      <c r="Z1009" s="12">
        <v>5.85</v>
      </c>
      <c r="AA1009" s="12">
        <v>0</v>
      </c>
      <c r="AB1009" s="13">
        <f t="shared" si="61"/>
        <v>0</v>
      </c>
      <c r="AE1009" s="12">
        <v>0</v>
      </c>
      <c r="AF1009" s="12">
        <v>0</v>
      </c>
      <c r="AG1009" s="12">
        <v>2</v>
      </c>
      <c r="AH1009" s="12">
        <v>5.85</v>
      </c>
      <c r="AI1009" s="12">
        <v>0</v>
      </c>
      <c r="AJ1009" s="13">
        <f t="shared" si="62"/>
        <v>0</v>
      </c>
      <c r="AN1009" s="12">
        <f t="shared" si="63"/>
        <v>33457</v>
      </c>
      <c r="AQ1009" s="8" t="s">
        <v>418</v>
      </c>
      <c r="AR1009" t="str">
        <f t="shared" si="64"/>
        <v>Noroeste - A07</v>
      </c>
    </row>
    <row r="1010" spans="1:44" x14ac:dyDescent="0.2">
      <c r="A1010" s="107" t="s">
        <v>2429</v>
      </c>
      <c r="B1010" s="106" t="s">
        <v>2428</v>
      </c>
      <c r="C1010" s="106" t="s">
        <v>2405</v>
      </c>
      <c r="D1010" s="106" t="s">
        <v>513</v>
      </c>
      <c r="E1010" s="106" t="s">
        <v>2404</v>
      </c>
      <c r="F1010" s="106" t="s">
        <v>490</v>
      </c>
      <c r="G1010" s="106" t="s">
        <v>2427</v>
      </c>
      <c r="H1010" s="105" t="s">
        <v>2426</v>
      </c>
      <c r="I1010" s="105" t="s">
        <v>2421</v>
      </c>
      <c r="J1010" s="104">
        <v>1.07</v>
      </c>
      <c r="K1010" s="103" t="s">
        <v>427</v>
      </c>
      <c r="L1010" s="102" t="s">
        <v>533</v>
      </c>
      <c r="M1010" s="95"/>
      <c r="N1010" s="14"/>
      <c r="O1010" s="94">
        <v>29</v>
      </c>
      <c r="P1010" s="14" t="s">
        <v>485</v>
      </c>
      <c r="Q1010" s="14" t="s">
        <v>887</v>
      </c>
      <c r="R1010" s="14" t="s">
        <v>496</v>
      </c>
      <c r="S1010" s="15">
        <v>7</v>
      </c>
      <c r="T1010" s="15">
        <v>2.5</v>
      </c>
      <c r="U1010" s="15">
        <v>0</v>
      </c>
      <c r="V1010" s="14">
        <v>4262</v>
      </c>
      <c r="W1010" s="12">
        <v>0</v>
      </c>
      <c r="X1010" s="12">
        <v>0</v>
      </c>
      <c r="Y1010" s="12">
        <v>1</v>
      </c>
      <c r="Z1010" s="12">
        <v>7.0000000000000062E-2</v>
      </c>
      <c r="AA1010" s="12">
        <v>0</v>
      </c>
      <c r="AB1010" s="13">
        <f t="shared" si="61"/>
        <v>0</v>
      </c>
      <c r="AE1010" s="12">
        <v>0</v>
      </c>
      <c r="AF1010" s="12">
        <v>0</v>
      </c>
      <c r="AG1010" s="12">
        <v>1</v>
      </c>
      <c r="AH1010" s="12">
        <v>7.0000000000000062E-2</v>
      </c>
      <c r="AI1010" s="12">
        <v>0</v>
      </c>
      <c r="AJ1010" s="13">
        <f t="shared" si="62"/>
        <v>0</v>
      </c>
      <c r="AN1010" s="12">
        <f t="shared" si="63"/>
        <v>4561</v>
      </c>
      <c r="AQ1010" s="8" t="s">
        <v>418</v>
      </c>
      <c r="AR1010" t="str">
        <f t="shared" si="64"/>
        <v>Noroeste - A07</v>
      </c>
    </row>
    <row r="1011" spans="1:44" x14ac:dyDescent="0.2">
      <c r="A1011" s="107" t="s">
        <v>2425</v>
      </c>
      <c r="B1011" s="106" t="s">
        <v>2424</v>
      </c>
      <c r="C1011" s="106" t="s">
        <v>2405</v>
      </c>
      <c r="D1011" s="106" t="s">
        <v>2423</v>
      </c>
      <c r="E1011" s="106" t="s">
        <v>2404</v>
      </c>
      <c r="F1011" s="106" t="s">
        <v>490</v>
      </c>
      <c r="G1011" s="106" t="s">
        <v>2422</v>
      </c>
      <c r="H1011" s="105" t="s">
        <v>2421</v>
      </c>
      <c r="I1011" s="105" t="s">
        <v>1542</v>
      </c>
      <c r="J1011" s="104">
        <v>5.63</v>
      </c>
      <c r="K1011" s="103" t="s">
        <v>427</v>
      </c>
      <c r="L1011" s="102" t="s">
        <v>533</v>
      </c>
      <c r="M1011" s="95"/>
      <c r="N1011" s="14"/>
      <c r="O1011" s="94">
        <v>29</v>
      </c>
      <c r="P1011" s="14" t="s">
        <v>485</v>
      </c>
      <c r="Q1011" s="14" t="s">
        <v>887</v>
      </c>
      <c r="R1011" s="14" t="s">
        <v>496</v>
      </c>
      <c r="S1011" s="15">
        <v>7</v>
      </c>
      <c r="T1011" s="15">
        <v>2.5</v>
      </c>
      <c r="U1011" s="15">
        <v>0</v>
      </c>
      <c r="V1011" s="14">
        <v>4597</v>
      </c>
      <c r="W1011" s="12">
        <v>0</v>
      </c>
      <c r="X1011" s="12">
        <v>0</v>
      </c>
      <c r="Y1011" s="12">
        <v>5</v>
      </c>
      <c r="Z1011" s="12">
        <v>0.62999999999999989</v>
      </c>
      <c r="AA1011" s="12">
        <v>0</v>
      </c>
      <c r="AB1011" s="13">
        <f t="shared" si="61"/>
        <v>0</v>
      </c>
      <c r="AE1011" s="12">
        <v>0</v>
      </c>
      <c r="AF1011" s="12">
        <v>0</v>
      </c>
      <c r="AG1011" s="12">
        <v>5</v>
      </c>
      <c r="AH1011" s="12">
        <v>0.62999999999999989</v>
      </c>
      <c r="AI1011" s="12">
        <v>0</v>
      </c>
      <c r="AJ1011" s="13">
        <f t="shared" si="62"/>
        <v>0</v>
      </c>
      <c r="AN1011" s="12">
        <f t="shared" si="63"/>
        <v>25882</v>
      </c>
      <c r="AQ1011" s="8" t="s">
        <v>418</v>
      </c>
      <c r="AR1011" t="str">
        <f t="shared" si="64"/>
        <v>Noroeste - A07</v>
      </c>
    </row>
    <row r="1012" spans="1:44" x14ac:dyDescent="0.2">
      <c r="A1012" s="107" t="s">
        <v>2420</v>
      </c>
      <c r="B1012" s="106" t="s">
        <v>2419</v>
      </c>
      <c r="C1012" s="106" t="s">
        <v>2405</v>
      </c>
      <c r="D1012" s="106" t="s">
        <v>2418</v>
      </c>
      <c r="E1012" s="106" t="s">
        <v>2404</v>
      </c>
      <c r="F1012" s="106" t="s">
        <v>490</v>
      </c>
      <c r="G1012" s="106" t="s">
        <v>2417</v>
      </c>
      <c r="H1012" s="105" t="s">
        <v>1542</v>
      </c>
      <c r="I1012" s="105" t="s">
        <v>2413</v>
      </c>
      <c r="J1012" s="104">
        <v>9.0399999999999991</v>
      </c>
      <c r="K1012" s="103" t="s">
        <v>427</v>
      </c>
      <c r="L1012" s="102" t="s">
        <v>533</v>
      </c>
      <c r="M1012" s="95"/>
      <c r="N1012" s="14"/>
      <c r="O1012" s="94">
        <v>29</v>
      </c>
      <c r="P1012" s="14" t="s">
        <v>485</v>
      </c>
      <c r="Q1012" s="14" t="s">
        <v>887</v>
      </c>
      <c r="R1012" s="14" t="s">
        <v>496</v>
      </c>
      <c r="S1012" s="15">
        <v>7</v>
      </c>
      <c r="T1012" s="15">
        <v>2.5</v>
      </c>
      <c r="U1012" s="15">
        <v>0</v>
      </c>
      <c r="V1012" s="14">
        <v>4118</v>
      </c>
      <c r="W1012" s="12">
        <v>0</v>
      </c>
      <c r="X1012" s="12">
        <v>2</v>
      </c>
      <c r="Y1012" s="12">
        <v>2</v>
      </c>
      <c r="Z1012" s="12">
        <v>5.0399999999999991</v>
      </c>
      <c r="AA1012" s="12">
        <v>0</v>
      </c>
      <c r="AB1012" s="13">
        <f t="shared" si="61"/>
        <v>0</v>
      </c>
      <c r="AE1012" s="12">
        <v>0</v>
      </c>
      <c r="AF1012" s="12">
        <v>2</v>
      </c>
      <c r="AG1012" s="12">
        <v>2</v>
      </c>
      <c r="AH1012" s="12">
        <v>5.0399999999999991</v>
      </c>
      <c r="AI1012" s="12">
        <v>0</v>
      </c>
      <c r="AJ1012" s="13">
        <f t="shared" si="62"/>
        <v>0</v>
      </c>
      <c r="AN1012" s="12">
        <f t="shared" si="63"/>
        <v>37227</v>
      </c>
      <c r="AQ1012" s="8" t="s">
        <v>418</v>
      </c>
      <c r="AR1012" t="str">
        <f t="shared" si="64"/>
        <v>Noroeste - A07</v>
      </c>
    </row>
    <row r="1013" spans="1:44" x14ac:dyDescent="0.2">
      <c r="A1013" s="107" t="s">
        <v>2416</v>
      </c>
      <c r="B1013" s="106" t="s">
        <v>2415</v>
      </c>
      <c r="C1013" s="106" t="s">
        <v>2405</v>
      </c>
      <c r="D1013" s="106" t="s">
        <v>1002</v>
      </c>
      <c r="E1013" s="106" t="s">
        <v>2404</v>
      </c>
      <c r="F1013" s="106" t="s">
        <v>490</v>
      </c>
      <c r="G1013" s="106" t="s">
        <v>2414</v>
      </c>
      <c r="H1013" s="105" t="s">
        <v>2413</v>
      </c>
      <c r="I1013" s="105" t="s">
        <v>2412</v>
      </c>
      <c r="J1013" s="104">
        <v>3.3</v>
      </c>
      <c r="K1013" s="103" t="s">
        <v>427</v>
      </c>
      <c r="L1013" s="102" t="s">
        <v>533</v>
      </c>
      <c r="M1013" s="95"/>
      <c r="N1013" s="14"/>
      <c r="O1013" s="94">
        <v>29</v>
      </c>
      <c r="P1013" s="14" t="s">
        <v>485</v>
      </c>
      <c r="Q1013" s="14" t="s">
        <v>887</v>
      </c>
      <c r="R1013" s="14" t="s">
        <v>496</v>
      </c>
      <c r="S1013" s="15">
        <v>7</v>
      </c>
      <c r="T1013" s="15">
        <v>2.5</v>
      </c>
      <c r="U1013" s="15">
        <v>1.1000000000000001</v>
      </c>
      <c r="V1013" s="14">
        <v>4118</v>
      </c>
      <c r="W1013" s="12">
        <v>0</v>
      </c>
      <c r="X1013" s="12">
        <v>1.2999999999999998</v>
      </c>
      <c r="Y1013" s="12">
        <v>0</v>
      </c>
      <c r="Z1013" s="12">
        <v>2</v>
      </c>
      <c r="AA1013" s="12">
        <v>0</v>
      </c>
      <c r="AB1013" s="13">
        <f t="shared" si="61"/>
        <v>0</v>
      </c>
      <c r="AE1013" s="12">
        <v>0</v>
      </c>
      <c r="AF1013" s="12">
        <v>1.2999999999999998</v>
      </c>
      <c r="AG1013" s="12">
        <v>0</v>
      </c>
      <c r="AH1013" s="12">
        <v>2</v>
      </c>
      <c r="AI1013" s="12">
        <v>0</v>
      </c>
      <c r="AJ1013" s="13">
        <f t="shared" si="62"/>
        <v>0</v>
      </c>
      <c r="AN1013" s="12">
        <f t="shared" si="63"/>
        <v>13590</v>
      </c>
      <c r="AQ1013" s="8" t="s">
        <v>418</v>
      </c>
      <c r="AR1013" t="str">
        <f t="shared" si="64"/>
        <v>Noroeste - A07</v>
      </c>
    </row>
    <row r="1014" spans="1:44" x14ac:dyDescent="0.2">
      <c r="A1014" s="107" t="s">
        <v>2411</v>
      </c>
      <c r="B1014" s="106" t="s">
        <v>2410</v>
      </c>
      <c r="C1014" s="106" t="s">
        <v>2405</v>
      </c>
      <c r="D1014" s="106" t="s">
        <v>981</v>
      </c>
      <c r="E1014" s="106" t="s">
        <v>2404</v>
      </c>
      <c r="F1014" s="106" t="s">
        <v>490</v>
      </c>
      <c r="G1014" s="106" t="s">
        <v>2409</v>
      </c>
      <c r="H1014" s="105" t="s">
        <v>2408</v>
      </c>
      <c r="I1014" s="105" t="s">
        <v>1288</v>
      </c>
      <c r="J1014" s="104">
        <v>7.19</v>
      </c>
      <c r="K1014" s="103" t="s">
        <v>427</v>
      </c>
      <c r="L1014" s="102" t="s">
        <v>533</v>
      </c>
      <c r="M1014" s="95"/>
      <c r="N1014" s="14"/>
      <c r="O1014" s="94">
        <v>29</v>
      </c>
      <c r="P1014" s="14" t="s">
        <v>485</v>
      </c>
      <c r="Q1014" s="14" t="s">
        <v>887</v>
      </c>
      <c r="R1014" s="14" t="s">
        <v>496</v>
      </c>
      <c r="S1014" s="15">
        <v>7.2</v>
      </c>
      <c r="T1014" s="15">
        <v>2.5</v>
      </c>
      <c r="U1014" s="15">
        <v>0</v>
      </c>
      <c r="V1014" s="14">
        <v>4118</v>
      </c>
      <c r="W1014" s="12">
        <v>0</v>
      </c>
      <c r="X1014" s="12">
        <v>0</v>
      </c>
      <c r="Y1014" s="12">
        <v>0</v>
      </c>
      <c r="Z1014" s="12">
        <v>7.19</v>
      </c>
      <c r="AA1014" s="12">
        <v>0</v>
      </c>
      <c r="AB1014" s="13">
        <f t="shared" si="61"/>
        <v>0</v>
      </c>
      <c r="AE1014" s="12">
        <v>0</v>
      </c>
      <c r="AF1014" s="12">
        <v>0</v>
      </c>
      <c r="AG1014" s="12">
        <v>0</v>
      </c>
      <c r="AH1014" s="12">
        <v>7.19</v>
      </c>
      <c r="AI1014" s="12">
        <v>0</v>
      </c>
      <c r="AJ1014" s="13">
        <f t="shared" si="62"/>
        <v>0</v>
      </c>
      <c r="AN1014" s="12">
        <f t="shared" si="63"/>
        <v>29609</v>
      </c>
      <c r="AQ1014" s="8" t="s">
        <v>418</v>
      </c>
      <c r="AR1014" t="str">
        <f t="shared" si="64"/>
        <v>Noroeste - A07</v>
      </c>
    </row>
    <row r="1015" spans="1:44" x14ac:dyDescent="0.2">
      <c r="A1015" s="107" t="s">
        <v>2407</v>
      </c>
      <c r="B1015" s="106" t="s">
        <v>2406</v>
      </c>
      <c r="C1015" s="106" t="s">
        <v>2405</v>
      </c>
      <c r="D1015" s="106" t="s">
        <v>975</v>
      </c>
      <c r="E1015" s="106" t="s">
        <v>2404</v>
      </c>
      <c r="F1015" s="106" t="s">
        <v>490</v>
      </c>
      <c r="G1015" s="106" t="s">
        <v>2403</v>
      </c>
      <c r="H1015" s="105" t="s">
        <v>1288</v>
      </c>
      <c r="I1015" s="105" t="s">
        <v>2402</v>
      </c>
      <c r="J1015" s="104">
        <v>14.94</v>
      </c>
      <c r="K1015" s="103" t="s">
        <v>427</v>
      </c>
      <c r="L1015" s="102" t="s">
        <v>533</v>
      </c>
      <c r="M1015" s="95"/>
      <c r="N1015" s="14"/>
      <c r="O1015" s="94">
        <v>29</v>
      </c>
      <c r="P1015" s="14" t="s">
        <v>485</v>
      </c>
      <c r="Q1015" s="14" t="s">
        <v>887</v>
      </c>
      <c r="R1015" s="14" t="s">
        <v>496</v>
      </c>
      <c r="S1015" s="15">
        <v>7.2</v>
      </c>
      <c r="T1015" s="15">
        <v>2.5</v>
      </c>
      <c r="U1015" s="15">
        <v>1.2</v>
      </c>
      <c r="V1015" s="14">
        <v>4118</v>
      </c>
      <c r="W1015" s="12">
        <v>0</v>
      </c>
      <c r="X1015" s="12">
        <v>1</v>
      </c>
      <c r="Y1015" s="12">
        <v>0</v>
      </c>
      <c r="Z1015" s="12">
        <v>13.94</v>
      </c>
      <c r="AA1015" s="12">
        <v>0</v>
      </c>
      <c r="AB1015" s="13">
        <f t="shared" si="61"/>
        <v>0</v>
      </c>
      <c r="AE1015" s="12">
        <v>0</v>
      </c>
      <c r="AF1015" s="12">
        <v>1</v>
      </c>
      <c r="AG1015" s="12">
        <v>0</v>
      </c>
      <c r="AH1015" s="12">
        <v>13.94</v>
      </c>
      <c r="AI1015" s="12">
        <v>0</v>
      </c>
      <c r="AJ1015" s="13">
        <f t="shared" si="62"/>
        <v>0</v>
      </c>
      <c r="AN1015" s="12">
        <f t="shared" si="63"/>
        <v>61523</v>
      </c>
      <c r="AQ1015" s="8" t="s">
        <v>418</v>
      </c>
      <c r="AR1015" t="str">
        <f t="shared" si="64"/>
        <v>Noroeste - A07</v>
      </c>
    </row>
    <row r="1016" spans="1:44" x14ac:dyDescent="0.2">
      <c r="A1016" s="107" t="s">
        <v>2401</v>
      </c>
      <c r="B1016" s="106" t="s">
        <v>2400</v>
      </c>
      <c r="C1016" s="106" t="s">
        <v>2362</v>
      </c>
      <c r="D1016" s="106" t="s">
        <v>1128</v>
      </c>
      <c r="E1016" s="106" t="s">
        <v>2399</v>
      </c>
      <c r="F1016" s="106" t="s">
        <v>606</v>
      </c>
      <c r="G1016" s="106" t="s">
        <v>2398</v>
      </c>
      <c r="H1016" s="105" t="s">
        <v>2393</v>
      </c>
      <c r="I1016" s="105" t="s">
        <v>1483</v>
      </c>
      <c r="J1016" s="104">
        <v>1.33</v>
      </c>
      <c r="K1016" s="103" t="s">
        <v>427</v>
      </c>
      <c r="L1016" s="102" t="s">
        <v>507</v>
      </c>
      <c r="M1016" s="95"/>
      <c r="N1016" s="14"/>
      <c r="O1016" s="94">
        <v>39</v>
      </c>
      <c r="P1016" s="14" t="s">
        <v>596</v>
      </c>
      <c r="Q1016" s="14" t="s">
        <v>497</v>
      </c>
      <c r="R1016" s="14" t="s">
        <v>496</v>
      </c>
      <c r="S1016" s="15">
        <v>6.7333333333333334</v>
      </c>
      <c r="T1016" s="15">
        <v>0</v>
      </c>
      <c r="U1016" s="15">
        <v>0</v>
      </c>
      <c r="V1016" s="14">
        <v>1094</v>
      </c>
      <c r="W1016" s="12">
        <v>0</v>
      </c>
      <c r="X1016" s="12">
        <v>0</v>
      </c>
      <c r="Y1016" s="12">
        <v>0</v>
      </c>
      <c r="Z1016" s="12">
        <v>1.33</v>
      </c>
      <c r="AA1016" s="12">
        <v>0</v>
      </c>
      <c r="AB1016" s="13">
        <f t="shared" si="61"/>
        <v>0</v>
      </c>
      <c r="AE1016" s="12">
        <v>0</v>
      </c>
      <c r="AF1016" s="12">
        <v>0</v>
      </c>
      <c r="AG1016" s="12">
        <v>0</v>
      </c>
      <c r="AH1016" s="12">
        <v>1.33</v>
      </c>
      <c r="AI1016" s="12">
        <v>0</v>
      </c>
      <c r="AJ1016" s="13">
        <f t="shared" si="62"/>
        <v>0</v>
      </c>
      <c r="AN1016" s="12">
        <f t="shared" si="63"/>
        <v>1456</v>
      </c>
      <c r="AQ1016" s="8" t="s">
        <v>417</v>
      </c>
      <c r="AR1016" t="str">
        <f t="shared" si="64"/>
        <v>Oeste - A07</v>
      </c>
    </row>
    <row r="1017" spans="1:44" x14ac:dyDescent="0.2">
      <c r="A1017" s="107" t="s">
        <v>2397</v>
      </c>
      <c r="B1017" s="106" t="s">
        <v>2396</v>
      </c>
      <c r="C1017" s="106" t="s">
        <v>2362</v>
      </c>
      <c r="D1017" s="106" t="s">
        <v>1128</v>
      </c>
      <c r="E1017" s="106" t="s">
        <v>2395</v>
      </c>
      <c r="F1017" s="106" t="s">
        <v>600</v>
      </c>
      <c r="G1017" s="106" t="s">
        <v>2394</v>
      </c>
      <c r="H1017" s="105" t="s">
        <v>2393</v>
      </c>
      <c r="I1017" s="105" t="s">
        <v>1483</v>
      </c>
      <c r="J1017" s="104">
        <v>1.33</v>
      </c>
      <c r="K1017" s="103" t="s">
        <v>427</v>
      </c>
      <c r="L1017" s="102" t="s">
        <v>507</v>
      </c>
      <c r="M1017" s="95"/>
      <c r="N1017" s="14"/>
      <c r="O1017" s="94">
        <v>39</v>
      </c>
      <c r="P1017" s="14" t="s">
        <v>596</v>
      </c>
      <c r="Q1017" s="14" t="s">
        <v>497</v>
      </c>
      <c r="R1017" s="14" t="s">
        <v>496</v>
      </c>
      <c r="S1017" s="15">
        <v>6.8833333333333329</v>
      </c>
      <c r="T1017" s="15">
        <v>0</v>
      </c>
      <c r="U1017" s="15">
        <v>0</v>
      </c>
      <c r="V1017" s="14">
        <v>1094</v>
      </c>
      <c r="W1017" s="12">
        <v>0</v>
      </c>
      <c r="X1017" s="12">
        <v>0</v>
      </c>
      <c r="Y1017" s="12">
        <v>1</v>
      </c>
      <c r="Z1017" s="12">
        <v>0.33000000000000007</v>
      </c>
      <c r="AA1017" s="12">
        <v>0</v>
      </c>
      <c r="AB1017" s="13">
        <f t="shared" si="61"/>
        <v>0</v>
      </c>
      <c r="AE1017" s="12">
        <v>0</v>
      </c>
      <c r="AF1017" s="12">
        <v>0</v>
      </c>
      <c r="AG1017" s="12">
        <v>1</v>
      </c>
      <c r="AH1017" s="12">
        <v>0.33000000000000007</v>
      </c>
      <c r="AI1017" s="12">
        <v>0</v>
      </c>
      <c r="AJ1017" s="13">
        <f t="shared" si="62"/>
        <v>0</v>
      </c>
      <c r="AN1017" s="12">
        <f t="shared" si="63"/>
        <v>1456</v>
      </c>
      <c r="AQ1017" s="8" t="s">
        <v>417</v>
      </c>
      <c r="AR1017" t="str">
        <f t="shared" si="64"/>
        <v>Oeste - A07</v>
      </c>
    </row>
    <row r="1018" spans="1:44" x14ac:dyDescent="0.2">
      <c r="A1018" s="107" t="s">
        <v>2392</v>
      </c>
      <c r="B1018" s="106" t="s">
        <v>2391</v>
      </c>
      <c r="C1018" s="106" t="s">
        <v>2362</v>
      </c>
      <c r="D1018" s="106" t="s">
        <v>519</v>
      </c>
      <c r="E1018" s="106" t="s">
        <v>2361</v>
      </c>
      <c r="F1018" s="106" t="s">
        <v>490</v>
      </c>
      <c r="G1018" s="106" t="s">
        <v>2390</v>
      </c>
      <c r="H1018" s="105" t="s">
        <v>1483</v>
      </c>
      <c r="I1018" s="105" t="s">
        <v>2386</v>
      </c>
      <c r="J1018" s="104">
        <v>5.37</v>
      </c>
      <c r="K1018" s="103" t="s">
        <v>427</v>
      </c>
      <c r="L1018" s="102" t="s">
        <v>507</v>
      </c>
      <c r="M1018" s="95"/>
      <c r="N1018" s="14"/>
      <c r="O1018" s="94">
        <v>39</v>
      </c>
      <c r="P1018" s="14" t="s">
        <v>485</v>
      </c>
      <c r="Q1018" s="14" t="s">
        <v>497</v>
      </c>
      <c r="R1018" s="14" t="s">
        <v>496</v>
      </c>
      <c r="S1018" s="15">
        <v>6.6499999999999995</v>
      </c>
      <c r="T1018" s="15">
        <v>0</v>
      </c>
      <c r="U1018" s="15">
        <v>0</v>
      </c>
      <c r="V1018" s="14">
        <v>5240</v>
      </c>
      <c r="W1018" s="12">
        <v>0</v>
      </c>
      <c r="X1018" s="12">
        <v>0</v>
      </c>
      <c r="Y1018" s="12">
        <v>0</v>
      </c>
      <c r="Z1018" s="12">
        <v>0</v>
      </c>
      <c r="AA1018" s="12">
        <v>5.37</v>
      </c>
      <c r="AB1018" s="13">
        <f t="shared" si="61"/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5.37</v>
      </c>
      <c r="AJ1018" s="13">
        <f t="shared" si="62"/>
        <v>0</v>
      </c>
      <c r="AN1018" s="12">
        <f t="shared" si="63"/>
        <v>28139</v>
      </c>
      <c r="AQ1018" s="8" t="s">
        <v>417</v>
      </c>
      <c r="AR1018" t="str">
        <f t="shared" si="64"/>
        <v>Oeste - A07</v>
      </c>
    </row>
    <row r="1019" spans="1:44" x14ac:dyDescent="0.2">
      <c r="A1019" s="107" t="s">
        <v>2389</v>
      </c>
      <c r="B1019" s="106" t="s">
        <v>2388</v>
      </c>
      <c r="C1019" s="106" t="s">
        <v>2362</v>
      </c>
      <c r="D1019" s="106" t="s">
        <v>1032</v>
      </c>
      <c r="E1019" s="106" t="s">
        <v>2361</v>
      </c>
      <c r="F1019" s="106" t="s">
        <v>490</v>
      </c>
      <c r="G1019" s="106" t="s">
        <v>2387</v>
      </c>
      <c r="H1019" s="105" t="s">
        <v>2386</v>
      </c>
      <c r="I1019" s="105" t="s">
        <v>2382</v>
      </c>
      <c r="J1019" s="104">
        <v>10.44</v>
      </c>
      <c r="K1019" s="103" t="s">
        <v>427</v>
      </c>
      <c r="L1019" s="102" t="s">
        <v>507</v>
      </c>
      <c r="M1019" s="95"/>
      <c r="N1019" s="14"/>
      <c r="O1019" s="94">
        <v>39</v>
      </c>
      <c r="P1019" s="14" t="s">
        <v>485</v>
      </c>
      <c r="Q1019" s="14" t="s">
        <v>497</v>
      </c>
      <c r="R1019" s="14" t="s">
        <v>496</v>
      </c>
      <c r="S1019" s="15">
        <v>6.6499999999999995</v>
      </c>
      <c r="T1019" s="15">
        <v>0</v>
      </c>
      <c r="U1019" s="15">
        <v>0</v>
      </c>
      <c r="V1019" s="14">
        <v>5240</v>
      </c>
      <c r="W1019" s="12">
        <v>0</v>
      </c>
      <c r="X1019" s="12">
        <v>0</v>
      </c>
      <c r="Y1019" s="12">
        <v>3.4399999999999995</v>
      </c>
      <c r="Z1019" s="12">
        <v>3</v>
      </c>
      <c r="AA1019" s="12">
        <v>4</v>
      </c>
      <c r="AB1019" s="13">
        <f t="shared" si="61"/>
        <v>0</v>
      </c>
      <c r="AE1019" s="12">
        <v>0</v>
      </c>
      <c r="AF1019" s="12">
        <v>0</v>
      </c>
      <c r="AG1019" s="12">
        <v>3.4399999999999995</v>
      </c>
      <c r="AH1019" s="12">
        <v>3</v>
      </c>
      <c r="AI1019" s="12">
        <v>4</v>
      </c>
      <c r="AJ1019" s="13">
        <f t="shared" si="62"/>
        <v>0</v>
      </c>
      <c r="AN1019" s="12">
        <f t="shared" si="63"/>
        <v>54706</v>
      </c>
      <c r="AQ1019" s="8" t="s">
        <v>417</v>
      </c>
      <c r="AR1019" t="str">
        <f t="shared" si="64"/>
        <v>Oeste - A07</v>
      </c>
    </row>
    <row r="1020" spans="1:44" x14ac:dyDescent="0.2">
      <c r="A1020" s="107" t="s">
        <v>2385</v>
      </c>
      <c r="B1020" s="106" t="s">
        <v>2384</v>
      </c>
      <c r="C1020" s="106" t="s">
        <v>2362</v>
      </c>
      <c r="D1020" s="106" t="s">
        <v>513</v>
      </c>
      <c r="E1020" s="106" t="s">
        <v>2361</v>
      </c>
      <c r="F1020" s="106" t="s">
        <v>490</v>
      </c>
      <c r="G1020" s="106" t="s">
        <v>2383</v>
      </c>
      <c r="H1020" s="105" t="s">
        <v>2382</v>
      </c>
      <c r="I1020" s="105" t="s">
        <v>2378</v>
      </c>
      <c r="J1020" s="104">
        <v>15.03</v>
      </c>
      <c r="K1020" s="103" t="s">
        <v>427</v>
      </c>
      <c r="L1020" s="102" t="s">
        <v>507</v>
      </c>
      <c r="M1020" s="95"/>
      <c r="N1020" s="14"/>
      <c r="O1020" s="94">
        <v>39</v>
      </c>
      <c r="P1020" s="14" t="s">
        <v>485</v>
      </c>
      <c r="Q1020" s="14" t="s">
        <v>497</v>
      </c>
      <c r="R1020" s="14" t="s">
        <v>496</v>
      </c>
      <c r="S1020" s="15">
        <v>6.7</v>
      </c>
      <c r="T1020" s="15">
        <v>0</v>
      </c>
      <c r="U1020" s="15">
        <v>0</v>
      </c>
      <c r="V1020" s="14">
        <v>1667</v>
      </c>
      <c r="W1020" s="12">
        <v>0</v>
      </c>
      <c r="X1020" s="12">
        <v>0</v>
      </c>
      <c r="Y1020" s="12">
        <v>10.029999999999999</v>
      </c>
      <c r="Z1020" s="12">
        <v>5</v>
      </c>
      <c r="AA1020" s="12">
        <v>0</v>
      </c>
      <c r="AB1020" s="13">
        <f t="shared" si="61"/>
        <v>0</v>
      </c>
      <c r="AE1020" s="12">
        <v>0</v>
      </c>
      <c r="AF1020" s="12">
        <v>0</v>
      </c>
      <c r="AG1020" s="12">
        <v>10.029999999999999</v>
      </c>
      <c r="AH1020" s="12">
        <v>5</v>
      </c>
      <c r="AI1020" s="12">
        <v>0</v>
      </c>
      <c r="AJ1020" s="13">
        <f t="shared" si="62"/>
        <v>0</v>
      </c>
      <c r="AN1020" s="12">
        <f t="shared" si="63"/>
        <v>25056</v>
      </c>
      <c r="AQ1020" s="8" t="s">
        <v>417</v>
      </c>
      <c r="AR1020" t="str">
        <f t="shared" si="64"/>
        <v>Oeste - A07</v>
      </c>
    </row>
    <row r="1021" spans="1:44" x14ac:dyDescent="0.2">
      <c r="A1021" s="107" t="s">
        <v>2381</v>
      </c>
      <c r="B1021" s="106" t="s">
        <v>2380</v>
      </c>
      <c r="C1021" s="106" t="s">
        <v>2362</v>
      </c>
      <c r="D1021" s="106" t="s">
        <v>989</v>
      </c>
      <c r="E1021" s="106" t="s">
        <v>2367</v>
      </c>
      <c r="F1021" s="106" t="s">
        <v>590</v>
      </c>
      <c r="G1021" s="106" t="s">
        <v>2379</v>
      </c>
      <c r="H1021" s="105" t="s">
        <v>2378</v>
      </c>
      <c r="I1021" s="105" t="s">
        <v>2374</v>
      </c>
      <c r="J1021" s="104">
        <v>2.38</v>
      </c>
      <c r="K1021" s="103" t="s">
        <v>427</v>
      </c>
      <c r="L1021" s="102" t="s">
        <v>507</v>
      </c>
      <c r="M1021" s="95"/>
      <c r="N1021" s="14"/>
      <c r="O1021" s="94">
        <v>39</v>
      </c>
      <c r="P1021" s="14" t="s">
        <v>586</v>
      </c>
      <c r="Q1021" s="14" t="s">
        <v>497</v>
      </c>
      <c r="R1021" s="14" t="s">
        <v>496</v>
      </c>
      <c r="S1021" s="15">
        <v>9.9</v>
      </c>
      <c r="T1021" s="15">
        <v>0</v>
      </c>
      <c r="U1021" s="15">
        <v>0</v>
      </c>
      <c r="V1021" s="14">
        <v>4064</v>
      </c>
      <c r="W1021" s="12">
        <v>0</v>
      </c>
      <c r="X1021" s="12">
        <v>0</v>
      </c>
      <c r="Y1021" s="12">
        <v>1</v>
      </c>
      <c r="Z1021" s="12">
        <v>1.38</v>
      </c>
      <c r="AA1021" s="12">
        <v>0</v>
      </c>
      <c r="AB1021" s="13">
        <f t="shared" si="61"/>
        <v>0</v>
      </c>
      <c r="AE1021" s="12">
        <v>0</v>
      </c>
      <c r="AF1021" s="12">
        <v>0</v>
      </c>
      <c r="AG1021" s="12">
        <v>1</v>
      </c>
      <c r="AH1021" s="12">
        <v>1.38</v>
      </c>
      <c r="AI1021" s="12">
        <v>0</v>
      </c>
      <c r="AJ1021" s="13">
        <f t="shared" si="62"/>
        <v>0</v>
      </c>
      <c r="AN1021" s="12">
        <f t="shared" si="63"/>
        <v>9673</v>
      </c>
      <c r="AQ1021" s="8" t="s">
        <v>417</v>
      </c>
      <c r="AR1021" t="str">
        <f t="shared" si="64"/>
        <v>Oeste - A07</v>
      </c>
    </row>
    <row r="1022" spans="1:44" x14ac:dyDescent="0.2">
      <c r="A1022" s="107" t="s">
        <v>2377</v>
      </c>
      <c r="B1022" s="106" t="s">
        <v>2376</v>
      </c>
      <c r="C1022" s="106" t="s">
        <v>2362</v>
      </c>
      <c r="D1022" s="106" t="s">
        <v>981</v>
      </c>
      <c r="E1022" s="106" t="s">
        <v>2361</v>
      </c>
      <c r="F1022" s="106" t="s">
        <v>490</v>
      </c>
      <c r="G1022" s="106" t="s">
        <v>2375</v>
      </c>
      <c r="H1022" s="105" t="s">
        <v>2374</v>
      </c>
      <c r="I1022" s="105" t="s">
        <v>2370</v>
      </c>
      <c r="J1022" s="104">
        <v>14.13</v>
      </c>
      <c r="K1022" s="103" t="s">
        <v>427</v>
      </c>
      <c r="L1022" s="102" t="s">
        <v>507</v>
      </c>
      <c r="M1022" s="95"/>
      <c r="N1022" s="14"/>
      <c r="O1022" s="94">
        <v>39</v>
      </c>
      <c r="P1022" s="14" t="s">
        <v>485</v>
      </c>
      <c r="Q1022" s="14" t="s">
        <v>497</v>
      </c>
      <c r="R1022" s="14" t="s">
        <v>496</v>
      </c>
      <c r="S1022" s="15">
        <v>6.9833333333333334</v>
      </c>
      <c r="T1022" s="15">
        <v>0</v>
      </c>
      <c r="U1022" s="15">
        <v>0</v>
      </c>
      <c r="V1022" s="14">
        <v>2361</v>
      </c>
      <c r="W1022" s="12">
        <v>0</v>
      </c>
      <c r="X1022" s="12">
        <v>0</v>
      </c>
      <c r="Y1022" s="12">
        <v>4.1300000000000008</v>
      </c>
      <c r="Z1022" s="12">
        <v>10</v>
      </c>
      <c r="AA1022" s="12">
        <v>0</v>
      </c>
      <c r="AB1022" s="13">
        <f t="shared" si="61"/>
        <v>0</v>
      </c>
      <c r="AE1022" s="12">
        <v>0</v>
      </c>
      <c r="AF1022" s="12">
        <v>0</v>
      </c>
      <c r="AG1022" s="12">
        <v>4.1300000000000008</v>
      </c>
      <c r="AH1022" s="12">
        <v>10</v>
      </c>
      <c r="AI1022" s="12">
        <v>0</v>
      </c>
      <c r="AJ1022" s="13">
        <f t="shared" si="62"/>
        <v>0</v>
      </c>
      <c r="AN1022" s="12">
        <f t="shared" si="63"/>
        <v>33361</v>
      </c>
      <c r="AQ1022" s="8" t="s">
        <v>417</v>
      </c>
      <c r="AR1022" t="str">
        <f t="shared" si="64"/>
        <v>Oeste - A07</v>
      </c>
    </row>
    <row r="1023" spans="1:44" x14ac:dyDescent="0.2">
      <c r="A1023" s="107" t="s">
        <v>2373</v>
      </c>
      <c r="B1023" s="106" t="s">
        <v>2372</v>
      </c>
      <c r="C1023" s="106" t="s">
        <v>2362</v>
      </c>
      <c r="D1023" s="106" t="s">
        <v>1304</v>
      </c>
      <c r="E1023" s="106" t="s">
        <v>2367</v>
      </c>
      <c r="F1023" s="106" t="s">
        <v>590</v>
      </c>
      <c r="G1023" s="106" t="s">
        <v>2371</v>
      </c>
      <c r="H1023" s="105" t="s">
        <v>2370</v>
      </c>
      <c r="I1023" s="105" t="s">
        <v>2359</v>
      </c>
      <c r="J1023" s="104">
        <v>0.46</v>
      </c>
      <c r="K1023" s="103" t="s">
        <v>427</v>
      </c>
      <c r="L1023" s="102" t="s">
        <v>507</v>
      </c>
      <c r="M1023" s="95"/>
      <c r="N1023" s="14"/>
      <c r="O1023" s="94">
        <v>39</v>
      </c>
      <c r="P1023" s="14" t="s">
        <v>586</v>
      </c>
      <c r="Q1023" s="14" t="s">
        <v>497</v>
      </c>
      <c r="R1023" s="14" t="s">
        <v>496</v>
      </c>
      <c r="S1023" s="15">
        <v>14.033333333333333</v>
      </c>
      <c r="T1023" s="15">
        <v>2.4</v>
      </c>
      <c r="U1023" s="15">
        <v>0</v>
      </c>
      <c r="V1023" s="14">
        <v>689</v>
      </c>
      <c r="W1023" s="12">
        <v>0</v>
      </c>
      <c r="X1023" s="12">
        <v>0</v>
      </c>
      <c r="Y1023" s="12">
        <v>0.46</v>
      </c>
      <c r="Z1023" s="12">
        <v>0</v>
      </c>
      <c r="AA1023" s="12">
        <v>0</v>
      </c>
      <c r="AB1023" s="13">
        <f t="shared" si="61"/>
        <v>0</v>
      </c>
      <c r="AE1023" s="12">
        <v>0</v>
      </c>
      <c r="AF1023" s="12">
        <v>0</v>
      </c>
      <c r="AG1023" s="12">
        <v>0.46</v>
      </c>
      <c r="AH1023" s="12">
        <v>0</v>
      </c>
      <c r="AI1023" s="12">
        <v>0</v>
      </c>
      <c r="AJ1023" s="13">
        <f t="shared" si="62"/>
        <v>0</v>
      </c>
      <c r="AN1023" s="12">
        <f t="shared" si="63"/>
        <v>317</v>
      </c>
      <c r="AQ1023" s="8" t="s">
        <v>417</v>
      </c>
      <c r="AR1023" t="str">
        <f t="shared" si="64"/>
        <v>Oeste - A07</v>
      </c>
    </row>
    <row r="1024" spans="1:44" x14ac:dyDescent="0.2">
      <c r="A1024" s="107" t="s">
        <v>2369</v>
      </c>
      <c r="B1024" s="106" t="s">
        <v>2368</v>
      </c>
      <c r="C1024" s="106" t="s">
        <v>2362</v>
      </c>
      <c r="D1024" s="106" t="s">
        <v>2174</v>
      </c>
      <c r="E1024" s="106" t="s">
        <v>2367</v>
      </c>
      <c r="F1024" s="106" t="s">
        <v>590</v>
      </c>
      <c r="G1024" s="106" t="s">
        <v>2366</v>
      </c>
      <c r="H1024" s="105" t="s">
        <v>2359</v>
      </c>
      <c r="I1024" s="105" t="s">
        <v>2365</v>
      </c>
      <c r="J1024" s="104">
        <v>0.7</v>
      </c>
      <c r="K1024" s="103" t="s">
        <v>427</v>
      </c>
      <c r="L1024" s="102" t="s">
        <v>507</v>
      </c>
      <c r="M1024" s="95"/>
      <c r="N1024" s="14"/>
      <c r="O1024" s="94">
        <v>39</v>
      </c>
      <c r="P1024" s="14" t="s">
        <v>586</v>
      </c>
      <c r="Q1024" s="14" t="s">
        <v>497</v>
      </c>
      <c r="R1024" s="14" t="s">
        <v>496</v>
      </c>
      <c r="S1024" s="15">
        <v>14.033333333333333</v>
      </c>
      <c r="T1024" s="15">
        <v>2.4</v>
      </c>
      <c r="U1024" s="15">
        <v>0</v>
      </c>
      <c r="V1024" s="14">
        <v>689</v>
      </c>
      <c r="W1024" s="12">
        <v>0</v>
      </c>
      <c r="X1024" s="12">
        <v>0</v>
      </c>
      <c r="Y1024" s="12">
        <v>0</v>
      </c>
      <c r="Z1024" s="12">
        <v>0.7</v>
      </c>
      <c r="AA1024" s="12">
        <v>0</v>
      </c>
      <c r="AB1024" s="13">
        <f t="shared" si="61"/>
        <v>0</v>
      </c>
      <c r="AE1024" s="12">
        <v>0</v>
      </c>
      <c r="AF1024" s="12">
        <v>0</v>
      </c>
      <c r="AG1024" s="12">
        <v>0</v>
      </c>
      <c r="AH1024" s="12">
        <v>0.7</v>
      </c>
      <c r="AI1024" s="12">
        <v>0</v>
      </c>
      <c r="AJ1024" s="13">
        <f t="shared" si="62"/>
        <v>0</v>
      </c>
      <c r="AN1024" s="12">
        <f t="shared" si="63"/>
        <v>483</v>
      </c>
      <c r="AQ1024" s="8" t="s">
        <v>417</v>
      </c>
      <c r="AR1024" t="str">
        <f t="shared" si="64"/>
        <v>Oeste - A07</v>
      </c>
    </row>
    <row r="1025" spans="1:44" x14ac:dyDescent="0.2">
      <c r="A1025" s="107" t="s">
        <v>2364</v>
      </c>
      <c r="B1025" s="106" t="s">
        <v>2363</v>
      </c>
      <c r="C1025" s="106" t="s">
        <v>2362</v>
      </c>
      <c r="D1025" s="106" t="s">
        <v>1269</v>
      </c>
      <c r="E1025" s="106" t="s">
        <v>2361</v>
      </c>
      <c r="F1025" s="106" t="s">
        <v>490</v>
      </c>
      <c r="G1025" s="106" t="s">
        <v>2360</v>
      </c>
      <c r="H1025" s="105" t="s">
        <v>2359</v>
      </c>
      <c r="I1025" s="105" t="s">
        <v>2358</v>
      </c>
      <c r="J1025" s="104">
        <v>18.86</v>
      </c>
      <c r="K1025" s="103" t="s">
        <v>427</v>
      </c>
      <c r="L1025" s="102" t="s">
        <v>507</v>
      </c>
      <c r="M1025" s="95"/>
      <c r="N1025" s="14"/>
      <c r="O1025" s="94">
        <v>39</v>
      </c>
      <c r="P1025" s="14" t="s">
        <v>485</v>
      </c>
      <c r="Q1025" s="14" t="s">
        <v>497</v>
      </c>
      <c r="R1025" s="14" t="s">
        <v>496</v>
      </c>
      <c r="S1025" s="15">
        <v>6.8666666666666671</v>
      </c>
      <c r="T1025" s="15">
        <v>0</v>
      </c>
      <c r="U1025" s="15">
        <v>0</v>
      </c>
      <c r="V1025" s="14">
        <v>2343</v>
      </c>
      <c r="W1025" s="12">
        <v>0</v>
      </c>
      <c r="X1025" s="12">
        <v>0</v>
      </c>
      <c r="Y1025" s="12">
        <v>3</v>
      </c>
      <c r="Z1025" s="12">
        <v>15.86</v>
      </c>
      <c r="AA1025" s="12">
        <v>0</v>
      </c>
      <c r="AB1025" s="13">
        <f t="shared" si="61"/>
        <v>0</v>
      </c>
      <c r="AE1025" s="12">
        <v>0</v>
      </c>
      <c r="AF1025" s="12">
        <v>0</v>
      </c>
      <c r="AG1025" s="12">
        <v>3</v>
      </c>
      <c r="AH1025" s="12">
        <v>15.86</v>
      </c>
      <c r="AI1025" s="12">
        <v>0</v>
      </c>
      <c r="AJ1025" s="13">
        <f t="shared" si="62"/>
        <v>0</v>
      </c>
      <c r="AN1025" s="12">
        <f t="shared" si="63"/>
        <v>44189</v>
      </c>
      <c r="AQ1025" s="8" t="s">
        <v>417</v>
      </c>
      <c r="AR1025" t="str">
        <f t="shared" si="64"/>
        <v>Oeste - A07</v>
      </c>
    </row>
    <row r="1026" spans="1:44" x14ac:dyDescent="0.2">
      <c r="A1026" s="107" t="s">
        <v>2357</v>
      </c>
      <c r="B1026" s="106" t="s">
        <v>2356</v>
      </c>
      <c r="C1026" s="106" t="s">
        <v>2350</v>
      </c>
      <c r="D1026" s="106" t="s">
        <v>492</v>
      </c>
      <c r="E1026" s="106" t="s">
        <v>2355</v>
      </c>
      <c r="F1026" s="106" t="s">
        <v>490</v>
      </c>
      <c r="G1026" s="106" t="s">
        <v>2354</v>
      </c>
      <c r="H1026" s="105" t="s">
        <v>2353</v>
      </c>
      <c r="I1026" s="105" t="s">
        <v>1607</v>
      </c>
      <c r="J1026" s="104">
        <v>18.350000000000001</v>
      </c>
      <c r="K1026" s="103" t="s">
        <v>424</v>
      </c>
      <c r="L1026" s="102" t="s">
        <v>533</v>
      </c>
      <c r="M1026" s="95"/>
      <c r="N1026" s="14"/>
      <c r="O1026" s="94">
        <v>26</v>
      </c>
      <c r="P1026" s="14" t="s">
        <v>485</v>
      </c>
      <c r="Q1026" s="14" t="s">
        <v>561</v>
      </c>
      <c r="R1026" s="14" t="s">
        <v>585</v>
      </c>
      <c r="S1026" s="15">
        <v>6.8214285714285703</v>
      </c>
      <c r="T1026" s="15">
        <v>1</v>
      </c>
      <c r="U1026" s="15">
        <v>0</v>
      </c>
      <c r="V1026" s="14">
        <v>380</v>
      </c>
      <c r="W1026" s="12">
        <v>0</v>
      </c>
      <c r="X1026" s="12">
        <v>0</v>
      </c>
      <c r="Y1026" s="12">
        <v>3</v>
      </c>
      <c r="Z1026" s="12">
        <v>15.350000000000001</v>
      </c>
      <c r="AA1026" s="12">
        <v>0</v>
      </c>
      <c r="AB1026" s="13">
        <f t="shared" si="61"/>
        <v>0</v>
      </c>
      <c r="AE1026" s="12">
        <v>0</v>
      </c>
      <c r="AF1026" s="12">
        <v>0</v>
      </c>
      <c r="AG1026" s="12">
        <v>3</v>
      </c>
      <c r="AH1026" s="12">
        <v>15.350000000000001</v>
      </c>
      <c r="AI1026" s="12">
        <v>0</v>
      </c>
      <c r="AJ1026" s="13">
        <f t="shared" si="62"/>
        <v>0</v>
      </c>
      <c r="AN1026" s="12">
        <f t="shared" si="63"/>
        <v>6973</v>
      </c>
      <c r="AQ1026" s="8" t="s">
        <v>418</v>
      </c>
      <c r="AR1026" t="str">
        <f t="shared" si="64"/>
        <v>Noroeste - A04</v>
      </c>
    </row>
    <row r="1027" spans="1:44" x14ac:dyDescent="0.2">
      <c r="A1027" s="107" t="s">
        <v>2352</v>
      </c>
      <c r="B1027" s="106" t="s">
        <v>2351</v>
      </c>
      <c r="C1027" s="106" t="s">
        <v>2350</v>
      </c>
      <c r="D1027" s="106" t="s">
        <v>592</v>
      </c>
      <c r="E1027" s="106" t="s">
        <v>2349</v>
      </c>
      <c r="F1027" s="106" t="s">
        <v>590</v>
      </c>
      <c r="G1027" s="106" t="s">
        <v>2348</v>
      </c>
      <c r="H1027" s="105" t="s">
        <v>1607</v>
      </c>
      <c r="I1027" s="105" t="s">
        <v>2347</v>
      </c>
      <c r="J1027" s="104">
        <v>0.26</v>
      </c>
      <c r="K1027" s="103" t="s">
        <v>424</v>
      </c>
      <c r="L1027" s="102" t="s">
        <v>533</v>
      </c>
      <c r="M1027" s="95"/>
      <c r="N1027" s="14"/>
      <c r="O1027" s="94">
        <v>26</v>
      </c>
      <c r="P1027" s="14" t="s">
        <v>586</v>
      </c>
      <c r="Q1027" s="14" t="s">
        <v>887</v>
      </c>
      <c r="R1027" s="14" t="s">
        <v>585</v>
      </c>
      <c r="S1027" s="15">
        <v>8</v>
      </c>
      <c r="T1027" s="15">
        <v>0</v>
      </c>
      <c r="U1027" s="15">
        <v>0</v>
      </c>
      <c r="V1027" s="14">
        <v>306</v>
      </c>
      <c r="W1027" s="12">
        <v>0</v>
      </c>
      <c r="X1027" s="12">
        <v>0</v>
      </c>
      <c r="Y1027" s="12">
        <v>0</v>
      </c>
      <c r="Z1027" s="12">
        <v>0.26</v>
      </c>
      <c r="AA1027" s="12">
        <v>0</v>
      </c>
      <c r="AB1027" s="13">
        <f t="shared" si="61"/>
        <v>0</v>
      </c>
      <c r="AE1027" s="12">
        <v>0</v>
      </c>
      <c r="AF1027" s="12">
        <v>0</v>
      </c>
      <c r="AG1027" s="12">
        <v>0</v>
      </c>
      <c r="AH1027" s="12">
        <v>0.26</v>
      </c>
      <c r="AI1027" s="12">
        <v>0</v>
      </c>
      <c r="AJ1027" s="13">
        <f t="shared" si="62"/>
        <v>0</v>
      </c>
      <c r="AN1027" s="12">
        <f t="shared" si="63"/>
        <v>80</v>
      </c>
      <c r="AQ1027" s="8" t="s">
        <v>418</v>
      </c>
      <c r="AR1027" t="str">
        <f t="shared" si="64"/>
        <v>Noroeste - A04</v>
      </c>
    </row>
    <row r="1028" spans="1:44" x14ac:dyDescent="0.2">
      <c r="A1028" s="107" t="s">
        <v>2346</v>
      </c>
      <c r="B1028" s="106" t="s">
        <v>2345</v>
      </c>
      <c r="C1028" s="106" t="s">
        <v>2251</v>
      </c>
      <c r="D1028" s="106" t="s">
        <v>519</v>
      </c>
      <c r="E1028" s="106" t="s">
        <v>2250</v>
      </c>
      <c r="F1028" s="106" t="s">
        <v>490</v>
      </c>
      <c r="G1028" s="106" t="s">
        <v>2344</v>
      </c>
      <c r="H1028" s="105" t="s">
        <v>2343</v>
      </c>
      <c r="I1028" s="105" t="s">
        <v>2335</v>
      </c>
      <c r="J1028" s="104">
        <v>7.65</v>
      </c>
      <c r="K1028" s="103" t="s">
        <v>421</v>
      </c>
      <c r="L1028" s="102" t="s">
        <v>507</v>
      </c>
      <c r="M1028" s="95"/>
      <c r="N1028" s="14"/>
      <c r="O1028" s="94">
        <v>33</v>
      </c>
      <c r="P1028" s="14" t="s">
        <v>485</v>
      </c>
      <c r="Q1028" s="14" t="s">
        <v>497</v>
      </c>
      <c r="R1028" s="14" t="s">
        <v>496</v>
      </c>
      <c r="S1028" s="15">
        <v>6.6</v>
      </c>
      <c r="T1028" s="15">
        <v>0</v>
      </c>
      <c r="U1028" s="15">
        <v>0</v>
      </c>
      <c r="V1028" s="14">
        <v>386</v>
      </c>
      <c r="W1028" s="12">
        <v>0</v>
      </c>
      <c r="X1028" s="12">
        <v>0</v>
      </c>
      <c r="Y1028" s="12">
        <v>0</v>
      </c>
      <c r="Z1028" s="12">
        <v>7.65</v>
      </c>
      <c r="AA1028" s="12">
        <v>0</v>
      </c>
      <c r="AB1028" s="13">
        <f t="shared" si="61"/>
        <v>0</v>
      </c>
      <c r="AE1028" s="12">
        <v>0</v>
      </c>
      <c r="AF1028" s="12">
        <v>0</v>
      </c>
      <c r="AG1028" s="12">
        <v>0</v>
      </c>
      <c r="AH1028" s="12">
        <v>7.65</v>
      </c>
      <c r="AI1028" s="12">
        <v>0</v>
      </c>
      <c r="AJ1028" s="13">
        <f t="shared" si="62"/>
        <v>0</v>
      </c>
      <c r="AN1028" s="12">
        <f t="shared" si="63"/>
        <v>2953</v>
      </c>
      <c r="AQ1028" s="8" t="s">
        <v>417</v>
      </c>
      <c r="AR1028" t="str">
        <f t="shared" si="64"/>
        <v>Oeste - A01</v>
      </c>
    </row>
    <row r="1029" spans="1:44" x14ac:dyDescent="0.2">
      <c r="A1029" s="107" t="s">
        <v>2342</v>
      </c>
      <c r="B1029" s="106" t="s">
        <v>2341</v>
      </c>
      <c r="C1029" s="106" t="s">
        <v>2251</v>
      </c>
      <c r="D1029" s="106" t="s">
        <v>2337</v>
      </c>
      <c r="E1029" s="106" t="s">
        <v>2279</v>
      </c>
      <c r="F1029" s="106" t="s">
        <v>606</v>
      </c>
      <c r="G1029" s="106" t="s">
        <v>2340</v>
      </c>
      <c r="H1029" s="105" t="s">
        <v>2335</v>
      </c>
      <c r="I1029" s="105" t="s">
        <v>2330</v>
      </c>
      <c r="J1029" s="104">
        <v>1.25</v>
      </c>
      <c r="K1029" s="103" t="s">
        <v>421</v>
      </c>
      <c r="L1029" s="102" t="s">
        <v>507</v>
      </c>
      <c r="M1029" s="95"/>
      <c r="N1029" s="14"/>
      <c r="O1029" s="94">
        <v>33</v>
      </c>
      <c r="P1029" s="14" t="s">
        <v>596</v>
      </c>
      <c r="Q1029" s="14" t="s">
        <v>497</v>
      </c>
      <c r="R1029" s="14" t="s">
        <v>496</v>
      </c>
      <c r="S1029" s="15">
        <v>6.6</v>
      </c>
      <c r="T1029" s="15">
        <v>0</v>
      </c>
      <c r="U1029" s="15">
        <v>0</v>
      </c>
      <c r="V1029" s="14">
        <v>1794</v>
      </c>
      <c r="W1029" s="12">
        <v>0</v>
      </c>
      <c r="X1029" s="12">
        <v>0</v>
      </c>
      <c r="Y1029" s="12">
        <v>0</v>
      </c>
      <c r="Z1029" s="12">
        <v>1.25</v>
      </c>
      <c r="AA1029" s="12">
        <v>0</v>
      </c>
      <c r="AB1029" s="13">
        <f t="shared" si="61"/>
        <v>0</v>
      </c>
      <c r="AE1029" s="12">
        <v>0</v>
      </c>
      <c r="AF1029" s="12">
        <v>0</v>
      </c>
      <c r="AG1029" s="12">
        <v>0</v>
      </c>
      <c r="AH1029" s="12">
        <v>1.25</v>
      </c>
      <c r="AI1029" s="12">
        <v>0</v>
      </c>
      <c r="AJ1029" s="13">
        <f t="shared" si="62"/>
        <v>0</v>
      </c>
      <c r="AN1029" s="12">
        <f t="shared" si="63"/>
        <v>2243</v>
      </c>
      <c r="AQ1029" s="8" t="s">
        <v>417</v>
      </c>
      <c r="AR1029" t="str">
        <f t="shared" si="64"/>
        <v>Oeste - A01</v>
      </c>
    </row>
    <row r="1030" spans="1:44" x14ac:dyDescent="0.2">
      <c r="A1030" s="107" t="s">
        <v>2339</v>
      </c>
      <c r="B1030" s="106" t="s">
        <v>2338</v>
      </c>
      <c r="C1030" s="106" t="s">
        <v>2251</v>
      </c>
      <c r="D1030" s="106" t="s">
        <v>2337</v>
      </c>
      <c r="E1030" s="106" t="s">
        <v>2275</v>
      </c>
      <c r="F1030" s="106" t="s">
        <v>600</v>
      </c>
      <c r="G1030" s="106" t="s">
        <v>2336</v>
      </c>
      <c r="H1030" s="105" t="s">
        <v>2335</v>
      </c>
      <c r="I1030" s="105" t="s">
        <v>2330</v>
      </c>
      <c r="J1030" s="104">
        <v>1.25</v>
      </c>
      <c r="K1030" s="103" t="s">
        <v>421</v>
      </c>
      <c r="L1030" s="102" t="s">
        <v>507</v>
      </c>
      <c r="M1030" s="95"/>
      <c r="N1030" s="14"/>
      <c r="O1030" s="94">
        <v>33</v>
      </c>
      <c r="P1030" s="14" t="s">
        <v>596</v>
      </c>
      <c r="Q1030" s="14" t="s">
        <v>497</v>
      </c>
      <c r="R1030" s="14" t="s">
        <v>496</v>
      </c>
      <c r="S1030" s="15">
        <v>6.6</v>
      </c>
      <c r="T1030" s="15">
        <v>0</v>
      </c>
      <c r="U1030" s="15">
        <v>0</v>
      </c>
      <c r="V1030" s="14">
        <v>1794</v>
      </c>
      <c r="W1030" s="12">
        <v>0</v>
      </c>
      <c r="X1030" s="12">
        <v>0</v>
      </c>
      <c r="Y1030" s="12">
        <v>0</v>
      </c>
      <c r="Z1030" s="12">
        <v>1.25</v>
      </c>
      <c r="AA1030" s="12">
        <v>0</v>
      </c>
      <c r="AB1030" s="13">
        <f t="shared" ref="AB1030:AB1093" si="65">SUM(W1030:AA1030)-J1030</f>
        <v>0</v>
      </c>
      <c r="AE1030" s="12">
        <v>0</v>
      </c>
      <c r="AF1030" s="12">
        <v>0</v>
      </c>
      <c r="AG1030" s="12">
        <v>0</v>
      </c>
      <c r="AH1030" s="12">
        <v>1.25</v>
      </c>
      <c r="AI1030" s="12">
        <v>0</v>
      </c>
      <c r="AJ1030" s="13">
        <f t="shared" ref="AJ1030:AJ1093" si="66">SUM(AE1030:AI1030)-J1030</f>
        <v>0</v>
      </c>
      <c r="AN1030" s="12">
        <f t="shared" ref="AN1030:AN1093" si="67">ROUNDUP(V1030*J1030,0)</f>
        <v>2243</v>
      </c>
      <c r="AQ1030" s="8" t="s">
        <v>417</v>
      </c>
      <c r="AR1030" t="str">
        <f t="shared" ref="AR1030:AR1093" si="68">AQ1030&amp;" - "&amp;K1030</f>
        <v>Oeste - A01</v>
      </c>
    </row>
    <row r="1031" spans="1:44" x14ac:dyDescent="0.2">
      <c r="A1031" s="107" t="s">
        <v>2334</v>
      </c>
      <c r="B1031" s="106" t="s">
        <v>2333</v>
      </c>
      <c r="C1031" s="106" t="s">
        <v>2251</v>
      </c>
      <c r="D1031" s="106" t="s">
        <v>2332</v>
      </c>
      <c r="E1031" s="106" t="s">
        <v>2250</v>
      </c>
      <c r="F1031" s="106" t="s">
        <v>490</v>
      </c>
      <c r="G1031" s="106" t="s">
        <v>2331</v>
      </c>
      <c r="H1031" s="105" t="s">
        <v>2330</v>
      </c>
      <c r="I1031" s="105" t="s">
        <v>2325</v>
      </c>
      <c r="J1031" s="104">
        <v>10.8</v>
      </c>
      <c r="K1031" s="103" t="s">
        <v>421</v>
      </c>
      <c r="L1031" s="102" t="s">
        <v>507</v>
      </c>
      <c r="M1031" s="95"/>
      <c r="N1031" s="14"/>
      <c r="O1031" s="94">
        <v>33</v>
      </c>
      <c r="P1031" s="14" t="s">
        <v>485</v>
      </c>
      <c r="Q1031" s="14" t="s">
        <v>497</v>
      </c>
      <c r="R1031" s="14" t="s">
        <v>496</v>
      </c>
      <c r="S1031" s="15">
        <v>6.6</v>
      </c>
      <c r="T1031" s="15">
        <v>0</v>
      </c>
      <c r="U1031" s="15">
        <v>0.7</v>
      </c>
      <c r="V1031" s="14">
        <v>2320</v>
      </c>
      <c r="W1031" s="12">
        <v>0</v>
      </c>
      <c r="X1031" s="12">
        <v>0</v>
      </c>
      <c r="Y1031" s="12">
        <v>0</v>
      </c>
      <c r="Z1031" s="12">
        <v>10.8</v>
      </c>
      <c r="AA1031" s="12">
        <v>0</v>
      </c>
      <c r="AB1031" s="13">
        <f t="shared" si="65"/>
        <v>0</v>
      </c>
      <c r="AE1031" s="12">
        <v>0</v>
      </c>
      <c r="AF1031" s="12">
        <v>0</v>
      </c>
      <c r="AG1031" s="12">
        <v>0</v>
      </c>
      <c r="AH1031" s="12">
        <v>10.8</v>
      </c>
      <c r="AI1031" s="12">
        <v>0</v>
      </c>
      <c r="AJ1031" s="13">
        <f t="shared" si="66"/>
        <v>0</v>
      </c>
      <c r="AN1031" s="12">
        <f t="shared" si="67"/>
        <v>25056</v>
      </c>
      <c r="AQ1031" s="8" t="s">
        <v>417</v>
      </c>
      <c r="AR1031" t="str">
        <f t="shared" si="68"/>
        <v>Oeste - A01</v>
      </c>
    </row>
    <row r="1032" spans="1:44" x14ac:dyDescent="0.2">
      <c r="A1032" s="107" t="s">
        <v>2329</v>
      </c>
      <c r="B1032" s="106" t="s">
        <v>2328</v>
      </c>
      <c r="C1032" s="106" t="s">
        <v>2251</v>
      </c>
      <c r="D1032" s="106" t="s">
        <v>2327</v>
      </c>
      <c r="E1032" s="106" t="s">
        <v>2261</v>
      </c>
      <c r="F1032" s="106" t="s">
        <v>590</v>
      </c>
      <c r="G1032" s="106" t="s">
        <v>2326</v>
      </c>
      <c r="H1032" s="105" t="s">
        <v>2325</v>
      </c>
      <c r="I1032" s="105" t="s">
        <v>2315</v>
      </c>
      <c r="J1032" s="104">
        <v>1.88</v>
      </c>
      <c r="K1032" s="103" t="s">
        <v>421</v>
      </c>
      <c r="L1032" s="102" t="s">
        <v>507</v>
      </c>
      <c r="M1032" s="95"/>
      <c r="N1032" s="14"/>
      <c r="O1032" s="94">
        <v>33</v>
      </c>
      <c r="P1032" s="14" t="s">
        <v>586</v>
      </c>
      <c r="Q1032" s="14" t="s">
        <v>497</v>
      </c>
      <c r="R1032" s="14" t="s">
        <v>496</v>
      </c>
      <c r="S1032" s="15">
        <v>18</v>
      </c>
      <c r="T1032" s="15">
        <v>0</v>
      </c>
      <c r="U1032" s="15">
        <v>0</v>
      </c>
      <c r="V1032" s="14">
        <v>892</v>
      </c>
      <c r="W1032" s="12">
        <v>0</v>
      </c>
      <c r="X1032" s="12">
        <v>0</v>
      </c>
      <c r="Y1032" s="12">
        <v>1.3199999999999998</v>
      </c>
      <c r="Z1032" s="12">
        <v>1</v>
      </c>
      <c r="AA1032" s="12">
        <v>0</v>
      </c>
      <c r="AB1032" s="13">
        <f t="shared" si="65"/>
        <v>0.43999999999999995</v>
      </c>
      <c r="AE1032" s="12">
        <f>IF(W1032=0,0,W1032-$AB1032)</f>
        <v>0</v>
      </c>
      <c r="AF1032" s="12">
        <f>IF(X1032=0,0,X1032-$AB1032)</f>
        <v>0</v>
      </c>
      <c r="AG1032" s="12">
        <v>1.1000000000000001</v>
      </c>
      <c r="AH1032" s="12">
        <v>0.78</v>
      </c>
      <c r="AI1032" s="12">
        <f>IF(AA1032=0,0,AA1032-$AB1032)</f>
        <v>0</v>
      </c>
      <c r="AJ1032" s="13">
        <f t="shared" si="66"/>
        <v>0</v>
      </c>
      <c r="AN1032" s="12">
        <f t="shared" si="67"/>
        <v>1677</v>
      </c>
      <c r="AQ1032" s="8" t="s">
        <v>417</v>
      </c>
      <c r="AR1032" t="str">
        <f t="shared" si="68"/>
        <v>Oeste - A01</v>
      </c>
    </row>
    <row r="1033" spans="1:44" x14ac:dyDescent="0.2">
      <c r="A1033" s="107" t="s">
        <v>2324</v>
      </c>
      <c r="B1033" s="106" t="s">
        <v>2323</v>
      </c>
      <c r="C1033" s="106" t="s">
        <v>2251</v>
      </c>
      <c r="D1033" s="106" t="s">
        <v>2322</v>
      </c>
      <c r="E1033" s="106" t="s">
        <v>2261</v>
      </c>
      <c r="F1033" s="106" t="s">
        <v>590</v>
      </c>
      <c r="G1033" s="106" t="s">
        <v>2321</v>
      </c>
      <c r="H1033" s="105" t="s">
        <v>2320</v>
      </c>
      <c r="I1033" s="105" t="s">
        <v>2319</v>
      </c>
      <c r="J1033" s="104">
        <v>1.71</v>
      </c>
      <c r="K1033" s="103" t="s">
        <v>421</v>
      </c>
      <c r="L1033" s="102" t="s">
        <v>507</v>
      </c>
      <c r="M1033" s="95"/>
      <c r="N1033" s="14"/>
      <c r="O1033" s="94">
        <v>33</v>
      </c>
      <c r="P1033" s="14" t="s">
        <v>586</v>
      </c>
      <c r="Q1033" s="14" t="s">
        <v>497</v>
      </c>
      <c r="R1033" s="14" t="s">
        <v>496</v>
      </c>
      <c r="S1033" s="15">
        <v>18</v>
      </c>
      <c r="T1033" s="15">
        <v>0</v>
      </c>
      <c r="U1033" s="15">
        <v>0</v>
      </c>
      <c r="V1033" s="14">
        <v>892</v>
      </c>
      <c r="W1033" s="12">
        <v>0</v>
      </c>
      <c r="X1033" s="12">
        <v>0</v>
      </c>
      <c r="Y1033" s="12">
        <v>1.7</v>
      </c>
      <c r="Z1033" s="12">
        <v>0</v>
      </c>
      <c r="AA1033" s="12">
        <v>0</v>
      </c>
      <c r="AB1033" s="13">
        <f t="shared" si="65"/>
        <v>-1.0000000000000009E-2</v>
      </c>
      <c r="AE1033" s="12">
        <f>IF(W1033=0,0,W1033-$AB1033)</f>
        <v>0</v>
      </c>
      <c r="AF1033" s="12">
        <f>IF(X1033=0,0,X1033-$AB1033)</f>
        <v>0</v>
      </c>
      <c r="AG1033" s="12">
        <f>IF(Y1033=0,0,Y1033-$AB1033)</f>
        <v>1.71</v>
      </c>
      <c r="AH1033" s="12">
        <f>IF(Z1033=0,0,Z1033-$AB1033)</f>
        <v>0</v>
      </c>
      <c r="AI1033" s="12">
        <f>IF(AA1033=0,0,AA1033-$AB1033)</f>
        <v>0</v>
      </c>
      <c r="AJ1033" s="13">
        <f t="shared" si="66"/>
        <v>0</v>
      </c>
      <c r="AN1033" s="12">
        <f t="shared" si="67"/>
        <v>1526</v>
      </c>
      <c r="AQ1033" s="8" t="s">
        <v>417</v>
      </c>
      <c r="AR1033" t="str">
        <f t="shared" si="68"/>
        <v>Oeste - A01</v>
      </c>
    </row>
    <row r="1034" spans="1:44" x14ac:dyDescent="0.2">
      <c r="A1034" s="107" t="s">
        <v>2318</v>
      </c>
      <c r="B1034" s="106" t="s">
        <v>2317</v>
      </c>
      <c r="C1034" s="106" t="s">
        <v>2251</v>
      </c>
      <c r="D1034" s="106" t="s">
        <v>513</v>
      </c>
      <c r="E1034" s="106" t="s">
        <v>2250</v>
      </c>
      <c r="F1034" s="106" t="s">
        <v>490</v>
      </c>
      <c r="G1034" s="106" t="s">
        <v>2316</v>
      </c>
      <c r="H1034" s="105" t="s">
        <v>2315</v>
      </c>
      <c r="I1034" s="105" t="s">
        <v>2311</v>
      </c>
      <c r="J1034" s="104">
        <v>25.14</v>
      </c>
      <c r="K1034" s="103" t="s">
        <v>421</v>
      </c>
      <c r="L1034" s="102" t="s">
        <v>507</v>
      </c>
      <c r="M1034" s="95"/>
      <c r="N1034" s="14"/>
      <c r="O1034" s="94">
        <v>33</v>
      </c>
      <c r="P1034" s="14" t="s">
        <v>485</v>
      </c>
      <c r="Q1034" s="14" t="s">
        <v>497</v>
      </c>
      <c r="R1034" s="14" t="s">
        <v>496</v>
      </c>
      <c r="S1034" s="15">
        <v>7.2</v>
      </c>
      <c r="T1034" s="15">
        <v>0</v>
      </c>
      <c r="U1034" s="15">
        <v>0</v>
      </c>
      <c r="V1034" s="14">
        <v>3670</v>
      </c>
      <c r="W1034" s="12">
        <v>0</v>
      </c>
      <c r="X1034" s="12">
        <v>0</v>
      </c>
      <c r="Y1034" s="12">
        <v>7</v>
      </c>
      <c r="Z1034" s="12">
        <v>18.14</v>
      </c>
      <c r="AA1034" s="12">
        <v>0</v>
      </c>
      <c r="AB1034" s="13">
        <f t="shared" si="65"/>
        <v>0</v>
      </c>
      <c r="AE1034" s="12">
        <v>0</v>
      </c>
      <c r="AF1034" s="12">
        <v>0</v>
      </c>
      <c r="AG1034" s="12">
        <v>7</v>
      </c>
      <c r="AH1034" s="12">
        <v>18.14</v>
      </c>
      <c r="AI1034" s="12">
        <v>0</v>
      </c>
      <c r="AJ1034" s="13">
        <f t="shared" si="66"/>
        <v>0</v>
      </c>
      <c r="AN1034" s="12">
        <f t="shared" si="67"/>
        <v>92264</v>
      </c>
      <c r="AQ1034" s="8" t="s">
        <v>417</v>
      </c>
      <c r="AR1034" t="str">
        <f t="shared" si="68"/>
        <v>Oeste - A01</v>
      </c>
    </row>
    <row r="1035" spans="1:44" x14ac:dyDescent="0.2">
      <c r="A1035" s="107" t="s">
        <v>2314</v>
      </c>
      <c r="B1035" s="106" t="s">
        <v>2313</v>
      </c>
      <c r="C1035" s="106" t="s">
        <v>2251</v>
      </c>
      <c r="D1035" s="106" t="s">
        <v>989</v>
      </c>
      <c r="E1035" s="106" t="s">
        <v>2261</v>
      </c>
      <c r="F1035" s="106" t="s">
        <v>590</v>
      </c>
      <c r="G1035" s="106" t="s">
        <v>2312</v>
      </c>
      <c r="H1035" s="105" t="s">
        <v>2311</v>
      </c>
      <c r="I1035" s="105" t="s">
        <v>2307</v>
      </c>
      <c r="J1035" s="104">
        <v>1.82</v>
      </c>
      <c r="K1035" s="103" t="s">
        <v>421</v>
      </c>
      <c r="L1035" s="102" t="s">
        <v>507</v>
      </c>
      <c r="M1035" s="95"/>
      <c r="N1035" s="14"/>
      <c r="O1035" s="94">
        <v>33</v>
      </c>
      <c r="P1035" s="14" t="s">
        <v>586</v>
      </c>
      <c r="Q1035" s="14" t="s">
        <v>497</v>
      </c>
      <c r="R1035" s="14" t="s">
        <v>496</v>
      </c>
      <c r="S1035" s="15">
        <v>14</v>
      </c>
      <c r="T1035" s="15">
        <v>0</v>
      </c>
      <c r="U1035" s="15">
        <v>0</v>
      </c>
      <c r="V1035" s="14">
        <v>892</v>
      </c>
      <c r="W1035" s="12">
        <v>0</v>
      </c>
      <c r="X1035" s="12">
        <v>0</v>
      </c>
      <c r="Y1035" s="12">
        <v>0</v>
      </c>
      <c r="Z1035" s="12">
        <v>1.82</v>
      </c>
      <c r="AA1035" s="12">
        <v>0</v>
      </c>
      <c r="AB1035" s="13">
        <f t="shared" si="65"/>
        <v>0</v>
      </c>
      <c r="AE1035" s="12">
        <v>0</v>
      </c>
      <c r="AF1035" s="12">
        <v>0</v>
      </c>
      <c r="AG1035" s="12">
        <v>0</v>
      </c>
      <c r="AH1035" s="12">
        <v>1.82</v>
      </c>
      <c r="AI1035" s="12">
        <v>0</v>
      </c>
      <c r="AJ1035" s="13">
        <f t="shared" si="66"/>
        <v>0</v>
      </c>
      <c r="AN1035" s="12">
        <f t="shared" si="67"/>
        <v>1624</v>
      </c>
      <c r="AQ1035" s="8" t="s">
        <v>417</v>
      </c>
      <c r="AR1035" t="str">
        <f t="shared" si="68"/>
        <v>Oeste - A01</v>
      </c>
    </row>
    <row r="1036" spans="1:44" x14ac:dyDescent="0.2">
      <c r="A1036" s="107" t="s">
        <v>2310</v>
      </c>
      <c r="B1036" s="106" t="s">
        <v>2309</v>
      </c>
      <c r="C1036" s="106" t="s">
        <v>2251</v>
      </c>
      <c r="D1036" s="106" t="s">
        <v>981</v>
      </c>
      <c r="E1036" s="106" t="s">
        <v>2250</v>
      </c>
      <c r="F1036" s="106" t="s">
        <v>490</v>
      </c>
      <c r="G1036" s="106" t="s">
        <v>2308</v>
      </c>
      <c r="H1036" s="105" t="s">
        <v>2307</v>
      </c>
      <c r="I1036" s="105" t="s">
        <v>2303</v>
      </c>
      <c r="J1036" s="104">
        <v>1.76</v>
      </c>
      <c r="K1036" s="103" t="s">
        <v>421</v>
      </c>
      <c r="L1036" s="102" t="s">
        <v>507</v>
      </c>
      <c r="M1036" s="95"/>
      <c r="N1036" s="14"/>
      <c r="O1036" s="94">
        <v>33</v>
      </c>
      <c r="P1036" s="14" t="s">
        <v>485</v>
      </c>
      <c r="Q1036" s="14" t="s">
        <v>497</v>
      </c>
      <c r="R1036" s="14" t="s">
        <v>496</v>
      </c>
      <c r="S1036" s="15">
        <v>7.2</v>
      </c>
      <c r="T1036" s="15">
        <v>0</v>
      </c>
      <c r="U1036" s="15">
        <v>0</v>
      </c>
      <c r="V1036" s="14">
        <v>3670</v>
      </c>
      <c r="W1036" s="12">
        <v>0</v>
      </c>
      <c r="X1036" s="12">
        <v>0</v>
      </c>
      <c r="Y1036" s="12">
        <v>0</v>
      </c>
      <c r="Z1036" s="12">
        <v>1.76</v>
      </c>
      <c r="AA1036" s="12">
        <v>0</v>
      </c>
      <c r="AB1036" s="13">
        <f t="shared" si="65"/>
        <v>0</v>
      </c>
      <c r="AE1036" s="12">
        <v>0</v>
      </c>
      <c r="AF1036" s="12">
        <v>0</v>
      </c>
      <c r="AG1036" s="12">
        <v>0</v>
      </c>
      <c r="AH1036" s="12">
        <v>1.76</v>
      </c>
      <c r="AI1036" s="12">
        <v>0</v>
      </c>
      <c r="AJ1036" s="13">
        <f t="shared" si="66"/>
        <v>0</v>
      </c>
      <c r="AN1036" s="12">
        <f t="shared" si="67"/>
        <v>6460</v>
      </c>
      <c r="AQ1036" s="8" t="s">
        <v>417</v>
      </c>
      <c r="AR1036" t="str">
        <f t="shared" si="68"/>
        <v>Oeste - A01</v>
      </c>
    </row>
    <row r="1037" spans="1:44" x14ac:dyDescent="0.2">
      <c r="A1037" s="107" t="s">
        <v>2306</v>
      </c>
      <c r="B1037" s="106" t="s">
        <v>2305</v>
      </c>
      <c r="C1037" s="106" t="s">
        <v>2251</v>
      </c>
      <c r="D1037" s="106" t="s">
        <v>1314</v>
      </c>
      <c r="E1037" s="106" t="s">
        <v>2250</v>
      </c>
      <c r="F1037" s="106" t="s">
        <v>490</v>
      </c>
      <c r="G1037" s="106" t="s">
        <v>2304</v>
      </c>
      <c r="H1037" s="105" t="s">
        <v>2303</v>
      </c>
      <c r="I1037" s="105" t="s">
        <v>2302</v>
      </c>
      <c r="J1037" s="104">
        <v>6.45</v>
      </c>
      <c r="K1037" s="103" t="s">
        <v>421</v>
      </c>
      <c r="L1037" s="102" t="s">
        <v>507</v>
      </c>
      <c r="M1037" s="95"/>
      <c r="N1037" s="14"/>
      <c r="O1037" s="94">
        <v>33</v>
      </c>
      <c r="P1037" s="14" t="s">
        <v>485</v>
      </c>
      <c r="Q1037" s="14" t="s">
        <v>497</v>
      </c>
      <c r="R1037" s="14" t="s">
        <v>496</v>
      </c>
      <c r="S1037" s="15">
        <v>7.2</v>
      </c>
      <c r="T1037" s="15">
        <v>0</v>
      </c>
      <c r="U1037" s="15">
        <v>0</v>
      </c>
      <c r="V1037" s="14">
        <v>3670</v>
      </c>
      <c r="W1037" s="12">
        <v>0</v>
      </c>
      <c r="X1037" s="12">
        <v>2.4500000000000002</v>
      </c>
      <c r="Y1037" s="12">
        <v>1</v>
      </c>
      <c r="Z1037" s="12">
        <v>3</v>
      </c>
      <c r="AA1037" s="12">
        <v>0</v>
      </c>
      <c r="AB1037" s="13">
        <f t="shared" si="65"/>
        <v>0</v>
      </c>
      <c r="AE1037" s="12">
        <v>0</v>
      </c>
      <c r="AF1037" s="12">
        <v>2.4500000000000002</v>
      </c>
      <c r="AG1037" s="12">
        <v>1</v>
      </c>
      <c r="AH1037" s="12">
        <v>3</v>
      </c>
      <c r="AI1037" s="12">
        <v>0</v>
      </c>
      <c r="AJ1037" s="13">
        <f t="shared" si="66"/>
        <v>0</v>
      </c>
      <c r="AN1037" s="12">
        <f t="shared" si="67"/>
        <v>23672</v>
      </c>
      <c r="AQ1037" s="8" t="s">
        <v>417</v>
      </c>
      <c r="AR1037" t="str">
        <f t="shared" si="68"/>
        <v>Oeste - A01</v>
      </c>
    </row>
    <row r="1038" spans="1:44" x14ac:dyDescent="0.2">
      <c r="A1038" s="107" t="s">
        <v>2301</v>
      </c>
      <c r="B1038" s="106" t="s">
        <v>2300</v>
      </c>
      <c r="C1038" s="106" t="s">
        <v>2251</v>
      </c>
      <c r="D1038" s="106" t="s">
        <v>1304</v>
      </c>
      <c r="E1038" s="106" t="s">
        <v>2279</v>
      </c>
      <c r="F1038" s="106" t="s">
        <v>606</v>
      </c>
      <c r="G1038" s="106" t="s">
        <v>2299</v>
      </c>
      <c r="H1038" s="105" t="s">
        <v>979</v>
      </c>
      <c r="I1038" s="105" t="s">
        <v>2292</v>
      </c>
      <c r="J1038" s="104">
        <v>0.77</v>
      </c>
      <c r="K1038" s="103" t="s">
        <v>421</v>
      </c>
      <c r="L1038" s="102" t="s">
        <v>507</v>
      </c>
      <c r="M1038" s="95"/>
      <c r="N1038" s="14"/>
      <c r="O1038" s="94">
        <v>33</v>
      </c>
      <c r="P1038" s="14" t="s">
        <v>596</v>
      </c>
      <c r="Q1038" s="14" t="s">
        <v>497</v>
      </c>
      <c r="R1038" s="14" t="s">
        <v>496</v>
      </c>
      <c r="S1038" s="15">
        <v>7.2</v>
      </c>
      <c r="T1038" s="15">
        <v>0</v>
      </c>
      <c r="U1038" s="15">
        <v>0</v>
      </c>
      <c r="V1038" s="14">
        <v>2846</v>
      </c>
      <c r="W1038" s="12">
        <v>0</v>
      </c>
      <c r="X1038" s="12">
        <v>0</v>
      </c>
      <c r="Y1038" s="12">
        <v>0.77</v>
      </c>
      <c r="Z1038" s="12">
        <v>0</v>
      </c>
      <c r="AA1038" s="12">
        <v>0</v>
      </c>
      <c r="AB1038" s="13">
        <f t="shared" si="65"/>
        <v>0</v>
      </c>
      <c r="AE1038" s="12">
        <v>0</v>
      </c>
      <c r="AF1038" s="12">
        <v>0</v>
      </c>
      <c r="AG1038" s="12">
        <v>0.77</v>
      </c>
      <c r="AH1038" s="12">
        <v>0</v>
      </c>
      <c r="AI1038" s="12">
        <v>0</v>
      </c>
      <c r="AJ1038" s="13">
        <f t="shared" si="66"/>
        <v>0</v>
      </c>
      <c r="AN1038" s="12">
        <f t="shared" si="67"/>
        <v>2192</v>
      </c>
      <c r="AQ1038" s="8" t="s">
        <v>417</v>
      </c>
      <c r="AR1038" t="str">
        <f t="shared" si="68"/>
        <v>Oeste - A01</v>
      </c>
    </row>
    <row r="1039" spans="1:44" x14ac:dyDescent="0.2">
      <c r="A1039" s="107" t="s">
        <v>2298</v>
      </c>
      <c r="B1039" s="106" t="s">
        <v>2297</v>
      </c>
      <c r="C1039" s="106" t="s">
        <v>2251</v>
      </c>
      <c r="D1039" s="106" t="s">
        <v>1304</v>
      </c>
      <c r="E1039" s="106" t="s">
        <v>2275</v>
      </c>
      <c r="F1039" s="106" t="s">
        <v>600</v>
      </c>
      <c r="G1039" s="106" t="s">
        <v>2296</v>
      </c>
      <c r="H1039" s="105" t="s">
        <v>979</v>
      </c>
      <c r="I1039" s="105" t="s">
        <v>2292</v>
      </c>
      <c r="J1039" s="104">
        <v>0.77</v>
      </c>
      <c r="K1039" s="103" t="s">
        <v>421</v>
      </c>
      <c r="L1039" s="102" t="s">
        <v>507</v>
      </c>
      <c r="M1039" s="95"/>
      <c r="N1039" s="14"/>
      <c r="O1039" s="94">
        <v>33</v>
      </c>
      <c r="P1039" s="14" t="s">
        <v>596</v>
      </c>
      <c r="Q1039" s="14" t="s">
        <v>497</v>
      </c>
      <c r="R1039" s="14" t="s">
        <v>496</v>
      </c>
      <c r="S1039" s="15">
        <v>7.2</v>
      </c>
      <c r="T1039" s="15">
        <v>0</v>
      </c>
      <c r="U1039" s="15">
        <v>0</v>
      </c>
      <c r="V1039" s="14">
        <v>2846</v>
      </c>
      <c r="W1039" s="12">
        <v>0</v>
      </c>
      <c r="X1039" s="12">
        <v>0</v>
      </c>
      <c r="Y1039" s="12">
        <v>0</v>
      </c>
      <c r="Z1039" s="12">
        <v>0.77</v>
      </c>
      <c r="AA1039" s="12">
        <v>0</v>
      </c>
      <c r="AB1039" s="13">
        <f t="shared" si="65"/>
        <v>0</v>
      </c>
      <c r="AE1039" s="12">
        <v>0</v>
      </c>
      <c r="AF1039" s="12">
        <v>0</v>
      </c>
      <c r="AG1039" s="12">
        <v>0</v>
      </c>
      <c r="AH1039" s="12">
        <v>0.77</v>
      </c>
      <c r="AI1039" s="12">
        <v>0</v>
      </c>
      <c r="AJ1039" s="13">
        <f t="shared" si="66"/>
        <v>0</v>
      </c>
      <c r="AN1039" s="12">
        <f t="shared" si="67"/>
        <v>2192</v>
      </c>
      <c r="AQ1039" s="8" t="s">
        <v>417</v>
      </c>
      <c r="AR1039" t="str">
        <f t="shared" si="68"/>
        <v>Oeste - A01</v>
      </c>
    </row>
    <row r="1040" spans="1:44" x14ac:dyDescent="0.2">
      <c r="A1040" s="107" t="s">
        <v>2295</v>
      </c>
      <c r="B1040" s="106" t="s">
        <v>2294</v>
      </c>
      <c r="C1040" s="106" t="s">
        <v>2251</v>
      </c>
      <c r="D1040" s="106" t="s">
        <v>2174</v>
      </c>
      <c r="E1040" s="106" t="s">
        <v>2250</v>
      </c>
      <c r="F1040" s="106" t="s">
        <v>490</v>
      </c>
      <c r="G1040" s="106" t="s">
        <v>2293</v>
      </c>
      <c r="H1040" s="105" t="s">
        <v>2292</v>
      </c>
      <c r="I1040" s="105" t="s">
        <v>2291</v>
      </c>
      <c r="J1040" s="104">
        <v>3.27</v>
      </c>
      <c r="K1040" s="103" t="s">
        <v>421</v>
      </c>
      <c r="L1040" s="102" t="s">
        <v>507</v>
      </c>
      <c r="M1040" s="95"/>
      <c r="N1040" s="14"/>
      <c r="O1040" s="94">
        <v>33</v>
      </c>
      <c r="P1040" s="14" t="s">
        <v>485</v>
      </c>
      <c r="Q1040" s="14" t="s">
        <v>497</v>
      </c>
      <c r="R1040" s="14" t="s">
        <v>496</v>
      </c>
      <c r="S1040" s="15">
        <v>7.2</v>
      </c>
      <c r="T1040" s="15">
        <v>0</v>
      </c>
      <c r="U1040" s="15">
        <v>0</v>
      </c>
      <c r="V1040" s="14">
        <v>3670</v>
      </c>
      <c r="W1040" s="12">
        <v>0</v>
      </c>
      <c r="X1040" s="12">
        <v>0</v>
      </c>
      <c r="Y1040" s="12">
        <v>2</v>
      </c>
      <c r="Z1040" s="12">
        <v>1.27</v>
      </c>
      <c r="AA1040" s="12">
        <v>0</v>
      </c>
      <c r="AB1040" s="13">
        <f t="shared" si="65"/>
        <v>0</v>
      </c>
      <c r="AE1040" s="12">
        <v>0</v>
      </c>
      <c r="AF1040" s="12">
        <v>0</v>
      </c>
      <c r="AG1040" s="12">
        <v>2</v>
      </c>
      <c r="AH1040" s="12">
        <v>1.27</v>
      </c>
      <c r="AI1040" s="12">
        <v>0</v>
      </c>
      <c r="AJ1040" s="13">
        <f t="shared" si="66"/>
        <v>0</v>
      </c>
      <c r="AN1040" s="12">
        <f t="shared" si="67"/>
        <v>12001</v>
      </c>
      <c r="AQ1040" s="8" t="s">
        <v>417</v>
      </c>
      <c r="AR1040" t="str">
        <f t="shared" si="68"/>
        <v>Oeste - A01</v>
      </c>
    </row>
    <row r="1041" spans="1:44" x14ac:dyDescent="0.2">
      <c r="A1041" s="107" t="s">
        <v>2290</v>
      </c>
      <c r="B1041" s="106" t="s">
        <v>2289</v>
      </c>
      <c r="C1041" s="106" t="s">
        <v>2251</v>
      </c>
      <c r="D1041" s="106" t="s">
        <v>975</v>
      </c>
      <c r="E1041" s="106" t="s">
        <v>2250</v>
      </c>
      <c r="F1041" s="106" t="s">
        <v>490</v>
      </c>
      <c r="G1041" s="106" t="s">
        <v>2288</v>
      </c>
      <c r="H1041" s="105" t="s">
        <v>2287</v>
      </c>
      <c r="I1041" s="105" t="s">
        <v>2282</v>
      </c>
      <c r="J1041" s="104">
        <v>5.83</v>
      </c>
      <c r="K1041" s="103" t="s">
        <v>421</v>
      </c>
      <c r="L1041" s="102" t="s">
        <v>507</v>
      </c>
      <c r="M1041" s="95"/>
      <c r="N1041" s="14"/>
      <c r="O1041" s="94">
        <v>33</v>
      </c>
      <c r="P1041" s="14" t="s">
        <v>485</v>
      </c>
      <c r="Q1041" s="14" t="s">
        <v>497</v>
      </c>
      <c r="R1041" s="14" t="s">
        <v>496</v>
      </c>
      <c r="S1041" s="15">
        <v>7.2</v>
      </c>
      <c r="T1041" s="15">
        <v>0</v>
      </c>
      <c r="U1041" s="15">
        <v>0</v>
      </c>
      <c r="V1041" s="14">
        <v>3670</v>
      </c>
      <c r="W1041" s="12">
        <v>0</v>
      </c>
      <c r="X1041" s="12">
        <v>0</v>
      </c>
      <c r="Y1041" s="12">
        <v>1</v>
      </c>
      <c r="Z1041" s="12">
        <v>4.83</v>
      </c>
      <c r="AA1041" s="12">
        <v>0</v>
      </c>
      <c r="AB1041" s="13">
        <f t="shared" si="65"/>
        <v>0</v>
      </c>
      <c r="AE1041" s="12">
        <v>0</v>
      </c>
      <c r="AF1041" s="12">
        <v>0</v>
      </c>
      <c r="AG1041" s="12">
        <v>1</v>
      </c>
      <c r="AH1041" s="12">
        <v>4.83</v>
      </c>
      <c r="AI1041" s="12">
        <v>0</v>
      </c>
      <c r="AJ1041" s="13">
        <f t="shared" si="66"/>
        <v>0</v>
      </c>
      <c r="AN1041" s="12">
        <f t="shared" si="67"/>
        <v>21397</v>
      </c>
      <c r="AQ1041" s="8" t="s">
        <v>417</v>
      </c>
      <c r="AR1041" t="str">
        <f t="shared" si="68"/>
        <v>Oeste - A01</v>
      </c>
    </row>
    <row r="1042" spans="1:44" x14ac:dyDescent="0.2">
      <c r="A1042" s="107" t="s">
        <v>2286</v>
      </c>
      <c r="B1042" s="106" t="s">
        <v>2285</v>
      </c>
      <c r="C1042" s="106" t="s">
        <v>2251</v>
      </c>
      <c r="D1042" s="106" t="s">
        <v>2284</v>
      </c>
      <c r="E1042" s="106" t="s">
        <v>2250</v>
      </c>
      <c r="F1042" s="106" t="s">
        <v>490</v>
      </c>
      <c r="G1042" s="106" t="s">
        <v>2283</v>
      </c>
      <c r="H1042" s="105" t="s">
        <v>2282</v>
      </c>
      <c r="I1042" s="105" t="s">
        <v>2273</v>
      </c>
      <c r="J1042" s="104">
        <v>0.7</v>
      </c>
      <c r="K1042" s="103" t="s">
        <v>421</v>
      </c>
      <c r="L1042" s="102" t="s">
        <v>507</v>
      </c>
      <c r="M1042" s="95"/>
      <c r="N1042" s="14"/>
      <c r="O1042" s="94">
        <v>33</v>
      </c>
      <c r="P1042" s="14" t="s">
        <v>485</v>
      </c>
      <c r="Q1042" s="14" t="s">
        <v>497</v>
      </c>
      <c r="R1042" s="14" t="s">
        <v>496</v>
      </c>
      <c r="S1042" s="15">
        <v>7.2</v>
      </c>
      <c r="T1042" s="15">
        <v>0</v>
      </c>
      <c r="U1042" s="15">
        <v>0</v>
      </c>
      <c r="V1042" s="14">
        <v>3670</v>
      </c>
      <c r="W1042" s="12">
        <v>0</v>
      </c>
      <c r="X1042" s="12">
        <v>0</v>
      </c>
      <c r="Y1042" s="12">
        <v>0</v>
      </c>
      <c r="Z1042" s="12">
        <v>0.7</v>
      </c>
      <c r="AA1042" s="12">
        <v>0</v>
      </c>
      <c r="AB1042" s="13">
        <f t="shared" si="65"/>
        <v>0</v>
      </c>
      <c r="AE1042" s="12">
        <v>0</v>
      </c>
      <c r="AF1042" s="12">
        <v>0</v>
      </c>
      <c r="AG1042" s="12">
        <v>0</v>
      </c>
      <c r="AH1042" s="12">
        <v>0.7</v>
      </c>
      <c r="AI1042" s="12">
        <v>0</v>
      </c>
      <c r="AJ1042" s="13">
        <f t="shared" si="66"/>
        <v>0</v>
      </c>
      <c r="AN1042" s="12">
        <f t="shared" si="67"/>
        <v>2569</v>
      </c>
      <c r="AQ1042" s="8" t="s">
        <v>417</v>
      </c>
      <c r="AR1042" t="str">
        <f t="shared" si="68"/>
        <v>Oeste - A01</v>
      </c>
    </row>
    <row r="1043" spans="1:44" x14ac:dyDescent="0.2">
      <c r="A1043" s="107" t="s">
        <v>2281</v>
      </c>
      <c r="B1043" s="106" t="s">
        <v>2280</v>
      </c>
      <c r="C1043" s="106" t="s">
        <v>2251</v>
      </c>
      <c r="D1043" s="106" t="s">
        <v>1284</v>
      </c>
      <c r="E1043" s="106" t="s">
        <v>2279</v>
      </c>
      <c r="F1043" s="106" t="s">
        <v>606</v>
      </c>
      <c r="G1043" s="106" t="s">
        <v>2278</v>
      </c>
      <c r="H1043" s="105" t="s">
        <v>2273</v>
      </c>
      <c r="I1043" s="105" t="s">
        <v>2269</v>
      </c>
      <c r="J1043" s="104">
        <v>0.3</v>
      </c>
      <c r="K1043" s="103" t="s">
        <v>421</v>
      </c>
      <c r="L1043" s="102" t="s">
        <v>507</v>
      </c>
      <c r="M1043" s="95"/>
      <c r="N1043" s="14"/>
      <c r="O1043" s="94">
        <v>33</v>
      </c>
      <c r="P1043" s="14" t="s">
        <v>596</v>
      </c>
      <c r="Q1043" s="14" t="s">
        <v>497</v>
      </c>
      <c r="R1043" s="14" t="s">
        <v>496</v>
      </c>
      <c r="S1043" s="15">
        <v>7.2</v>
      </c>
      <c r="T1043" s="15">
        <v>0</v>
      </c>
      <c r="U1043" s="15">
        <v>0</v>
      </c>
      <c r="V1043" s="14">
        <v>2846</v>
      </c>
      <c r="W1043" s="12">
        <v>0</v>
      </c>
      <c r="X1043" s="12">
        <v>0</v>
      </c>
      <c r="Y1043" s="12">
        <v>0</v>
      </c>
      <c r="Z1043" s="12">
        <v>0.3</v>
      </c>
      <c r="AA1043" s="12">
        <v>0</v>
      </c>
      <c r="AB1043" s="13">
        <f t="shared" si="65"/>
        <v>0</v>
      </c>
      <c r="AE1043" s="12">
        <v>0</v>
      </c>
      <c r="AF1043" s="12">
        <v>0</v>
      </c>
      <c r="AG1043" s="12">
        <v>0</v>
      </c>
      <c r="AH1043" s="12">
        <v>0.3</v>
      </c>
      <c r="AI1043" s="12">
        <v>0</v>
      </c>
      <c r="AJ1043" s="13">
        <f t="shared" si="66"/>
        <v>0</v>
      </c>
      <c r="AN1043" s="12">
        <f t="shared" si="67"/>
        <v>854</v>
      </c>
      <c r="AQ1043" s="8" t="s">
        <v>417</v>
      </c>
      <c r="AR1043" t="str">
        <f t="shared" si="68"/>
        <v>Oeste - A01</v>
      </c>
    </row>
    <row r="1044" spans="1:44" x14ac:dyDescent="0.2">
      <c r="A1044" s="107" t="s">
        <v>2277</v>
      </c>
      <c r="B1044" s="106" t="s">
        <v>2276</v>
      </c>
      <c r="C1044" s="106" t="s">
        <v>2251</v>
      </c>
      <c r="D1044" s="106" t="s">
        <v>1284</v>
      </c>
      <c r="E1044" s="106" t="s">
        <v>2275</v>
      </c>
      <c r="F1044" s="106" t="s">
        <v>600</v>
      </c>
      <c r="G1044" s="106" t="s">
        <v>2274</v>
      </c>
      <c r="H1044" s="105" t="s">
        <v>2273</v>
      </c>
      <c r="I1044" s="105" t="s">
        <v>2269</v>
      </c>
      <c r="J1044" s="104">
        <v>0.3</v>
      </c>
      <c r="K1044" s="103" t="s">
        <v>421</v>
      </c>
      <c r="L1044" s="102" t="s">
        <v>507</v>
      </c>
      <c r="M1044" s="95"/>
      <c r="N1044" s="14"/>
      <c r="O1044" s="94">
        <v>33</v>
      </c>
      <c r="P1044" s="14" t="s">
        <v>596</v>
      </c>
      <c r="Q1044" s="14" t="s">
        <v>497</v>
      </c>
      <c r="R1044" s="14" t="s">
        <v>496</v>
      </c>
      <c r="S1044" s="15">
        <v>7.2</v>
      </c>
      <c r="T1044" s="15">
        <v>0</v>
      </c>
      <c r="U1044" s="15">
        <v>0</v>
      </c>
      <c r="V1044" s="14">
        <v>2846</v>
      </c>
      <c r="W1044" s="12">
        <v>0</v>
      </c>
      <c r="X1044" s="12">
        <v>0</v>
      </c>
      <c r="Y1044" s="12">
        <v>0</v>
      </c>
      <c r="Z1044" s="12">
        <v>0.3</v>
      </c>
      <c r="AA1044" s="12">
        <v>0</v>
      </c>
      <c r="AB1044" s="13">
        <f t="shared" si="65"/>
        <v>0</v>
      </c>
      <c r="AE1044" s="12">
        <v>0</v>
      </c>
      <c r="AF1044" s="12">
        <v>0</v>
      </c>
      <c r="AG1044" s="12">
        <v>0</v>
      </c>
      <c r="AH1044" s="12">
        <v>0.3</v>
      </c>
      <c r="AI1044" s="12">
        <v>0</v>
      </c>
      <c r="AJ1044" s="13">
        <f t="shared" si="66"/>
        <v>0</v>
      </c>
      <c r="AN1044" s="12">
        <f t="shared" si="67"/>
        <v>854</v>
      </c>
      <c r="AQ1044" s="8" t="s">
        <v>417</v>
      </c>
      <c r="AR1044" t="str">
        <f t="shared" si="68"/>
        <v>Oeste - A01</v>
      </c>
    </row>
    <row r="1045" spans="1:44" x14ac:dyDescent="0.2">
      <c r="A1045" s="107" t="s">
        <v>2272</v>
      </c>
      <c r="B1045" s="106" t="s">
        <v>2271</v>
      </c>
      <c r="C1045" s="106" t="s">
        <v>2251</v>
      </c>
      <c r="D1045" s="106" t="s">
        <v>1275</v>
      </c>
      <c r="E1045" s="106" t="s">
        <v>2250</v>
      </c>
      <c r="F1045" s="106" t="s">
        <v>490</v>
      </c>
      <c r="G1045" s="106" t="s">
        <v>2270</v>
      </c>
      <c r="H1045" s="105" t="s">
        <v>2269</v>
      </c>
      <c r="I1045" s="105" t="s">
        <v>2268</v>
      </c>
      <c r="J1045" s="104">
        <v>6.33</v>
      </c>
      <c r="K1045" s="103" t="s">
        <v>421</v>
      </c>
      <c r="L1045" s="102" t="s">
        <v>507</v>
      </c>
      <c r="M1045" s="95"/>
      <c r="N1045" s="14"/>
      <c r="O1045" s="94">
        <v>33</v>
      </c>
      <c r="P1045" s="14" t="s">
        <v>485</v>
      </c>
      <c r="Q1045" s="14" t="s">
        <v>497</v>
      </c>
      <c r="R1045" s="14" t="s">
        <v>496</v>
      </c>
      <c r="S1045" s="15">
        <v>7.2</v>
      </c>
      <c r="T1045" s="15">
        <v>0</v>
      </c>
      <c r="U1045" s="15">
        <v>0</v>
      </c>
      <c r="V1045" s="14">
        <v>3968</v>
      </c>
      <c r="W1045" s="12">
        <v>0</v>
      </c>
      <c r="X1045" s="12">
        <v>0</v>
      </c>
      <c r="Y1045" s="12">
        <v>0</v>
      </c>
      <c r="Z1045" s="12">
        <v>6.33</v>
      </c>
      <c r="AA1045" s="12">
        <v>0</v>
      </c>
      <c r="AB1045" s="13">
        <f t="shared" si="65"/>
        <v>0</v>
      </c>
      <c r="AE1045" s="12">
        <v>0</v>
      </c>
      <c r="AF1045" s="12">
        <v>0</v>
      </c>
      <c r="AG1045" s="12">
        <v>0</v>
      </c>
      <c r="AH1045" s="12">
        <v>6.33</v>
      </c>
      <c r="AI1045" s="12">
        <v>0</v>
      </c>
      <c r="AJ1045" s="13">
        <f t="shared" si="66"/>
        <v>0</v>
      </c>
      <c r="AN1045" s="12">
        <f t="shared" si="67"/>
        <v>25118</v>
      </c>
      <c r="AQ1045" s="8" t="s">
        <v>417</v>
      </c>
      <c r="AR1045" t="str">
        <f t="shared" si="68"/>
        <v>Oeste - A01</v>
      </c>
    </row>
    <row r="1046" spans="1:44" x14ac:dyDescent="0.2">
      <c r="A1046" s="107" t="s">
        <v>2267</v>
      </c>
      <c r="B1046" s="106" t="s">
        <v>2266</v>
      </c>
      <c r="C1046" s="106" t="s">
        <v>2251</v>
      </c>
      <c r="D1046" s="106" t="s">
        <v>965</v>
      </c>
      <c r="E1046" s="106" t="s">
        <v>2250</v>
      </c>
      <c r="F1046" s="106" t="s">
        <v>490</v>
      </c>
      <c r="G1046" s="106" t="s">
        <v>2265</v>
      </c>
      <c r="H1046" s="105" t="s">
        <v>2264</v>
      </c>
      <c r="I1046" s="105" t="s">
        <v>2259</v>
      </c>
      <c r="J1046" s="104">
        <v>7.76</v>
      </c>
      <c r="K1046" s="103" t="s">
        <v>421</v>
      </c>
      <c r="L1046" s="102" t="s">
        <v>507</v>
      </c>
      <c r="M1046" s="95"/>
      <c r="N1046" s="14"/>
      <c r="O1046" s="94">
        <v>33</v>
      </c>
      <c r="P1046" s="14" t="s">
        <v>485</v>
      </c>
      <c r="Q1046" s="14" t="s">
        <v>497</v>
      </c>
      <c r="R1046" s="14" t="s">
        <v>496</v>
      </c>
      <c r="S1046" s="15">
        <v>7.2</v>
      </c>
      <c r="T1046" s="15">
        <v>0</v>
      </c>
      <c r="U1046" s="15">
        <v>0</v>
      </c>
      <c r="V1046" s="14">
        <v>2303</v>
      </c>
      <c r="W1046" s="12">
        <v>0</v>
      </c>
      <c r="X1046" s="12">
        <v>1</v>
      </c>
      <c r="Y1046" s="12">
        <v>1</v>
      </c>
      <c r="Z1046" s="12">
        <v>5.76</v>
      </c>
      <c r="AA1046" s="12">
        <v>0</v>
      </c>
      <c r="AB1046" s="13">
        <f t="shared" si="65"/>
        <v>0</v>
      </c>
      <c r="AE1046" s="12">
        <v>0</v>
      </c>
      <c r="AF1046" s="12">
        <v>1</v>
      </c>
      <c r="AG1046" s="12">
        <v>1</v>
      </c>
      <c r="AH1046" s="12">
        <v>5.76</v>
      </c>
      <c r="AI1046" s="12">
        <v>0</v>
      </c>
      <c r="AJ1046" s="13">
        <f t="shared" si="66"/>
        <v>0</v>
      </c>
      <c r="AN1046" s="12">
        <f t="shared" si="67"/>
        <v>17872</v>
      </c>
      <c r="AQ1046" s="8" t="s">
        <v>417</v>
      </c>
      <c r="AR1046" t="str">
        <f t="shared" si="68"/>
        <v>Oeste - A01</v>
      </c>
    </row>
    <row r="1047" spans="1:44" x14ac:dyDescent="0.2">
      <c r="A1047" s="107" t="s">
        <v>2263</v>
      </c>
      <c r="B1047" s="106" t="s">
        <v>2262</v>
      </c>
      <c r="C1047" s="106" t="s">
        <v>2251</v>
      </c>
      <c r="D1047" s="106" t="s">
        <v>633</v>
      </c>
      <c r="E1047" s="106" t="s">
        <v>2261</v>
      </c>
      <c r="F1047" s="106" t="s">
        <v>590</v>
      </c>
      <c r="G1047" s="106" t="s">
        <v>2260</v>
      </c>
      <c r="H1047" s="105" t="s">
        <v>2259</v>
      </c>
      <c r="I1047" s="105" t="s">
        <v>2254</v>
      </c>
      <c r="J1047" s="104">
        <v>2.68</v>
      </c>
      <c r="K1047" s="103" t="s">
        <v>421</v>
      </c>
      <c r="L1047" s="102" t="s">
        <v>507</v>
      </c>
      <c r="M1047" s="95"/>
      <c r="N1047" s="14"/>
      <c r="O1047" s="94">
        <v>33</v>
      </c>
      <c r="P1047" s="14" t="s">
        <v>586</v>
      </c>
      <c r="Q1047" s="14" t="s">
        <v>497</v>
      </c>
      <c r="R1047" s="14" t="s">
        <v>496</v>
      </c>
      <c r="S1047" s="15">
        <v>8</v>
      </c>
      <c r="T1047" s="15">
        <v>0</v>
      </c>
      <c r="U1047" s="15">
        <v>0</v>
      </c>
      <c r="V1047" s="14">
        <v>2362</v>
      </c>
      <c r="W1047" s="12">
        <v>0</v>
      </c>
      <c r="X1047" s="12">
        <v>0</v>
      </c>
      <c r="Y1047" s="12">
        <v>1</v>
      </c>
      <c r="Z1047" s="12">
        <v>1.6800000000000002</v>
      </c>
      <c r="AA1047" s="12">
        <v>0</v>
      </c>
      <c r="AB1047" s="13">
        <f t="shared" si="65"/>
        <v>0</v>
      </c>
      <c r="AE1047" s="12">
        <v>0</v>
      </c>
      <c r="AF1047" s="12">
        <v>0</v>
      </c>
      <c r="AG1047" s="12">
        <v>1</v>
      </c>
      <c r="AH1047" s="12">
        <v>1.6800000000000002</v>
      </c>
      <c r="AI1047" s="12">
        <v>0</v>
      </c>
      <c r="AJ1047" s="13">
        <f t="shared" si="66"/>
        <v>0</v>
      </c>
      <c r="AN1047" s="12">
        <f t="shared" si="67"/>
        <v>6331</v>
      </c>
      <c r="AQ1047" s="8" t="s">
        <v>417</v>
      </c>
      <c r="AR1047" t="str">
        <f t="shared" si="68"/>
        <v>Oeste - A01</v>
      </c>
    </row>
    <row r="1048" spans="1:44" x14ac:dyDescent="0.2">
      <c r="A1048" s="107" t="s">
        <v>2258</v>
      </c>
      <c r="B1048" s="106" t="s">
        <v>2257</v>
      </c>
      <c r="C1048" s="106" t="s">
        <v>2251</v>
      </c>
      <c r="D1048" s="106" t="s">
        <v>2256</v>
      </c>
      <c r="E1048" s="106" t="s">
        <v>2250</v>
      </c>
      <c r="F1048" s="106" t="s">
        <v>490</v>
      </c>
      <c r="G1048" s="106" t="s">
        <v>2255</v>
      </c>
      <c r="H1048" s="105" t="s">
        <v>2254</v>
      </c>
      <c r="I1048" s="105" t="s">
        <v>2248</v>
      </c>
      <c r="J1048" s="104">
        <v>7.05</v>
      </c>
      <c r="K1048" s="103" t="s">
        <v>421</v>
      </c>
      <c r="L1048" s="102" t="s">
        <v>507</v>
      </c>
      <c r="M1048" s="95"/>
      <c r="N1048" s="14"/>
      <c r="O1048" s="94">
        <v>33</v>
      </c>
      <c r="P1048" s="14" t="s">
        <v>485</v>
      </c>
      <c r="Q1048" s="14" t="s">
        <v>497</v>
      </c>
      <c r="R1048" s="14" t="s">
        <v>496</v>
      </c>
      <c r="S1048" s="15">
        <v>7.2</v>
      </c>
      <c r="T1048" s="15">
        <v>0</v>
      </c>
      <c r="U1048" s="15">
        <v>0</v>
      </c>
      <c r="V1048" s="14">
        <v>3063</v>
      </c>
      <c r="W1048" s="12">
        <v>0</v>
      </c>
      <c r="X1048" s="12">
        <v>0</v>
      </c>
      <c r="Y1048" s="12">
        <v>1</v>
      </c>
      <c r="Z1048" s="12">
        <v>6.05</v>
      </c>
      <c r="AA1048" s="12">
        <v>0</v>
      </c>
      <c r="AB1048" s="13">
        <f t="shared" si="65"/>
        <v>0</v>
      </c>
      <c r="AE1048" s="12">
        <v>0</v>
      </c>
      <c r="AF1048" s="12">
        <v>0</v>
      </c>
      <c r="AG1048" s="12">
        <v>1</v>
      </c>
      <c r="AH1048" s="12">
        <v>6.05</v>
      </c>
      <c r="AI1048" s="12">
        <v>0</v>
      </c>
      <c r="AJ1048" s="13">
        <f t="shared" si="66"/>
        <v>0</v>
      </c>
      <c r="AN1048" s="12">
        <f t="shared" si="67"/>
        <v>21595</v>
      </c>
      <c r="AQ1048" s="8" t="s">
        <v>417</v>
      </c>
      <c r="AR1048" t="str">
        <f t="shared" si="68"/>
        <v>Oeste - A01</v>
      </c>
    </row>
    <row r="1049" spans="1:44" x14ac:dyDescent="0.2">
      <c r="A1049" s="107" t="s">
        <v>2253</v>
      </c>
      <c r="B1049" s="106" t="s">
        <v>2252</v>
      </c>
      <c r="C1049" s="106" t="s">
        <v>2251</v>
      </c>
      <c r="D1049" s="106" t="s">
        <v>2145</v>
      </c>
      <c r="E1049" s="106" t="s">
        <v>2250</v>
      </c>
      <c r="F1049" s="106" t="s">
        <v>490</v>
      </c>
      <c r="G1049" s="106" t="s">
        <v>2249</v>
      </c>
      <c r="H1049" s="105" t="s">
        <v>2248</v>
      </c>
      <c r="I1049" s="105" t="s">
        <v>2247</v>
      </c>
      <c r="J1049" s="104">
        <v>8.1999999999999993</v>
      </c>
      <c r="K1049" s="103" t="s">
        <v>421</v>
      </c>
      <c r="L1049" s="102" t="s">
        <v>507</v>
      </c>
      <c r="M1049" s="95"/>
      <c r="N1049" s="14"/>
      <c r="O1049" s="94">
        <v>33</v>
      </c>
      <c r="P1049" s="14" t="s">
        <v>485</v>
      </c>
      <c r="Q1049" s="14" t="s">
        <v>497</v>
      </c>
      <c r="R1049" s="14" t="s">
        <v>496</v>
      </c>
      <c r="S1049" s="15">
        <v>7.2</v>
      </c>
      <c r="T1049" s="15">
        <v>0</v>
      </c>
      <c r="U1049" s="15">
        <v>0</v>
      </c>
      <c r="V1049" s="14">
        <v>2775</v>
      </c>
      <c r="W1049" s="12">
        <v>0</v>
      </c>
      <c r="X1049" s="12">
        <v>0</v>
      </c>
      <c r="Y1049" s="12">
        <v>1</v>
      </c>
      <c r="Z1049" s="12">
        <v>7.1999999999999993</v>
      </c>
      <c r="AA1049" s="12">
        <v>0</v>
      </c>
      <c r="AB1049" s="13">
        <f t="shared" si="65"/>
        <v>0</v>
      </c>
      <c r="AE1049" s="12">
        <v>0</v>
      </c>
      <c r="AF1049" s="12">
        <v>0</v>
      </c>
      <c r="AG1049" s="12">
        <v>1</v>
      </c>
      <c r="AH1049" s="12">
        <v>7.1999999999999993</v>
      </c>
      <c r="AI1049" s="12">
        <v>0</v>
      </c>
      <c r="AJ1049" s="13">
        <f t="shared" si="66"/>
        <v>0</v>
      </c>
      <c r="AN1049" s="12">
        <f t="shared" si="67"/>
        <v>22755</v>
      </c>
      <c r="AQ1049" s="8" t="s">
        <v>417</v>
      </c>
      <c r="AR1049" t="str">
        <f t="shared" si="68"/>
        <v>Oeste - A01</v>
      </c>
    </row>
    <row r="1050" spans="1:44" x14ac:dyDescent="0.2">
      <c r="A1050" s="107" t="s">
        <v>2246</v>
      </c>
      <c r="B1050" s="106" t="s">
        <v>2245</v>
      </c>
      <c r="C1050" s="106" t="s">
        <v>2217</v>
      </c>
      <c r="D1050" s="106" t="s">
        <v>492</v>
      </c>
      <c r="E1050" s="106" t="s">
        <v>2222</v>
      </c>
      <c r="F1050" s="106" t="s">
        <v>490</v>
      </c>
      <c r="G1050" s="106" t="s">
        <v>2244</v>
      </c>
      <c r="H1050" s="105" t="s">
        <v>2243</v>
      </c>
      <c r="I1050" s="105" t="s">
        <v>2239</v>
      </c>
      <c r="J1050" s="104">
        <v>8.24</v>
      </c>
      <c r="K1050" s="103" t="s">
        <v>428</v>
      </c>
      <c r="L1050" s="102" t="s">
        <v>533</v>
      </c>
      <c r="M1050" s="95"/>
      <c r="N1050" s="14"/>
      <c r="O1050" s="94">
        <v>30</v>
      </c>
      <c r="P1050" s="14" t="s">
        <v>485</v>
      </c>
      <c r="Q1050" s="14" t="s">
        <v>561</v>
      </c>
      <c r="R1050" s="14" t="s">
        <v>585</v>
      </c>
      <c r="S1050" s="15">
        <v>7</v>
      </c>
      <c r="T1050" s="15">
        <v>1.2</v>
      </c>
      <c r="U1050" s="15">
        <v>0</v>
      </c>
      <c r="V1050" s="14">
        <v>1696</v>
      </c>
      <c r="W1050" s="12">
        <v>0</v>
      </c>
      <c r="X1050" s="12">
        <v>0</v>
      </c>
      <c r="Y1050" s="12">
        <v>0</v>
      </c>
      <c r="Z1050" s="12">
        <v>8.24</v>
      </c>
      <c r="AA1050" s="12">
        <v>0</v>
      </c>
      <c r="AB1050" s="13">
        <f t="shared" si="65"/>
        <v>0</v>
      </c>
      <c r="AE1050" s="12">
        <v>0</v>
      </c>
      <c r="AF1050" s="12">
        <v>0</v>
      </c>
      <c r="AG1050" s="12">
        <v>0</v>
      </c>
      <c r="AH1050" s="12">
        <v>8.24</v>
      </c>
      <c r="AI1050" s="12">
        <v>0</v>
      </c>
      <c r="AJ1050" s="13">
        <f t="shared" si="66"/>
        <v>0</v>
      </c>
      <c r="AN1050" s="12">
        <f t="shared" si="67"/>
        <v>13976</v>
      </c>
      <c r="AQ1050" s="8" t="s">
        <v>418</v>
      </c>
      <c r="AR1050" t="str">
        <f t="shared" si="68"/>
        <v>Noroeste - A08</v>
      </c>
    </row>
    <row r="1051" spans="1:44" x14ac:dyDescent="0.2">
      <c r="A1051" s="107" t="s">
        <v>2242</v>
      </c>
      <c r="B1051" s="106" t="s">
        <v>2241</v>
      </c>
      <c r="C1051" s="106" t="s">
        <v>2217</v>
      </c>
      <c r="D1051" s="106" t="s">
        <v>519</v>
      </c>
      <c r="E1051" s="106" t="s">
        <v>2222</v>
      </c>
      <c r="F1051" s="106" t="s">
        <v>490</v>
      </c>
      <c r="G1051" s="106" t="s">
        <v>2240</v>
      </c>
      <c r="H1051" s="105" t="s">
        <v>2239</v>
      </c>
      <c r="I1051" s="105" t="s">
        <v>2230</v>
      </c>
      <c r="J1051" s="104">
        <v>9.2899999999999991</v>
      </c>
      <c r="K1051" s="103" t="s">
        <v>428</v>
      </c>
      <c r="L1051" s="102" t="s">
        <v>533</v>
      </c>
      <c r="M1051" s="95"/>
      <c r="N1051" s="14"/>
      <c r="O1051" s="94">
        <v>30</v>
      </c>
      <c r="P1051" s="14" t="s">
        <v>485</v>
      </c>
      <c r="Q1051" s="14" t="s">
        <v>561</v>
      </c>
      <c r="R1051" s="14" t="s">
        <v>585</v>
      </c>
      <c r="S1051" s="15">
        <v>7</v>
      </c>
      <c r="T1051" s="15">
        <v>1.2</v>
      </c>
      <c r="U1051" s="15">
        <v>0</v>
      </c>
      <c r="V1051" s="14">
        <v>940</v>
      </c>
      <c r="W1051" s="12">
        <v>0</v>
      </c>
      <c r="X1051" s="12">
        <v>0</v>
      </c>
      <c r="Y1051" s="12">
        <v>3</v>
      </c>
      <c r="Z1051" s="12">
        <v>6.2899999999999991</v>
      </c>
      <c r="AA1051" s="12">
        <v>0</v>
      </c>
      <c r="AB1051" s="13">
        <f t="shared" si="65"/>
        <v>0</v>
      </c>
      <c r="AE1051" s="12">
        <v>0</v>
      </c>
      <c r="AF1051" s="12">
        <v>0</v>
      </c>
      <c r="AG1051" s="12">
        <v>3</v>
      </c>
      <c r="AH1051" s="12">
        <v>6.2899999999999991</v>
      </c>
      <c r="AI1051" s="12">
        <v>0</v>
      </c>
      <c r="AJ1051" s="13">
        <f t="shared" si="66"/>
        <v>0</v>
      </c>
      <c r="AN1051" s="12">
        <f t="shared" si="67"/>
        <v>8733</v>
      </c>
      <c r="AQ1051" s="8" t="s">
        <v>418</v>
      </c>
      <c r="AR1051" t="str">
        <f t="shared" si="68"/>
        <v>Noroeste - A08</v>
      </c>
    </row>
    <row r="1052" spans="1:44" x14ac:dyDescent="0.2">
      <c r="A1052" s="107" t="s">
        <v>2238</v>
      </c>
      <c r="B1052" s="106" t="s">
        <v>2237</v>
      </c>
      <c r="C1052" s="106" t="s">
        <v>2217</v>
      </c>
      <c r="D1052" s="106" t="s">
        <v>1032</v>
      </c>
      <c r="E1052" s="106" t="s">
        <v>2236</v>
      </c>
      <c r="F1052" s="106" t="s">
        <v>606</v>
      </c>
      <c r="G1052" s="106" t="s">
        <v>2235</v>
      </c>
      <c r="H1052" s="105" t="s">
        <v>2230</v>
      </c>
      <c r="I1052" s="105" t="s">
        <v>2226</v>
      </c>
      <c r="J1052" s="104">
        <v>0.82</v>
      </c>
      <c r="K1052" s="103" t="s">
        <v>428</v>
      </c>
      <c r="L1052" s="102" t="s">
        <v>533</v>
      </c>
      <c r="M1052" s="95"/>
      <c r="N1052" s="14"/>
      <c r="O1052" s="94">
        <v>30</v>
      </c>
      <c r="P1052" s="14" t="s">
        <v>596</v>
      </c>
      <c r="Q1052" s="14" t="s">
        <v>561</v>
      </c>
      <c r="R1052" s="14" t="s">
        <v>585</v>
      </c>
      <c r="S1052" s="15">
        <v>6.6</v>
      </c>
      <c r="T1052" s="15">
        <v>0</v>
      </c>
      <c r="U1052" s="15">
        <v>0</v>
      </c>
      <c r="V1052" s="14">
        <v>715</v>
      </c>
      <c r="W1052" s="12">
        <v>0</v>
      </c>
      <c r="X1052" s="12">
        <v>0</v>
      </c>
      <c r="Y1052" s="12">
        <v>0</v>
      </c>
      <c r="Z1052" s="12">
        <v>0.82</v>
      </c>
      <c r="AA1052" s="12">
        <v>0</v>
      </c>
      <c r="AB1052" s="13">
        <f t="shared" si="65"/>
        <v>0</v>
      </c>
      <c r="AE1052" s="12">
        <v>0</v>
      </c>
      <c r="AF1052" s="12">
        <v>0</v>
      </c>
      <c r="AG1052" s="12">
        <v>0</v>
      </c>
      <c r="AH1052" s="12">
        <v>0.82</v>
      </c>
      <c r="AI1052" s="12">
        <v>0</v>
      </c>
      <c r="AJ1052" s="13">
        <f t="shared" si="66"/>
        <v>0</v>
      </c>
      <c r="AN1052" s="12">
        <f t="shared" si="67"/>
        <v>587</v>
      </c>
      <c r="AQ1052" s="8" t="s">
        <v>418</v>
      </c>
      <c r="AR1052" t="str">
        <f t="shared" si="68"/>
        <v>Noroeste - A08</v>
      </c>
    </row>
    <row r="1053" spans="1:44" x14ac:dyDescent="0.2">
      <c r="A1053" s="107" t="s">
        <v>2234</v>
      </c>
      <c r="B1053" s="106" t="s">
        <v>2233</v>
      </c>
      <c r="C1053" s="106" t="s">
        <v>2217</v>
      </c>
      <c r="D1053" s="106" t="s">
        <v>1032</v>
      </c>
      <c r="E1053" s="106" t="s">
        <v>2232</v>
      </c>
      <c r="F1053" s="106" t="s">
        <v>600</v>
      </c>
      <c r="G1053" s="106" t="s">
        <v>2231</v>
      </c>
      <c r="H1053" s="105" t="s">
        <v>2230</v>
      </c>
      <c r="I1053" s="105" t="s">
        <v>2226</v>
      </c>
      <c r="J1053" s="104">
        <v>0.82</v>
      </c>
      <c r="K1053" s="103" t="s">
        <v>428</v>
      </c>
      <c r="L1053" s="102" t="s">
        <v>533</v>
      </c>
      <c r="M1053" s="95"/>
      <c r="N1053" s="14"/>
      <c r="O1053" s="94">
        <v>30</v>
      </c>
      <c r="P1053" s="14" t="s">
        <v>596</v>
      </c>
      <c r="Q1053" s="14" t="s">
        <v>561</v>
      </c>
      <c r="R1053" s="14" t="s">
        <v>585</v>
      </c>
      <c r="S1053" s="15">
        <v>6.6</v>
      </c>
      <c r="T1053" s="15">
        <v>0</v>
      </c>
      <c r="U1053" s="15">
        <v>0</v>
      </c>
      <c r="V1053" s="14">
        <v>715</v>
      </c>
      <c r="W1053" s="12">
        <v>0</v>
      </c>
      <c r="X1053" s="12">
        <v>0</v>
      </c>
      <c r="Y1053" s="12">
        <v>0</v>
      </c>
      <c r="Z1053" s="12">
        <v>0.82</v>
      </c>
      <c r="AA1053" s="12">
        <v>0</v>
      </c>
      <c r="AB1053" s="13">
        <f t="shared" si="65"/>
        <v>0</v>
      </c>
      <c r="AE1053" s="12">
        <v>0</v>
      </c>
      <c r="AF1053" s="12">
        <v>0</v>
      </c>
      <c r="AG1053" s="12">
        <v>0</v>
      </c>
      <c r="AH1053" s="12">
        <v>0.82</v>
      </c>
      <c r="AI1053" s="12">
        <v>0</v>
      </c>
      <c r="AJ1053" s="13">
        <f t="shared" si="66"/>
        <v>0</v>
      </c>
      <c r="AN1053" s="12">
        <f t="shared" si="67"/>
        <v>587</v>
      </c>
      <c r="AQ1053" s="8" t="s">
        <v>418</v>
      </c>
      <c r="AR1053" t="str">
        <f t="shared" si="68"/>
        <v>Noroeste - A08</v>
      </c>
    </row>
    <row r="1054" spans="1:44" x14ac:dyDescent="0.2">
      <c r="A1054" s="107" t="s">
        <v>2229</v>
      </c>
      <c r="B1054" s="106" t="s">
        <v>2228</v>
      </c>
      <c r="C1054" s="106" t="s">
        <v>2217</v>
      </c>
      <c r="D1054" s="106" t="s">
        <v>513</v>
      </c>
      <c r="E1054" s="106" t="s">
        <v>2222</v>
      </c>
      <c r="F1054" s="106" t="s">
        <v>490</v>
      </c>
      <c r="G1054" s="106" t="s">
        <v>2227</v>
      </c>
      <c r="H1054" s="105" t="s">
        <v>2226</v>
      </c>
      <c r="I1054" s="105" t="s">
        <v>2225</v>
      </c>
      <c r="J1054" s="104">
        <v>10.63</v>
      </c>
      <c r="K1054" s="103" t="s">
        <v>428</v>
      </c>
      <c r="L1054" s="102" t="s">
        <v>533</v>
      </c>
      <c r="M1054" s="95"/>
      <c r="N1054" s="14"/>
      <c r="O1054" s="94">
        <v>30</v>
      </c>
      <c r="P1054" s="14" t="s">
        <v>485</v>
      </c>
      <c r="Q1054" s="14" t="s">
        <v>561</v>
      </c>
      <c r="R1054" s="14" t="s">
        <v>585</v>
      </c>
      <c r="S1054" s="15">
        <v>7</v>
      </c>
      <c r="T1054" s="15">
        <v>1.2</v>
      </c>
      <c r="U1054" s="15">
        <v>0</v>
      </c>
      <c r="V1054" s="14">
        <v>940</v>
      </c>
      <c r="W1054" s="12">
        <v>0</v>
      </c>
      <c r="X1054" s="12">
        <v>0</v>
      </c>
      <c r="Y1054" s="12">
        <v>5</v>
      </c>
      <c r="Z1054" s="12">
        <v>5.6300000000000008</v>
      </c>
      <c r="AA1054" s="12">
        <v>0</v>
      </c>
      <c r="AB1054" s="13">
        <f t="shared" si="65"/>
        <v>0</v>
      </c>
      <c r="AE1054" s="12">
        <v>0</v>
      </c>
      <c r="AF1054" s="12">
        <v>0</v>
      </c>
      <c r="AG1054" s="12">
        <v>5</v>
      </c>
      <c r="AH1054" s="12">
        <v>5.6300000000000008</v>
      </c>
      <c r="AI1054" s="12">
        <v>0</v>
      </c>
      <c r="AJ1054" s="13">
        <f t="shared" si="66"/>
        <v>0</v>
      </c>
      <c r="AN1054" s="12">
        <f t="shared" si="67"/>
        <v>9993</v>
      </c>
      <c r="AQ1054" s="8" t="s">
        <v>418</v>
      </c>
      <c r="AR1054" t="str">
        <f t="shared" si="68"/>
        <v>Noroeste - A08</v>
      </c>
    </row>
    <row r="1055" spans="1:44" x14ac:dyDescent="0.2">
      <c r="A1055" s="107" t="s">
        <v>2224</v>
      </c>
      <c r="B1055" s="106" t="s">
        <v>2223</v>
      </c>
      <c r="C1055" s="106" t="s">
        <v>2217</v>
      </c>
      <c r="D1055" s="106" t="s">
        <v>989</v>
      </c>
      <c r="E1055" s="106" t="s">
        <v>2222</v>
      </c>
      <c r="F1055" s="106" t="s">
        <v>490</v>
      </c>
      <c r="G1055" s="106" t="s">
        <v>2221</v>
      </c>
      <c r="H1055" s="105" t="s">
        <v>2220</v>
      </c>
      <c r="I1055" s="105" t="s">
        <v>2214</v>
      </c>
      <c r="J1055" s="104">
        <v>9.7200000000000006</v>
      </c>
      <c r="K1055" s="103" t="s">
        <v>422</v>
      </c>
      <c r="L1055" s="102" t="s">
        <v>507</v>
      </c>
      <c r="M1055" s="95"/>
      <c r="N1055" s="14"/>
      <c r="O1055" s="94">
        <v>34</v>
      </c>
      <c r="P1055" s="14" t="s">
        <v>485</v>
      </c>
      <c r="Q1055" s="14" t="s">
        <v>497</v>
      </c>
      <c r="R1055" s="14" t="s">
        <v>496</v>
      </c>
      <c r="S1055" s="15">
        <v>6.6</v>
      </c>
      <c r="T1055" s="15">
        <v>0</v>
      </c>
      <c r="U1055" s="15">
        <v>0</v>
      </c>
      <c r="V1055" s="14">
        <v>3116</v>
      </c>
      <c r="W1055" s="12">
        <v>0</v>
      </c>
      <c r="X1055" s="12">
        <v>3</v>
      </c>
      <c r="Y1055" s="12">
        <v>6.7200000000000006</v>
      </c>
      <c r="Z1055" s="12">
        <v>0</v>
      </c>
      <c r="AA1055" s="12">
        <v>0</v>
      </c>
      <c r="AB1055" s="13">
        <f t="shared" si="65"/>
        <v>0</v>
      </c>
      <c r="AE1055" s="12">
        <v>0</v>
      </c>
      <c r="AF1055" s="12">
        <v>3</v>
      </c>
      <c r="AG1055" s="12">
        <v>6.7200000000000006</v>
      </c>
      <c r="AH1055" s="12">
        <v>0</v>
      </c>
      <c r="AI1055" s="12">
        <v>0</v>
      </c>
      <c r="AJ1055" s="13">
        <f t="shared" si="66"/>
        <v>0</v>
      </c>
      <c r="AN1055" s="12">
        <f t="shared" si="67"/>
        <v>30288</v>
      </c>
      <c r="AQ1055" s="8" t="s">
        <v>417</v>
      </c>
      <c r="AR1055" t="str">
        <f t="shared" si="68"/>
        <v>Oeste - A02</v>
      </c>
    </row>
    <row r="1056" spans="1:44" x14ac:dyDescent="0.2">
      <c r="A1056" s="107" t="s">
        <v>2219</v>
      </c>
      <c r="B1056" s="106" t="s">
        <v>2218</v>
      </c>
      <c r="C1056" s="106" t="s">
        <v>2217</v>
      </c>
      <c r="D1056" s="106" t="s">
        <v>1002</v>
      </c>
      <c r="E1056" s="106" t="s">
        <v>2216</v>
      </c>
      <c r="F1056" s="106" t="s">
        <v>590</v>
      </c>
      <c r="G1056" s="106" t="s">
        <v>2215</v>
      </c>
      <c r="H1056" s="105" t="s">
        <v>2214</v>
      </c>
      <c r="I1056" s="105" t="s">
        <v>2213</v>
      </c>
      <c r="J1056" s="104">
        <v>2.77</v>
      </c>
      <c r="K1056" s="103" t="s">
        <v>422</v>
      </c>
      <c r="L1056" s="102" t="s">
        <v>507</v>
      </c>
      <c r="M1056" s="95"/>
      <c r="N1056" s="14"/>
      <c r="O1056" s="94">
        <v>34</v>
      </c>
      <c r="P1056" s="14" t="s">
        <v>586</v>
      </c>
      <c r="Q1056" s="14" t="s">
        <v>497</v>
      </c>
      <c r="R1056" s="14" t="s">
        <v>496</v>
      </c>
      <c r="S1056" s="15">
        <v>14</v>
      </c>
      <c r="T1056" s="15">
        <v>0</v>
      </c>
      <c r="U1056" s="15">
        <v>0</v>
      </c>
      <c r="V1056" s="14">
        <v>1600</v>
      </c>
      <c r="W1056" s="12">
        <v>0</v>
      </c>
      <c r="X1056" s="12">
        <v>0</v>
      </c>
      <c r="Y1056" s="12">
        <v>2.77</v>
      </c>
      <c r="Z1056" s="12">
        <v>0</v>
      </c>
      <c r="AA1056" s="12">
        <v>0</v>
      </c>
      <c r="AB1056" s="13">
        <f t="shared" si="65"/>
        <v>0</v>
      </c>
      <c r="AE1056" s="12">
        <v>0</v>
      </c>
      <c r="AF1056" s="12">
        <v>0</v>
      </c>
      <c r="AG1056" s="12">
        <v>2.77</v>
      </c>
      <c r="AH1056" s="12">
        <v>0</v>
      </c>
      <c r="AI1056" s="12">
        <v>0</v>
      </c>
      <c r="AJ1056" s="13">
        <f t="shared" si="66"/>
        <v>0</v>
      </c>
      <c r="AN1056" s="12">
        <f t="shared" si="67"/>
        <v>4432</v>
      </c>
      <c r="AQ1056" s="8" t="s">
        <v>417</v>
      </c>
      <c r="AR1056" t="str">
        <f t="shared" si="68"/>
        <v>Oeste - A02</v>
      </c>
    </row>
    <row r="1057" spans="1:44" x14ac:dyDescent="0.2">
      <c r="A1057" s="107" t="s">
        <v>2212</v>
      </c>
      <c r="B1057" s="106" t="s">
        <v>2211</v>
      </c>
      <c r="C1057" s="106" t="s">
        <v>2201</v>
      </c>
      <c r="D1057" s="106" t="s">
        <v>751</v>
      </c>
      <c r="E1057" s="106" t="s">
        <v>2210</v>
      </c>
      <c r="F1057" s="106" t="s">
        <v>590</v>
      </c>
      <c r="G1057" s="106" t="s">
        <v>2209</v>
      </c>
      <c r="H1057" s="105" t="s">
        <v>2208</v>
      </c>
      <c r="I1057" s="105" t="s">
        <v>2204</v>
      </c>
      <c r="J1057" s="104">
        <v>1.82</v>
      </c>
      <c r="K1057" s="103" t="s">
        <v>421</v>
      </c>
      <c r="L1057" s="102" t="s">
        <v>507</v>
      </c>
      <c r="M1057" s="95"/>
      <c r="N1057" s="14"/>
      <c r="O1057" s="94">
        <v>33</v>
      </c>
      <c r="P1057" s="14" t="s">
        <v>586</v>
      </c>
      <c r="Q1057" s="14" t="s">
        <v>497</v>
      </c>
      <c r="R1057" s="14" t="s">
        <v>496</v>
      </c>
      <c r="S1057" s="15">
        <v>9</v>
      </c>
      <c r="T1057" s="15">
        <v>0</v>
      </c>
      <c r="U1057" s="15">
        <v>0</v>
      </c>
      <c r="V1057" s="14">
        <v>50</v>
      </c>
      <c r="W1057" s="12">
        <v>0</v>
      </c>
      <c r="X1057" s="12">
        <v>0</v>
      </c>
      <c r="Y1057" s="12">
        <v>1.82</v>
      </c>
      <c r="Z1057" s="12">
        <v>0</v>
      </c>
      <c r="AA1057" s="12">
        <v>0</v>
      </c>
      <c r="AB1057" s="13">
        <f t="shared" si="65"/>
        <v>0</v>
      </c>
      <c r="AE1057" s="12">
        <v>0</v>
      </c>
      <c r="AF1057" s="12">
        <v>0</v>
      </c>
      <c r="AG1057" s="12">
        <v>1.82</v>
      </c>
      <c r="AH1057" s="12">
        <v>0</v>
      </c>
      <c r="AI1057" s="12">
        <v>0</v>
      </c>
      <c r="AJ1057" s="13">
        <f t="shared" si="66"/>
        <v>0</v>
      </c>
      <c r="AN1057" s="12">
        <f t="shared" si="67"/>
        <v>91</v>
      </c>
      <c r="AQ1057" s="8" t="s">
        <v>417</v>
      </c>
      <c r="AR1057" t="str">
        <f t="shared" si="68"/>
        <v>Oeste - A01</v>
      </c>
    </row>
    <row r="1058" spans="1:44" x14ac:dyDescent="0.2">
      <c r="A1058" s="107" t="s">
        <v>2207</v>
      </c>
      <c r="B1058" s="106" t="s">
        <v>2206</v>
      </c>
      <c r="C1058" s="106" t="s">
        <v>2201</v>
      </c>
      <c r="D1058" s="106" t="s">
        <v>492</v>
      </c>
      <c r="E1058" s="106" t="s">
        <v>2200</v>
      </c>
      <c r="F1058" s="106" t="s">
        <v>490</v>
      </c>
      <c r="G1058" s="106" t="s">
        <v>2205</v>
      </c>
      <c r="H1058" s="105" t="s">
        <v>2204</v>
      </c>
      <c r="I1058" s="105" t="s">
        <v>2198</v>
      </c>
      <c r="J1058" s="104">
        <v>22.25</v>
      </c>
      <c r="K1058" s="103" t="s">
        <v>421</v>
      </c>
      <c r="L1058" s="102" t="s">
        <v>507</v>
      </c>
      <c r="M1058" s="95"/>
      <c r="N1058" s="14"/>
      <c r="O1058" s="94">
        <v>33</v>
      </c>
      <c r="P1058" s="14" t="s">
        <v>485</v>
      </c>
      <c r="Q1058" s="14" t="s">
        <v>497</v>
      </c>
      <c r="R1058" s="14" t="s">
        <v>496</v>
      </c>
      <c r="S1058" s="15">
        <v>7</v>
      </c>
      <c r="T1058" s="15">
        <v>1.4</v>
      </c>
      <c r="U1058" s="15">
        <v>0</v>
      </c>
      <c r="V1058" s="14">
        <v>2944</v>
      </c>
      <c r="W1058" s="12">
        <v>0</v>
      </c>
      <c r="X1058" s="12">
        <v>0</v>
      </c>
      <c r="Y1058" s="12">
        <v>1</v>
      </c>
      <c r="Z1058" s="12">
        <v>21.25</v>
      </c>
      <c r="AA1058" s="12">
        <v>0</v>
      </c>
      <c r="AB1058" s="13">
        <f t="shared" si="65"/>
        <v>0</v>
      </c>
      <c r="AE1058" s="12">
        <v>0</v>
      </c>
      <c r="AF1058" s="12">
        <v>0</v>
      </c>
      <c r="AG1058" s="12">
        <v>1</v>
      </c>
      <c r="AH1058" s="12">
        <v>21.25</v>
      </c>
      <c r="AI1058" s="12">
        <v>0</v>
      </c>
      <c r="AJ1058" s="13">
        <f t="shared" si="66"/>
        <v>0</v>
      </c>
      <c r="AN1058" s="12">
        <f t="shared" si="67"/>
        <v>65504</v>
      </c>
      <c r="AQ1058" s="8" t="s">
        <v>417</v>
      </c>
      <c r="AR1058" t="str">
        <f t="shared" si="68"/>
        <v>Oeste - A01</v>
      </c>
    </row>
    <row r="1059" spans="1:44" x14ac:dyDescent="0.2">
      <c r="A1059" s="107" t="s">
        <v>2203</v>
      </c>
      <c r="B1059" s="106" t="s">
        <v>2202</v>
      </c>
      <c r="C1059" s="106" t="s">
        <v>2201</v>
      </c>
      <c r="D1059" s="106" t="s">
        <v>519</v>
      </c>
      <c r="E1059" s="106" t="s">
        <v>2200</v>
      </c>
      <c r="F1059" s="106" t="s">
        <v>490</v>
      </c>
      <c r="G1059" s="106" t="s">
        <v>2199</v>
      </c>
      <c r="H1059" s="105" t="s">
        <v>2198</v>
      </c>
      <c r="I1059" s="105" t="s">
        <v>2197</v>
      </c>
      <c r="J1059" s="104">
        <v>7.2</v>
      </c>
      <c r="K1059" s="103" t="s">
        <v>421</v>
      </c>
      <c r="L1059" s="102" t="s">
        <v>507</v>
      </c>
      <c r="M1059" s="95"/>
      <c r="N1059" s="14"/>
      <c r="O1059" s="94">
        <v>33</v>
      </c>
      <c r="P1059" s="14" t="s">
        <v>485</v>
      </c>
      <c r="Q1059" s="14" t="s">
        <v>497</v>
      </c>
      <c r="R1059" s="14" t="s">
        <v>496</v>
      </c>
      <c r="S1059" s="15">
        <v>7</v>
      </c>
      <c r="T1059" s="15">
        <v>1.4</v>
      </c>
      <c r="U1059" s="15">
        <v>0</v>
      </c>
      <c r="V1059" s="14">
        <v>2944</v>
      </c>
      <c r="W1059" s="12">
        <v>0</v>
      </c>
      <c r="X1059" s="12">
        <v>0</v>
      </c>
      <c r="Y1059" s="12">
        <v>0</v>
      </c>
      <c r="Z1059" s="12">
        <v>7.2</v>
      </c>
      <c r="AA1059" s="12">
        <v>0</v>
      </c>
      <c r="AB1059" s="13">
        <f t="shared" si="65"/>
        <v>0</v>
      </c>
      <c r="AE1059" s="12">
        <v>0</v>
      </c>
      <c r="AF1059" s="12">
        <v>0</v>
      </c>
      <c r="AG1059" s="12">
        <v>0</v>
      </c>
      <c r="AH1059" s="12">
        <v>7.2</v>
      </c>
      <c r="AI1059" s="12">
        <v>0</v>
      </c>
      <c r="AJ1059" s="13">
        <f t="shared" si="66"/>
        <v>0</v>
      </c>
      <c r="AN1059" s="12">
        <f t="shared" si="67"/>
        <v>21197</v>
      </c>
      <c r="AQ1059" s="8" t="s">
        <v>417</v>
      </c>
      <c r="AR1059" t="str">
        <f t="shared" si="68"/>
        <v>Oeste - A01</v>
      </c>
    </row>
    <row r="1060" spans="1:44" x14ac:dyDescent="0.2">
      <c r="A1060" s="107" t="s">
        <v>2196</v>
      </c>
      <c r="B1060" s="106" t="s">
        <v>2195</v>
      </c>
      <c r="C1060" s="106" t="s">
        <v>2146</v>
      </c>
      <c r="D1060" s="106" t="s">
        <v>492</v>
      </c>
      <c r="E1060" s="106" t="s">
        <v>2144</v>
      </c>
      <c r="F1060" s="106" t="s">
        <v>490</v>
      </c>
      <c r="G1060" s="106" t="s">
        <v>2194</v>
      </c>
      <c r="H1060" s="105" t="s">
        <v>2193</v>
      </c>
      <c r="I1060" s="105" t="s">
        <v>2189</v>
      </c>
      <c r="J1060" s="104">
        <v>6.49</v>
      </c>
      <c r="K1060" s="103" t="s">
        <v>423</v>
      </c>
      <c r="L1060" s="102" t="s">
        <v>533</v>
      </c>
      <c r="M1060" s="95"/>
      <c r="N1060" s="14"/>
      <c r="O1060" s="94">
        <v>25</v>
      </c>
      <c r="P1060" s="14" t="s">
        <v>485</v>
      </c>
      <c r="Q1060" s="14" t="s">
        <v>505</v>
      </c>
      <c r="R1060" s="14" t="s">
        <v>1258</v>
      </c>
      <c r="S1060" s="15">
        <v>6.6</v>
      </c>
      <c r="T1060" s="15">
        <v>0.9</v>
      </c>
      <c r="U1060" s="15">
        <v>0</v>
      </c>
      <c r="V1060" s="14">
        <v>1106</v>
      </c>
      <c r="W1060" s="12">
        <v>0</v>
      </c>
      <c r="X1060" s="12">
        <v>0</v>
      </c>
      <c r="Y1060" s="12">
        <v>0</v>
      </c>
      <c r="Z1060" s="12">
        <v>6.49</v>
      </c>
      <c r="AA1060" s="12">
        <v>0</v>
      </c>
      <c r="AB1060" s="13">
        <f t="shared" si="65"/>
        <v>0</v>
      </c>
      <c r="AE1060" s="12">
        <v>0</v>
      </c>
      <c r="AF1060" s="12">
        <v>0</v>
      </c>
      <c r="AG1060" s="12">
        <v>0</v>
      </c>
      <c r="AH1060" s="12">
        <v>6.49</v>
      </c>
      <c r="AI1060" s="12">
        <v>0</v>
      </c>
      <c r="AJ1060" s="13">
        <f t="shared" si="66"/>
        <v>0</v>
      </c>
      <c r="AN1060" s="12">
        <f t="shared" si="67"/>
        <v>7178</v>
      </c>
      <c r="AQ1060" s="8" t="s">
        <v>418</v>
      </c>
      <c r="AR1060" t="str">
        <f t="shared" si="68"/>
        <v>Noroeste - A03</v>
      </c>
    </row>
    <row r="1061" spans="1:44" x14ac:dyDescent="0.2">
      <c r="A1061" s="107" t="s">
        <v>2192</v>
      </c>
      <c r="B1061" s="106" t="s">
        <v>2191</v>
      </c>
      <c r="C1061" s="106" t="s">
        <v>2146</v>
      </c>
      <c r="D1061" s="106" t="s">
        <v>513</v>
      </c>
      <c r="E1061" s="106" t="s">
        <v>2144</v>
      </c>
      <c r="F1061" s="106" t="s">
        <v>490</v>
      </c>
      <c r="G1061" s="106" t="s">
        <v>2190</v>
      </c>
      <c r="H1061" s="105" t="s">
        <v>2189</v>
      </c>
      <c r="I1061" s="105" t="s">
        <v>2185</v>
      </c>
      <c r="J1061" s="104">
        <v>9.18</v>
      </c>
      <c r="K1061" s="103" t="s">
        <v>423</v>
      </c>
      <c r="L1061" s="102" t="s">
        <v>533</v>
      </c>
      <c r="M1061" s="95"/>
      <c r="N1061" s="14"/>
      <c r="O1061" s="94">
        <v>25</v>
      </c>
      <c r="P1061" s="14" t="s">
        <v>485</v>
      </c>
      <c r="Q1061" s="14" t="s">
        <v>505</v>
      </c>
      <c r="R1061" s="14" t="s">
        <v>1258</v>
      </c>
      <c r="S1061" s="15">
        <v>6.6</v>
      </c>
      <c r="T1061" s="15">
        <v>0</v>
      </c>
      <c r="U1061" s="15">
        <v>0</v>
      </c>
      <c r="V1061" s="14">
        <v>1106</v>
      </c>
      <c r="W1061" s="12">
        <v>0</v>
      </c>
      <c r="X1061" s="12">
        <v>0</v>
      </c>
      <c r="Y1061" s="12">
        <v>2.1799999999999997</v>
      </c>
      <c r="Z1061" s="12">
        <v>7</v>
      </c>
      <c r="AA1061" s="12">
        <v>0</v>
      </c>
      <c r="AB1061" s="13">
        <f t="shared" si="65"/>
        <v>0</v>
      </c>
      <c r="AE1061" s="12">
        <v>0</v>
      </c>
      <c r="AF1061" s="12">
        <v>0</v>
      </c>
      <c r="AG1061" s="12">
        <v>2.1799999999999997</v>
      </c>
      <c r="AH1061" s="12">
        <v>7</v>
      </c>
      <c r="AI1061" s="12">
        <v>0</v>
      </c>
      <c r="AJ1061" s="13">
        <f t="shared" si="66"/>
        <v>0</v>
      </c>
      <c r="AN1061" s="12">
        <f t="shared" si="67"/>
        <v>10154</v>
      </c>
      <c r="AQ1061" s="8" t="s">
        <v>418</v>
      </c>
      <c r="AR1061" t="str">
        <f t="shared" si="68"/>
        <v>Noroeste - A03</v>
      </c>
    </row>
    <row r="1062" spans="1:44" x14ac:dyDescent="0.2">
      <c r="A1062" s="107" t="s">
        <v>2188</v>
      </c>
      <c r="B1062" s="106" t="s">
        <v>2187</v>
      </c>
      <c r="C1062" s="106" t="s">
        <v>2146</v>
      </c>
      <c r="D1062" s="106" t="s">
        <v>1324</v>
      </c>
      <c r="E1062" s="106" t="s">
        <v>2151</v>
      </c>
      <c r="F1062" s="106" t="s">
        <v>590</v>
      </c>
      <c r="G1062" s="106" t="s">
        <v>2186</v>
      </c>
      <c r="H1062" s="105" t="s">
        <v>2185</v>
      </c>
      <c r="I1062" s="105" t="s">
        <v>2181</v>
      </c>
      <c r="J1062" s="104">
        <v>1.29</v>
      </c>
      <c r="K1062" s="103" t="s">
        <v>423</v>
      </c>
      <c r="L1062" s="102" t="s">
        <v>533</v>
      </c>
      <c r="M1062" s="95"/>
      <c r="N1062" s="14"/>
      <c r="O1062" s="94">
        <v>25</v>
      </c>
      <c r="P1062" s="14" t="s">
        <v>586</v>
      </c>
      <c r="Q1062" s="14" t="s">
        <v>505</v>
      </c>
      <c r="R1062" s="14" t="s">
        <v>1258</v>
      </c>
      <c r="S1062" s="15">
        <v>13.1</v>
      </c>
      <c r="T1062" s="15">
        <v>0</v>
      </c>
      <c r="U1062" s="15">
        <v>0</v>
      </c>
      <c r="V1062" s="14">
        <v>845</v>
      </c>
      <c r="W1062" s="12">
        <v>0</v>
      </c>
      <c r="X1062" s="12">
        <v>0</v>
      </c>
      <c r="Y1062" s="12">
        <v>0</v>
      </c>
      <c r="Z1062" s="12">
        <v>1.29</v>
      </c>
      <c r="AA1062" s="12">
        <v>0</v>
      </c>
      <c r="AB1062" s="13">
        <f t="shared" si="65"/>
        <v>0</v>
      </c>
      <c r="AE1062" s="12">
        <v>0</v>
      </c>
      <c r="AF1062" s="12">
        <v>0</v>
      </c>
      <c r="AG1062" s="12">
        <v>0</v>
      </c>
      <c r="AH1062" s="12">
        <v>1.29</v>
      </c>
      <c r="AI1062" s="12">
        <v>0</v>
      </c>
      <c r="AJ1062" s="13">
        <f t="shared" si="66"/>
        <v>0</v>
      </c>
      <c r="AN1062" s="12">
        <f t="shared" si="67"/>
        <v>1091</v>
      </c>
      <c r="AQ1062" s="8" t="s">
        <v>418</v>
      </c>
      <c r="AR1062" t="str">
        <f t="shared" si="68"/>
        <v>Noroeste - A03</v>
      </c>
    </row>
    <row r="1063" spans="1:44" x14ac:dyDescent="0.2">
      <c r="A1063" s="107" t="s">
        <v>2184</v>
      </c>
      <c r="B1063" s="106" t="s">
        <v>2183</v>
      </c>
      <c r="C1063" s="106" t="s">
        <v>2146</v>
      </c>
      <c r="D1063" s="106" t="s">
        <v>1319</v>
      </c>
      <c r="E1063" s="106" t="s">
        <v>2144</v>
      </c>
      <c r="F1063" s="106" t="s">
        <v>490</v>
      </c>
      <c r="G1063" s="106" t="s">
        <v>2182</v>
      </c>
      <c r="H1063" s="105" t="s">
        <v>2181</v>
      </c>
      <c r="I1063" s="105" t="s">
        <v>2177</v>
      </c>
      <c r="J1063" s="104">
        <v>9.67</v>
      </c>
      <c r="K1063" s="103" t="s">
        <v>423</v>
      </c>
      <c r="L1063" s="102" t="s">
        <v>533</v>
      </c>
      <c r="M1063" s="95"/>
      <c r="N1063" s="14"/>
      <c r="O1063" s="94">
        <v>25</v>
      </c>
      <c r="P1063" s="14" t="s">
        <v>485</v>
      </c>
      <c r="Q1063" s="14" t="s">
        <v>505</v>
      </c>
      <c r="R1063" s="14" t="s">
        <v>1258</v>
      </c>
      <c r="S1063" s="15">
        <v>7</v>
      </c>
      <c r="T1063" s="15">
        <v>0.7</v>
      </c>
      <c r="U1063" s="15">
        <v>0</v>
      </c>
      <c r="V1063" s="14">
        <v>1106</v>
      </c>
      <c r="W1063" s="12">
        <v>0</v>
      </c>
      <c r="X1063" s="12">
        <v>0</v>
      </c>
      <c r="Y1063" s="12">
        <v>0</v>
      </c>
      <c r="Z1063" s="12">
        <v>9.67</v>
      </c>
      <c r="AA1063" s="12">
        <v>0</v>
      </c>
      <c r="AB1063" s="13">
        <f t="shared" si="65"/>
        <v>0</v>
      </c>
      <c r="AE1063" s="12">
        <v>0</v>
      </c>
      <c r="AF1063" s="12">
        <v>0</v>
      </c>
      <c r="AG1063" s="12">
        <v>0</v>
      </c>
      <c r="AH1063" s="12">
        <v>9.67</v>
      </c>
      <c r="AI1063" s="12">
        <v>0</v>
      </c>
      <c r="AJ1063" s="13">
        <f t="shared" si="66"/>
        <v>0</v>
      </c>
      <c r="AN1063" s="12">
        <f t="shared" si="67"/>
        <v>10696</v>
      </c>
      <c r="AQ1063" s="8" t="s">
        <v>418</v>
      </c>
      <c r="AR1063" t="str">
        <f t="shared" si="68"/>
        <v>Noroeste - A03</v>
      </c>
    </row>
    <row r="1064" spans="1:44" x14ac:dyDescent="0.2">
      <c r="A1064" s="107" t="s">
        <v>2180</v>
      </c>
      <c r="B1064" s="106" t="s">
        <v>2179</v>
      </c>
      <c r="C1064" s="106" t="s">
        <v>2146</v>
      </c>
      <c r="D1064" s="106" t="s">
        <v>1314</v>
      </c>
      <c r="E1064" s="106" t="s">
        <v>2144</v>
      </c>
      <c r="F1064" s="106" t="s">
        <v>490</v>
      </c>
      <c r="G1064" s="106" t="s">
        <v>2178</v>
      </c>
      <c r="H1064" s="105" t="s">
        <v>2177</v>
      </c>
      <c r="I1064" s="105" t="s">
        <v>2172</v>
      </c>
      <c r="J1064" s="104">
        <v>8.34</v>
      </c>
      <c r="K1064" s="103" t="s">
        <v>423</v>
      </c>
      <c r="L1064" s="102" t="s">
        <v>533</v>
      </c>
      <c r="M1064" s="95"/>
      <c r="N1064" s="14"/>
      <c r="O1064" s="94">
        <v>25</v>
      </c>
      <c r="P1064" s="14" t="s">
        <v>485</v>
      </c>
      <c r="Q1064" s="14" t="s">
        <v>505</v>
      </c>
      <c r="R1064" s="14" t="s">
        <v>1258</v>
      </c>
      <c r="S1064" s="15">
        <v>7</v>
      </c>
      <c r="T1064" s="15">
        <v>0.9</v>
      </c>
      <c r="U1064" s="15">
        <v>0</v>
      </c>
      <c r="V1064" s="14">
        <v>1710</v>
      </c>
      <c r="W1064" s="12">
        <v>0</v>
      </c>
      <c r="X1064" s="12">
        <v>0</v>
      </c>
      <c r="Y1064" s="12">
        <v>0</v>
      </c>
      <c r="Z1064" s="12">
        <v>8.34</v>
      </c>
      <c r="AA1064" s="12">
        <v>0</v>
      </c>
      <c r="AB1064" s="13">
        <f t="shared" si="65"/>
        <v>0</v>
      </c>
      <c r="AE1064" s="12">
        <v>0</v>
      </c>
      <c r="AF1064" s="12">
        <v>0</v>
      </c>
      <c r="AG1064" s="12">
        <v>0</v>
      </c>
      <c r="AH1064" s="12">
        <v>8.34</v>
      </c>
      <c r="AI1064" s="12">
        <v>0</v>
      </c>
      <c r="AJ1064" s="13">
        <f t="shared" si="66"/>
        <v>0</v>
      </c>
      <c r="AN1064" s="12">
        <f t="shared" si="67"/>
        <v>14262</v>
      </c>
      <c r="AQ1064" s="8" t="s">
        <v>418</v>
      </c>
      <c r="AR1064" t="str">
        <f t="shared" si="68"/>
        <v>Noroeste - A03</v>
      </c>
    </row>
    <row r="1065" spans="1:44" x14ac:dyDescent="0.2">
      <c r="A1065" s="107" t="s">
        <v>2176</v>
      </c>
      <c r="B1065" s="106" t="s">
        <v>2175</v>
      </c>
      <c r="C1065" s="106" t="s">
        <v>2146</v>
      </c>
      <c r="D1065" s="106" t="s">
        <v>2174</v>
      </c>
      <c r="E1065" s="106" t="s">
        <v>2151</v>
      </c>
      <c r="F1065" s="106" t="s">
        <v>590</v>
      </c>
      <c r="G1065" s="106" t="s">
        <v>2173</v>
      </c>
      <c r="H1065" s="105" t="s">
        <v>2172</v>
      </c>
      <c r="I1065" s="105" t="s">
        <v>2168</v>
      </c>
      <c r="J1065" s="104">
        <v>1.9</v>
      </c>
      <c r="K1065" s="103" t="s">
        <v>423</v>
      </c>
      <c r="L1065" s="102" t="s">
        <v>533</v>
      </c>
      <c r="M1065" s="95"/>
      <c r="N1065" s="14"/>
      <c r="O1065" s="94">
        <v>25</v>
      </c>
      <c r="P1065" s="14" t="s">
        <v>586</v>
      </c>
      <c r="Q1065" s="14" t="s">
        <v>505</v>
      </c>
      <c r="R1065" s="14" t="s">
        <v>1258</v>
      </c>
      <c r="S1065" s="15">
        <v>10.7</v>
      </c>
      <c r="T1065" s="15">
        <v>0</v>
      </c>
      <c r="U1065" s="15">
        <v>0</v>
      </c>
      <c r="V1065" s="14">
        <v>845</v>
      </c>
      <c r="W1065" s="12">
        <v>0</v>
      </c>
      <c r="X1065" s="12">
        <v>0</v>
      </c>
      <c r="Y1065" s="12">
        <v>0</v>
      </c>
      <c r="Z1065" s="12">
        <v>1.92</v>
      </c>
      <c r="AA1065" s="12">
        <v>0</v>
      </c>
      <c r="AB1065" s="13">
        <f t="shared" si="65"/>
        <v>2.0000000000000018E-2</v>
      </c>
      <c r="AE1065" s="12">
        <f>IF(W1065=0,0,W1065-$AB1065)</f>
        <v>0</v>
      </c>
      <c r="AF1065" s="12">
        <f>IF(X1065=0,0,X1065-$AB1065)</f>
        <v>0</v>
      </c>
      <c r="AG1065" s="12">
        <f>IF(Y1065=0,0,Y1065-$AB1065)</f>
        <v>0</v>
      </c>
      <c r="AH1065" s="12">
        <f>IF(Z1065=0,0,Z1065-$AB1065)</f>
        <v>1.9</v>
      </c>
      <c r="AI1065" s="12">
        <f>IF(AA1065=0,0,AA1065-$AB1065)</f>
        <v>0</v>
      </c>
      <c r="AJ1065" s="13">
        <f t="shared" si="66"/>
        <v>0</v>
      </c>
      <c r="AN1065" s="12">
        <f t="shared" si="67"/>
        <v>1606</v>
      </c>
      <c r="AQ1065" s="8" t="s">
        <v>418</v>
      </c>
      <c r="AR1065" t="str">
        <f t="shared" si="68"/>
        <v>Noroeste - A03</v>
      </c>
    </row>
    <row r="1066" spans="1:44" x14ac:dyDescent="0.2">
      <c r="A1066" s="107" t="s">
        <v>2171</v>
      </c>
      <c r="B1066" s="106" t="s">
        <v>2170</v>
      </c>
      <c r="C1066" s="106" t="s">
        <v>2146</v>
      </c>
      <c r="D1066" s="106" t="s">
        <v>975</v>
      </c>
      <c r="E1066" s="106" t="s">
        <v>2144</v>
      </c>
      <c r="F1066" s="106" t="s">
        <v>490</v>
      </c>
      <c r="G1066" s="106" t="s">
        <v>2169</v>
      </c>
      <c r="H1066" s="105" t="s">
        <v>2168</v>
      </c>
      <c r="I1066" s="105" t="s">
        <v>2167</v>
      </c>
      <c r="J1066" s="104">
        <v>8.42</v>
      </c>
      <c r="K1066" s="103" t="s">
        <v>423</v>
      </c>
      <c r="L1066" s="102" t="s">
        <v>533</v>
      </c>
      <c r="M1066" s="95"/>
      <c r="N1066" s="14"/>
      <c r="O1066" s="94">
        <v>25</v>
      </c>
      <c r="P1066" s="14" t="s">
        <v>485</v>
      </c>
      <c r="Q1066" s="14" t="s">
        <v>505</v>
      </c>
      <c r="R1066" s="14" t="s">
        <v>1258</v>
      </c>
      <c r="S1066" s="15">
        <v>6</v>
      </c>
      <c r="T1066" s="15">
        <v>0.9</v>
      </c>
      <c r="U1066" s="15">
        <v>0</v>
      </c>
      <c r="V1066" s="14">
        <v>7098</v>
      </c>
      <c r="W1066" s="12">
        <v>0</v>
      </c>
      <c r="X1066" s="12">
        <v>0</v>
      </c>
      <c r="Y1066" s="12">
        <v>0</v>
      </c>
      <c r="Z1066" s="12">
        <v>8.42</v>
      </c>
      <c r="AA1066" s="12">
        <v>0</v>
      </c>
      <c r="AB1066" s="13">
        <f t="shared" si="65"/>
        <v>0</v>
      </c>
      <c r="AE1066" s="12">
        <v>0</v>
      </c>
      <c r="AF1066" s="12">
        <v>0</v>
      </c>
      <c r="AG1066" s="12">
        <v>0</v>
      </c>
      <c r="AH1066" s="12">
        <v>8.42</v>
      </c>
      <c r="AI1066" s="12">
        <v>0</v>
      </c>
      <c r="AJ1066" s="13">
        <f t="shared" si="66"/>
        <v>0</v>
      </c>
      <c r="AN1066" s="12">
        <f t="shared" si="67"/>
        <v>59766</v>
      </c>
      <c r="AQ1066" s="8" t="s">
        <v>418</v>
      </c>
      <c r="AR1066" t="str">
        <f t="shared" si="68"/>
        <v>Noroeste - A03</v>
      </c>
    </row>
    <row r="1067" spans="1:44" x14ac:dyDescent="0.2">
      <c r="A1067" s="107" t="s">
        <v>2166</v>
      </c>
      <c r="B1067" s="106" t="s">
        <v>2165</v>
      </c>
      <c r="C1067" s="106" t="s">
        <v>2146</v>
      </c>
      <c r="D1067" s="106" t="s">
        <v>1269</v>
      </c>
      <c r="E1067" s="106" t="s">
        <v>2144</v>
      </c>
      <c r="F1067" s="106" t="s">
        <v>490</v>
      </c>
      <c r="G1067" s="106" t="s">
        <v>2164</v>
      </c>
      <c r="H1067" s="105" t="s">
        <v>2163</v>
      </c>
      <c r="I1067" s="105" t="s">
        <v>2159</v>
      </c>
      <c r="J1067" s="104">
        <v>11.4</v>
      </c>
      <c r="K1067" s="103" t="s">
        <v>423</v>
      </c>
      <c r="L1067" s="102" t="s">
        <v>533</v>
      </c>
      <c r="M1067" s="95"/>
      <c r="N1067" s="14"/>
      <c r="O1067" s="94">
        <v>25</v>
      </c>
      <c r="P1067" s="14" t="s">
        <v>485</v>
      </c>
      <c r="Q1067" s="14" t="s">
        <v>497</v>
      </c>
      <c r="R1067" s="14" t="s">
        <v>576</v>
      </c>
      <c r="S1067" s="15">
        <v>6.6</v>
      </c>
      <c r="T1067" s="15">
        <v>0</v>
      </c>
      <c r="U1067" s="15">
        <v>0</v>
      </c>
      <c r="V1067" s="14">
        <v>7098</v>
      </c>
      <c r="W1067" s="12">
        <v>0</v>
      </c>
      <c r="X1067" s="12">
        <v>0</v>
      </c>
      <c r="Y1067" s="12">
        <v>2</v>
      </c>
      <c r="Z1067" s="12">
        <v>9.4</v>
      </c>
      <c r="AA1067" s="12">
        <v>0</v>
      </c>
      <c r="AB1067" s="13">
        <f t="shared" si="65"/>
        <v>0</v>
      </c>
      <c r="AE1067" s="12">
        <v>0</v>
      </c>
      <c r="AF1067" s="12">
        <v>0</v>
      </c>
      <c r="AG1067" s="12">
        <v>2</v>
      </c>
      <c r="AH1067" s="12">
        <v>9.4</v>
      </c>
      <c r="AI1067" s="12">
        <v>0</v>
      </c>
      <c r="AJ1067" s="13">
        <f t="shared" si="66"/>
        <v>0</v>
      </c>
      <c r="AN1067" s="12">
        <f t="shared" si="67"/>
        <v>80918</v>
      </c>
      <c r="AQ1067" s="8" t="s">
        <v>418</v>
      </c>
      <c r="AR1067" t="str">
        <f t="shared" si="68"/>
        <v>Noroeste - A03</v>
      </c>
    </row>
    <row r="1068" spans="1:44" x14ac:dyDescent="0.2">
      <c r="A1068" s="107" t="s">
        <v>2162</v>
      </c>
      <c r="B1068" s="106" t="s">
        <v>2161</v>
      </c>
      <c r="C1068" s="106" t="s">
        <v>2146</v>
      </c>
      <c r="D1068" s="106" t="s">
        <v>1263</v>
      </c>
      <c r="E1068" s="106" t="s">
        <v>2151</v>
      </c>
      <c r="F1068" s="106" t="s">
        <v>590</v>
      </c>
      <c r="G1068" s="106" t="s">
        <v>2160</v>
      </c>
      <c r="H1068" s="105" t="s">
        <v>2159</v>
      </c>
      <c r="I1068" s="105" t="s">
        <v>2155</v>
      </c>
      <c r="J1068" s="104">
        <v>2.14</v>
      </c>
      <c r="K1068" s="103" t="s">
        <v>423</v>
      </c>
      <c r="L1068" s="102" t="s">
        <v>533</v>
      </c>
      <c r="M1068" s="95"/>
      <c r="N1068" s="14"/>
      <c r="O1068" s="94">
        <v>25</v>
      </c>
      <c r="P1068" s="14" t="s">
        <v>586</v>
      </c>
      <c r="Q1068" s="14" t="s">
        <v>497</v>
      </c>
      <c r="R1068" s="14" t="s">
        <v>496</v>
      </c>
      <c r="S1068" s="15">
        <v>13.1</v>
      </c>
      <c r="T1068" s="15">
        <v>0.75</v>
      </c>
      <c r="U1068" s="15">
        <v>0</v>
      </c>
      <c r="V1068" s="14">
        <v>879</v>
      </c>
      <c r="W1068" s="12">
        <v>0</v>
      </c>
      <c r="X1068" s="12">
        <v>0</v>
      </c>
      <c r="Y1068" s="12">
        <v>0</v>
      </c>
      <c r="Z1068" s="12">
        <v>2.14</v>
      </c>
      <c r="AA1068" s="12">
        <v>0</v>
      </c>
      <c r="AB1068" s="13">
        <f t="shared" si="65"/>
        <v>0</v>
      </c>
      <c r="AE1068" s="12">
        <v>0</v>
      </c>
      <c r="AF1068" s="12">
        <v>0</v>
      </c>
      <c r="AG1068" s="12">
        <v>0</v>
      </c>
      <c r="AH1068" s="12">
        <v>2.14</v>
      </c>
      <c r="AI1068" s="12">
        <v>0</v>
      </c>
      <c r="AJ1068" s="13">
        <f t="shared" si="66"/>
        <v>0</v>
      </c>
      <c r="AN1068" s="12">
        <f t="shared" si="67"/>
        <v>1882</v>
      </c>
      <c r="AQ1068" s="8" t="s">
        <v>418</v>
      </c>
      <c r="AR1068" t="str">
        <f t="shared" si="68"/>
        <v>Noroeste - A03</v>
      </c>
    </row>
    <row r="1069" spans="1:44" x14ac:dyDescent="0.2">
      <c r="A1069" s="107" t="s">
        <v>2158</v>
      </c>
      <c r="B1069" s="106" t="s">
        <v>2157</v>
      </c>
      <c r="C1069" s="106" t="s">
        <v>2146</v>
      </c>
      <c r="D1069" s="106" t="s">
        <v>965</v>
      </c>
      <c r="E1069" s="106" t="s">
        <v>2144</v>
      </c>
      <c r="F1069" s="106" t="s">
        <v>490</v>
      </c>
      <c r="G1069" s="106" t="s">
        <v>2156</v>
      </c>
      <c r="H1069" s="105" t="s">
        <v>2155</v>
      </c>
      <c r="I1069" s="105" t="s">
        <v>2149</v>
      </c>
      <c r="J1069" s="104">
        <v>6.23</v>
      </c>
      <c r="K1069" s="103" t="s">
        <v>423</v>
      </c>
      <c r="L1069" s="102" t="s">
        <v>533</v>
      </c>
      <c r="M1069" s="95"/>
      <c r="N1069" s="14"/>
      <c r="O1069" s="94">
        <v>25</v>
      </c>
      <c r="P1069" s="14" t="s">
        <v>485</v>
      </c>
      <c r="Q1069" s="14" t="s">
        <v>887</v>
      </c>
      <c r="R1069" s="14" t="s">
        <v>496</v>
      </c>
      <c r="S1069" s="15">
        <v>6.7</v>
      </c>
      <c r="T1069" s="15">
        <v>0.75</v>
      </c>
      <c r="U1069" s="15">
        <v>0</v>
      </c>
      <c r="V1069" s="14">
        <v>7750</v>
      </c>
      <c r="W1069" s="12">
        <v>0</v>
      </c>
      <c r="X1069" s="12">
        <v>0</v>
      </c>
      <c r="Y1069" s="12">
        <v>0</v>
      </c>
      <c r="Z1069" s="12">
        <v>6.23</v>
      </c>
      <c r="AA1069" s="12">
        <v>0</v>
      </c>
      <c r="AB1069" s="13">
        <f t="shared" si="65"/>
        <v>0</v>
      </c>
      <c r="AE1069" s="12">
        <v>0</v>
      </c>
      <c r="AF1069" s="12">
        <v>0</v>
      </c>
      <c r="AG1069" s="12">
        <v>0</v>
      </c>
      <c r="AH1069" s="12">
        <v>6.23</v>
      </c>
      <c r="AI1069" s="12">
        <v>0</v>
      </c>
      <c r="AJ1069" s="13">
        <f t="shared" si="66"/>
        <v>0</v>
      </c>
      <c r="AN1069" s="12">
        <f t="shared" si="67"/>
        <v>48283</v>
      </c>
      <c r="AQ1069" s="8" t="s">
        <v>418</v>
      </c>
      <c r="AR1069" t="str">
        <f t="shared" si="68"/>
        <v>Noroeste - A03</v>
      </c>
    </row>
    <row r="1070" spans="1:44" x14ac:dyDescent="0.2">
      <c r="A1070" s="107" t="s">
        <v>2154</v>
      </c>
      <c r="B1070" s="106" t="s">
        <v>2153</v>
      </c>
      <c r="C1070" s="106" t="s">
        <v>2146</v>
      </c>
      <c r="D1070" s="106" t="s">
        <v>2152</v>
      </c>
      <c r="E1070" s="106" t="s">
        <v>2151</v>
      </c>
      <c r="F1070" s="106" t="s">
        <v>590</v>
      </c>
      <c r="G1070" s="106" t="s">
        <v>2150</v>
      </c>
      <c r="H1070" s="105" t="s">
        <v>2149</v>
      </c>
      <c r="I1070" s="105" t="s">
        <v>2142</v>
      </c>
      <c r="J1070" s="104">
        <v>0.89</v>
      </c>
      <c r="K1070" s="103" t="s">
        <v>423</v>
      </c>
      <c r="L1070" s="102" t="s">
        <v>533</v>
      </c>
      <c r="M1070" s="95"/>
      <c r="N1070" s="14"/>
      <c r="O1070" s="94">
        <v>25</v>
      </c>
      <c r="P1070" s="14" t="s">
        <v>586</v>
      </c>
      <c r="Q1070" s="14" t="s">
        <v>887</v>
      </c>
      <c r="R1070" s="14" t="s">
        <v>496</v>
      </c>
      <c r="S1070" s="15">
        <v>14.2</v>
      </c>
      <c r="T1070" s="15">
        <v>0.75</v>
      </c>
      <c r="U1070" s="15">
        <v>0</v>
      </c>
      <c r="V1070" s="14">
        <v>815</v>
      </c>
      <c r="W1070" s="12">
        <v>0</v>
      </c>
      <c r="X1070" s="12">
        <v>0</v>
      </c>
      <c r="Y1070" s="12">
        <v>0.89</v>
      </c>
      <c r="Z1070" s="12">
        <v>0</v>
      </c>
      <c r="AA1070" s="12">
        <v>0</v>
      </c>
      <c r="AB1070" s="13">
        <f t="shared" si="65"/>
        <v>0</v>
      </c>
      <c r="AE1070" s="12">
        <v>0</v>
      </c>
      <c r="AF1070" s="12">
        <v>0</v>
      </c>
      <c r="AG1070" s="12">
        <v>0.89</v>
      </c>
      <c r="AH1070" s="12">
        <v>0</v>
      </c>
      <c r="AI1070" s="12">
        <v>0</v>
      </c>
      <c r="AJ1070" s="13">
        <f t="shared" si="66"/>
        <v>0</v>
      </c>
      <c r="AN1070" s="12">
        <f t="shared" si="67"/>
        <v>726</v>
      </c>
      <c r="AQ1070" s="8" t="s">
        <v>418</v>
      </c>
      <c r="AR1070" t="str">
        <f t="shared" si="68"/>
        <v>Noroeste - A03</v>
      </c>
    </row>
    <row r="1071" spans="1:44" x14ac:dyDescent="0.2">
      <c r="A1071" s="107" t="s">
        <v>2148</v>
      </c>
      <c r="B1071" s="106" t="s">
        <v>2147</v>
      </c>
      <c r="C1071" s="106" t="s">
        <v>2146</v>
      </c>
      <c r="D1071" s="106" t="s">
        <v>2145</v>
      </c>
      <c r="E1071" s="106" t="s">
        <v>2144</v>
      </c>
      <c r="F1071" s="106" t="s">
        <v>490</v>
      </c>
      <c r="G1071" s="106" t="s">
        <v>2143</v>
      </c>
      <c r="H1071" s="105" t="s">
        <v>2142</v>
      </c>
      <c r="I1071" s="105" t="s">
        <v>2141</v>
      </c>
      <c r="J1071" s="104">
        <v>4.92</v>
      </c>
      <c r="K1071" s="103" t="s">
        <v>423</v>
      </c>
      <c r="L1071" s="102" t="s">
        <v>533</v>
      </c>
      <c r="M1071" s="95"/>
      <c r="N1071" s="14"/>
      <c r="O1071" s="94">
        <v>25</v>
      </c>
      <c r="P1071" s="14" t="s">
        <v>485</v>
      </c>
      <c r="Q1071" s="14" t="s">
        <v>887</v>
      </c>
      <c r="R1071" s="14" t="s">
        <v>1258</v>
      </c>
      <c r="S1071" s="15">
        <v>6.6</v>
      </c>
      <c r="T1071" s="15">
        <v>0</v>
      </c>
      <c r="U1071" s="15">
        <v>0</v>
      </c>
      <c r="V1071" s="14">
        <v>994</v>
      </c>
      <c r="W1071" s="12">
        <v>0</v>
      </c>
      <c r="X1071" s="12">
        <v>0</v>
      </c>
      <c r="Y1071" s="12">
        <v>2.92</v>
      </c>
      <c r="Z1071" s="12">
        <v>2</v>
      </c>
      <c r="AA1071" s="12">
        <v>0</v>
      </c>
      <c r="AB1071" s="13">
        <f t="shared" si="65"/>
        <v>0</v>
      </c>
      <c r="AE1071" s="12">
        <v>0</v>
      </c>
      <c r="AF1071" s="12">
        <v>0</v>
      </c>
      <c r="AG1071" s="12">
        <v>2.92</v>
      </c>
      <c r="AH1071" s="12">
        <v>2</v>
      </c>
      <c r="AI1071" s="12">
        <v>0</v>
      </c>
      <c r="AJ1071" s="13">
        <f t="shared" si="66"/>
        <v>0</v>
      </c>
      <c r="AN1071" s="12">
        <f t="shared" si="67"/>
        <v>4891</v>
      </c>
      <c r="AQ1071" s="8" t="s">
        <v>418</v>
      </c>
      <c r="AR1071" t="str">
        <f t="shared" si="68"/>
        <v>Noroeste - A03</v>
      </c>
    </row>
    <row r="1072" spans="1:44" x14ac:dyDescent="0.2">
      <c r="A1072" s="107" t="s">
        <v>2140</v>
      </c>
      <c r="B1072" s="106" t="s">
        <v>2139</v>
      </c>
      <c r="C1072" s="106" t="s">
        <v>2112</v>
      </c>
      <c r="D1072" s="106" t="s">
        <v>751</v>
      </c>
      <c r="E1072" s="106" t="s">
        <v>2111</v>
      </c>
      <c r="F1072" s="106" t="s">
        <v>490</v>
      </c>
      <c r="G1072" s="106" t="s">
        <v>2138</v>
      </c>
      <c r="H1072" s="105" t="s">
        <v>579</v>
      </c>
      <c r="I1072" s="105" t="s">
        <v>2137</v>
      </c>
      <c r="J1072" s="104">
        <v>7.93</v>
      </c>
      <c r="K1072" s="103" t="s">
        <v>422</v>
      </c>
      <c r="L1072" s="102" t="s">
        <v>801</v>
      </c>
      <c r="M1072" s="95"/>
      <c r="N1072" s="14"/>
      <c r="O1072" s="94">
        <v>2</v>
      </c>
      <c r="P1072" s="14" t="s">
        <v>485</v>
      </c>
      <c r="Q1072" s="14" t="s">
        <v>505</v>
      </c>
      <c r="R1072" s="14" t="s">
        <v>496</v>
      </c>
      <c r="S1072" s="15">
        <v>6.5614540983606569</v>
      </c>
      <c r="T1072" s="15">
        <v>1.5</v>
      </c>
      <c r="U1072" s="15">
        <v>0.5</v>
      </c>
      <c r="V1072" s="14">
        <v>1795</v>
      </c>
      <c r="W1072" s="12">
        <v>0</v>
      </c>
      <c r="X1072" s="12">
        <v>0</v>
      </c>
      <c r="Y1072" s="12">
        <v>7.93</v>
      </c>
      <c r="Z1072" s="12">
        <v>0</v>
      </c>
      <c r="AA1072" s="12">
        <v>0</v>
      </c>
      <c r="AB1072" s="13">
        <f t="shared" si="65"/>
        <v>0</v>
      </c>
      <c r="AE1072" s="12">
        <v>0</v>
      </c>
      <c r="AF1072" s="12">
        <v>0</v>
      </c>
      <c r="AG1072" s="12">
        <v>7.93</v>
      </c>
      <c r="AH1072" s="12">
        <v>0</v>
      </c>
      <c r="AI1072" s="12">
        <v>0</v>
      </c>
      <c r="AJ1072" s="13">
        <f t="shared" si="66"/>
        <v>0</v>
      </c>
      <c r="AN1072" s="12">
        <f t="shared" si="67"/>
        <v>14235</v>
      </c>
      <c r="AQ1072" s="8" t="s">
        <v>416</v>
      </c>
      <c r="AR1072" t="str">
        <f t="shared" si="68"/>
        <v>Leste - A02</v>
      </c>
    </row>
    <row r="1073" spans="1:44" x14ac:dyDescent="0.2">
      <c r="A1073" s="107" t="s">
        <v>2136</v>
      </c>
      <c r="B1073" s="106" t="s">
        <v>2132</v>
      </c>
      <c r="C1073" s="106" t="s">
        <v>2112</v>
      </c>
      <c r="D1073" s="106" t="s">
        <v>2131</v>
      </c>
      <c r="E1073" s="106" t="s">
        <v>2117</v>
      </c>
      <c r="F1073" s="106" t="s">
        <v>590</v>
      </c>
      <c r="G1073" s="106" t="s">
        <v>2135</v>
      </c>
      <c r="H1073" s="105" t="s">
        <v>2134</v>
      </c>
      <c r="I1073" s="105" t="s">
        <v>2124</v>
      </c>
      <c r="J1073" s="104">
        <v>1.02</v>
      </c>
      <c r="K1073" s="103" t="s">
        <v>422</v>
      </c>
      <c r="L1073" s="102" t="s">
        <v>801</v>
      </c>
      <c r="M1073" s="95"/>
      <c r="N1073" s="14"/>
      <c r="O1073" s="94">
        <v>2</v>
      </c>
      <c r="P1073" s="14" t="s">
        <v>586</v>
      </c>
      <c r="Q1073" s="14" t="s">
        <v>497</v>
      </c>
      <c r="R1073" s="14" t="s">
        <v>496</v>
      </c>
      <c r="S1073" s="15">
        <v>9</v>
      </c>
      <c r="T1073" s="15">
        <v>0</v>
      </c>
      <c r="U1073" s="15">
        <v>0</v>
      </c>
      <c r="V1073" s="14">
        <v>1256</v>
      </c>
      <c r="W1073" s="12">
        <v>0</v>
      </c>
      <c r="X1073" s="12">
        <v>0</v>
      </c>
      <c r="Y1073" s="12">
        <v>0</v>
      </c>
      <c r="Z1073" s="12">
        <v>1.02</v>
      </c>
      <c r="AA1073" s="12">
        <v>0</v>
      </c>
      <c r="AB1073" s="13">
        <f t="shared" si="65"/>
        <v>0</v>
      </c>
      <c r="AE1073" s="12">
        <v>0</v>
      </c>
      <c r="AF1073" s="12">
        <v>0</v>
      </c>
      <c r="AG1073" s="12">
        <v>0</v>
      </c>
      <c r="AH1073" s="12">
        <v>1.02</v>
      </c>
      <c r="AI1073" s="12">
        <v>0</v>
      </c>
      <c r="AJ1073" s="13">
        <f t="shared" si="66"/>
        <v>0</v>
      </c>
      <c r="AN1073" s="12">
        <f t="shared" si="67"/>
        <v>1282</v>
      </c>
      <c r="AQ1073" s="8" t="s">
        <v>416</v>
      </c>
      <c r="AR1073" t="str">
        <f t="shared" si="68"/>
        <v>Leste - A02</v>
      </c>
    </row>
    <row r="1074" spans="1:44" x14ac:dyDescent="0.2">
      <c r="A1074" s="107" t="s">
        <v>2133</v>
      </c>
      <c r="B1074" s="106" t="s">
        <v>2132</v>
      </c>
      <c r="C1074" s="106" t="s">
        <v>2112</v>
      </c>
      <c r="D1074" s="106" t="s">
        <v>2131</v>
      </c>
      <c r="E1074" s="106" t="s">
        <v>2117</v>
      </c>
      <c r="F1074" s="106" t="s">
        <v>590</v>
      </c>
      <c r="G1074" s="106" t="s">
        <v>2130</v>
      </c>
      <c r="H1074" s="105" t="s">
        <v>2129</v>
      </c>
      <c r="I1074" s="105" t="s">
        <v>2128</v>
      </c>
      <c r="J1074" s="104">
        <v>2.02</v>
      </c>
      <c r="K1074" s="103" t="s">
        <v>422</v>
      </c>
      <c r="L1074" s="102" t="s">
        <v>801</v>
      </c>
      <c r="M1074" s="95"/>
      <c r="N1074" s="14"/>
      <c r="O1074" s="94">
        <v>2</v>
      </c>
      <c r="P1074" s="14" t="s">
        <v>586</v>
      </c>
      <c r="Q1074" s="14" t="s">
        <v>497</v>
      </c>
      <c r="R1074" s="14" t="s">
        <v>496</v>
      </c>
      <c r="S1074" s="15">
        <v>8.84</v>
      </c>
      <c r="T1074" s="15">
        <v>0</v>
      </c>
      <c r="U1074" s="15">
        <v>0</v>
      </c>
      <c r="V1074" s="14">
        <v>1256</v>
      </c>
      <c r="W1074" s="12">
        <v>0</v>
      </c>
      <c r="X1074" s="12">
        <v>0</v>
      </c>
      <c r="Y1074" s="12">
        <v>0</v>
      </c>
      <c r="Z1074" s="12">
        <v>2.02</v>
      </c>
      <c r="AA1074" s="12">
        <v>0</v>
      </c>
      <c r="AB1074" s="13">
        <f t="shared" si="65"/>
        <v>0</v>
      </c>
      <c r="AE1074" s="12">
        <v>0</v>
      </c>
      <c r="AF1074" s="12">
        <v>0</v>
      </c>
      <c r="AG1074" s="12">
        <v>0</v>
      </c>
      <c r="AH1074" s="12">
        <v>2.02</v>
      </c>
      <c r="AI1074" s="12">
        <v>0</v>
      </c>
      <c r="AJ1074" s="13">
        <f t="shared" si="66"/>
        <v>0</v>
      </c>
      <c r="AN1074" s="12">
        <f t="shared" si="67"/>
        <v>2538</v>
      </c>
      <c r="AQ1074" s="8" t="s">
        <v>416</v>
      </c>
      <c r="AR1074" t="str">
        <f t="shared" si="68"/>
        <v>Leste - A02</v>
      </c>
    </row>
    <row r="1075" spans="1:44" x14ac:dyDescent="0.2">
      <c r="A1075" s="107" t="s">
        <v>2127</v>
      </c>
      <c r="B1075" s="106" t="s">
        <v>2126</v>
      </c>
      <c r="C1075" s="106" t="s">
        <v>2112</v>
      </c>
      <c r="D1075" s="106" t="s">
        <v>492</v>
      </c>
      <c r="E1075" s="106" t="s">
        <v>2111</v>
      </c>
      <c r="F1075" s="106" t="s">
        <v>490</v>
      </c>
      <c r="G1075" s="106" t="s">
        <v>2125</v>
      </c>
      <c r="H1075" s="105" t="s">
        <v>2124</v>
      </c>
      <c r="I1075" s="105" t="s">
        <v>2120</v>
      </c>
      <c r="J1075" s="104">
        <v>5.88</v>
      </c>
      <c r="K1075" s="103" t="s">
        <v>422</v>
      </c>
      <c r="L1075" s="102" t="s">
        <v>801</v>
      </c>
      <c r="M1075" s="95"/>
      <c r="N1075" s="14"/>
      <c r="O1075" s="94">
        <v>2</v>
      </c>
      <c r="P1075" s="14" t="s">
        <v>485</v>
      </c>
      <c r="Q1075" s="14" t="s">
        <v>497</v>
      </c>
      <c r="R1075" s="14" t="s">
        <v>496</v>
      </c>
      <c r="S1075" s="15">
        <v>7.2801411564625855</v>
      </c>
      <c r="T1075" s="15">
        <v>3</v>
      </c>
      <c r="U1075" s="15">
        <v>0</v>
      </c>
      <c r="V1075" s="14">
        <v>1604</v>
      </c>
      <c r="W1075" s="12">
        <v>0</v>
      </c>
      <c r="X1075" s="12">
        <v>0</v>
      </c>
      <c r="Y1075" s="12">
        <v>1</v>
      </c>
      <c r="Z1075" s="12">
        <v>4.88</v>
      </c>
      <c r="AA1075" s="12">
        <v>0</v>
      </c>
      <c r="AB1075" s="13">
        <f t="shared" si="65"/>
        <v>0</v>
      </c>
      <c r="AE1075" s="12">
        <v>0</v>
      </c>
      <c r="AF1075" s="12">
        <v>0</v>
      </c>
      <c r="AG1075" s="12">
        <v>1</v>
      </c>
      <c r="AH1075" s="12">
        <v>4.88</v>
      </c>
      <c r="AI1075" s="12">
        <v>0</v>
      </c>
      <c r="AJ1075" s="13">
        <f t="shared" si="66"/>
        <v>0</v>
      </c>
      <c r="AN1075" s="12">
        <f t="shared" si="67"/>
        <v>9432</v>
      </c>
      <c r="AQ1075" s="8" t="s">
        <v>416</v>
      </c>
      <c r="AR1075" t="str">
        <f t="shared" si="68"/>
        <v>Leste - A02</v>
      </c>
    </row>
    <row r="1076" spans="1:44" x14ac:dyDescent="0.2">
      <c r="A1076" s="107" t="s">
        <v>2123</v>
      </c>
      <c r="B1076" s="106" t="s">
        <v>2122</v>
      </c>
      <c r="C1076" s="106" t="s">
        <v>2112</v>
      </c>
      <c r="D1076" s="106" t="s">
        <v>592</v>
      </c>
      <c r="E1076" s="106" t="s">
        <v>2111</v>
      </c>
      <c r="F1076" s="106" t="s">
        <v>490</v>
      </c>
      <c r="G1076" s="106" t="s">
        <v>2121</v>
      </c>
      <c r="H1076" s="105" t="s">
        <v>2120</v>
      </c>
      <c r="I1076" s="105" t="s">
        <v>2115</v>
      </c>
      <c r="J1076" s="104">
        <v>3.43</v>
      </c>
      <c r="K1076" s="103" t="s">
        <v>422</v>
      </c>
      <c r="L1076" s="102" t="s">
        <v>801</v>
      </c>
      <c r="M1076" s="95"/>
      <c r="N1076" s="14"/>
      <c r="O1076" s="94">
        <v>2</v>
      </c>
      <c r="P1076" s="14" t="s">
        <v>485</v>
      </c>
      <c r="Q1076" s="14" t="s">
        <v>497</v>
      </c>
      <c r="R1076" s="14" t="s">
        <v>496</v>
      </c>
      <c r="S1076" s="15">
        <v>7.28</v>
      </c>
      <c r="T1076" s="15">
        <v>3</v>
      </c>
      <c r="U1076" s="15">
        <v>0</v>
      </c>
      <c r="V1076" s="14">
        <v>1604</v>
      </c>
      <c r="W1076" s="12">
        <v>0</v>
      </c>
      <c r="X1076" s="12">
        <v>0</v>
      </c>
      <c r="Y1076" s="12">
        <v>0</v>
      </c>
      <c r="Z1076" s="12">
        <v>3.43</v>
      </c>
      <c r="AA1076" s="12">
        <v>0</v>
      </c>
      <c r="AB1076" s="13">
        <f t="shared" si="65"/>
        <v>0</v>
      </c>
      <c r="AE1076" s="12">
        <v>0</v>
      </c>
      <c r="AF1076" s="12">
        <v>0</v>
      </c>
      <c r="AG1076" s="12">
        <v>0</v>
      </c>
      <c r="AH1076" s="12">
        <v>3.43</v>
      </c>
      <c r="AI1076" s="12">
        <v>0</v>
      </c>
      <c r="AJ1076" s="13">
        <f t="shared" si="66"/>
        <v>0</v>
      </c>
      <c r="AN1076" s="12">
        <f t="shared" si="67"/>
        <v>5502</v>
      </c>
      <c r="AQ1076" s="8" t="s">
        <v>416</v>
      </c>
      <c r="AR1076" t="str">
        <f t="shared" si="68"/>
        <v>Leste - A02</v>
      </c>
    </row>
    <row r="1077" spans="1:44" x14ac:dyDescent="0.2">
      <c r="A1077" s="107" t="s">
        <v>2119</v>
      </c>
      <c r="B1077" s="106" t="s">
        <v>2118</v>
      </c>
      <c r="C1077" s="106" t="s">
        <v>2112</v>
      </c>
      <c r="D1077" s="106" t="s">
        <v>519</v>
      </c>
      <c r="E1077" s="106" t="s">
        <v>2117</v>
      </c>
      <c r="F1077" s="106" t="s">
        <v>590</v>
      </c>
      <c r="G1077" s="106" t="s">
        <v>2116</v>
      </c>
      <c r="H1077" s="105" t="s">
        <v>2115</v>
      </c>
      <c r="I1077" s="105" t="s">
        <v>2109</v>
      </c>
      <c r="J1077" s="104">
        <v>1.32</v>
      </c>
      <c r="K1077" s="103" t="s">
        <v>422</v>
      </c>
      <c r="L1077" s="102" t="s">
        <v>801</v>
      </c>
      <c r="M1077" s="95"/>
      <c r="N1077" s="14"/>
      <c r="O1077" s="94">
        <v>2</v>
      </c>
      <c r="P1077" s="14" t="s">
        <v>586</v>
      </c>
      <c r="Q1077" s="14" t="s">
        <v>497</v>
      </c>
      <c r="R1077" s="14" t="s">
        <v>496</v>
      </c>
      <c r="S1077" s="15">
        <v>8.9499999999999993</v>
      </c>
      <c r="T1077" s="15">
        <v>0</v>
      </c>
      <c r="U1077" s="15">
        <v>0</v>
      </c>
      <c r="V1077" s="14">
        <v>1253</v>
      </c>
      <c r="W1077" s="12">
        <v>0</v>
      </c>
      <c r="X1077" s="12">
        <v>0.32000000000000006</v>
      </c>
      <c r="Y1077" s="12">
        <v>1</v>
      </c>
      <c r="Z1077" s="12">
        <v>0</v>
      </c>
      <c r="AA1077" s="12">
        <v>0</v>
      </c>
      <c r="AB1077" s="13">
        <f t="shared" si="65"/>
        <v>0</v>
      </c>
      <c r="AE1077" s="12">
        <v>0</v>
      </c>
      <c r="AF1077" s="12">
        <v>0.32000000000000006</v>
      </c>
      <c r="AG1077" s="12">
        <v>1</v>
      </c>
      <c r="AH1077" s="12">
        <v>0</v>
      </c>
      <c r="AI1077" s="12">
        <v>0</v>
      </c>
      <c r="AJ1077" s="13">
        <f t="shared" si="66"/>
        <v>0</v>
      </c>
      <c r="AN1077" s="12">
        <f t="shared" si="67"/>
        <v>1654</v>
      </c>
      <c r="AQ1077" s="8" t="s">
        <v>416</v>
      </c>
      <c r="AR1077" t="str">
        <f t="shared" si="68"/>
        <v>Leste - A02</v>
      </c>
    </row>
    <row r="1078" spans="1:44" x14ac:dyDescent="0.2">
      <c r="A1078" s="107" t="s">
        <v>2114</v>
      </c>
      <c r="B1078" s="106" t="s">
        <v>2113</v>
      </c>
      <c r="C1078" s="106" t="s">
        <v>2112</v>
      </c>
      <c r="D1078" s="106" t="s">
        <v>513</v>
      </c>
      <c r="E1078" s="106" t="s">
        <v>2111</v>
      </c>
      <c r="F1078" s="106" t="s">
        <v>490</v>
      </c>
      <c r="G1078" s="106" t="s">
        <v>2110</v>
      </c>
      <c r="H1078" s="105" t="s">
        <v>2109</v>
      </c>
      <c r="I1078" s="105" t="s">
        <v>2108</v>
      </c>
      <c r="J1078" s="104">
        <v>8.1</v>
      </c>
      <c r="K1078" s="103" t="s">
        <v>422</v>
      </c>
      <c r="L1078" s="102" t="s">
        <v>801</v>
      </c>
      <c r="M1078" s="95"/>
      <c r="N1078" s="14"/>
      <c r="O1078" s="94">
        <v>2</v>
      </c>
      <c r="P1078" s="14" t="s">
        <v>485</v>
      </c>
      <c r="Q1078" s="14" t="s">
        <v>497</v>
      </c>
      <c r="R1078" s="14" t="s">
        <v>496</v>
      </c>
      <c r="S1078" s="15">
        <v>7.28</v>
      </c>
      <c r="T1078" s="15">
        <v>1.5</v>
      </c>
      <c r="U1078" s="15">
        <v>0</v>
      </c>
      <c r="V1078" s="14">
        <v>1604</v>
      </c>
      <c r="W1078" s="12">
        <v>0</v>
      </c>
      <c r="X1078" s="12">
        <v>0</v>
      </c>
      <c r="Y1078" s="12">
        <v>1</v>
      </c>
      <c r="Z1078" s="12">
        <v>7.1</v>
      </c>
      <c r="AA1078" s="12">
        <v>0</v>
      </c>
      <c r="AB1078" s="13">
        <f t="shared" si="65"/>
        <v>0</v>
      </c>
      <c r="AE1078" s="12">
        <v>0</v>
      </c>
      <c r="AF1078" s="12">
        <v>0</v>
      </c>
      <c r="AG1078" s="12">
        <v>1</v>
      </c>
      <c r="AH1078" s="12">
        <v>7.1</v>
      </c>
      <c r="AI1078" s="12">
        <v>0</v>
      </c>
      <c r="AJ1078" s="13">
        <f t="shared" si="66"/>
        <v>0</v>
      </c>
      <c r="AN1078" s="12">
        <f t="shared" si="67"/>
        <v>12993</v>
      </c>
      <c r="AQ1078" s="8" t="s">
        <v>416</v>
      </c>
      <c r="AR1078" t="str">
        <f t="shared" si="68"/>
        <v>Leste - A02</v>
      </c>
    </row>
    <row r="1079" spans="1:44" x14ac:dyDescent="0.2">
      <c r="A1079" s="107" t="s">
        <v>2107</v>
      </c>
      <c r="B1079" s="106" t="s">
        <v>2106</v>
      </c>
      <c r="C1079" s="106" t="s">
        <v>2100</v>
      </c>
      <c r="D1079" s="106" t="s">
        <v>513</v>
      </c>
      <c r="E1079" s="106" t="s">
        <v>2105</v>
      </c>
      <c r="F1079" s="106" t="s">
        <v>490</v>
      </c>
      <c r="G1079" s="106" t="s">
        <v>2104</v>
      </c>
      <c r="H1079" s="105" t="s">
        <v>2103</v>
      </c>
      <c r="I1079" s="105" t="s">
        <v>2097</v>
      </c>
      <c r="J1079" s="104">
        <v>8.51</v>
      </c>
      <c r="K1079" s="103" t="s">
        <v>422</v>
      </c>
      <c r="L1079" s="102" t="s">
        <v>801</v>
      </c>
      <c r="M1079" s="95"/>
      <c r="N1079" s="14"/>
      <c r="O1079" s="94">
        <v>2</v>
      </c>
      <c r="P1079" s="14" t="s">
        <v>485</v>
      </c>
      <c r="Q1079" s="14" t="s">
        <v>497</v>
      </c>
      <c r="R1079" s="14" t="s">
        <v>496</v>
      </c>
      <c r="S1079" s="15">
        <v>7.6258519388954173</v>
      </c>
      <c r="T1079" s="15">
        <v>1.2</v>
      </c>
      <c r="U1079" s="15">
        <v>0</v>
      </c>
      <c r="V1079" s="14">
        <v>1071</v>
      </c>
      <c r="W1079" s="12">
        <v>0</v>
      </c>
      <c r="X1079" s="12">
        <v>0</v>
      </c>
      <c r="Y1079" s="12">
        <v>1</v>
      </c>
      <c r="Z1079" s="12">
        <v>7.51</v>
      </c>
      <c r="AA1079" s="12">
        <v>0</v>
      </c>
      <c r="AB1079" s="13">
        <f t="shared" si="65"/>
        <v>0</v>
      </c>
      <c r="AE1079" s="12">
        <v>0</v>
      </c>
      <c r="AF1079" s="12">
        <v>0</v>
      </c>
      <c r="AG1079" s="12">
        <v>1</v>
      </c>
      <c r="AH1079" s="12">
        <v>7.51</v>
      </c>
      <c r="AI1079" s="12">
        <v>0</v>
      </c>
      <c r="AJ1079" s="13">
        <f t="shared" si="66"/>
        <v>0</v>
      </c>
      <c r="AN1079" s="12">
        <f t="shared" si="67"/>
        <v>9115</v>
      </c>
      <c r="AQ1079" s="8" t="s">
        <v>416</v>
      </c>
      <c r="AR1079" t="str">
        <f t="shared" si="68"/>
        <v>Leste - A02</v>
      </c>
    </row>
    <row r="1080" spans="1:44" x14ac:dyDescent="0.2">
      <c r="A1080" s="107" t="s">
        <v>2102</v>
      </c>
      <c r="B1080" s="106" t="s">
        <v>2101</v>
      </c>
      <c r="C1080" s="106" t="s">
        <v>2100</v>
      </c>
      <c r="D1080" s="106" t="s">
        <v>1324</v>
      </c>
      <c r="E1080" s="106" t="s">
        <v>2099</v>
      </c>
      <c r="F1080" s="106" t="s">
        <v>590</v>
      </c>
      <c r="G1080" s="106" t="s">
        <v>2098</v>
      </c>
      <c r="H1080" s="105" t="s">
        <v>2097</v>
      </c>
      <c r="I1080" s="105" t="s">
        <v>2096</v>
      </c>
      <c r="J1080" s="104">
        <v>0.81</v>
      </c>
      <c r="K1080" s="103" t="s">
        <v>422</v>
      </c>
      <c r="L1080" s="102" t="s">
        <v>801</v>
      </c>
      <c r="M1080" s="95"/>
      <c r="N1080" s="14"/>
      <c r="O1080" s="94">
        <v>2</v>
      </c>
      <c r="P1080" s="14" t="s">
        <v>586</v>
      </c>
      <c r="Q1080" s="14" t="s">
        <v>497</v>
      </c>
      <c r="R1080" s="14" t="s">
        <v>496</v>
      </c>
      <c r="S1080" s="15">
        <v>9</v>
      </c>
      <c r="T1080" s="15">
        <v>0</v>
      </c>
      <c r="U1080" s="15">
        <v>0</v>
      </c>
      <c r="V1080" s="14">
        <v>837</v>
      </c>
      <c r="W1080" s="12">
        <v>0</v>
      </c>
      <c r="X1080" s="12">
        <v>0</v>
      </c>
      <c r="Y1080" s="12">
        <v>0</v>
      </c>
      <c r="Z1080" s="12">
        <v>0.81</v>
      </c>
      <c r="AA1080" s="12">
        <v>0</v>
      </c>
      <c r="AB1080" s="13">
        <f t="shared" si="65"/>
        <v>0</v>
      </c>
      <c r="AE1080" s="12">
        <v>0</v>
      </c>
      <c r="AF1080" s="12">
        <v>0</v>
      </c>
      <c r="AG1080" s="12">
        <v>0</v>
      </c>
      <c r="AH1080" s="12">
        <v>0.81</v>
      </c>
      <c r="AI1080" s="12">
        <v>0</v>
      </c>
      <c r="AJ1080" s="13">
        <f t="shared" si="66"/>
        <v>0</v>
      </c>
      <c r="AN1080" s="12">
        <f t="shared" si="67"/>
        <v>678</v>
      </c>
      <c r="AQ1080" s="8" t="s">
        <v>416</v>
      </c>
      <c r="AR1080" t="str">
        <f t="shared" si="68"/>
        <v>Leste - A02</v>
      </c>
    </row>
    <row r="1081" spans="1:44" x14ac:dyDescent="0.2">
      <c r="A1081" s="107" t="s">
        <v>2095</v>
      </c>
      <c r="B1081" s="106" t="s">
        <v>2094</v>
      </c>
      <c r="C1081" s="106" t="s">
        <v>2075</v>
      </c>
      <c r="D1081" s="106" t="s">
        <v>981</v>
      </c>
      <c r="E1081" s="106" t="s">
        <v>2074</v>
      </c>
      <c r="F1081" s="106" t="s">
        <v>490</v>
      </c>
      <c r="G1081" s="106" t="s">
        <v>2093</v>
      </c>
      <c r="H1081" s="105" t="s">
        <v>2092</v>
      </c>
      <c r="I1081" s="105" t="s">
        <v>2088</v>
      </c>
      <c r="J1081" s="104">
        <v>1.45</v>
      </c>
      <c r="K1081" s="103" t="s">
        <v>423</v>
      </c>
      <c r="L1081" s="102" t="s">
        <v>801</v>
      </c>
      <c r="M1081" s="95"/>
      <c r="N1081" s="14"/>
      <c r="O1081" s="94">
        <v>3</v>
      </c>
      <c r="P1081" s="14" t="s">
        <v>485</v>
      </c>
      <c r="Q1081" s="14" t="s">
        <v>497</v>
      </c>
      <c r="R1081" s="14" t="s">
        <v>496</v>
      </c>
      <c r="S1081" s="15">
        <v>8.5578689655172369</v>
      </c>
      <c r="T1081" s="15">
        <v>0</v>
      </c>
      <c r="U1081" s="15">
        <v>0</v>
      </c>
      <c r="V1081" s="14">
        <v>3451</v>
      </c>
      <c r="W1081" s="12">
        <v>0</v>
      </c>
      <c r="X1081" s="12">
        <v>0</v>
      </c>
      <c r="Y1081" s="12">
        <v>0</v>
      </c>
      <c r="Z1081" s="12">
        <v>1.45</v>
      </c>
      <c r="AA1081" s="12">
        <v>0</v>
      </c>
      <c r="AB1081" s="13">
        <f t="shared" si="65"/>
        <v>0</v>
      </c>
      <c r="AE1081" s="12">
        <v>0</v>
      </c>
      <c r="AF1081" s="12">
        <v>0</v>
      </c>
      <c r="AG1081" s="12">
        <v>0</v>
      </c>
      <c r="AH1081" s="12">
        <v>1.45</v>
      </c>
      <c r="AI1081" s="12">
        <v>0</v>
      </c>
      <c r="AJ1081" s="13">
        <f t="shared" si="66"/>
        <v>0</v>
      </c>
      <c r="AN1081" s="12">
        <f t="shared" si="67"/>
        <v>5004</v>
      </c>
      <c r="AQ1081" s="8" t="s">
        <v>416</v>
      </c>
      <c r="AR1081" t="str">
        <f t="shared" si="68"/>
        <v>Leste - A03</v>
      </c>
    </row>
    <row r="1082" spans="1:44" x14ac:dyDescent="0.2">
      <c r="A1082" s="107" t="s">
        <v>2091</v>
      </c>
      <c r="B1082" s="106" t="s">
        <v>2090</v>
      </c>
      <c r="C1082" s="106" t="s">
        <v>2075</v>
      </c>
      <c r="D1082" s="106" t="s">
        <v>1304</v>
      </c>
      <c r="E1082" s="106" t="s">
        <v>2074</v>
      </c>
      <c r="F1082" s="106" t="s">
        <v>490</v>
      </c>
      <c r="G1082" s="106" t="s">
        <v>2089</v>
      </c>
      <c r="H1082" s="105" t="s">
        <v>2088</v>
      </c>
      <c r="I1082" s="105" t="s">
        <v>2084</v>
      </c>
      <c r="J1082" s="104">
        <v>1.74</v>
      </c>
      <c r="K1082" s="103" t="s">
        <v>423</v>
      </c>
      <c r="L1082" s="102" t="s">
        <v>801</v>
      </c>
      <c r="M1082" s="95"/>
      <c r="N1082" s="14"/>
      <c r="O1082" s="94">
        <v>3</v>
      </c>
      <c r="P1082" s="14" t="s">
        <v>485</v>
      </c>
      <c r="Q1082" s="14" t="s">
        <v>497</v>
      </c>
      <c r="R1082" s="14" t="s">
        <v>496</v>
      </c>
      <c r="S1082" s="15">
        <v>7.1708620689655085</v>
      </c>
      <c r="T1082" s="15">
        <v>0</v>
      </c>
      <c r="U1082" s="15">
        <v>0</v>
      </c>
      <c r="V1082" s="14">
        <v>3451</v>
      </c>
      <c r="W1082" s="12">
        <v>0</v>
      </c>
      <c r="X1082" s="12">
        <v>0</v>
      </c>
      <c r="Y1082" s="12">
        <v>1</v>
      </c>
      <c r="Z1082" s="12">
        <v>0.74</v>
      </c>
      <c r="AA1082" s="12">
        <v>0</v>
      </c>
      <c r="AB1082" s="13">
        <f t="shared" si="65"/>
        <v>0</v>
      </c>
      <c r="AE1082" s="12">
        <v>0</v>
      </c>
      <c r="AF1082" s="12">
        <v>0</v>
      </c>
      <c r="AG1082" s="12">
        <v>1</v>
      </c>
      <c r="AH1082" s="12">
        <v>0.74</v>
      </c>
      <c r="AI1082" s="12">
        <v>0</v>
      </c>
      <c r="AJ1082" s="13">
        <f t="shared" si="66"/>
        <v>0</v>
      </c>
      <c r="AN1082" s="12">
        <f t="shared" si="67"/>
        <v>6005</v>
      </c>
      <c r="AQ1082" s="8" t="s">
        <v>416</v>
      </c>
      <c r="AR1082" t="str">
        <f t="shared" si="68"/>
        <v>Leste - A03</v>
      </c>
    </row>
    <row r="1083" spans="1:44" x14ac:dyDescent="0.2">
      <c r="A1083" s="107" t="s">
        <v>2087</v>
      </c>
      <c r="B1083" s="106" t="s">
        <v>2086</v>
      </c>
      <c r="C1083" s="106" t="s">
        <v>2075</v>
      </c>
      <c r="D1083" s="106" t="s">
        <v>975</v>
      </c>
      <c r="E1083" s="106" t="s">
        <v>2074</v>
      </c>
      <c r="F1083" s="106" t="s">
        <v>490</v>
      </c>
      <c r="G1083" s="106" t="s">
        <v>2085</v>
      </c>
      <c r="H1083" s="105" t="s">
        <v>2084</v>
      </c>
      <c r="I1083" s="105" t="s">
        <v>2083</v>
      </c>
      <c r="J1083" s="104">
        <v>12.74</v>
      </c>
      <c r="K1083" s="103" t="s">
        <v>423</v>
      </c>
      <c r="L1083" s="102" t="s">
        <v>801</v>
      </c>
      <c r="M1083" s="95"/>
      <c r="N1083" s="14"/>
      <c r="O1083" s="94">
        <v>3</v>
      </c>
      <c r="P1083" s="14" t="s">
        <v>485</v>
      </c>
      <c r="Q1083" s="14" t="s">
        <v>497</v>
      </c>
      <c r="R1083" s="14" t="s">
        <v>496</v>
      </c>
      <c r="S1083" s="15">
        <v>6.7106138147566758</v>
      </c>
      <c r="T1083" s="15">
        <v>0</v>
      </c>
      <c r="U1083" s="15">
        <v>0</v>
      </c>
      <c r="V1083" s="14">
        <v>7088</v>
      </c>
      <c r="W1083" s="12">
        <v>0</v>
      </c>
      <c r="X1083" s="12">
        <v>0</v>
      </c>
      <c r="Y1083" s="12">
        <v>3</v>
      </c>
      <c r="Z1083" s="12">
        <v>9.74</v>
      </c>
      <c r="AA1083" s="12">
        <v>0</v>
      </c>
      <c r="AB1083" s="13">
        <f t="shared" si="65"/>
        <v>0</v>
      </c>
      <c r="AE1083" s="12">
        <v>0</v>
      </c>
      <c r="AF1083" s="12">
        <v>0</v>
      </c>
      <c r="AG1083" s="12">
        <v>3</v>
      </c>
      <c r="AH1083" s="12">
        <v>9.74</v>
      </c>
      <c r="AI1083" s="12">
        <v>0</v>
      </c>
      <c r="AJ1083" s="13">
        <f t="shared" si="66"/>
        <v>0</v>
      </c>
      <c r="AN1083" s="12">
        <f t="shared" si="67"/>
        <v>90302</v>
      </c>
      <c r="AQ1083" s="8" t="s">
        <v>416</v>
      </c>
      <c r="AR1083" t="str">
        <f t="shared" si="68"/>
        <v>Leste - A03</v>
      </c>
    </row>
    <row r="1084" spans="1:44" x14ac:dyDescent="0.2">
      <c r="A1084" s="107" t="s">
        <v>2082</v>
      </c>
      <c r="B1084" s="106" t="s">
        <v>2081</v>
      </c>
      <c r="C1084" s="106" t="s">
        <v>2075</v>
      </c>
      <c r="D1084" s="106" t="s">
        <v>1269</v>
      </c>
      <c r="E1084" s="106" t="s">
        <v>2074</v>
      </c>
      <c r="F1084" s="106" t="s">
        <v>490</v>
      </c>
      <c r="G1084" s="106" t="s">
        <v>2080</v>
      </c>
      <c r="H1084" s="105" t="s">
        <v>2079</v>
      </c>
      <c r="I1084" s="105" t="s">
        <v>2078</v>
      </c>
      <c r="J1084" s="104">
        <v>10.28</v>
      </c>
      <c r="K1084" s="103" t="s">
        <v>423</v>
      </c>
      <c r="L1084" s="102" t="s">
        <v>801</v>
      </c>
      <c r="M1084" s="95"/>
      <c r="N1084" s="14"/>
      <c r="O1084" s="94">
        <v>3</v>
      </c>
      <c r="P1084" s="14" t="s">
        <v>485</v>
      </c>
      <c r="Q1084" s="14" t="s">
        <v>497</v>
      </c>
      <c r="R1084" s="14" t="s">
        <v>496</v>
      </c>
      <c r="S1084" s="15">
        <v>6.3156665369649803</v>
      </c>
      <c r="T1084" s="15">
        <v>0</v>
      </c>
      <c r="U1084" s="15">
        <v>0</v>
      </c>
      <c r="V1084" s="14">
        <v>5742</v>
      </c>
      <c r="W1084" s="12">
        <v>0</v>
      </c>
      <c r="X1084" s="12">
        <v>0</v>
      </c>
      <c r="Y1084" s="12">
        <v>0</v>
      </c>
      <c r="Z1084" s="12">
        <v>10.28</v>
      </c>
      <c r="AA1084" s="12">
        <v>0</v>
      </c>
      <c r="AB1084" s="13">
        <f t="shared" si="65"/>
        <v>0</v>
      </c>
      <c r="AE1084" s="12">
        <v>0</v>
      </c>
      <c r="AF1084" s="12">
        <v>0</v>
      </c>
      <c r="AG1084" s="12">
        <v>0</v>
      </c>
      <c r="AH1084" s="12">
        <v>10.28</v>
      </c>
      <c r="AI1084" s="12">
        <v>0</v>
      </c>
      <c r="AJ1084" s="13">
        <f t="shared" si="66"/>
        <v>0</v>
      </c>
      <c r="AN1084" s="12">
        <f t="shared" si="67"/>
        <v>59028</v>
      </c>
      <c r="AQ1084" s="8" t="s">
        <v>416</v>
      </c>
      <c r="AR1084" t="str">
        <f t="shared" si="68"/>
        <v>Leste - A03</v>
      </c>
    </row>
    <row r="1085" spans="1:44" x14ac:dyDescent="0.2">
      <c r="A1085" s="107" t="s">
        <v>2077</v>
      </c>
      <c r="B1085" s="106" t="s">
        <v>2076</v>
      </c>
      <c r="C1085" s="106" t="s">
        <v>2075</v>
      </c>
      <c r="D1085" s="106" t="s">
        <v>965</v>
      </c>
      <c r="E1085" s="106" t="s">
        <v>2074</v>
      </c>
      <c r="F1085" s="106" t="s">
        <v>490</v>
      </c>
      <c r="G1085" s="106" t="s">
        <v>2073</v>
      </c>
      <c r="H1085" s="105" t="s">
        <v>2072</v>
      </c>
      <c r="I1085" s="105" t="s">
        <v>2071</v>
      </c>
      <c r="J1085" s="104">
        <v>2.96</v>
      </c>
      <c r="K1085" s="103" t="s">
        <v>423</v>
      </c>
      <c r="L1085" s="102" t="s">
        <v>801</v>
      </c>
      <c r="M1085" s="95"/>
      <c r="N1085" s="14"/>
      <c r="O1085" s="94">
        <v>3</v>
      </c>
      <c r="P1085" s="14" t="s">
        <v>485</v>
      </c>
      <c r="Q1085" s="14" t="s">
        <v>505</v>
      </c>
      <c r="R1085" s="14" t="s">
        <v>496</v>
      </c>
      <c r="S1085" s="15">
        <v>6.1788344594594591</v>
      </c>
      <c r="T1085" s="15">
        <v>0</v>
      </c>
      <c r="U1085" s="15">
        <v>0</v>
      </c>
      <c r="V1085" s="14">
        <v>791</v>
      </c>
      <c r="W1085" s="12">
        <v>0</v>
      </c>
      <c r="X1085" s="12">
        <v>0</v>
      </c>
      <c r="Y1085" s="12">
        <v>0</v>
      </c>
      <c r="Z1085" s="12">
        <v>2.96</v>
      </c>
      <c r="AA1085" s="12">
        <v>0</v>
      </c>
      <c r="AB1085" s="13">
        <f t="shared" si="65"/>
        <v>0</v>
      </c>
      <c r="AE1085" s="12">
        <v>0</v>
      </c>
      <c r="AF1085" s="12">
        <v>0</v>
      </c>
      <c r="AG1085" s="12">
        <v>0</v>
      </c>
      <c r="AH1085" s="12">
        <v>2.96</v>
      </c>
      <c r="AI1085" s="12">
        <v>0</v>
      </c>
      <c r="AJ1085" s="13">
        <f t="shared" si="66"/>
        <v>0</v>
      </c>
      <c r="AN1085" s="12">
        <f t="shared" si="67"/>
        <v>2342</v>
      </c>
      <c r="AQ1085" s="8" t="s">
        <v>416</v>
      </c>
      <c r="AR1085" t="str">
        <f t="shared" si="68"/>
        <v>Leste - A03</v>
      </c>
    </row>
    <row r="1086" spans="1:44" x14ac:dyDescent="0.2">
      <c r="A1086" s="107" t="s">
        <v>2070</v>
      </c>
      <c r="B1086" s="106" t="s">
        <v>2069</v>
      </c>
      <c r="C1086" s="106" t="s">
        <v>2068</v>
      </c>
      <c r="D1086" s="106" t="s">
        <v>989</v>
      </c>
      <c r="E1086" s="106" t="s">
        <v>2067</v>
      </c>
      <c r="F1086" s="106" t="s">
        <v>490</v>
      </c>
      <c r="G1086" s="106" t="s">
        <v>2066</v>
      </c>
      <c r="H1086" s="105" t="s">
        <v>1962</v>
      </c>
      <c r="I1086" s="105" t="s">
        <v>2065</v>
      </c>
      <c r="J1086" s="104">
        <v>7.71</v>
      </c>
      <c r="K1086" s="103" t="s">
        <v>422</v>
      </c>
      <c r="L1086" s="102" t="s">
        <v>577</v>
      </c>
      <c r="M1086" s="95"/>
      <c r="N1086" s="14"/>
      <c r="O1086" s="94">
        <v>7</v>
      </c>
      <c r="P1086" s="14" t="s">
        <v>485</v>
      </c>
      <c r="Q1086" s="14" t="s">
        <v>505</v>
      </c>
      <c r="R1086" s="14" t="s">
        <v>585</v>
      </c>
      <c r="S1086" s="15">
        <v>6.2</v>
      </c>
      <c r="T1086" s="15">
        <v>0</v>
      </c>
      <c r="U1086" s="15">
        <v>0</v>
      </c>
      <c r="V1086" s="14">
        <v>1483</v>
      </c>
      <c r="W1086" s="12">
        <v>0</v>
      </c>
      <c r="X1086" s="12">
        <v>0</v>
      </c>
      <c r="Y1086" s="12">
        <v>1</v>
      </c>
      <c r="Z1086" s="12">
        <v>6.71</v>
      </c>
      <c r="AA1086" s="12">
        <v>0</v>
      </c>
      <c r="AB1086" s="13">
        <f t="shared" si="65"/>
        <v>0</v>
      </c>
      <c r="AE1086" s="12">
        <v>0</v>
      </c>
      <c r="AF1086" s="12">
        <v>0</v>
      </c>
      <c r="AG1086" s="12">
        <v>1</v>
      </c>
      <c r="AH1086" s="12">
        <v>6.71</v>
      </c>
      <c r="AI1086" s="12">
        <v>0</v>
      </c>
      <c r="AJ1086" s="13">
        <f t="shared" si="66"/>
        <v>0</v>
      </c>
      <c r="AN1086" s="12">
        <f t="shared" si="67"/>
        <v>11434</v>
      </c>
      <c r="AQ1086" s="8" t="s">
        <v>420</v>
      </c>
      <c r="AR1086" t="str">
        <f t="shared" si="68"/>
        <v>Campos Gerais - A02</v>
      </c>
    </row>
    <row r="1087" spans="1:44" x14ac:dyDescent="0.2">
      <c r="A1087" s="107" t="s">
        <v>2064</v>
      </c>
      <c r="B1087" s="106" t="s">
        <v>2063</v>
      </c>
      <c r="C1087" s="106" t="s">
        <v>2048</v>
      </c>
      <c r="D1087" s="106" t="s">
        <v>492</v>
      </c>
      <c r="E1087" s="106" t="s">
        <v>2053</v>
      </c>
      <c r="F1087" s="106" t="s">
        <v>490</v>
      </c>
      <c r="G1087" s="106" t="s">
        <v>2062</v>
      </c>
      <c r="H1087" s="105" t="s">
        <v>2061</v>
      </c>
      <c r="I1087" s="105" t="s">
        <v>2060</v>
      </c>
      <c r="J1087" s="104">
        <v>14.84</v>
      </c>
      <c r="K1087" s="103" t="s">
        <v>426</v>
      </c>
      <c r="L1087" s="102" t="s">
        <v>486</v>
      </c>
      <c r="M1087" s="95"/>
      <c r="N1087" s="14"/>
      <c r="O1087" s="94">
        <v>18</v>
      </c>
      <c r="P1087" s="14" t="s">
        <v>485</v>
      </c>
      <c r="Q1087" s="14" t="s">
        <v>887</v>
      </c>
      <c r="R1087" s="14" t="s">
        <v>496</v>
      </c>
      <c r="S1087" s="15">
        <v>6.6</v>
      </c>
      <c r="T1087" s="15">
        <v>1.2</v>
      </c>
      <c r="U1087" s="15">
        <v>0</v>
      </c>
      <c r="V1087" s="14">
        <v>734</v>
      </c>
      <c r="W1087" s="12">
        <v>0</v>
      </c>
      <c r="X1087" s="12">
        <v>0</v>
      </c>
      <c r="Y1087" s="12">
        <v>10.84</v>
      </c>
      <c r="Z1087" s="12">
        <v>4</v>
      </c>
      <c r="AA1087" s="12">
        <v>0</v>
      </c>
      <c r="AB1087" s="13">
        <f t="shared" si="65"/>
        <v>0</v>
      </c>
      <c r="AE1087" s="12">
        <v>0</v>
      </c>
      <c r="AF1087" s="12">
        <v>0</v>
      </c>
      <c r="AG1087" s="12">
        <v>10.84</v>
      </c>
      <c r="AH1087" s="12">
        <v>4</v>
      </c>
      <c r="AI1087" s="12">
        <v>0</v>
      </c>
      <c r="AJ1087" s="13">
        <f t="shared" si="66"/>
        <v>0</v>
      </c>
      <c r="AN1087" s="12">
        <f t="shared" si="67"/>
        <v>10893</v>
      </c>
      <c r="AQ1087" s="8" t="s">
        <v>419</v>
      </c>
      <c r="AR1087" t="str">
        <f t="shared" si="68"/>
        <v>Norte - A06</v>
      </c>
    </row>
    <row r="1088" spans="1:44" x14ac:dyDescent="0.2">
      <c r="A1088" s="107" t="s">
        <v>2059</v>
      </c>
      <c r="B1088" s="106" t="s">
        <v>2058</v>
      </c>
      <c r="C1088" s="106" t="s">
        <v>2048</v>
      </c>
      <c r="D1088" s="106" t="s">
        <v>1032</v>
      </c>
      <c r="E1088" s="106" t="s">
        <v>2047</v>
      </c>
      <c r="F1088" s="106" t="s">
        <v>590</v>
      </c>
      <c r="G1088" s="106" t="s">
        <v>2057</v>
      </c>
      <c r="H1088" s="105" t="s">
        <v>2056</v>
      </c>
      <c r="I1088" s="105" t="s">
        <v>2051</v>
      </c>
      <c r="J1088" s="104">
        <v>0.82</v>
      </c>
      <c r="K1088" s="103" t="s">
        <v>426</v>
      </c>
      <c r="L1088" s="102" t="s">
        <v>486</v>
      </c>
      <c r="M1088" s="95"/>
      <c r="N1088" s="14"/>
      <c r="O1088" s="94">
        <v>18</v>
      </c>
      <c r="P1088" s="14" t="s">
        <v>586</v>
      </c>
      <c r="Q1088" s="14" t="s">
        <v>505</v>
      </c>
      <c r="R1088" s="14" t="s">
        <v>496</v>
      </c>
      <c r="S1088" s="15">
        <v>7.6</v>
      </c>
      <c r="T1088" s="15">
        <v>1.9</v>
      </c>
      <c r="U1088" s="15">
        <v>0</v>
      </c>
      <c r="V1088" s="14">
        <v>327</v>
      </c>
      <c r="W1088" s="12">
        <v>0</v>
      </c>
      <c r="X1088" s="12">
        <v>0</v>
      </c>
      <c r="Y1088" s="12">
        <v>0.82</v>
      </c>
      <c r="Z1088" s="12">
        <v>0</v>
      </c>
      <c r="AA1088" s="12">
        <v>0</v>
      </c>
      <c r="AB1088" s="13">
        <f t="shared" si="65"/>
        <v>0</v>
      </c>
      <c r="AE1088" s="12">
        <v>0</v>
      </c>
      <c r="AF1088" s="12">
        <v>0</v>
      </c>
      <c r="AG1088" s="12">
        <v>0.82</v>
      </c>
      <c r="AH1088" s="12">
        <v>0</v>
      </c>
      <c r="AI1088" s="12">
        <v>0</v>
      </c>
      <c r="AJ1088" s="13">
        <f t="shared" si="66"/>
        <v>0</v>
      </c>
      <c r="AN1088" s="12">
        <f t="shared" si="67"/>
        <v>269</v>
      </c>
      <c r="AQ1088" s="8" t="s">
        <v>419</v>
      </c>
      <c r="AR1088" t="str">
        <f t="shared" si="68"/>
        <v>Norte - A06</v>
      </c>
    </row>
    <row r="1089" spans="1:44" x14ac:dyDescent="0.2">
      <c r="A1089" s="107" t="s">
        <v>2055</v>
      </c>
      <c r="B1089" s="106" t="s">
        <v>2054</v>
      </c>
      <c r="C1089" s="106" t="s">
        <v>2048</v>
      </c>
      <c r="D1089" s="106" t="s">
        <v>513</v>
      </c>
      <c r="E1089" s="106" t="s">
        <v>2053</v>
      </c>
      <c r="F1089" s="106" t="s">
        <v>490</v>
      </c>
      <c r="G1089" s="106" t="s">
        <v>2052</v>
      </c>
      <c r="H1089" s="105" t="s">
        <v>2051</v>
      </c>
      <c r="I1089" s="105" t="s">
        <v>2045</v>
      </c>
      <c r="J1089" s="104">
        <v>10.8</v>
      </c>
      <c r="K1089" s="103" t="s">
        <v>426</v>
      </c>
      <c r="L1089" s="102" t="s">
        <v>486</v>
      </c>
      <c r="M1089" s="95"/>
      <c r="N1089" s="14"/>
      <c r="O1089" s="94">
        <v>18</v>
      </c>
      <c r="P1089" s="14" t="s">
        <v>485</v>
      </c>
      <c r="Q1089" s="14" t="s">
        <v>505</v>
      </c>
      <c r="R1089" s="14" t="s">
        <v>496</v>
      </c>
      <c r="S1089" s="15">
        <v>6</v>
      </c>
      <c r="T1089" s="15">
        <v>0.7</v>
      </c>
      <c r="U1089" s="15">
        <v>0</v>
      </c>
      <c r="V1089" s="14">
        <v>902</v>
      </c>
      <c r="W1089" s="12">
        <v>0</v>
      </c>
      <c r="X1089" s="12">
        <v>0</v>
      </c>
      <c r="Y1089" s="12">
        <v>3</v>
      </c>
      <c r="Z1089" s="12">
        <v>7.8000000000000007</v>
      </c>
      <c r="AA1089" s="12">
        <v>0</v>
      </c>
      <c r="AB1089" s="13">
        <f t="shared" si="65"/>
        <v>0</v>
      </c>
      <c r="AE1089" s="12">
        <v>0</v>
      </c>
      <c r="AF1089" s="12">
        <v>0</v>
      </c>
      <c r="AG1089" s="12">
        <v>3</v>
      </c>
      <c r="AH1089" s="12">
        <v>7.8000000000000007</v>
      </c>
      <c r="AI1089" s="12">
        <v>0</v>
      </c>
      <c r="AJ1089" s="13">
        <f t="shared" si="66"/>
        <v>0</v>
      </c>
      <c r="AN1089" s="12">
        <f t="shared" si="67"/>
        <v>9742</v>
      </c>
      <c r="AQ1089" s="8" t="s">
        <v>419</v>
      </c>
      <c r="AR1089" t="str">
        <f t="shared" si="68"/>
        <v>Norte - A06</v>
      </c>
    </row>
    <row r="1090" spans="1:44" x14ac:dyDescent="0.2">
      <c r="A1090" s="107" t="s">
        <v>2050</v>
      </c>
      <c r="B1090" s="106" t="s">
        <v>2049</v>
      </c>
      <c r="C1090" s="106" t="s">
        <v>2048</v>
      </c>
      <c r="D1090" s="106" t="s">
        <v>1324</v>
      </c>
      <c r="E1090" s="106" t="s">
        <v>2047</v>
      </c>
      <c r="F1090" s="106" t="s">
        <v>590</v>
      </c>
      <c r="G1090" s="106" t="s">
        <v>2046</v>
      </c>
      <c r="H1090" s="105" t="s">
        <v>2045</v>
      </c>
      <c r="I1090" s="105" t="s">
        <v>2044</v>
      </c>
      <c r="J1090" s="104">
        <v>0.36</v>
      </c>
      <c r="K1090" s="103" t="s">
        <v>426</v>
      </c>
      <c r="L1090" s="102" t="s">
        <v>486</v>
      </c>
      <c r="M1090" s="95"/>
      <c r="N1090" s="14"/>
      <c r="O1090" s="94">
        <v>18</v>
      </c>
      <c r="P1090" s="14" t="s">
        <v>586</v>
      </c>
      <c r="Q1090" s="14" t="s">
        <v>505</v>
      </c>
      <c r="R1090" s="14" t="s">
        <v>496</v>
      </c>
      <c r="S1090" s="15">
        <v>6.8</v>
      </c>
      <c r="T1090" s="15">
        <v>0</v>
      </c>
      <c r="U1090" s="15">
        <v>0</v>
      </c>
      <c r="V1090" s="14">
        <v>327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3">
        <f t="shared" si="65"/>
        <v>-0.36</v>
      </c>
      <c r="AE1090" s="12">
        <f>IF(W1090=0,0,W1090-$AB1090)</f>
        <v>0</v>
      </c>
      <c r="AF1090" s="12">
        <f>IF(X1090=0,0,X1090-$AB1090)</f>
        <v>0</v>
      </c>
      <c r="AG1090" s="12">
        <f>IF(Y1090=0,0,Y1090-$AB1090)</f>
        <v>0</v>
      </c>
      <c r="AH1090" s="12">
        <v>0.36</v>
      </c>
      <c r="AI1090" s="12">
        <f>IF(AA1090=0,0,AA1090-$AB1090)</f>
        <v>0</v>
      </c>
      <c r="AJ1090" s="13">
        <f t="shared" si="66"/>
        <v>0</v>
      </c>
      <c r="AN1090" s="12">
        <f t="shared" si="67"/>
        <v>118</v>
      </c>
      <c r="AQ1090" s="8" t="s">
        <v>419</v>
      </c>
      <c r="AR1090" t="str">
        <f t="shared" si="68"/>
        <v>Norte - A06</v>
      </c>
    </row>
    <row r="1091" spans="1:44" x14ac:dyDescent="0.2">
      <c r="A1091" s="107" t="s">
        <v>2043</v>
      </c>
      <c r="B1091" s="106" t="s">
        <v>2042</v>
      </c>
      <c r="C1091" s="106" t="s">
        <v>2014</v>
      </c>
      <c r="D1091" s="106" t="s">
        <v>492</v>
      </c>
      <c r="E1091" s="106" t="s">
        <v>2013</v>
      </c>
      <c r="F1091" s="106" t="s">
        <v>490</v>
      </c>
      <c r="G1091" s="106" t="s">
        <v>2041</v>
      </c>
      <c r="H1091" s="105" t="s">
        <v>2040</v>
      </c>
      <c r="I1091" s="105" t="s">
        <v>2039</v>
      </c>
      <c r="J1091" s="104">
        <v>10</v>
      </c>
      <c r="K1091" s="103" t="s">
        <v>425</v>
      </c>
      <c r="L1091" s="102" t="s">
        <v>486</v>
      </c>
      <c r="M1091" s="95"/>
      <c r="N1091" s="14"/>
      <c r="O1091" s="94">
        <v>17</v>
      </c>
      <c r="P1091" s="14" t="s">
        <v>485</v>
      </c>
      <c r="Q1091" s="14" t="s">
        <v>865</v>
      </c>
      <c r="R1091" s="14" t="s">
        <v>496</v>
      </c>
      <c r="S1091" s="15">
        <v>6.6</v>
      </c>
      <c r="T1091" s="15">
        <v>1.2</v>
      </c>
      <c r="U1091" s="15">
        <v>0</v>
      </c>
      <c r="V1091" s="14">
        <v>1235</v>
      </c>
      <c r="W1091" s="12">
        <v>0</v>
      </c>
      <c r="X1091" s="12">
        <v>0</v>
      </c>
      <c r="Y1091" s="12">
        <v>0</v>
      </c>
      <c r="Z1091" s="12">
        <v>10</v>
      </c>
      <c r="AA1091" s="12">
        <v>0</v>
      </c>
      <c r="AB1091" s="13">
        <f t="shared" si="65"/>
        <v>0</v>
      </c>
      <c r="AE1091" s="12">
        <v>0</v>
      </c>
      <c r="AF1091" s="12">
        <v>0</v>
      </c>
      <c r="AG1091" s="12">
        <v>0</v>
      </c>
      <c r="AH1091" s="12">
        <v>10</v>
      </c>
      <c r="AI1091" s="12">
        <v>0</v>
      </c>
      <c r="AJ1091" s="13">
        <f t="shared" si="66"/>
        <v>0</v>
      </c>
      <c r="AN1091" s="12">
        <f t="shared" si="67"/>
        <v>12350</v>
      </c>
      <c r="AQ1091" s="8" t="s">
        <v>419</v>
      </c>
      <c r="AR1091" t="str">
        <f t="shared" si="68"/>
        <v>Norte - A05</v>
      </c>
    </row>
    <row r="1092" spans="1:44" x14ac:dyDescent="0.2">
      <c r="A1092" s="107" t="s">
        <v>2038</v>
      </c>
      <c r="B1092" s="106" t="s">
        <v>2037</v>
      </c>
      <c r="C1092" s="106" t="s">
        <v>2014</v>
      </c>
      <c r="D1092" s="106" t="s">
        <v>1324</v>
      </c>
      <c r="E1092" s="106" t="s">
        <v>2036</v>
      </c>
      <c r="F1092" s="106" t="s">
        <v>590</v>
      </c>
      <c r="G1092" s="106" t="s">
        <v>2035</v>
      </c>
      <c r="H1092" s="105" t="s">
        <v>2034</v>
      </c>
      <c r="I1092" s="105" t="s">
        <v>2030</v>
      </c>
      <c r="J1092" s="104">
        <v>1.17</v>
      </c>
      <c r="K1092" s="103" t="s">
        <v>426</v>
      </c>
      <c r="L1092" s="102" t="s">
        <v>486</v>
      </c>
      <c r="M1092" s="95"/>
      <c r="N1092" s="14"/>
      <c r="O1092" s="94">
        <v>18</v>
      </c>
      <c r="P1092" s="14" t="s">
        <v>586</v>
      </c>
      <c r="Q1092" s="14" t="s">
        <v>865</v>
      </c>
      <c r="R1092" s="14" t="s">
        <v>496</v>
      </c>
      <c r="S1092" s="15">
        <v>9.5</v>
      </c>
      <c r="T1092" s="15">
        <v>0</v>
      </c>
      <c r="U1092" s="15">
        <v>0</v>
      </c>
      <c r="V1092" s="14">
        <v>314</v>
      </c>
      <c r="W1092" s="12">
        <v>0</v>
      </c>
      <c r="X1092" s="12">
        <v>0</v>
      </c>
      <c r="Y1092" s="12">
        <v>0</v>
      </c>
      <c r="Z1092" s="12">
        <v>1.17</v>
      </c>
      <c r="AA1092" s="12">
        <v>0</v>
      </c>
      <c r="AB1092" s="13">
        <f t="shared" si="65"/>
        <v>0</v>
      </c>
      <c r="AE1092" s="12">
        <v>0</v>
      </c>
      <c r="AF1092" s="12">
        <v>0</v>
      </c>
      <c r="AG1092" s="12">
        <v>0</v>
      </c>
      <c r="AH1092" s="12">
        <v>1.17</v>
      </c>
      <c r="AI1092" s="12">
        <v>0</v>
      </c>
      <c r="AJ1092" s="13">
        <f t="shared" si="66"/>
        <v>0</v>
      </c>
      <c r="AN1092" s="12">
        <f t="shared" si="67"/>
        <v>368</v>
      </c>
      <c r="AQ1092" s="8" t="s">
        <v>419</v>
      </c>
      <c r="AR1092" t="str">
        <f t="shared" si="68"/>
        <v>Norte - A06</v>
      </c>
    </row>
    <row r="1093" spans="1:44" x14ac:dyDescent="0.2">
      <c r="A1093" s="107" t="s">
        <v>2033</v>
      </c>
      <c r="B1093" s="106" t="s">
        <v>2032</v>
      </c>
      <c r="C1093" s="106" t="s">
        <v>2014</v>
      </c>
      <c r="D1093" s="106" t="s">
        <v>981</v>
      </c>
      <c r="E1093" s="106" t="s">
        <v>2013</v>
      </c>
      <c r="F1093" s="106" t="s">
        <v>490</v>
      </c>
      <c r="G1093" s="106" t="s">
        <v>2031</v>
      </c>
      <c r="H1093" s="105" t="s">
        <v>2030</v>
      </c>
      <c r="I1093" s="105" t="s">
        <v>2026</v>
      </c>
      <c r="J1093" s="104">
        <v>14.8</v>
      </c>
      <c r="K1093" s="103" t="s">
        <v>426</v>
      </c>
      <c r="L1093" s="102" t="s">
        <v>486</v>
      </c>
      <c r="M1093" s="95"/>
      <c r="N1093" s="14"/>
      <c r="O1093" s="94">
        <v>18</v>
      </c>
      <c r="P1093" s="14" t="s">
        <v>485</v>
      </c>
      <c r="Q1093" s="14" t="s">
        <v>561</v>
      </c>
      <c r="R1093" s="14" t="s">
        <v>1258</v>
      </c>
      <c r="S1093" s="15">
        <v>6.6</v>
      </c>
      <c r="T1093" s="15">
        <v>0</v>
      </c>
      <c r="U1093" s="15">
        <v>0</v>
      </c>
      <c r="V1093" s="14">
        <v>583</v>
      </c>
      <c r="W1093" s="12">
        <v>0</v>
      </c>
      <c r="X1093" s="12">
        <v>2</v>
      </c>
      <c r="Y1093" s="12">
        <v>8.8000000000000007</v>
      </c>
      <c r="Z1093" s="12">
        <v>4</v>
      </c>
      <c r="AA1093" s="12">
        <v>0</v>
      </c>
      <c r="AB1093" s="13">
        <f t="shared" si="65"/>
        <v>0</v>
      </c>
      <c r="AE1093" s="12">
        <v>0</v>
      </c>
      <c r="AF1093" s="12">
        <v>2</v>
      </c>
      <c r="AG1093" s="12">
        <v>8.8000000000000007</v>
      </c>
      <c r="AH1093" s="12">
        <v>4</v>
      </c>
      <c r="AI1093" s="12">
        <v>0</v>
      </c>
      <c r="AJ1093" s="13">
        <f t="shared" si="66"/>
        <v>0</v>
      </c>
      <c r="AN1093" s="12">
        <f t="shared" si="67"/>
        <v>8629</v>
      </c>
      <c r="AQ1093" s="8" t="s">
        <v>419</v>
      </c>
      <c r="AR1093" t="str">
        <f t="shared" si="68"/>
        <v>Norte - A06</v>
      </c>
    </row>
    <row r="1094" spans="1:44" x14ac:dyDescent="0.2">
      <c r="A1094" s="107" t="s">
        <v>2029</v>
      </c>
      <c r="B1094" s="106" t="s">
        <v>2028</v>
      </c>
      <c r="C1094" s="106" t="s">
        <v>2014</v>
      </c>
      <c r="D1094" s="106" t="s">
        <v>975</v>
      </c>
      <c r="E1094" s="106" t="s">
        <v>2013</v>
      </c>
      <c r="F1094" s="106" t="s">
        <v>490</v>
      </c>
      <c r="G1094" s="106" t="s">
        <v>2027</v>
      </c>
      <c r="H1094" s="105" t="s">
        <v>2026</v>
      </c>
      <c r="I1094" s="105" t="s">
        <v>2017</v>
      </c>
      <c r="J1094" s="104">
        <v>9.64</v>
      </c>
      <c r="K1094" s="103" t="s">
        <v>426</v>
      </c>
      <c r="L1094" s="102" t="s">
        <v>486</v>
      </c>
      <c r="M1094" s="95"/>
      <c r="N1094" s="14"/>
      <c r="O1094" s="94">
        <v>18</v>
      </c>
      <c r="P1094" s="14" t="s">
        <v>485</v>
      </c>
      <c r="Q1094" s="14" t="s">
        <v>561</v>
      </c>
      <c r="R1094" s="14" t="s">
        <v>1258</v>
      </c>
      <c r="S1094" s="15">
        <v>6.6</v>
      </c>
      <c r="T1094" s="15">
        <v>0</v>
      </c>
      <c r="U1094" s="15">
        <v>0</v>
      </c>
      <c r="V1094" s="14">
        <v>583</v>
      </c>
      <c r="W1094" s="12">
        <v>0</v>
      </c>
      <c r="X1094" s="12">
        <v>1</v>
      </c>
      <c r="Y1094" s="12">
        <v>6</v>
      </c>
      <c r="Z1094" s="12">
        <v>2.6400000000000006</v>
      </c>
      <c r="AA1094" s="12">
        <v>0</v>
      </c>
      <c r="AB1094" s="13">
        <f t="shared" ref="AB1094:AB1157" si="69">SUM(W1094:AA1094)-J1094</f>
        <v>0</v>
      </c>
      <c r="AE1094" s="12">
        <v>0</v>
      </c>
      <c r="AF1094" s="12">
        <v>1</v>
      </c>
      <c r="AG1094" s="12">
        <v>6</v>
      </c>
      <c r="AH1094" s="12">
        <v>2.6400000000000006</v>
      </c>
      <c r="AI1094" s="12">
        <v>0</v>
      </c>
      <c r="AJ1094" s="13">
        <f t="shared" ref="AJ1094:AJ1157" si="70">SUM(AE1094:AI1094)-J1094</f>
        <v>0</v>
      </c>
      <c r="AN1094" s="12">
        <f t="shared" ref="AN1094:AN1157" si="71">ROUNDUP(V1094*J1094,0)</f>
        <v>5621</v>
      </c>
      <c r="AQ1094" s="8" t="s">
        <v>419</v>
      </c>
      <c r="AR1094" t="str">
        <f t="shared" ref="AR1094:AR1157" si="72">AQ1094&amp;" - "&amp;K1094</f>
        <v>Norte - A06</v>
      </c>
    </row>
    <row r="1095" spans="1:44" x14ac:dyDescent="0.2">
      <c r="A1095" s="107" t="s">
        <v>2025</v>
      </c>
      <c r="B1095" s="106" t="s">
        <v>2024</v>
      </c>
      <c r="C1095" s="106" t="s">
        <v>2014</v>
      </c>
      <c r="D1095" s="106" t="s">
        <v>1269</v>
      </c>
      <c r="E1095" s="106" t="s">
        <v>2023</v>
      </c>
      <c r="F1095" s="106" t="s">
        <v>606</v>
      </c>
      <c r="G1095" s="106" t="s">
        <v>2022</v>
      </c>
      <c r="H1095" s="105" t="s">
        <v>2017</v>
      </c>
      <c r="I1095" s="105" t="s">
        <v>2011</v>
      </c>
      <c r="J1095" s="104">
        <v>0.78</v>
      </c>
      <c r="K1095" s="103" t="s">
        <v>426</v>
      </c>
      <c r="L1095" s="102" t="s">
        <v>486</v>
      </c>
      <c r="M1095" s="95"/>
      <c r="N1095" s="14"/>
      <c r="O1095" s="94">
        <v>18</v>
      </c>
      <c r="P1095" s="14" t="s">
        <v>596</v>
      </c>
      <c r="Q1095" s="14" t="s">
        <v>561</v>
      </c>
      <c r="R1095" s="14" t="s">
        <v>1258</v>
      </c>
      <c r="S1095" s="15">
        <v>6.6</v>
      </c>
      <c r="T1095" s="15">
        <v>0</v>
      </c>
      <c r="U1095" s="15">
        <v>0</v>
      </c>
      <c r="V1095" s="14">
        <v>437</v>
      </c>
      <c r="W1095" s="12">
        <v>0</v>
      </c>
      <c r="X1095" s="12">
        <v>0</v>
      </c>
      <c r="Y1095" s="12">
        <v>0</v>
      </c>
      <c r="Z1095" s="12">
        <v>0.78</v>
      </c>
      <c r="AA1095" s="12">
        <v>0</v>
      </c>
      <c r="AB1095" s="13">
        <f t="shared" si="69"/>
        <v>0</v>
      </c>
      <c r="AE1095" s="12">
        <v>0</v>
      </c>
      <c r="AF1095" s="12">
        <v>0</v>
      </c>
      <c r="AG1095" s="12">
        <v>0</v>
      </c>
      <c r="AH1095" s="12">
        <v>0.78</v>
      </c>
      <c r="AI1095" s="12">
        <v>0</v>
      </c>
      <c r="AJ1095" s="13">
        <f t="shared" si="70"/>
        <v>0</v>
      </c>
      <c r="AN1095" s="12">
        <f t="shared" si="71"/>
        <v>341</v>
      </c>
      <c r="AQ1095" s="8" t="s">
        <v>419</v>
      </c>
      <c r="AR1095" t="str">
        <f t="shared" si="72"/>
        <v>Norte - A06</v>
      </c>
    </row>
    <row r="1096" spans="1:44" x14ac:dyDescent="0.2">
      <c r="A1096" s="107" t="s">
        <v>2021</v>
      </c>
      <c r="B1096" s="106" t="s">
        <v>2020</v>
      </c>
      <c r="C1096" s="106" t="s">
        <v>2014</v>
      </c>
      <c r="D1096" s="106" t="s">
        <v>1269</v>
      </c>
      <c r="E1096" s="106" t="s">
        <v>2019</v>
      </c>
      <c r="F1096" s="106" t="s">
        <v>600</v>
      </c>
      <c r="G1096" s="106" t="s">
        <v>2018</v>
      </c>
      <c r="H1096" s="105" t="s">
        <v>2017</v>
      </c>
      <c r="I1096" s="105" t="s">
        <v>2011</v>
      </c>
      <c r="J1096" s="104">
        <v>0.78</v>
      </c>
      <c r="K1096" s="103" t="s">
        <v>426</v>
      </c>
      <c r="L1096" s="102" t="s">
        <v>486</v>
      </c>
      <c r="M1096" s="95"/>
      <c r="N1096" s="14"/>
      <c r="O1096" s="94">
        <v>18</v>
      </c>
      <c r="P1096" s="14" t="s">
        <v>596</v>
      </c>
      <c r="Q1096" s="14" t="s">
        <v>561</v>
      </c>
      <c r="R1096" s="14" t="s">
        <v>1258</v>
      </c>
      <c r="S1096" s="15">
        <v>6.6</v>
      </c>
      <c r="T1096" s="15">
        <v>0</v>
      </c>
      <c r="U1096" s="15">
        <v>0</v>
      </c>
      <c r="V1096" s="14">
        <v>437</v>
      </c>
      <c r="W1096" s="12">
        <v>0</v>
      </c>
      <c r="X1096" s="12">
        <v>0</v>
      </c>
      <c r="Y1096" s="12">
        <v>0</v>
      </c>
      <c r="Z1096" s="12">
        <v>0.78</v>
      </c>
      <c r="AA1096" s="12">
        <v>0</v>
      </c>
      <c r="AB1096" s="13">
        <f t="shared" si="69"/>
        <v>0</v>
      </c>
      <c r="AE1096" s="12">
        <v>0</v>
      </c>
      <c r="AF1096" s="12">
        <v>0</v>
      </c>
      <c r="AG1096" s="12">
        <v>0</v>
      </c>
      <c r="AH1096" s="12">
        <v>0.78</v>
      </c>
      <c r="AI1096" s="12">
        <v>0</v>
      </c>
      <c r="AJ1096" s="13">
        <f t="shared" si="70"/>
        <v>0</v>
      </c>
      <c r="AN1096" s="12">
        <f t="shared" si="71"/>
        <v>341</v>
      </c>
      <c r="AQ1096" s="8" t="s">
        <v>419</v>
      </c>
      <c r="AR1096" t="str">
        <f t="shared" si="72"/>
        <v>Norte - A06</v>
      </c>
    </row>
    <row r="1097" spans="1:44" x14ac:dyDescent="0.2">
      <c r="A1097" s="107" t="s">
        <v>2016</v>
      </c>
      <c r="B1097" s="106" t="s">
        <v>2015</v>
      </c>
      <c r="C1097" s="106" t="s">
        <v>2014</v>
      </c>
      <c r="D1097" s="106" t="s">
        <v>1263</v>
      </c>
      <c r="E1097" s="106" t="s">
        <v>2013</v>
      </c>
      <c r="F1097" s="106" t="s">
        <v>490</v>
      </c>
      <c r="G1097" s="106" t="s">
        <v>2012</v>
      </c>
      <c r="H1097" s="105" t="s">
        <v>2011</v>
      </c>
      <c r="I1097" s="105" t="s">
        <v>2010</v>
      </c>
      <c r="J1097" s="104">
        <v>4.3099999999999996</v>
      </c>
      <c r="K1097" s="103" t="s">
        <v>426</v>
      </c>
      <c r="L1097" s="102" t="s">
        <v>486</v>
      </c>
      <c r="M1097" s="95"/>
      <c r="N1097" s="14"/>
      <c r="O1097" s="94">
        <v>18</v>
      </c>
      <c r="P1097" s="14" t="s">
        <v>485</v>
      </c>
      <c r="Q1097" s="14" t="s">
        <v>561</v>
      </c>
      <c r="R1097" s="14" t="s">
        <v>1258</v>
      </c>
      <c r="S1097" s="15">
        <v>6.6</v>
      </c>
      <c r="T1097" s="15">
        <v>0</v>
      </c>
      <c r="U1097" s="15">
        <v>0</v>
      </c>
      <c r="V1097" s="14">
        <v>583</v>
      </c>
      <c r="W1097" s="12">
        <v>0</v>
      </c>
      <c r="X1097" s="12">
        <v>0</v>
      </c>
      <c r="Y1097" s="12">
        <v>1</v>
      </c>
      <c r="Z1097" s="12">
        <v>3.3099999999999996</v>
      </c>
      <c r="AA1097" s="12">
        <v>0</v>
      </c>
      <c r="AB1097" s="13">
        <f t="shared" si="69"/>
        <v>0</v>
      </c>
      <c r="AE1097" s="12">
        <v>0</v>
      </c>
      <c r="AF1097" s="12">
        <v>0</v>
      </c>
      <c r="AG1097" s="12">
        <v>1</v>
      </c>
      <c r="AH1097" s="12">
        <v>3.3099999999999996</v>
      </c>
      <c r="AI1097" s="12">
        <v>0</v>
      </c>
      <c r="AJ1097" s="13">
        <f t="shared" si="70"/>
        <v>0</v>
      </c>
      <c r="AN1097" s="12">
        <f t="shared" si="71"/>
        <v>2513</v>
      </c>
      <c r="AQ1097" s="8" t="s">
        <v>419</v>
      </c>
      <c r="AR1097" t="str">
        <f t="shared" si="72"/>
        <v>Norte - A06</v>
      </c>
    </row>
    <row r="1098" spans="1:44" x14ac:dyDescent="0.2">
      <c r="A1098" s="107" t="s">
        <v>2009</v>
      </c>
      <c r="B1098" s="106" t="s">
        <v>2008</v>
      </c>
      <c r="C1098" s="106" t="s">
        <v>2002</v>
      </c>
      <c r="D1098" s="106" t="s">
        <v>751</v>
      </c>
      <c r="E1098" s="106" t="s">
        <v>2007</v>
      </c>
      <c r="F1098" s="106" t="s">
        <v>590</v>
      </c>
      <c r="G1098" s="106" t="s">
        <v>2006</v>
      </c>
      <c r="H1098" s="105" t="s">
        <v>2005</v>
      </c>
      <c r="I1098" s="105" t="s">
        <v>1999</v>
      </c>
      <c r="J1098" s="104">
        <v>0.32</v>
      </c>
      <c r="K1098" s="103" t="s">
        <v>426</v>
      </c>
      <c r="L1098" s="102" t="s">
        <v>486</v>
      </c>
      <c r="M1098" s="95"/>
      <c r="N1098" s="14"/>
      <c r="O1098" s="94">
        <v>18</v>
      </c>
      <c r="P1098" s="14" t="s">
        <v>586</v>
      </c>
      <c r="Q1098" s="14" t="s">
        <v>887</v>
      </c>
      <c r="R1098" s="14" t="s">
        <v>1258</v>
      </c>
      <c r="S1098" s="15">
        <v>12</v>
      </c>
      <c r="T1098" s="15">
        <v>0</v>
      </c>
      <c r="U1098" s="15">
        <v>0</v>
      </c>
      <c r="V1098" s="14">
        <v>211</v>
      </c>
      <c r="W1098" s="12">
        <v>0</v>
      </c>
      <c r="X1098" s="12">
        <v>0</v>
      </c>
      <c r="Y1098" s="12">
        <v>0</v>
      </c>
      <c r="Z1098" s="12">
        <v>0.32</v>
      </c>
      <c r="AA1098" s="12">
        <v>0</v>
      </c>
      <c r="AB1098" s="13">
        <f t="shared" si="69"/>
        <v>0</v>
      </c>
      <c r="AE1098" s="12">
        <v>0</v>
      </c>
      <c r="AF1098" s="12">
        <v>0</v>
      </c>
      <c r="AG1098" s="12">
        <v>0</v>
      </c>
      <c r="AH1098" s="12">
        <v>0.32</v>
      </c>
      <c r="AI1098" s="12">
        <v>0</v>
      </c>
      <c r="AJ1098" s="13">
        <f t="shared" si="70"/>
        <v>0</v>
      </c>
      <c r="AN1098" s="12">
        <f t="shared" si="71"/>
        <v>68</v>
      </c>
      <c r="AQ1098" s="8" t="s">
        <v>419</v>
      </c>
      <c r="AR1098" t="str">
        <f t="shared" si="72"/>
        <v>Norte - A06</v>
      </c>
    </row>
    <row r="1099" spans="1:44" x14ac:dyDescent="0.2">
      <c r="A1099" s="107" t="s">
        <v>2004</v>
      </c>
      <c r="B1099" s="106" t="s">
        <v>2003</v>
      </c>
      <c r="C1099" s="106" t="s">
        <v>2002</v>
      </c>
      <c r="D1099" s="106" t="s">
        <v>492</v>
      </c>
      <c r="E1099" s="106" t="s">
        <v>2001</v>
      </c>
      <c r="F1099" s="106" t="s">
        <v>490</v>
      </c>
      <c r="G1099" s="106" t="s">
        <v>2000</v>
      </c>
      <c r="H1099" s="105" t="s">
        <v>1999</v>
      </c>
      <c r="I1099" s="105" t="s">
        <v>1998</v>
      </c>
      <c r="J1099" s="104">
        <v>9.5399999999999991</v>
      </c>
      <c r="K1099" s="103" t="s">
        <v>426</v>
      </c>
      <c r="L1099" s="102" t="s">
        <v>486</v>
      </c>
      <c r="M1099" s="95"/>
      <c r="N1099" s="14"/>
      <c r="O1099" s="94">
        <v>18</v>
      </c>
      <c r="P1099" s="14" t="s">
        <v>485</v>
      </c>
      <c r="Q1099" s="14" t="s">
        <v>887</v>
      </c>
      <c r="R1099" s="14" t="s">
        <v>1258</v>
      </c>
      <c r="S1099" s="15">
        <v>6.6</v>
      </c>
      <c r="T1099" s="15">
        <v>0.5</v>
      </c>
      <c r="U1099" s="15">
        <v>0</v>
      </c>
      <c r="V1099" s="14">
        <v>821</v>
      </c>
      <c r="W1099" s="12">
        <v>0</v>
      </c>
      <c r="X1099" s="12">
        <v>2</v>
      </c>
      <c r="Y1099" s="12">
        <v>2</v>
      </c>
      <c r="Z1099" s="12">
        <v>5.5399999999999991</v>
      </c>
      <c r="AA1099" s="12">
        <v>0</v>
      </c>
      <c r="AB1099" s="13">
        <f t="shared" si="69"/>
        <v>0</v>
      </c>
      <c r="AE1099" s="12">
        <v>0</v>
      </c>
      <c r="AF1099" s="12">
        <v>2</v>
      </c>
      <c r="AG1099" s="12">
        <v>2</v>
      </c>
      <c r="AH1099" s="12">
        <v>5.5399999999999991</v>
      </c>
      <c r="AI1099" s="12">
        <v>0</v>
      </c>
      <c r="AJ1099" s="13">
        <f t="shared" si="70"/>
        <v>0</v>
      </c>
      <c r="AN1099" s="12">
        <f t="shared" si="71"/>
        <v>7833</v>
      </c>
      <c r="AQ1099" s="8" t="s">
        <v>419</v>
      </c>
      <c r="AR1099" t="str">
        <f t="shared" si="72"/>
        <v>Norte - A06</v>
      </c>
    </row>
    <row r="1100" spans="1:44" x14ac:dyDescent="0.2">
      <c r="A1100" s="107" t="s">
        <v>1997</v>
      </c>
      <c r="B1100" s="106" t="s">
        <v>1996</v>
      </c>
      <c r="C1100" s="106" t="s">
        <v>1995</v>
      </c>
      <c r="D1100" s="106" t="s">
        <v>513</v>
      </c>
      <c r="E1100" s="106" t="s">
        <v>1994</v>
      </c>
      <c r="F1100" s="106" t="s">
        <v>490</v>
      </c>
      <c r="G1100" s="106" t="s">
        <v>1993</v>
      </c>
      <c r="H1100" s="105" t="s">
        <v>1524</v>
      </c>
      <c r="I1100" s="105" t="s">
        <v>1992</v>
      </c>
      <c r="J1100" s="104">
        <v>18.95</v>
      </c>
      <c r="K1100" s="103" t="s">
        <v>424</v>
      </c>
      <c r="L1100" s="102" t="s">
        <v>577</v>
      </c>
      <c r="M1100" s="95"/>
      <c r="N1100" s="14"/>
      <c r="O1100" s="94">
        <v>9</v>
      </c>
      <c r="P1100" s="14" t="s">
        <v>485</v>
      </c>
      <c r="Q1100" s="14" t="s">
        <v>561</v>
      </c>
      <c r="R1100" s="14" t="s">
        <v>585</v>
      </c>
      <c r="S1100" s="15">
        <v>7</v>
      </c>
      <c r="T1100" s="15">
        <v>0.7</v>
      </c>
      <c r="U1100" s="15">
        <v>0</v>
      </c>
      <c r="V1100" s="14">
        <v>3327</v>
      </c>
      <c r="W1100" s="12">
        <v>0</v>
      </c>
      <c r="X1100" s="12">
        <v>0</v>
      </c>
      <c r="Y1100" s="12">
        <v>0</v>
      </c>
      <c r="Z1100" s="12">
        <v>18.95</v>
      </c>
      <c r="AA1100" s="12">
        <v>0</v>
      </c>
      <c r="AB1100" s="13">
        <f t="shared" si="69"/>
        <v>0</v>
      </c>
      <c r="AE1100" s="12">
        <v>0</v>
      </c>
      <c r="AF1100" s="12">
        <v>0</v>
      </c>
      <c r="AG1100" s="12">
        <v>0</v>
      </c>
      <c r="AH1100" s="12">
        <v>18.95</v>
      </c>
      <c r="AI1100" s="12">
        <v>0</v>
      </c>
      <c r="AJ1100" s="13">
        <f t="shared" si="70"/>
        <v>0</v>
      </c>
      <c r="AN1100" s="12">
        <f t="shared" si="71"/>
        <v>63047</v>
      </c>
      <c r="AQ1100" s="8" t="s">
        <v>420</v>
      </c>
      <c r="AR1100" t="str">
        <f t="shared" si="72"/>
        <v>Campos Gerais - A04</v>
      </c>
    </row>
    <row r="1101" spans="1:44" x14ac:dyDescent="0.2">
      <c r="A1101" s="107" t="s">
        <v>1991</v>
      </c>
      <c r="B1101" s="106" t="s">
        <v>1990</v>
      </c>
      <c r="C1101" s="106" t="s">
        <v>1986</v>
      </c>
      <c r="D1101" s="106" t="s">
        <v>492</v>
      </c>
      <c r="E1101" s="106" t="s">
        <v>1985</v>
      </c>
      <c r="F1101" s="106" t="s">
        <v>490</v>
      </c>
      <c r="G1101" s="106" t="s">
        <v>1989</v>
      </c>
      <c r="H1101" s="105" t="s">
        <v>638</v>
      </c>
      <c r="I1101" s="105" t="s">
        <v>1983</v>
      </c>
      <c r="J1101" s="104">
        <v>11.55</v>
      </c>
      <c r="K1101" s="103" t="s">
        <v>424</v>
      </c>
      <c r="L1101" s="102" t="s">
        <v>486</v>
      </c>
      <c r="M1101" s="95"/>
      <c r="N1101" s="14"/>
      <c r="O1101" s="94">
        <v>16</v>
      </c>
      <c r="P1101" s="14" t="s">
        <v>485</v>
      </c>
      <c r="Q1101" s="14" t="s">
        <v>497</v>
      </c>
      <c r="R1101" s="16" t="s">
        <v>496</v>
      </c>
      <c r="S1101" s="15">
        <v>6.8</v>
      </c>
      <c r="T1101" s="15">
        <v>0.8</v>
      </c>
      <c r="U1101" s="15">
        <v>0</v>
      </c>
      <c r="V1101" s="14">
        <v>2091</v>
      </c>
      <c r="W1101" s="12">
        <v>0</v>
      </c>
      <c r="X1101" s="12">
        <v>0</v>
      </c>
      <c r="Y1101" s="12">
        <v>1</v>
      </c>
      <c r="Z1101" s="12">
        <v>10.55</v>
      </c>
      <c r="AA1101" s="12">
        <v>0</v>
      </c>
      <c r="AB1101" s="13">
        <f t="shared" si="69"/>
        <v>0</v>
      </c>
      <c r="AE1101" s="12">
        <v>0</v>
      </c>
      <c r="AF1101" s="12">
        <v>0</v>
      </c>
      <c r="AG1101" s="12">
        <v>1</v>
      </c>
      <c r="AH1101" s="12">
        <v>10.55</v>
      </c>
      <c r="AI1101" s="12">
        <v>0</v>
      </c>
      <c r="AJ1101" s="13">
        <f t="shared" si="70"/>
        <v>0</v>
      </c>
      <c r="AN1101" s="12">
        <f t="shared" si="71"/>
        <v>24152</v>
      </c>
      <c r="AQ1101" s="8" t="s">
        <v>419</v>
      </c>
      <c r="AR1101" t="str">
        <f t="shared" si="72"/>
        <v>Norte - A04</v>
      </c>
    </row>
    <row r="1102" spans="1:44" x14ac:dyDescent="0.2">
      <c r="A1102" s="107" t="s">
        <v>1988</v>
      </c>
      <c r="B1102" s="106" t="s">
        <v>1987</v>
      </c>
      <c r="C1102" s="106" t="s">
        <v>1986</v>
      </c>
      <c r="D1102" s="106" t="s">
        <v>513</v>
      </c>
      <c r="E1102" s="106" t="s">
        <v>1985</v>
      </c>
      <c r="F1102" s="106" t="s">
        <v>490</v>
      </c>
      <c r="G1102" s="106" t="s">
        <v>1984</v>
      </c>
      <c r="H1102" s="105" t="s">
        <v>1983</v>
      </c>
      <c r="I1102" s="105" t="s">
        <v>1982</v>
      </c>
      <c r="J1102" s="104">
        <v>14.44</v>
      </c>
      <c r="K1102" s="103" t="s">
        <v>424</v>
      </c>
      <c r="L1102" s="102" t="s">
        <v>486</v>
      </c>
      <c r="M1102" s="95"/>
      <c r="N1102" s="14"/>
      <c r="O1102" s="94">
        <v>16</v>
      </c>
      <c r="P1102" s="14" t="s">
        <v>485</v>
      </c>
      <c r="Q1102" s="14" t="s">
        <v>497</v>
      </c>
      <c r="R1102" s="16" t="s">
        <v>496</v>
      </c>
      <c r="S1102" s="15">
        <v>6.8</v>
      </c>
      <c r="T1102" s="15">
        <v>0</v>
      </c>
      <c r="U1102" s="15">
        <v>0</v>
      </c>
      <c r="V1102" s="14">
        <v>2091</v>
      </c>
      <c r="W1102" s="12">
        <v>0</v>
      </c>
      <c r="X1102" s="12">
        <v>2.4399999999999995</v>
      </c>
      <c r="Y1102" s="12">
        <v>3</v>
      </c>
      <c r="Z1102" s="12">
        <v>9</v>
      </c>
      <c r="AA1102" s="12">
        <v>0</v>
      </c>
      <c r="AB1102" s="13">
        <f t="shared" si="69"/>
        <v>0</v>
      </c>
      <c r="AE1102" s="12">
        <v>0</v>
      </c>
      <c r="AF1102" s="12">
        <v>2.4399999999999995</v>
      </c>
      <c r="AG1102" s="12">
        <v>3</v>
      </c>
      <c r="AH1102" s="12">
        <v>9</v>
      </c>
      <c r="AI1102" s="12">
        <v>0</v>
      </c>
      <c r="AJ1102" s="13">
        <f t="shared" si="70"/>
        <v>0</v>
      </c>
      <c r="AN1102" s="12">
        <f t="shared" si="71"/>
        <v>30195</v>
      </c>
      <c r="AQ1102" s="8" t="s">
        <v>419</v>
      </c>
      <c r="AR1102" t="str">
        <f t="shared" si="72"/>
        <v>Norte - A04</v>
      </c>
    </row>
    <row r="1103" spans="1:44" x14ac:dyDescent="0.2">
      <c r="A1103" s="107" t="s">
        <v>1981</v>
      </c>
      <c r="B1103" s="106" t="s">
        <v>1980</v>
      </c>
      <c r="C1103" s="106" t="s">
        <v>1979</v>
      </c>
      <c r="D1103" s="106" t="s">
        <v>492</v>
      </c>
      <c r="E1103" s="106" t="s">
        <v>1978</v>
      </c>
      <c r="F1103" s="106" t="s">
        <v>490</v>
      </c>
      <c r="G1103" s="106" t="s">
        <v>1977</v>
      </c>
      <c r="H1103" s="105" t="s">
        <v>1976</v>
      </c>
      <c r="I1103" s="105" t="s">
        <v>1975</v>
      </c>
      <c r="J1103" s="104">
        <v>1.64</v>
      </c>
      <c r="K1103" s="103" t="s">
        <v>424</v>
      </c>
      <c r="L1103" s="102" t="s">
        <v>486</v>
      </c>
      <c r="M1103" s="95"/>
      <c r="N1103" s="14"/>
      <c r="O1103" s="94">
        <v>16</v>
      </c>
      <c r="P1103" s="14" t="s">
        <v>485</v>
      </c>
      <c r="Q1103" s="14" t="s">
        <v>497</v>
      </c>
      <c r="R1103" s="16" t="s">
        <v>496</v>
      </c>
      <c r="S1103" s="15">
        <v>6.6</v>
      </c>
      <c r="T1103" s="15">
        <v>0</v>
      </c>
      <c r="U1103" s="15">
        <v>0</v>
      </c>
      <c r="V1103" s="14">
        <v>396</v>
      </c>
      <c r="W1103" s="12">
        <v>0</v>
      </c>
      <c r="X1103" s="12">
        <v>0</v>
      </c>
      <c r="Y1103" s="12">
        <v>0</v>
      </c>
      <c r="Z1103" s="12">
        <v>1.64</v>
      </c>
      <c r="AA1103" s="12">
        <v>0</v>
      </c>
      <c r="AB1103" s="13">
        <f t="shared" si="69"/>
        <v>0</v>
      </c>
      <c r="AE1103" s="12">
        <v>0</v>
      </c>
      <c r="AF1103" s="12">
        <v>0</v>
      </c>
      <c r="AG1103" s="12">
        <v>0</v>
      </c>
      <c r="AH1103" s="12">
        <v>1.64</v>
      </c>
      <c r="AI1103" s="12">
        <v>0</v>
      </c>
      <c r="AJ1103" s="13">
        <f t="shared" si="70"/>
        <v>0</v>
      </c>
      <c r="AN1103" s="12">
        <f t="shared" si="71"/>
        <v>650</v>
      </c>
      <c r="AQ1103" s="8" t="s">
        <v>419</v>
      </c>
      <c r="AR1103" t="str">
        <f t="shared" si="72"/>
        <v>Norte - A04</v>
      </c>
    </row>
    <row r="1104" spans="1:44" x14ac:dyDescent="0.2">
      <c r="A1104" s="107" t="s">
        <v>1974</v>
      </c>
      <c r="B1104" s="106" t="s">
        <v>1973</v>
      </c>
      <c r="C1104" s="106" t="s">
        <v>1959</v>
      </c>
      <c r="D1104" s="106" t="s">
        <v>519</v>
      </c>
      <c r="E1104" s="106" t="s">
        <v>1958</v>
      </c>
      <c r="F1104" s="106" t="s">
        <v>490</v>
      </c>
      <c r="G1104" s="106" t="s">
        <v>1972</v>
      </c>
      <c r="H1104" s="105" t="s">
        <v>1971</v>
      </c>
      <c r="I1104" s="105" t="s">
        <v>1967</v>
      </c>
      <c r="J1104" s="104">
        <v>2.91</v>
      </c>
      <c r="K1104" s="103" t="s">
        <v>423</v>
      </c>
      <c r="L1104" s="102" t="s">
        <v>486</v>
      </c>
      <c r="M1104" s="95"/>
      <c r="N1104" s="14"/>
      <c r="O1104" s="94">
        <v>15</v>
      </c>
      <c r="P1104" s="14" t="s">
        <v>485</v>
      </c>
      <c r="Q1104" s="14" t="s">
        <v>497</v>
      </c>
      <c r="R1104" s="14" t="s">
        <v>496</v>
      </c>
      <c r="S1104" s="15">
        <v>5</v>
      </c>
      <c r="T1104" s="15">
        <v>0.5</v>
      </c>
      <c r="U1104" s="15">
        <v>0</v>
      </c>
      <c r="V1104" s="14">
        <v>396</v>
      </c>
      <c r="W1104" s="12">
        <v>0</v>
      </c>
      <c r="X1104" s="12">
        <v>0</v>
      </c>
      <c r="Y1104" s="12">
        <v>0</v>
      </c>
      <c r="Z1104" s="12">
        <v>2.91</v>
      </c>
      <c r="AA1104" s="12">
        <v>0</v>
      </c>
      <c r="AB1104" s="13">
        <f t="shared" si="69"/>
        <v>0</v>
      </c>
      <c r="AE1104" s="12">
        <v>0</v>
      </c>
      <c r="AF1104" s="12">
        <v>0</v>
      </c>
      <c r="AG1104" s="12">
        <v>0</v>
      </c>
      <c r="AH1104" s="12">
        <v>2.91</v>
      </c>
      <c r="AI1104" s="12">
        <v>0</v>
      </c>
      <c r="AJ1104" s="13">
        <f t="shared" si="70"/>
        <v>0</v>
      </c>
      <c r="AN1104" s="12">
        <f t="shared" si="71"/>
        <v>1153</v>
      </c>
      <c r="AQ1104" s="8" t="s">
        <v>419</v>
      </c>
      <c r="AR1104" t="str">
        <f t="shared" si="72"/>
        <v>Norte - A03</v>
      </c>
    </row>
    <row r="1105" spans="1:44" x14ac:dyDescent="0.2">
      <c r="A1105" s="107" t="s">
        <v>1970</v>
      </c>
      <c r="B1105" s="106" t="s">
        <v>1969</v>
      </c>
      <c r="C1105" s="106" t="s">
        <v>1959</v>
      </c>
      <c r="D1105" s="106" t="s">
        <v>1032</v>
      </c>
      <c r="E1105" s="106" t="s">
        <v>1958</v>
      </c>
      <c r="F1105" s="106" t="s">
        <v>490</v>
      </c>
      <c r="G1105" s="106" t="s">
        <v>1968</v>
      </c>
      <c r="H1105" s="105" t="s">
        <v>1967</v>
      </c>
      <c r="I1105" s="105" t="s">
        <v>1966</v>
      </c>
      <c r="J1105" s="104">
        <v>5.15</v>
      </c>
      <c r="K1105" s="103" t="s">
        <v>423</v>
      </c>
      <c r="L1105" s="102" t="s">
        <v>486</v>
      </c>
      <c r="M1105" s="95"/>
      <c r="N1105" s="14"/>
      <c r="O1105" s="94">
        <v>15</v>
      </c>
      <c r="P1105" s="14" t="s">
        <v>485</v>
      </c>
      <c r="Q1105" s="14" t="s">
        <v>497</v>
      </c>
      <c r="R1105" s="14" t="s">
        <v>496</v>
      </c>
      <c r="S1105" s="15">
        <v>7.2</v>
      </c>
      <c r="T1105" s="15">
        <v>0</v>
      </c>
      <c r="U1105" s="15">
        <v>0</v>
      </c>
      <c r="V1105" s="14">
        <v>928</v>
      </c>
      <c r="W1105" s="12">
        <v>0</v>
      </c>
      <c r="X1105" s="12">
        <v>0</v>
      </c>
      <c r="Y1105" s="12">
        <v>0</v>
      </c>
      <c r="Z1105" s="12">
        <v>5.15</v>
      </c>
      <c r="AA1105" s="12">
        <v>0</v>
      </c>
      <c r="AB1105" s="13">
        <f t="shared" si="69"/>
        <v>0</v>
      </c>
      <c r="AE1105" s="12">
        <v>0</v>
      </c>
      <c r="AF1105" s="12">
        <v>0</v>
      </c>
      <c r="AG1105" s="12">
        <v>0</v>
      </c>
      <c r="AH1105" s="12">
        <v>5.15</v>
      </c>
      <c r="AI1105" s="12">
        <v>0</v>
      </c>
      <c r="AJ1105" s="13">
        <f t="shared" si="70"/>
        <v>0</v>
      </c>
      <c r="AN1105" s="12">
        <f t="shared" si="71"/>
        <v>4780</v>
      </c>
      <c r="AQ1105" s="8" t="s">
        <v>419</v>
      </c>
      <c r="AR1105" t="str">
        <f t="shared" si="72"/>
        <v>Norte - A03</v>
      </c>
    </row>
    <row r="1106" spans="1:44" x14ac:dyDescent="0.2">
      <c r="A1106" s="107" t="s">
        <v>1965</v>
      </c>
      <c r="B1106" s="106" t="s">
        <v>1964</v>
      </c>
      <c r="C1106" s="106" t="s">
        <v>1959</v>
      </c>
      <c r="D1106" s="106" t="s">
        <v>989</v>
      </c>
      <c r="E1106" s="106" t="s">
        <v>1958</v>
      </c>
      <c r="F1106" s="106" t="s">
        <v>490</v>
      </c>
      <c r="G1106" s="106" t="s">
        <v>1963</v>
      </c>
      <c r="H1106" s="105" t="s">
        <v>1962</v>
      </c>
      <c r="I1106" s="105" t="s">
        <v>1956</v>
      </c>
      <c r="J1106" s="104">
        <v>4.57</v>
      </c>
      <c r="K1106" s="103" t="s">
        <v>430</v>
      </c>
      <c r="L1106" s="102" t="s">
        <v>486</v>
      </c>
      <c r="M1106" s="95"/>
      <c r="N1106" s="14"/>
      <c r="O1106" s="94">
        <v>22</v>
      </c>
      <c r="P1106" s="14" t="s">
        <v>485</v>
      </c>
      <c r="Q1106" s="14" t="s">
        <v>497</v>
      </c>
      <c r="R1106" s="14" t="s">
        <v>585</v>
      </c>
      <c r="S1106" s="15">
        <v>6.6</v>
      </c>
      <c r="T1106" s="15">
        <v>1</v>
      </c>
      <c r="U1106" s="15">
        <v>0</v>
      </c>
      <c r="V1106" s="14">
        <v>928</v>
      </c>
      <c r="W1106" s="12">
        <v>0</v>
      </c>
      <c r="X1106" s="12">
        <v>0</v>
      </c>
      <c r="Y1106" s="12">
        <v>0</v>
      </c>
      <c r="Z1106" s="12">
        <v>4.57</v>
      </c>
      <c r="AA1106" s="12">
        <v>0</v>
      </c>
      <c r="AB1106" s="13">
        <f t="shared" si="69"/>
        <v>0</v>
      </c>
      <c r="AE1106" s="12">
        <v>0</v>
      </c>
      <c r="AF1106" s="12">
        <v>0</v>
      </c>
      <c r="AG1106" s="12">
        <v>0</v>
      </c>
      <c r="AH1106" s="12">
        <v>4.57</v>
      </c>
      <c r="AI1106" s="12">
        <v>0</v>
      </c>
      <c r="AJ1106" s="13">
        <f t="shared" si="70"/>
        <v>0</v>
      </c>
      <c r="AN1106" s="12">
        <f t="shared" si="71"/>
        <v>4241</v>
      </c>
      <c r="AQ1106" s="8" t="s">
        <v>419</v>
      </c>
      <c r="AR1106" t="str">
        <f t="shared" si="72"/>
        <v>Norte - A10</v>
      </c>
    </row>
    <row r="1107" spans="1:44" x14ac:dyDescent="0.2">
      <c r="A1107" s="107" t="s">
        <v>1961</v>
      </c>
      <c r="B1107" s="106" t="s">
        <v>1960</v>
      </c>
      <c r="C1107" s="106" t="s">
        <v>1959</v>
      </c>
      <c r="D1107" s="106" t="s">
        <v>981</v>
      </c>
      <c r="E1107" s="106" t="s">
        <v>1958</v>
      </c>
      <c r="F1107" s="106" t="s">
        <v>490</v>
      </c>
      <c r="G1107" s="106" t="s">
        <v>1957</v>
      </c>
      <c r="H1107" s="105" t="s">
        <v>1956</v>
      </c>
      <c r="I1107" s="105" t="s">
        <v>488</v>
      </c>
      <c r="J1107" s="104">
        <v>5.5</v>
      </c>
      <c r="K1107" s="103" t="s">
        <v>430</v>
      </c>
      <c r="L1107" s="102" t="s">
        <v>486</v>
      </c>
      <c r="M1107" s="95"/>
      <c r="N1107" s="14"/>
      <c r="O1107" s="94">
        <v>22</v>
      </c>
      <c r="P1107" s="14" t="s">
        <v>485</v>
      </c>
      <c r="Q1107" s="14" t="s">
        <v>497</v>
      </c>
      <c r="R1107" s="14" t="s">
        <v>585</v>
      </c>
      <c r="S1107" s="15">
        <v>6.6</v>
      </c>
      <c r="T1107" s="15">
        <v>1</v>
      </c>
      <c r="U1107" s="15">
        <v>0</v>
      </c>
      <c r="V1107" s="14">
        <v>928</v>
      </c>
      <c r="W1107" s="12">
        <v>0</v>
      </c>
      <c r="X1107" s="12">
        <v>0</v>
      </c>
      <c r="Y1107" s="12">
        <v>0</v>
      </c>
      <c r="Z1107" s="12">
        <v>5.5</v>
      </c>
      <c r="AA1107" s="12">
        <v>0</v>
      </c>
      <c r="AB1107" s="13">
        <f t="shared" si="69"/>
        <v>0</v>
      </c>
      <c r="AE1107" s="12">
        <v>0</v>
      </c>
      <c r="AF1107" s="12">
        <v>0</v>
      </c>
      <c r="AG1107" s="12">
        <v>0</v>
      </c>
      <c r="AH1107" s="12">
        <v>5.5</v>
      </c>
      <c r="AI1107" s="12">
        <v>0</v>
      </c>
      <c r="AJ1107" s="13">
        <f t="shared" si="70"/>
        <v>0</v>
      </c>
      <c r="AN1107" s="12">
        <f t="shared" si="71"/>
        <v>5104</v>
      </c>
      <c r="AQ1107" s="8" t="s">
        <v>419</v>
      </c>
      <c r="AR1107" t="str">
        <f t="shared" si="72"/>
        <v>Norte - A10</v>
      </c>
    </row>
    <row r="1108" spans="1:44" x14ac:dyDescent="0.2">
      <c r="A1108" s="107" t="s">
        <v>1955</v>
      </c>
      <c r="B1108" s="106" t="s">
        <v>1954</v>
      </c>
      <c r="C1108" s="106" t="s">
        <v>1944</v>
      </c>
      <c r="D1108" s="106" t="s">
        <v>492</v>
      </c>
      <c r="E1108" s="106" t="s">
        <v>1943</v>
      </c>
      <c r="F1108" s="106" t="s">
        <v>490</v>
      </c>
      <c r="G1108" s="106" t="s">
        <v>1953</v>
      </c>
      <c r="H1108" s="105" t="s">
        <v>1952</v>
      </c>
      <c r="I1108" s="105" t="s">
        <v>1947</v>
      </c>
      <c r="J1108" s="104">
        <v>4.8099999999999996</v>
      </c>
      <c r="K1108" s="103" t="s">
        <v>421</v>
      </c>
      <c r="L1108" s="102" t="s">
        <v>486</v>
      </c>
      <c r="M1108" s="95"/>
      <c r="N1108" s="14"/>
      <c r="O1108" s="94">
        <v>13</v>
      </c>
      <c r="P1108" s="14" t="s">
        <v>485</v>
      </c>
      <c r="Q1108" s="14" t="s">
        <v>1903</v>
      </c>
      <c r="R1108" s="14" t="s">
        <v>496</v>
      </c>
      <c r="S1108" s="15">
        <v>6</v>
      </c>
      <c r="T1108" s="15">
        <v>0</v>
      </c>
      <c r="U1108" s="15">
        <v>0</v>
      </c>
      <c r="V1108" s="14">
        <v>1654</v>
      </c>
      <c r="W1108" s="12">
        <v>0</v>
      </c>
      <c r="X1108" s="12">
        <v>0</v>
      </c>
      <c r="Y1108" s="12">
        <v>0</v>
      </c>
      <c r="Z1108" s="12">
        <v>4.8099999999999996</v>
      </c>
      <c r="AA1108" s="12">
        <v>0</v>
      </c>
      <c r="AB1108" s="13">
        <f t="shared" si="69"/>
        <v>0</v>
      </c>
      <c r="AE1108" s="12">
        <v>0</v>
      </c>
      <c r="AF1108" s="12">
        <v>0</v>
      </c>
      <c r="AG1108" s="12">
        <v>0</v>
      </c>
      <c r="AH1108" s="12">
        <v>4.8099999999999996</v>
      </c>
      <c r="AI1108" s="12">
        <v>0</v>
      </c>
      <c r="AJ1108" s="13">
        <f t="shared" si="70"/>
        <v>0</v>
      </c>
      <c r="AN1108" s="12">
        <f t="shared" si="71"/>
        <v>7956</v>
      </c>
      <c r="AQ1108" s="8" t="s">
        <v>419</v>
      </c>
      <c r="AR1108" t="str">
        <f t="shared" si="72"/>
        <v>Norte - A01</v>
      </c>
    </row>
    <row r="1109" spans="1:44" x14ac:dyDescent="0.2">
      <c r="A1109" s="107" t="s">
        <v>1951</v>
      </c>
      <c r="B1109" s="106" t="s">
        <v>1950</v>
      </c>
      <c r="C1109" s="106" t="s">
        <v>1944</v>
      </c>
      <c r="D1109" s="106" t="s">
        <v>592</v>
      </c>
      <c r="E1109" s="106" t="s">
        <v>1949</v>
      </c>
      <c r="F1109" s="106" t="s">
        <v>590</v>
      </c>
      <c r="G1109" s="106" t="s">
        <v>1948</v>
      </c>
      <c r="H1109" s="105" t="s">
        <v>1947</v>
      </c>
      <c r="I1109" s="105" t="s">
        <v>1941</v>
      </c>
      <c r="J1109" s="104">
        <v>0.6</v>
      </c>
      <c r="K1109" s="103" t="s">
        <v>421</v>
      </c>
      <c r="L1109" s="102" t="s">
        <v>486</v>
      </c>
      <c r="M1109" s="95"/>
      <c r="N1109" s="14"/>
      <c r="O1109" s="94">
        <v>13</v>
      </c>
      <c r="P1109" s="14" t="s">
        <v>586</v>
      </c>
      <c r="Q1109" s="14" t="s">
        <v>1903</v>
      </c>
      <c r="R1109" s="14" t="s">
        <v>496</v>
      </c>
      <c r="S1109" s="15">
        <v>13</v>
      </c>
      <c r="T1109" s="15">
        <v>0</v>
      </c>
      <c r="U1109" s="15">
        <v>0</v>
      </c>
      <c r="V1109" s="14">
        <v>232</v>
      </c>
      <c r="W1109" s="12">
        <v>0</v>
      </c>
      <c r="X1109" s="12">
        <v>0</v>
      </c>
      <c r="Y1109" s="12">
        <v>0</v>
      </c>
      <c r="Z1109" s="12">
        <v>0.6</v>
      </c>
      <c r="AA1109" s="12">
        <v>0</v>
      </c>
      <c r="AB1109" s="13">
        <f t="shared" si="69"/>
        <v>0</v>
      </c>
      <c r="AE1109" s="12">
        <v>0</v>
      </c>
      <c r="AF1109" s="12">
        <v>0</v>
      </c>
      <c r="AG1109" s="12">
        <v>0</v>
      </c>
      <c r="AH1109" s="12">
        <v>0.6</v>
      </c>
      <c r="AI1109" s="12">
        <v>0</v>
      </c>
      <c r="AJ1109" s="13">
        <f t="shared" si="70"/>
        <v>0</v>
      </c>
      <c r="AN1109" s="12">
        <f t="shared" si="71"/>
        <v>140</v>
      </c>
      <c r="AQ1109" s="8" t="s">
        <v>419</v>
      </c>
      <c r="AR1109" t="str">
        <f t="shared" si="72"/>
        <v>Norte - A01</v>
      </c>
    </row>
    <row r="1110" spans="1:44" x14ac:dyDescent="0.2">
      <c r="A1110" s="107" t="s">
        <v>1946</v>
      </c>
      <c r="B1110" s="106" t="s">
        <v>1945</v>
      </c>
      <c r="C1110" s="106" t="s">
        <v>1944</v>
      </c>
      <c r="D1110" s="106" t="s">
        <v>519</v>
      </c>
      <c r="E1110" s="106" t="s">
        <v>1943</v>
      </c>
      <c r="F1110" s="106" t="s">
        <v>490</v>
      </c>
      <c r="G1110" s="106" t="s">
        <v>1942</v>
      </c>
      <c r="H1110" s="105" t="s">
        <v>1941</v>
      </c>
      <c r="I1110" s="105" t="s">
        <v>1940</v>
      </c>
      <c r="J1110" s="104">
        <v>19.16</v>
      </c>
      <c r="K1110" s="103" t="s">
        <v>421</v>
      </c>
      <c r="L1110" s="102" t="s">
        <v>486</v>
      </c>
      <c r="M1110" s="95"/>
      <c r="N1110" s="14"/>
      <c r="O1110" s="94">
        <v>13</v>
      </c>
      <c r="P1110" s="14" t="s">
        <v>485</v>
      </c>
      <c r="Q1110" s="14" t="s">
        <v>887</v>
      </c>
      <c r="R1110" s="14" t="s">
        <v>496</v>
      </c>
      <c r="S1110" s="15">
        <v>6</v>
      </c>
      <c r="T1110" s="15">
        <v>0</v>
      </c>
      <c r="U1110" s="15">
        <v>0</v>
      </c>
      <c r="V1110" s="14">
        <v>1654</v>
      </c>
      <c r="W1110" s="12">
        <v>0</v>
      </c>
      <c r="X1110" s="12">
        <v>0</v>
      </c>
      <c r="Y1110" s="12">
        <v>0</v>
      </c>
      <c r="Z1110" s="12">
        <v>19.16</v>
      </c>
      <c r="AA1110" s="12">
        <v>0</v>
      </c>
      <c r="AB1110" s="13">
        <f t="shared" si="69"/>
        <v>0</v>
      </c>
      <c r="AE1110" s="12">
        <v>0</v>
      </c>
      <c r="AF1110" s="12">
        <v>0</v>
      </c>
      <c r="AG1110" s="12">
        <v>0</v>
      </c>
      <c r="AH1110" s="12">
        <v>19.16</v>
      </c>
      <c r="AI1110" s="12">
        <v>0</v>
      </c>
      <c r="AJ1110" s="13">
        <f t="shared" si="70"/>
        <v>0</v>
      </c>
      <c r="AN1110" s="12">
        <f t="shared" si="71"/>
        <v>31691</v>
      </c>
      <c r="AQ1110" s="8" t="s">
        <v>419</v>
      </c>
      <c r="AR1110" t="str">
        <f t="shared" si="72"/>
        <v>Norte - A01</v>
      </c>
    </row>
    <row r="1111" spans="1:44" x14ac:dyDescent="0.2">
      <c r="A1111" s="107" t="s">
        <v>1939</v>
      </c>
      <c r="B1111" s="106" t="s">
        <v>1938</v>
      </c>
      <c r="C1111" s="106" t="s">
        <v>1937</v>
      </c>
      <c r="D1111" s="106" t="s">
        <v>492</v>
      </c>
      <c r="E1111" s="106" t="s">
        <v>1936</v>
      </c>
      <c r="F1111" s="106" t="s">
        <v>490</v>
      </c>
      <c r="G1111" s="106" t="s">
        <v>1935</v>
      </c>
      <c r="H1111" s="105" t="s">
        <v>1934</v>
      </c>
      <c r="I1111" s="105" t="s">
        <v>1933</v>
      </c>
      <c r="J1111" s="104">
        <v>19.5</v>
      </c>
      <c r="K1111" s="103" t="s">
        <v>430</v>
      </c>
      <c r="L1111" s="102" t="s">
        <v>486</v>
      </c>
      <c r="M1111" s="95"/>
      <c r="N1111" s="14"/>
      <c r="O1111" s="94">
        <v>22</v>
      </c>
      <c r="P1111" s="14" t="s">
        <v>485</v>
      </c>
      <c r="Q1111" s="14" t="s">
        <v>865</v>
      </c>
      <c r="R1111" s="14" t="s">
        <v>585</v>
      </c>
      <c r="S1111" s="15">
        <v>6.7</v>
      </c>
      <c r="T1111" s="15">
        <v>1</v>
      </c>
      <c r="U1111" s="15">
        <v>0</v>
      </c>
      <c r="V1111" s="14">
        <v>1080</v>
      </c>
      <c r="W1111" s="12">
        <v>0</v>
      </c>
      <c r="X1111" s="12">
        <v>0</v>
      </c>
      <c r="Y1111" s="12">
        <v>0</v>
      </c>
      <c r="Z1111" s="12">
        <v>19.5</v>
      </c>
      <c r="AA1111" s="12">
        <v>0</v>
      </c>
      <c r="AB1111" s="13">
        <f t="shared" si="69"/>
        <v>0</v>
      </c>
      <c r="AE1111" s="12">
        <v>0</v>
      </c>
      <c r="AF1111" s="12">
        <v>0</v>
      </c>
      <c r="AG1111" s="12">
        <v>0</v>
      </c>
      <c r="AH1111" s="12">
        <v>19.5</v>
      </c>
      <c r="AI1111" s="12">
        <v>0</v>
      </c>
      <c r="AJ1111" s="13">
        <f t="shared" si="70"/>
        <v>0</v>
      </c>
      <c r="AN1111" s="12">
        <f t="shared" si="71"/>
        <v>21060</v>
      </c>
      <c r="AQ1111" s="8" t="s">
        <v>419</v>
      </c>
      <c r="AR1111" t="str">
        <f t="shared" si="72"/>
        <v>Norte - A10</v>
      </c>
    </row>
    <row r="1112" spans="1:44" x14ac:dyDescent="0.2">
      <c r="A1112" s="107" t="s">
        <v>1932</v>
      </c>
      <c r="B1112" s="106" t="s">
        <v>1931</v>
      </c>
      <c r="C1112" s="106" t="s">
        <v>1915</v>
      </c>
      <c r="D1112" s="106" t="s">
        <v>751</v>
      </c>
      <c r="E1112" s="106" t="s">
        <v>1914</v>
      </c>
      <c r="F1112" s="106" t="s">
        <v>590</v>
      </c>
      <c r="G1112" s="106" t="s">
        <v>1930</v>
      </c>
      <c r="H1112" s="105" t="s">
        <v>1929</v>
      </c>
      <c r="I1112" s="105" t="s">
        <v>1928</v>
      </c>
      <c r="J1112" s="104">
        <v>0.96</v>
      </c>
      <c r="K1112" s="103" t="s">
        <v>421</v>
      </c>
      <c r="L1112" s="102" t="s">
        <v>486</v>
      </c>
      <c r="M1112" s="95"/>
      <c r="N1112" s="14"/>
      <c r="O1112" s="94">
        <v>13</v>
      </c>
      <c r="P1112" s="14" t="s">
        <v>586</v>
      </c>
      <c r="Q1112" s="14" t="s">
        <v>497</v>
      </c>
      <c r="R1112" s="14" t="s">
        <v>496</v>
      </c>
      <c r="S1112" s="15">
        <v>8</v>
      </c>
      <c r="T1112" s="15">
        <v>0</v>
      </c>
      <c r="U1112" s="15">
        <v>0</v>
      </c>
      <c r="V1112" s="14">
        <v>100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3">
        <f t="shared" si="69"/>
        <v>-0.96</v>
      </c>
      <c r="AE1112" s="12">
        <f>IF(W1112=0,0,W1112-$AB1112)</f>
        <v>0</v>
      </c>
      <c r="AF1112" s="12">
        <f>IF(X1112=0,0,X1112-$AB1112)</f>
        <v>0</v>
      </c>
      <c r="AG1112" s="12">
        <f>IF(Y1112=0,0,Y1112-$AB1112)</f>
        <v>0</v>
      </c>
      <c r="AH1112" s="12">
        <f>IF(Z1112=0,0,Z1112-$AB1112)</f>
        <v>0</v>
      </c>
      <c r="AI1112" s="12">
        <f>IF(AA1112=0,0,AA1112-$AB1112)</f>
        <v>0</v>
      </c>
      <c r="AJ1112" s="13">
        <f t="shared" si="70"/>
        <v>-0.96</v>
      </c>
      <c r="AN1112" s="12">
        <f t="shared" si="71"/>
        <v>96</v>
      </c>
      <c r="AQ1112" s="8" t="s">
        <v>419</v>
      </c>
      <c r="AR1112" t="str">
        <f t="shared" si="72"/>
        <v>Norte - A01</v>
      </c>
    </row>
    <row r="1113" spans="1:44" x14ac:dyDescent="0.2">
      <c r="A1113" s="107" t="s">
        <v>1927</v>
      </c>
      <c r="B1113" s="106" t="s">
        <v>1926</v>
      </c>
      <c r="C1113" s="106" t="s">
        <v>1915</v>
      </c>
      <c r="D1113" s="106" t="s">
        <v>519</v>
      </c>
      <c r="E1113" s="106" t="s">
        <v>1921</v>
      </c>
      <c r="F1113" s="106" t="s">
        <v>490</v>
      </c>
      <c r="G1113" s="106" t="s">
        <v>1925</v>
      </c>
      <c r="H1113" s="105" t="s">
        <v>1924</v>
      </c>
      <c r="I1113" s="105" t="s">
        <v>1919</v>
      </c>
      <c r="J1113" s="104">
        <v>5.93</v>
      </c>
      <c r="K1113" s="103" t="s">
        <v>422</v>
      </c>
      <c r="L1113" s="102" t="s">
        <v>486</v>
      </c>
      <c r="M1113" s="95"/>
      <c r="N1113" s="14"/>
      <c r="O1113" s="94">
        <v>14</v>
      </c>
      <c r="P1113" s="14" t="s">
        <v>485</v>
      </c>
      <c r="Q1113" s="14" t="s">
        <v>497</v>
      </c>
      <c r="R1113" s="14" t="s">
        <v>1918</v>
      </c>
      <c r="S1113" s="15">
        <v>6.9</v>
      </c>
      <c r="T1113" s="15">
        <v>0.7</v>
      </c>
      <c r="U1113" s="15">
        <v>0</v>
      </c>
      <c r="V1113" s="14">
        <v>396</v>
      </c>
      <c r="W1113" s="12">
        <v>0</v>
      </c>
      <c r="X1113" s="12">
        <v>0</v>
      </c>
      <c r="Y1113" s="12">
        <v>0</v>
      </c>
      <c r="Z1113" s="12">
        <v>5.93</v>
      </c>
      <c r="AA1113" s="12">
        <v>0</v>
      </c>
      <c r="AB1113" s="13">
        <f t="shared" si="69"/>
        <v>0</v>
      </c>
      <c r="AE1113" s="12">
        <v>0</v>
      </c>
      <c r="AF1113" s="12">
        <v>0</v>
      </c>
      <c r="AG1113" s="12">
        <v>0</v>
      </c>
      <c r="AH1113" s="12">
        <v>5.93</v>
      </c>
      <c r="AI1113" s="12">
        <v>0</v>
      </c>
      <c r="AJ1113" s="13">
        <f t="shared" si="70"/>
        <v>0</v>
      </c>
      <c r="AN1113" s="12">
        <f t="shared" si="71"/>
        <v>2349</v>
      </c>
      <c r="AQ1113" s="8" t="s">
        <v>419</v>
      </c>
      <c r="AR1113" t="str">
        <f t="shared" si="72"/>
        <v>Norte - A02</v>
      </c>
    </row>
    <row r="1114" spans="1:44" x14ac:dyDescent="0.2">
      <c r="A1114" s="107" t="s">
        <v>1923</v>
      </c>
      <c r="B1114" s="106" t="s">
        <v>1922</v>
      </c>
      <c r="C1114" s="106" t="s">
        <v>1915</v>
      </c>
      <c r="D1114" s="106" t="s">
        <v>513</v>
      </c>
      <c r="E1114" s="106" t="s">
        <v>1921</v>
      </c>
      <c r="F1114" s="106" t="s">
        <v>490</v>
      </c>
      <c r="G1114" s="106" t="s">
        <v>1920</v>
      </c>
      <c r="H1114" s="105" t="s">
        <v>1919</v>
      </c>
      <c r="I1114" s="105" t="s">
        <v>1912</v>
      </c>
      <c r="J1114" s="104">
        <v>3.52</v>
      </c>
      <c r="K1114" s="103" t="s">
        <v>422</v>
      </c>
      <c r="L1114" s="102" t="s">
        <v>486</v>
      </c>
      <c r="M1114" s="95"/>
      <c r="N1114" s="14"/>
      <c r="O1114" s="94">
        <v>14</v>
      </c>
      <c r="P1114" s="14" t="s">
        <v>485</v>
      </c>
      <c r="Q1114" s="14" t="s">
        <v>497</v>
      </c>
      <c r="R1114" s="14" t="s">
        <v>1918</v>
      </c>
      <c r="S1114" s="15">
        <v>6.9</v>
      </c>
      <c r="T1114" s="15">
        <v>0.7</v>
      </c>
      <c r="U1114" s="15">
        <v>0</v>
      </c>
      <c r="V1114" s="14">
        <v>396</v>
      </c>
      <c r="W1114" s="12">
        <v>0</v>
      </c>
      <c r="X1114" s="12">
        <v>0</v>
      </c>
      <c r="Y1114" s="12">
        <v>0</v>
      </c>
      <c r="Z1114" s="12">
        <v>3.52</v>
      </c>
      <c r="AA1114" s="12">
        <v>0</v>
      </c>
      <c r="AB1114" s="13">
        <f t="shared" si="69"/>
        <v>0</v>
      </c>
      <c r="AE1114" s="12">
        <v>0</v>
      </c>
      <c r="AF1114" s="12">
        <v>0</v>
      </c>
      <c r="AG1114" s="12">
        <v>0</v>
      </c>
      <c r="AH1114" s="12">
        <v>3.52</v>
      </c>
      <c r="AI1114" s="12">
        <v>0</v>
      </c>
      <c r="AJ1114" s="13">
        <f t="shared" si="70"/>
        <v>0</v>
      </c>
      <c r="AN1114" s="12">
        <f t="shared" si="71"/>
        <v>1394</v>
      </c>
      <c r="AQ1114" s="8" t="s">
        <v>419</v>
      </c>
      <c r="AR1114" t="str">
        <f t="shared" si="72"/>
        <v>Norte - A02</v>
      </c>
    </row>
    <row r="1115" spans="1:44" x14ac:dyDescent="0.2">
      <c r="A1115" s="107" t="s">
        <v>1917</v>
      </c>
      <c r="B1115" s="106" t="s">
        <v>1916</v>
      </c>
      <c r="C1115" s="106" t="s">
        <v>1915</v>
      </c>
      <c r="D1115" s="106" t="s">
        <v>1324</v>
      </c>
      <c r="E1115" s="106" t="s">
        <v>1914</v>
      </c>
      <c r="F1115" s="106" t="s">
        <v>590</v>
      </c>
      <c r="G1115" s="106" t="s">
        <v>1913</v>
      </c>
      <c r="H1115" s="105" t="s">
        <v>1912</v>
      </c>
      <c r="I1115" s="105" t="s">
        <v>1911</v>
      </c>
      <c r="J1115" s="104">
        <v>6.4</v>
      </c>
      <c r="K1115" s="103" t="s">
        <v>422</v>
      </c>
      <c r="L1115" s="102" t="s">
        <v>486</v>
      </c>
      <c r="M1115" s="95"/>
      <c r="N1115" s="14"/>
      <c r="O1115" s="94">
        <v>14</v>
      </c>
      <c r="P1115" s="14" t="s">
        <v>586</v>
      </c>
      <c r="Q1115" s="14" t="s">
        <v>497</v>
      </c>
      <c r="R1115" s="14" t="s">
        <v>496</v>
      </c>
      <c r="S1115" s="15">
        <v>12.6</v>
      </c>
      <c r="T1115" s="15">
        <v>0</v>
      </c>
      <c r="U1115" s="15">
        <v>0</v>
      </c>
      <c r="V1115" s="14">
        <v>300</v>
      </c>
      <c r="W1115" s="12">
        <v>0</v>
      </c>
      <c r="X1115" s="12">
        <v>0</v>
      </c>
      <c r="Y1115" s="12">
        <v>4.4000000000000004</v>
      </c>
      <c r="Z1115" s="12">
        <v>2</v>
      </c>
      <c r="AA1115" s="12">
        <v>0</v>
      </c>
      <c r="AB1115" s="13">
        <f t="shared" si="69"/>
        <v>0</v>
      </c>
      <c r="AE1115" s="12">
        <v>0</v>
      </c>
      <c r="AF1115" s="12">
        <v>0</v>
      </c>
      <c r="AG1115" s="12">
        <v>4.4000000000000004</v>
      </c>
      <c r="AH1115" s="12">
        <v>2</v>
      </c>
      <c r="AI1115" s="12">
        <v>0</v>
      </c>
      <c r="AJ1115" s="13">
        <f t="shared" si="70"/>
        <v>0</v>
      </c>
      <c r="AN1115" s="12">
        <f t="shared" si="71"/>
        <v>1920</v>
      </c>
      <c r="AQ1115" s="8" t="s">
        <v>419</v>
      </c>
      <c r="AR1115" t="str">
        <f t="shared" si="72"/>
        <v>Norte - A02</v>
      </c>
    </row>
    <row r="1116" spans="1:44" x14ac:dyDescent="0.2">
      <c r="A1116" s="107" t="s">
        <v>1910</v>
      </c>
      <c r="B1116" s="106" t="s">
        <v>1909</v>
      </c>
      <c r="C1116" s="106" t="s">
        <v>1908</v>
      </c>
      <c r="D1116" s="106" t="s">
        <v>492</v>
      </c>
      <c r="E1116" s="106" t="s">
        <v>1907</v>
      </c>
      <c r="F1116" s="106" t="s">
        <v>490</v>
      </c>
      <c r="G1116" s="106" t="s">
        <v>1906</v>
      </c>
      <c r="H1116" s="105" t="s">
        <v>1905</v>
      </c>
      <c r="I1116" s="105" t="s">
        <v>1904</v>
      </c>
      <c r="J1116" s="104">
        <v>24.46</v>
      </c>
      <c r="K1116" s="103" t="s">
        <v>422</v>
      </c>
      <c r="L1116" s="102" t="s">
        <v>486</v>
      </c>
      <c r="M1116" s="95"/>
      <c r="N1116" s="14"/>
      <c r="O1116" s="94">
        <v>14</v>
      </c>
      <c r="P1116" s="14" t="s">
        <v>485</v>
      </c>
      <c r="Q1116" s="14" t="s">
        <v>1903</v>
      </c>
      <c r="R1116" s="14" t="s">
        <v>496</v>
      </c>
      <c r="S1116" s="15">
        <v>6.8</v>
      </c>
      <c r="T1116" s="15">
        <v>0</v>
      </c>
      <c r="U1116" s="15">
        <v>0</v>
      </c>
      <c r="V1116" s="14">
        <v>1552</v>
      </c>
      <c r="W1116" s="12">
        <v>0</v>
      </c>
      <c r="X1116" s="12">
        <v>0</v>
      </c>
      <c r="Y1116" s="12">
        <v>0</v>
      </c>
      <c r="Z1116" s="12">
        <v>24.46</v>
      </c>
      <c r="AA1116" s="12">
        <v>0</v>
      </c>
      <c r="AB1116" s="13">
        <f t="shared" si="69"/>
        <v>0</v>
      </c>
      <c r="AE1116" s="12">
        <v>0</v>
      </c>
      <c r="AF1116" s="12">
        <v>0</v>
      </c>
      <c r="AG1116" s="12">
        <v>0</v>
      </c>
      <c r="AH1116" s="12">
        <v>24.46</v>
      </c>
      <c r="AI1116" s="12">
        <v>0</v>
      </c>
      <c r="AJ1116" s="13">
        <f t="shared" si="70"/>
        <v>0</v>
      </c>
      <c r="AN1116" s="12">
        <f t="shared" si="71"/>
        <v>37962</v>
      </c>
      <c r="AQ1116" s="8" t="s">
        <v>419</v>
      </c>
      <c r="AR1116" t="str">
        <f t="shared" si="72"/>
        <v>Norte - A02</v>
      </c>
    </row>
    <row r="1117" spans="1:44" x14ac:dyDescent="0.2">
      <c r="A1117" s="107" t="s">
        <v>1902</v>
      </c>
      <c r="B1117" s="106" t="s">
        <v>1901</v>
      </c>
      <c r="C1117" s="106" t="s">
        <v>1878</v>
      </c>
      <c r="D1117" s="106" t="s">
        <v>492</v>
      </c>
      <c r="E1117" s="106" t="s">
        <v>1877</v>
      </c>
      <c r="F1117" s="106" t="s">
        <v>490</v>
      </c>
      <c r="G1117" s="106" t="s">
        <v>1900</v>
      </c>
      <c r="H1117" s="105" t="s">
        <v>1899</v>
      </c>
      <c r="I1117" s="105" t="s">
        <v>1895</v>
      </c>
      <c r="J1117" s="104">
        <v>14.85</v>
      </c>
      <c r="K1117" s="103" t="s">
        <v>423</v>
      </c>
      <c r="L1117" s="102" t="s">
        <v>486</v>
      </c>
      <c r="M1117" s="95"/>
      <c r="N1117" s="14"/>
      <c r="O1117" s="94">
        <v>15</v>
      </c>
      <c r="P1117" s="14" t="s">
        <v>485</v>
      </c>
      <c r="Q1117" s="14" t="s">
        <v>497</v>
      </c>
      <c r="R1117" s="14" t="s">
        <v>496</v>
      </c>
      <c r="S1117" s="15">
        <v>7.2</v>
      </c>
      <c r="T1117" s="15">
        <v>0.6</v>
      </c>
      <c r="U1117" s="15">
        <v>0</v>
      </c>
      <c r="V1117" s="14">
        <v>928</v>
      </c>
      <c r="W1117" s="12">
        <v>0</v>
      </c>
      <c r="X1117" s="12">
        <v>0</v>
      </c>
      <c r="Y1117" s="12">
        <v>0</v>
      </c>
      <c r="Z1117" s="12">
        <v>14.85</v>
      </c>
      <c r="AA1117" s="12">
        <v>0</v>
      </c>
      <c r="AB1117" s="13">
        <f t="shared" si="69"/>
        <v>0</v>
      </c>
      <c r="AE1117" s="12">
        <v>0</v>
      </c>
      <c r="AF1117" s="12">
        <v>0</v>
      </c>
      <c r="AG1117" s="12">
        <v>0</v>
      </c>
      <c r="AH1117" s="12">
        <v>14.85</v>
      </c>
      <c r="AI1117" s="12">
        <v>0</v>
      </c>
      <c r="AJ1117" s="13">
        <f t="shared" si="70"/>
        <v>0</v>
      </c>
      <c r="AN1117" s="12">
        <f t="shared" si="71"/>
        <v>13781</v>
      </c>
      <c r="AQ1117" s="8" t="s">
        <v>419</v>
      </c>
      <c r="AR1117" t="str">
        <f t="shared" si="72"/>
        <v>Norte - A03</v>
      </c>
    </row>
    <row r="1118" spans="1:44" x14ac:dyDescent="0.2">
      <c r="A1118" s="107" t="s">
        <v>1898</v>
      </c>
      <c r="B1118" s="106" t="s">
        <v>1897</v>
      </c>
      <c r="C1118" s="106" t="s">
        <v>1878</v>
      </c>
      <c r="D1118" s="106" t="s">
        <v>592</v>
      </c>
      <c r="E1118" s="106" t="s">
        <v>1883</v>
      </c>
      <c r="F1118" s="106" t="s">
        <v>590</v>
      </c>
      <c r="G1118" s="106" t="s">
        <v>1896</v>
      </c>
      <c r="H1118" s="105" t="s">
        <v>1895</v>
      </c>
      <c r="I1118" s="105" t="s">
        <v>1891</v>
      </c>
      <c r="J1118" s="104">
        <v>0.69</v>
      </c>
      <c r="K1118" s="103" t="s">
        <v>423</v>
      </c>
      <c r="L1118" s="102" t="s">
        <v>486</v>
      </c>
      <c r="M1118" s="95"/>
      <c r="N1118" s="14"/>
      <c r="O1118" s="94">
        <v>15</v>
      </c>
      <c r="P1118" s="14" t="s">
        <v>586</v>
      </c>
      <c r="Q1118" s="14" t="s">
        <v>497</v>
      </c>
      <c r="R1118" s="14" t="s">
        <v>576</v>
      </c>
      <c r="S1118" s="15">
        <v>8.5</v>
      </c>
      <c r="T1118" s="15">
        <v>0</v>
      </c>
      <c r="U1118" s="15">
        <v>0</v>
      </c>
      <c r="V1118" s="14">
        <v>298</v>
      </c>
      <c r="W1118" s="12">
        <v>0</v>
      </c>
      <c r="X1118" s="12">
        <v>0</v>
      </c>
      <c r="Y1118" s="12">
        <v>0</v>
      </c>
      <c r="Z1118" s="12">
        <v>0.69</v>
      </c>
      <c r="AA1118" s="12">
        <v>0</v>
      </c>
      <c r="AB1118" s="13">
        <f t="shared" si="69"/>
        <v>0</v>
      </c>
      <c r="AE1118" s="12">
        <v>0</v>
      </c>
      <c r="AF1118" s="12">
        <v>0</v>
      </c>
      <c r="AG1118" s="12">
        <v>0</v>
      </c>
      <c r="AH1118" s="12">
        <v>0.69</v>
      </c>
      <c r="AI1118" s="12">
        <v>0</v>
      </c>
      <c r="AJ1118" s="13">
        <f t="shared" si="70"/>
        <v>0</v>
      </c>
      <c r="AN1118" s="12">
        <f t="shared" si="71"/>
        <v>206</v>
      </c>
      <c r="AQ1118" s="8" t="s">
        <v>419</v>
      </c>
      <c r="AR1118" t="str">
        <f t="shared" si="72"/>
        <v>Norte - A03</v>
      </c>
    </row>
    <row r="1119" spans="1:44" x14ac:dyDescent="0.2">
      <c r="A1119" s="107" t="s">
        <v>1894</v>
      </c>
      <c r="B1119" s="106" t="s">
        <v>1893</v>
      </c>
      <c r="C1119" s="106" t="s">
        <v>1878</v>
      </c>
      <c r="D1119" s="106" t="s">
        <v>519</v>
      </c>
      <c r="E1119" s="106" t="s">
        <v>1877</v>
      </c>
      <c r="F1119" s="106" t="s">
        <v>490</v>
      </c>
      <c r="G1119" s="106" t="s">
        <v>1892</v>
      </c>
      <c r="H1119" s="105" t="s">
        <v>1891</v>
      </c>
      <c r="I1119" s="105" t="s">
        <v>1890</v>
      </c>
      <c r="J1119" s="104">
        <v>3.83</v>
      </c>
      <c r="K1119" s="103" t="s">
        <v>423</v>
      </c>
      <c r="L1119" s="102" t="s">
        <v>486</v>
      </c>
      <c r="M1119" s="95"/>
      <c r="N1119" s="14"/>
      <c r="O1119" s="94">
        <v>15</v>
      </c>
      <c r="P1119" s="14" t="s">
        <v>485</v>
      </c>
      <c r="Q1119" s="14" t="s">
        <v>497</v>
      </c>
      <c r="R1119" s="14" t="s">
        <v>496</v>
      </c>
      <c r="S1119" s="15">
        <v>7.2</v>
      </c>
      <c r="T1119" s="15">
        <v>0</v>
      </c>
      <c r="U1119" s="15">
        <v>0</v>
      </c>
      <c r="V1119" s="14">
        <v>928</v>
      </c>
      <c r="W1119" s="12">
        <v>0</v>
      </c>
      <c r="X1119" s="12">
        <v>0</v>
      </c>
      <c r="Y1119" s="12">
        <v>0</v>
      </c>
      <c r="Z1119" s="12">
        <v>3.83</v>
      </c>
      <c r="AA1119" s="12">
        <v>0</v>
      </c>
      <c r="AB1119" s="13">
        <f t="shared" si="69"/>
        <v>0</v>
      </c>
      <c r="AE1119" s="12">
        <v>0</v>
      </c>
      <c r="AF1119" s="12">
        <v>0</v>
      </c>
      <c r="AG1119" s="12">
        <v>0</v>
      </c>
      <c r="AH1119" s="12">
        <v>3.83</v>
      </c>
      <c r="AI1119" s="12">
        <v>0</v>
      </c>
      <c r="AJ1119" s="13">
        <f t="shared" si="70"/>
        <v>0</v>
      </c>
      <c r="AN1119" s="12">
        <f t="shared" si="71"/>
        <v>3555</v>
      </c>
      <c r="AQ1119" s="8" t="s">
        <v>419</v>
      </c>
      <c r="AR1119" t="str">
        <f t="shared" si="72"/>
        <v>Norte - A03</v>
      </c>
    </row>
    <row r="1120" spans="1:44" x14ac:dyDescent="0.2">
      <c r="A1120" s="107" t="s">
        <v>1889</v>
      </c>
      <c r="B1120" s="106" t="s">
        <v>1888</v>
      </c>
      <c r="C1120" s="106" t="s">
        <v>1878</v>
      </c>
      <c r="D1120" s="106" t="s">
        <v>989</v>
      </c>
      <c r="E1120" s="106" t="s">
        <v>1877</v>
      </c>
      <c r="F1120" s="106" t="s">
        <v>490</v>
      </c>
      <c r="G1120" s="106" t="s">
        <v>1887</v>
      </c>
      <c r="H1120" s="105" t="s">
        <v>1886</v>
      </c>
      <c r="I1120" s="105" t="s">
        <v>1881</v>
      </c>
      <c r="J1120" s="104">
        <v>4.71</v>
      </c>
      <c r="K1120" s="103" t="s">
        <v>423</v>
      </c>
      <c r="L1120" s="102" t="s">
        <v>486</v>
      </c>
      <c r="M1120" s="95"/>
      <c r="N1120" s="14"/>
      <c r="O1120" s="94">
        <v>15</v>
      </c>
      <c r="P1120" s="14" t="s">
        <v>485</v>
      </c>
      <c r="Q1120" s="14" t="s">
        <v>497</v>
      </c>
      <c r="R1120" s="14" t="s">
        <v>496</v>
      </c>
      <c r="S1120" s="15">
        <v>7.2</v>
      </c>
      <c r="T1120" s="15">
        <v>0</v>
      </c>
      <c r="U1120" s="15">
        <v>0</v>
      </c>
      <c r="V1120" s="14">
        <v>928</v>
      </c>
      <c r="W1120" s="12">
        <v>0</v>
      </c>
      <c r="X1120" s="12">
        <v>0</v>
      </c>
      <c r="Y1120" s="12">
        <v>0</v>
      </c>
      <c r="Z1120" s="12">
        <v>4.71</v>
      </c>
      <c r="AA1120" s="12">
        <v>0</v>
      </c>
      <c r="AB1120" s="13">
        <f t="shared" si="69"/>
        <v>0</v>
      </c>
      <c r="AE1120" s="12">
        <v>0</v>
      </c>
      <c r="AF1120" s="12">
        <v>0</v>
      </c>
      <c r="AG1120" s="12">
        <v>0</v>
      </c>
      <c r="AH1120" s="12">
        <v>4.71</v>
      </c>
      <c r="AI1120" s="12">
        <v>0</v>
      </c>
      <c r="AJ1120" s="13">
        <f t="shared" si="70"/>
        <v>0</v>
      </c>
      <c r="AN1120" s="12">
        <f t="shared" si="71"/>
        <v>4371</v>
      </c>
      <c r="AQ1120" s="8" t="s">
        <v>419</v>
      </c>
      <c r="AR1120" t="str">
        <f t="shared" si="72"/>
        <v>Norte - A03</v>
      </c>
    </row>
    <row r="1121" spans="1:44" x14ac:dyDescent="0.2">
      <c r="A1121" s="107" t="s">
        <v>1885</v>
      </c>
      <c r="B1121" s="106" t="s">
        <v>1884</v>
      </c>
      <c r="C1121" s="106" t="s">
        <v>1878</v>
      </c>
      <c r="D1121" s="106" t="s">
        <v>1002</v>
      </c>
      <c r="E1121" s="106" t="s">
        <v>1883</v>
      </c>
      <c r="F1121" s="106" t="s">
        <v>590</v>
      </c>
      <c r="G1121" s="106" t="s">
        <v>1882</v>
      </c>
      <c r="H1121" s="105" t="s">
        <v>1881</v>
      </c>
      <c r="I1121" s="105" t="s">
        <v>1875</v>
      </c>
      <c r="J1121" s="104">
        <v>0.51</v>
      </c>
      <c r="K1121" s="103" t="s">
        <v>423</v>
      </c>
      <c r="L1121" s="102" t="s">
        <v>486</v>
      </c>
      <c r="M1121" s="95"/>
      <c r="N1121" s="14"/>
      <c r="O1121" s="94">
        <v>15</v>
      </c>
      <c r="P1121" s="14" t="s">
        <v>586</v>
      </c>
      <c r="Q1121" s="14" t="s">
        <v>497</v>
      </c>
      <c r="R1121" s="14" t="s">
        <v>496</v>
      </c>
      <c r="S1121" s="15">
        <v>11.6</v>
      </c>
      <c r="T1121" s="15">
        <v>0</v>
      </c>
      <c r="U1121" s="15">
        <v>0</v>
      </c>
      <c r="V1121" s="14">
        <v>298</v>
      </c>
      <c r="W1121" s="12">
        <v>0</v>
      </c>
      <c r="X1121" s="12">
        <v>0</v>
      </c>
      <c r="Y1121" s="12">
        <v>0</v>
      </c>
      <c r="Z1121" s="12">
        <v>0.51</v>
      </c>
      <c r="AA1121" s="12">
        <v>0</v>
      </c>
      <c r="AB1121" s="13">
        <f t="shared" si="69"/>
        <v>0</v>
      </c>
      <c r="AE1121" s="12">
        <v>0</v>
      </c>
      <c r="AF1121" s="12">
        <v>0</v>
      </c>
      <c r="AG1121" s="12">
        <v>0</v>
      </c>
      <c r="AH1121" s="12">
        <v>0.51</v>
      </c>
      <c r="AI1121" s="12">
        <v>0</v>
      </c>
      <c r="AJ1121" s="13">
        <f t="shared" si="70"/>
        <v>0</v>
      </c>
      <c r="AN1121" s="12">
        <f t="shared" si="71"/>
        <v>152</v>
      </c>
      <c r="AQ1121" s="8" t="s">
        <v>419</v>
      </c>
      <c r="AR1121" t="str">
        <f t="shared" si="72"/>
        <v>Norte - A03</v>
      </c>
    </row>
    <row r="1122" spans="1:44" x14ac:dyDescent="0.2">
      <c r="A1122" s="107" t="s">
        <v>1880</v>
      </c>
      <c r="B1122" s="106" t="s">
        <v>1879</v>
      </c>
      <c r="C1122" s="106" t="s">
        <v>1878</v>
      </c>
      <c r="D1122" s="106" t="s">
        <v>981</v>
      </c>
      <c r="E1122" s="106" t="s">
        <v>1877</v>
      </c>
      <c r="F1122" s="106" t="s">
        <v>490</v>
      </c>
      <c r="G1122" s="106" t="s">
        <v>1876</v>
      </c>
      <c r="H1122" s="105" t="s">
        <v>1875</v>
      </c>
      <c r="I1122" s="105" t="s">
        <v>499</v>
      </c>
      <c r="J1122" s="104">
        <v>8.57</v>
      </c>
      <c r="K1122" s="103" t="s">
        <v>423</v>
      </c>
      <c r="L1122" s="102" t="s">
        <v>486</v>
      </c>
      <c r="M1122" s="95"/>
      <c r="N1122" s="14"/>
      <c r="O1122" s="94">
        <v>15</v>
      </c>
      <c r="P1122" s="14" t="s">
        <v>485</v>
      </c>
      <c r="Q1122" s="14" t="s">
        <v>497</v>
      </c>
      <c r="R1122" s="14" t="s">
        <v>496</v>
      </c>
      <c r="S1122" s="15">
        <v>7.2</v>
      </c>
      <c r="T1122" s="15">
        <v>2</v>
      </c>
      <c r="U1122" s="15">
        <v>0</v>
      </c>
      <c r="V1122" s="14">
        <v>928</v>
      </c>
      <c r="W1122" s="12">
        <v>0</v>
      </c>
      <c r="X1122" s="12">
        <v>0</v>
      </c>
      <c r="Y1122" s="12">
        <v>0</v>
      </c>
      <c r="Z1122" s="12">
        <v>8.57</v>
      </c>
      <c r="AA1122" s="12">
        <v>0</v>
      </c>
      <c r="AB1122" s="13">
        <f t="shared" si="69"/>
        <v>0</v>
      </c>
      <c r="AE1122" s="12">
        <v>0</v>
      </c>
      <c r="AF1122" s="12">
        <v>0</v>
      </c>
      <c r="AG1122" s="12">
        <v>0</v>
      </c>
      <c r="AH1122" s="12">
        <v>8.57</v>
      </c>
      <c r="AI1122" s="12">
        <v>0</v>
      </c>
      <c r="AJ1122" s="13">
        <f t="shared" si="70"/>
        <v>0</v>
      </c>
      <c r="AN1122" s="12">
        <f t="shared" si="71"/>
        <v>7953</v>
      </c>
      <c r="AQ1122" s="8" t="s">
        <v>419</v>
      </c>
      <c r="AR1122" t="str">
        <f t="shared" si="72"/>
        <v>Norte - A03</v>
      </c>
    </row>
    <row r="1123" spans="1:44" x14ac:dyDescent="0.2">
      <c r="A1123" s="107" t="s">
        <v>1874</v>
      </c>
      <c r="B1123" s="106" t="s">
        <v>1873</v>
      </c>
      <c r="C1123" s="106" t="s">
        <v>1864</v>
      </c>
      <c r="D1123" s="106" t="s">
        <v>492</v>
      </c>
      <c r="E1123" s="106" t="s">
        <v>1869</v>
      </c>
      <c r="F1123" s="106" t="s">
        <v>490</v>
      </c>
      <c r="G1123" s="106" t="s">
        <v>1872</v>
      </c>
      <c r="H1123" s="105" t="s">
        <v>488</v>
      </c>
      <c r="I1123" s="105" t="s">
        <v>1867</v>
      </c>
      <c r="J1123" s="104">
        <v>2.85</v>
      </c>
      <c r="K1123" s="103" t="s">
        <v>430</v>
      </c>
      <c r="L1123" s="102" t="s">
        <v>486</v>
      </c>
      <c r="M1123" s="95"/>
      <c r="N1123" s="14"/>
      <c r="O1123" s="94">
        <v>22</v>
      </c>
      <c r="P1123" s="14" t="s">
        <v>485</v>
      </c>
      <c r="Q1123" s="14" t="s">
        <v>505</v>
      </c>
      <c r="R1123" s="14" t="s">
        <v>496</v>
      </c>
      <c r="S1123" s="15">
        <v>7.2</v>
      </c>
      <c r="T1123" s="15">
        <v>2</v>
      </c>
      <c r="U1123" s="15">
        <v>0</v>
      </c>
      <c r="V1123" s="14">
        <v>396</v>
      </c>
      <c r="W1123" s="12">
        <v>0</v>
      </c>
      <c r="X1123" s="12">
        <v>0</v>
      </c>
      <c r="Y1123" s="12">
        <v>0.85000000000000009</v>
      </c>
      <c r="Z1123" s="12">
        <v>2</v>
      </c>
      <c r="AA1123" s="12">
        <v>0</v>
      </c>
      <c r="AB1123" s="13">
        <f t="shared" si="69"/>
        <v>0</v>
      </c>
      <c r="AE1123" s="12">
        <v>0</v>
      </c>
      <c r="AF1123" s="12">
        <v>0</v>
      </c>
      <c r="AG1123" s="12">
        <v>0.85000000000000009</v>
      </c>
      <c r="AH1123" s="12">
        <v>2</v>
      </c>
      <c r="AI1123" s="12">
        <v>0</v>
      </c>
      <c r="AJ1123" s="13">
        <f t="shared" si="70"/>
        <v>0</v>
      </c>
      <c r="AN1123" s="12">
        <f t="shared" si="71"/>
        <v>1129</v>
      </c>
      <c r="AQ1123" s="8" t="s">
        <v>419</v>
      </c>
      <c r="AR1123" t="str">
        <f t="shared" si="72"/>
        <v>Norte - A10</v>
      </c>
    </row>
    <row r="1124" spans="1:44" x14ac:dyDescent="0.2">
      <c r="A1124" s="107" t="s">
        <v>1871</v>
      </c>
      <c r="B1124" s="106" t="s">
        <v>1870</v>
      </c>
      <c r="C1124" s="106" t="s">
        <v>1864</v>
      </c>
      <c r="D1124" s="106" t="s">
        <v>519</v>
      </c>
      <c r="E1124" s="106" t="s">
        <v>1869</v>
      </c>
      <c r="F1124" s="106" t="s">
        <v>490</v>
      </c>
      <c r="G1124" s="106" t="s">
        <v>1868</v>
      </c>
      <c r="H1124" s="105" t="s">
        <v>1867</v>
      </c>
      <c r="I1124" s="105" t="s">
        <v>1861</v>
      </c>
      <c r="J1124" s="104">
        <v>18.23</v>
      </c>
      <c r="K1124" s="103" t="s">
        <v>430</v>
      </c>
      <c r="L1124" s="102" t="s">
        <v>486</v>
      </c>
      <c r="M1124" s="95"/>
      <c r="N1124" s="14"/>
      <c r="O1124" s="94">
        <v>22</v>
      </c>
      <c r="P1124" s="14" t="s">
        <v>485</v>
      </c>
      <c r="Q1124" s="14" t="s">
        <v>505</v>
      </c>
      <c r="R1124" s="14" t="s">
        <v>496</v>
      </c>
      <c r="S1124" s="15">
        <v>7.2</v>
      </c>
      <c r="T1124" s="15">
        <v>2</v>
      </c>
      <c r="U1124" s="15">
        <v>0</v>
      </c>
      <c r="V1124" s="14">
        <v>396</v>
      </c>
      <c r="W1124" s="12">
        <v>0</v>
      </c>
      <c r="X1124" s="12">
        <v>1</v>
      </c>
      <c r="Y1124" s="12">
        <v>7</v>
      </c>
      <c r="Z1124" s="12">
        <v>10.23</v>
      </c>
      <c r="AA1124" s="12">
        <v>0</v>
      </c>
      <c r="AB1124" s="13">
        <f t="shared" si="69"/>
        <v>0</v>
      </c>
      <c r="AE1124" s="12">
        <v>0</v>
      </c>
      <c r="AF1124" s="12">
        <v>1</v>
      </c>
      <c r="AG1124" s="12">
        <v>7</v>
      </c>
      <c r="AH1124" s="12">
        <v>10.23</v>
      </c>
      <c r="AI1124" s="12">
        <v>0</v>
      </c>
      <c r="AJ1124" s="13">
        <f t="shared" si="70"/>
        <v>0</v>
      </c>
      <c r="AN1124" s="12">
        <f t="shared" si="71"/>
        <v>7220</v>
      </c>
      <c r="AQ1124" s="8" t="s">
        <v>419</v>
      </c>
      <c r="AR1124" t="str">
        <f t="shared" si="72"/>
        <v>Norte - A10</v>
      </c>
    </row>
    <row r="1125" spans="1:44" x14ac:dyDescent="0.2">
      <c r="A1125" s="107" t="s">
        <v>1866</v>
      </c>
      <c r="B1125" s="106" t="s">
        <v>1865</v>
      </c>
      <c r="C1125" s="106" t="s">
        <v>1864</v>
      </c>
      <c r="D1125" s="106" t="s">
        <v>1032</v>
      </c>
      <c r="E1125" s="106" t="s">
        <v>1863</v>
      </c>
      <c r="F1125" s="106" t="s">
        <v>590</v>
      </c>
      <c r="G1125" s="106" t="s">
        <v>1862</v>
      </c>
      <c r="H1125" s="105" t="s">
        <v>1861</v>
      </c>
      <c r="I1125" s="105" t="s">
        <v>1860</v>
      </c>
      <c r="J1125" s="104">
        <v>1.01</v>
      </c>
      <c r="K1125" s="103" t="s">
        <v>430</v>
      </c>
      <c r="L1125" s="102" t="s">
        <v>486</v>
      </c>
      <c r="M1125" s="95"/>
      <c r="N1125" s="14"/>
      <c r="O1125" s="94">
        <v>22</v>
      </c>
      <c r="P1125" s="14" t="s">
        <v>586</v>
      </c>
      <c r="Q1125" s="14" t="s">
        <v>505</v>
      </c>
      <c r="R1125" s="14" t="s">
        <v>496</v>
      </c>
      <c r="S1125" s="15">
        <v>10.3</v>
      </c>
      <c r="T1125" s="15">
        <v>0</v>
      </c>
      <c r="U1125" s="15">
        <v>0</v>
      </c>
      <c r="V1125" s="14">
        <v>260</v>
      </c>
      <c r="W1125" s="12">
        <v>0</v>
      </c>
      <c r="X1125" s="12">
        <v>0</v>
      </c>
      <c r="Y1125" s="12">
        <v>0</v>
      </c>
      <c r="Z1125" s="12">
        <v>1.01</v>
      </c>
      <c r="AA1125" s="12">
        <v>0</v>
      </c>
      <c r="AB1125" s="13">
        <f t="shared" si="69"/>
        <v>0</v>
      </c>
      <c r="AE1125" s="12">
        <v>0</v>
      </c>
      <c r="AF1125" s="12">
        <v>0</v>
      </c>
      <c r="AG1125" s="12">
        <v>0</v>
      </c>
      <c r="AH1125" s="12">
        <v>1.01</v>
      </c>
      <c r="AI1125" s="12">
        <v>0</v>
      </c>
      <c r="AJ1125" s="13">
        <f t="shared" si="70"/>
        <v>0</v>
      </c>
      <c r="AN1125" s="12">
        <f t="shared" si="71"/>
        <v>263</v>
      </c>
      <c r="AQ1125" s="8" t="s">
        <v>419</v>
      </c>
      <c r="AR1125" t="str">
        <f t="shared" si="72"/>
        <v>Norte - A10</v>
      </c>
    </row>
    <row r="1126" spans="1:44" x14ac:dyDescent="0.2">
      <c r="A1126" s="107" t="s">
        <v>1859</v>
      </c>
      <c r="B1126" s="106" t="s">
        <v>1858</v>
      </c>
      <c r="C1126" s="106" t="s">
        <v>1857</v>
      </c>
      <c r="D1126" s="106" t="s">
        <v>592</v>
      </c>
      <c r="E1126" s="106" t="s">
        <v>1856</v>
      </c>
      <c r="F1126" s="106" t="s">
        <v>490</v>
      </c>
      <c r="G1126" s="106" t="s">
        <v>1855</v>
      </c>
      <c r="H1126" s="105" t="s">
        <v>1854</v>
      </c>
      <c r="I1126" s="105" t="s">
        <v>1853</v>
      </c>
      <c r="J1126" s="104">
        <v>22.77</v>
      </c>
      <c r="K1126" s="103" t="s">
        <v>425</v>
      </c>
      <c r="L1126" s="102" t="s">
        <v>577</v>
      </c>
      <c r="M1126" s="95"/>
      <c r="N1126" s="14"/>
      <c r="O1126" s="94">
        <v>10</v>
      </c>
      <c r="P1126" s="14" t="s">
        <v>485</v>
      </c>
      <c r="Q1126" s="14" t="s">
        <v>497</v>
      </c>
      <c r="R1126" s="14" t="s">
        <v>496</v>
      </c>
      <c r="S1126" s="15">
        <v>7.2</v>
      </c>
      <c r="T1126" s="15">
        <v>2.5</v>
      </c>
      <c r="U1126" s="15">
        <v>0</v>
      </c>
      <c r="V1126" s="14">
        <v>640</v>
      </c>
      <c r="W1126" s="12">
        <v>0</v>
      </c>
      <c r="X1126" s="12">
        <v>0</v>
      </c>
      <c r="Y1126" s="12">
        <v>4</v>
      </c>
      <c r="Z1126" s="12">
        <v>18.77</v>
      </c>
      <c r="AA1126" s="12">
        <v>0</v>
      </c>
      <c r="AB1126" s="13">
        <f t="shared" si="69"/>
        <v>0</v>
      </c>
      <c r="AE1126" s="12">
        <v>0</v>
      </c>
      <c r="AF1126" s="12">
        <v>0</v>
      </c>
      <c r="AG1126" s="12">
        <v>4</v>
      </c>
      <c r="AH1126" s="12">
        <v>18.77</v>
      </c>
      <c r="AI1126" s="12">
        <v>0</v>
      </c>
      <c r="AJ1126" s="13">
        <f t="shared" si="70"/>
        <v>0</v>
      </c>
      <c r="AN1126" s="12">
        <f t="shared" si="71"/>
        <v>14573</v>
      </c>
      <c r="AQ1126" s="8" t="s">
        <v>420</v>
      </c>
      <c r="AR1126" t="str">
        <f t="shared" si="72"/>
        <v>Campos Gerais - A05</v>
      </c>
    </row>
    <row r="1127" spans="1:44" x14ac:dyDescent="0.2">
      <c r="A1127" s="107" t="s">
        <v>1852</v>
      </c>
      <c r="B1127" s="106" t="s">
        <v>1851</v>
      </c>
      <c r="C1127" s="106" t="s">
        <v>1809</v>
      </c>
      <c r="D1127" s="106" t="s">
        <v>492</v>
      </c>
      <c r="E1127" s="106" t="s">
        <v>1808</v>
      </c>
      <c r="F1127" s="106" t="s">
        <v>490</v>
      </c>
      <c r="G1127" s="106" t="s">
        <v>1850</v>
      </c>
      <c r="H1127" s="105" t="s">
        <v>1849</v>
      </c>
      <c r="I1127" s="105" t="s">
        <v>1845</v>
      </c>
      <c r="J1127" s="104">
        <v>19.350000000000001</v>
      </c>
      <c r="K1127" s="103" t="s">
        <v>421</v>
      </c>
      <c r="L1127" s="102" t="s">
        <v>486</v>
      </c>
      <c r="M1127" s="95"/>
      <c r="N1127" s="14"/>
      <c r="O1127" s="94">
        <v>13</v>
      </c>
      <c r="P1127" s="14" t="s">
        <v>485</v>
      </c>
      <c r="Q1127" s="14" t="s">
        <v>887</v>
      </c>
      <c r="R1127" s="14" t="s">
        <v>496</v>
      </c>
      <c r="S1127" s="15">
        <v>6.6</v>
      </c>
      <c r="T1127" s="15">
        <v>0.8</v>
      </c>
      <c r="U1127" s="15">
        <v>0</v>
      </c>
      <c r="V1127" s="14">
        <v>1080</v>
      </c>
      <c r="W1127" s="12">
        <v>0</v>
      </c>
      <c r="X1127" s="12">
        <v>0</v>
      </c>
      <c r="Y1127" s="12">
        <v>3</v>
      </c>
      <c r="Z1127" s="12">
        <v>16.350000000000001</v>
      </c>
      <c r="AA1127" s="12">
        <v>0</v>
      </c>
      <c r="AB1127" s="13">
        <f t="shared" si="69"/>
        <v>0</v>
      </c>
      <c r="AE1127" s="12">
        <v>0</v>
      </c>
      <c r="AF1127" s="12">
        <v>0</v>
      </c>
      <c r="AG1127" s="12">
        <v>3</v>
      </c>
      <c r="AH1127" s="12">
        <v>16.350000000000001</v>
      </c>
      <c r="AI1127" s="12">
        <v>0</v>
      </c>
      <c r="AJ1127" s="13">
        <f t="shared" si="70"/>
        <v>0</v>
      </c>
      <c r="AN1127" s="12">
        <f t="shared" si="71"/>
        <v>20898</v>
      </c>
      <c r="AQ1127" s="8" t="s">
        <v>419</v>
      </c>
      <c r="AR1127" t="str">
        <f t="shared" si="72"/>
        <v>Norte - A01</v>
      </c>
    </row>
    <row r="1128" spans="1:44" x14ac:dyDescent="0.2">
      <c r="A1128" s="107" t="s">
        <v>1848</v>
      </c>
      <c r="B1128" s="106" t="s">
        <v>1847</v>
      </c>
      <c r="C1128" s="106" t="s">
        <v>1809</v>
      </c>
      <c r="D1128" s="106" t="s">
        <v>519</v>
      </c>
      <c r="E1128" s="106" t="s">
        <v>1814</v>
      </c>
      <c r="F1128" s="106" t="s">
        <v>590</v>
      </c>
      <c r="G1128" s="106" t="s">
        <v>1846</v>
      </c>
      <c r="H1128" s="105" t="s">
        <v>1845</v>
      </c>
      <c r="I1128" s="105" t="s">
        <v>1841</v>
      </c>
      <c r="J1128" s="104">
        <v>2.0099999999999998</v>
      </c>
      <c r="K1128" s="103" t="s">
        <v>421</v>
      </c>
      <c r="L1128" s="102" t="s">
        <v>486</v>
      </c>
      <c r="M1128" s="95"/>
      <c r="N1128" s="14"/>
      <c r="O1128" s="94">
        <v>13</v>
      </c>
      <c r="P1128" s="14" t="s">
        <v>586</v>
      </c>
      <c r="Q1128" s="14" t="s">
        <v>887</v>
      </c>
      <c r="R1128" s="14" t="s">
        <v>1258</v>
      </c>
      <c r="S1128" s="15">
        <v>7</v>
      </c>
      <c r="T1128" s="15">
        <v>0</v>
      </c>
      <c r="U1128" s="15">
        <v>0</v>
      </c>
      <c r="V1128" s="14">
        <v>876</v>
      </c>
      <c r="W1128" s="12">
        <v>0</v>
      </c>
      <c r="X1128" s="12">
        <v>0</v>
      </c>
      <c r="Y1128" s="12">
        <v>1</v>
      </c>
      <c r="Z1128" s="12">
        <v>1.0099999999999998</v>
      </c>
      <c r="AA1128" s="12">
        <v>0</v>
      </c>
      <c r="AB1128" s="13">
        <f t="shared" si="69"/>
        <v>0</v>
      </c>
      <c r="AE1128" s="12">
        <v>0</v>
      </c>
      <c r="AF1128" s="12">
        <v>0</v>
      </c>
      <c r="AG1128" s="12">
        <v>1</v>
      </c>
      <c r="AH1128" s="12">
        <v>1.0099999999999998</v>
      </c>
      <c r="AI1128" s="12">
        <v>0</v>
      </c>
      <c r="AJ1128" s="13">
        <f t="shared" si="70"/>
        <v>0</v>
      </c>
      <c r="AN1128" s="12">
        <f t="shared" si="71"/>
        <v>1761</v>
      </c>
      <c r="AQ1128" s="8" t="s">
        <v>419</v>
      </c>
      <c r="AR1128" t="str">
        <f t="shared" si="72"/>
        <v>Norte - A01</v>
      </c>
    </row>
    <row r="1129" spans="1:44" x14ac:dyDescent="0.2">
      <c r="A1129" s="107" t="s">
        <v>1844</v>
      </c>
      <c r="B1129" s="106" t="s">
        <v>1843</v>
      </c>
      <c r="C1129" s="106" t="s">
        <v>1809</v>
      </c>
      <c r="D1129" s="106" t="s">
        <v>981</v>
      </c>
      <c r="E1129" s="106" t="s">
        <v>1808</v>
      </c>
      <c r="F1129" s="106" t="s">
        <v>490</v>
      </c>
      <c r="G1129" s="106" t="s">
        <v>1842</v>
      </c>
      <c r="H1129" s="105" t="s">
        <v>1841</v>
      </c>
      <c r="I1129" s="105" t="s">
        <v>1840</v>
      </c>
      <c r="J1129" s="104">
        <v>8.0299999999999994</v>
      </c>
      <c r="K1129" s="103" t="s">
        <v>421</v>
      </c>
      <c r="L1129" s="102" t="s">
        <v>533</v>
      </c>
      <c r="M1129" s="95"/>
      <c r="N1129" s="14"/>
      <c r="O1129" s="94">
        <v>23</v>
      </c>
      <c r="P1129" s="14" t="s">
        <v>485</v>
      </c>
      <c r="Q1129" s="14" t="s">
        <v>887</v>
      </c>
      <c r="R1129" s="14" t="s">
        <v>585</v>
      </c>
      <c r="S1129" s="15">
        <v>6.8</v>
      </c>
      <c r="T1129" s="15">
        <v>1.3</v>
      </c>
      <c r="U1129" s="15">
        <v>0</v>
      </c>
      <c r="V1129" s="14">
        <v>1886</v>
      </c>
      <c r="W1129" s="12">
        <v>0</v>
      </c>
      <c r="X1129" s="12">
        <v>0</v>
      </c>
      <c r="Y1129" s="12">
        <v>4.0299999999999994</v>
      </c>
      <c r="Z1129" s="12">
        <v>4</v>
      </c>
      <c r="AA1129" s="12">
        <v>0</v>
      </c>
      <c r="AB1129" s="13">
        <f t="shared" si="69"/>
        <v>0</v>
      </c>
      <c r="AE1129" s="12">
        <v>0</v>
      </c>
      <c r="AF1129" s="12">
        <v>0</v>
      </c>
      <c r="AG1129" s="12">
        <v>4.0299999999999994</v>
      </c>
      <c r="AH1129" s="12">
        <v>4</v>
      </c>
      <c r="AI1129" s="12">
        <v>0</v>
      </c>
      <c r="AJ1129" s="13">
        <f t="shared" si="70"/>
        <v>0</v>
      </c>
      <c r="AN1129" s="12">
        <f t="shared" si="71"/>
        <v>15145</v>
      </c>
      <c r="AQ1129" s="8" t="s">
        <v>418</v>
      </c>
      <c r="AR1129" t="str">
        <f t="shared" si="72"/>
        <v>Noroeste - A01</v>
      </c>
    </row>
    <row r="1130" spans="1:44" x14ac:dyDescent="0.2">
      <c r="A1130" s="107" t="s">
        <v>1839</v>
      </c>
      <c r="B1130" s="106" t="s">
        <v>1838</v>
      </c>
      <c r="C1130" s="106" t="s">
        <v>1809</v>
      </c>
      <c r="D1130" s="106" t="s">
        <v>1304</v>
      </c>
      <c r="E1130" s="106" t="s">
        <v>1808</v>
      </c>
      <c r="F1130" s="106" t="s">
        <v>490</v>
      </c>
      <c r="G1130" s="106" t="s">
        <v>1837</v>
      </c>
      <c r="H1130" s="105" t="s">
        <v>1836</v>
      </c>
      <c r="I1130" s="105" t="s">
        <v>1832</v>
      </c>
      <c r="J1130" s="104">
        <v>1.01</v>
      </c>
      <c r="K1130" s="103" t="s">
        <v>421</v>
      </c>
      <c r="L1130" s="102" t="s">
        <v>533</v>
      </c>
      <c r="M1130" s="95"/>
      <c r="N1130" s="14"/>
      <c r="O1130" s="94">
        <v>23</v>
      </c>
      <c r="P1130" s="14" t="s">
        <v>485</v>
      </c>
      <c r="Q1130" s="14" t="s">
        <v>887</v>
      </c>
      <c r="R1130" s="14" t="s">
        <v>585</v>
      </c>
      <c r="S1130" s="15">
        <v>6.9</v>
      </c>
      <c r="T1130" s="15">
        <v>0</v>
      </c>
      <c r="U1130" s="15">
        <v>0</v>
      </c>
      <c r="V1130" s="14">
        <v>1886</v>
      </c>
      <c r="W1130" s="12">
        <v>0</v>
      </c>
      <c r="X1130" s="12">
        <v>0</v>
      </c>
      <c r="Y1130" s="12">
        <v>1.0000000000000009E-2</v>
      </c>
      <c r="Z1130" s="12">
        <v>1</v>
      </c>
      <c r="AA1130" s="12">
        <v>0</v>
      </c>
      <c r="AB1130" s="13">
        <f t="shared" si="69"/>
        <v>0</v>
      </c>
      <c r="AE1130" s="12">
        <v>0</v>
      </c>
      <c r="AF1130" s="12">
        <v>0</v>
      </c>
      <c r="AG1130" s="12">
        <v>1.0000000000000009E-2</v>
      </c>
      <c r="AH1130" s="12">
        <v>1</v>
      </c>
      <c r="AI1130" s="12">
        <v>0</v>
      </c>
      <c r="AJ1130" s="13">
        <f t="shared" si="70"/>
        <v>0</v>
      </c>
      <c r="AN1130" s="12">
        <f t="shared" si="71"/>
        <v>1905</v>
      </c>
      <c r="AQ1130" s="8" t="s">
        <v>418</v>
      </c>
      <c r="AR1130" t="str">
        <f t="shared" si="72"/>
        <v>Noroeste - A01</v>
      </c>
    </row>
    <row r="1131" spans="1:44" x14ac:dyDescent="0.2">
      <c r="A1131" s="107" t="s">
        <v>1835</v>
      </c>
      <c r="B1131" s="106" t="s">
        <v>1834</v>
      </c>
      <c r="C1131" s="106" t="s">
        <v>1809</v>
      </c>
      <c r="D1131" s="106" t="s">
        <v>975</v>
      </c>
      <c r="E1131" s="106" t="s">
        <v>1808</v>
      </c>
      <c r="F1131" s="106" t="s">
        <v>490</v>
      </c>
      <c r="G1131" s="106" t="s">
        <v>1833</v>
      </c>
      <c r="H1131" s="105" t="s">
        <v>1832</v>
      </c>
      <c r="I1131" s="105" t="s">
        <v>1828</v>
      </c>
      <c r="J1131" s="104">
        <v>10.210000000000001</v>
      </c>
      <c r="K1131" s="103" t="s">
        <v>421</v>
      </c>
      <c r="L1131" s="102" t="s">
        <v>533</v>
      </c>
      <c r="M1131" s="95"/>
      <c r="N1131" s="14"/>
      <c r="O1131" s="94">
        <v>23</v>
      </c>
      <c r="P1131" s="14" t="s">
        <v>485</v>
      </c>
      <c r="Q1131" s="14" t="s">
        <v>887</v>
      </c>
      <c r="R1131" s="14" t="s">
        <v>585</v>
      </c>
      <c r="S1131" s="15">
        <v>6</v>
      </c>
      <c r="T1131" s="15">
        <v>1.5</v>
      </c>
      <c r="U1131" s="15">
        <v>0</v>
      </c>
      <c r="V1131" s="14">
        <v>1886</v>
      </c>
      <c r="W1131" s="12">
        <v>0</v>
      </c>
      <c r="X1131" s="12">
        <v>1</v>
      </c>
      <c r="Y1131" s="12">
        <v>2</v>
      </c>
      <c r="Z1131" s="12">
        <v>7.2100000000000009</v>
      </c>
      <c r="AA1131" s="12">
        <v>0</v>
      </c>
      <c r="AB1131" s="13">
        <f t="shared" si="69"/>
        <v>0</v>
      </c>
      <c r="AE1131" s="12">
        <v>0</v>
      </c>
      <c r="AF1131" s="12">
        <v>1</v>
      </c>
      <c r="AG1131" s="12">
        <v>2</v>
      </c>
      <c r="AH1131" s="12">
        <v>7.2100000000000009</v>
      </c>
      <c r="AI1131" s="12">
        <v>0</v>
      </c>
      <c r="AJ1131" s="13">
        <f t="shared" si="70"/>
        <v>0</v>
      </c>
      <c r="AN1131" s="12">
        <f t="shared" si="71"/>
        <v>19257</v>
      </c>
      <c r="AQ1131" s="8" t="s">
        <v>418</v>
      </c>
      <c r="AR1131" t="str">
        <f t="shared" si="72"/>
        <v>Noroeste - A01</v>
      </c>
    </row>
    <row r="1132" spans="1:44" x14ac:dyDescent="0.2">
      <c r="A1132" s="107" t="s">
        <v>1831</v>
      </c>
      <c r="B1132" s="106" t="s">
        <v>1830</v>
      </c>
      <c r="C1132" s="106" t="s">
        <v>1809</v>
      </c>
      <c r="D1132" s="106" t="s">
        <v>1284</v>
      </c>
      <c r="E1132" s="106" t="s">
        <v>1808</v>
      </c>
      <c r="F1132" s="106" t="s">
        <v>490</v>
      </c>
      <c r="G1132" s="106" t="s">
        <v>1829</v>
      </c>
      <c r="H1132" s="105" t="s">
        <v>1828</v>
      </c>
      <c r="I1132" s="105" t="s">
        <v>1827</v>
      </c>
      <c r="J1132" s="104">
        <v>1.48</v>
      </c>
      <c r="K1132" s="103" t="s">
        <v>421</v>
      </c>
      <c r="L1132" s="102" t="s">
        <v>533</v>
      </c>
      <c r="M1132" s="95"/>
      <c r="N1132" s="14"/>
      <c r="O1132" s="94">
        <v>23</v>
      </c>
      <c r="P1132" s="14" t="s">
        <v>485</v>
      </c>
      <c r="Q1132" s="14" t="s">
        <v>887</v>
      </c>
      <c r="R1132" s="14" t="s">
        <v>585</v>
      </c>
      <c r="S1132" s="15">
        <v>7</v>
      </c>
      <c r="T1132" s="15">
        <v>1</v>
      </c>
      <c r="U1132" s="15">
        <v>0</v>
      </c>
      <c r="V1132" s="14">
        <v>1886</v>
      </c>
      <c r="W1132" s="12">
        <v>0</v>
      </c>
      <c r="X1132" s="12">
        <v>0</v>
      </c>
      <c r="Y1132" s="12">
        <v>0</v>
      </c>
      <c r="Z1132" s="12">
        <v>1.48</v>
      </c>
      <c r="AA1132" s="12">
        <v>0</v>
      </c>
      <c r="AB1132" s="13">
        <f t="shared" si="69"/>
        <v>0</v>
      </c>
      <c r="AE1132" s="12">
        <v>0</v>
      </c>
      <c r="AF1132" s="12">
        <v>0</v>
      </c>
      <c r="AG1132" s="12">
        <v>0</v>
      </c>
      <c r="AH1132" s="12">
        <v>1.48</v>
      </c>
      <c r="AI1132" s="12">
        <v>0</v>
      </c>
      <c r="AJ1132" s="13">
        <f t="shared" si="70"/>
        <v>0</v>
      </c>
      <c r="AN1132" s="12">
        <f t="shared" si="71"/>
        <v>2792</v>
      </c>
      <c r="AQ1132" s="8" t="s">
        <v>418</v>
      </c>
      <c r="AR1132" t="str">
        <f t="shared" si="72"/>
        <v>Noroeste - A01</v>
      </c>
    </row>
    <row r="1133" spans="1:44" x14ac:dyDescent="0.2">
      <c r="A1133" s="107" t="s">
        <v>1826</v>
      </c>
      <c r="B1133" s="106" t="s">
        <v>1825</v>
      </c>
      <c r="C1133" s="106" t="s">
        <v>1809</v>
      </c>
      <c r="D1133" s="106" t="s">
        <v>1269</v>
      </c>
      <c r="E1133" s="106" t="s">
        <v>1808</v>
      </c>
      <c r="F1133" s="106" t="s">
        <v>490</v>
      </c>
      <c r="G1133" s="106" t="s">
        <v>1824</v>
      </c>
      <c r="H1133" s="105" t="s">
        <v>1823</v>
      </c>
      <c r="I1133" s="105" t="s">
        <v>1818</v>
      </c>
      <c r="J1133" s="104">
        <v>24.72</v>
      </c>
      <c r="K1133" s="103" t="s">
        <v>421</v>
      </c>
      <c r="L1133" s="102" t="s">
        <v>533</v>
      </c>
      <c r="M1133" s="95"/>
      <c r="N1133" s="14"/>
      <c r="O1133" s="94">
        <v>23</v>
      </c>
      <c r="P1133" s="14" t="s">
        <v>485</v>
      </c>
      <c r="Q1133" s="14" t="s">
        <v>561</v>
      </c>
      <c r="R1133" s="14" t="s">
        <v>585</v>
      </c>
      <c r="S1133" s="15">
        <v>6.7142857142857144</v>
      </c>
      <c r="T1133" s="15">
        <v>1</v>
      </c>
      <c r="U1133" s="15">
        <v>0</v>
      </c>
      <c r="V1133" s="14">
        <v>2737</v>
      </c>
      <c r="W1133" s="12">
        <v>0</v>
      </c>
      <c r="X1133" s="12">
        <v>1</v>
      </c>
      <c r="Y1133" s="12">
        <v>4</v>
      </c>
      <c r="Z1133" s="12">
        <v>19.72</v>
      </c>
      <c r="AA1133" s="12">
        <v>0</v>
      </c>
      <c r="AB1133" s="13">
        <f t="shared" si="69"/>
        <v>0</v>
      </c>
      <c r="AE1133" s="12">
        <v>0</v>
      </c>
      <c r="AF1133" s="12">
        <v>1</v>
      </c>
      <c r="AG1133" s="12">
        <v>4</v>
      </c>
      <c r="AH1133" s="12">
        <v>19.72</v>
      </c>
      <c r="AI1133" s="12">
        <v>0</v>
      </c>
      <c r="AJ1133" s="13">
        <f t="shared" si="70"/>
        <v>0</v>
      </c>
      <c r="AN1133" s="12">
        <f t="shared" si="71"/>
        <v>67659</v>
      </c>
      <c r="AQ1133" s="8" t="s">
        <v>418</v>
      </c>
      <c r="AR1133" t="str">
        <f t="shared" si="72"/>
        <v>Noroeste - A01</v>
      </c>
    </row>
    <row r="1134" spans="1:44" x14ac:dyDescent="0.2">
      <c r="A1134" s="107" t="s">
        <v>1822</v>
      </c>
      <c r="B1134" s="106" t="s">
        <v>1821</v>
      </c>
      <c r="C1134" s="106" t="s">
        <v>1809</v>
      </c>
      <c r="D1134" s="106" t="s">
        <v>1820</v>
      </c>
      <c r="E1134" s="106" t="s">
        <v>1814</v>
      </c>
      <c r="F1134" s="106" t="s">
        <v>590</v>
      </c>
      <c r="G1134" s="106" t="s">
        <v>1819</v>
      </c>
      <c r="H1134" s="105" t="s">
        <v>1818</v>
      </c>
      <c r="I1134" s="105" t="s">
        <v>1817</v>
      </c>
      <c r="J1134" s="104">
        <v>0.79</v>
      </c>
      <c r="K1134" s="103" t="s">
        <v>421</v>
      </c>
      <c r="L1134" s="102" t="s">
        <v>533</v>
      </c>
      <c r="M1134" s="95"/>
      <c r="N1134" s="14"/>
      <c r="O1134" s="94">
        <v>23</v>
      </c>
      <c r="P1134" s="14" t="s">
        <v>586</v>
      </c>
      <c r="Q1134" s="14" t="s">
        <v>561</v>
      </c>
      <c r="R1134" s="14" t="s">
        <v>585</v>
      </c>
      <c r="S1134" s="15">
        <v>13</v>
      </c>
      <c r="T1134" s="15">
        <v>0</v>
      </c>
      <c r="U1134" s="15">
        <v>0</v>
      </c>
      <c r="V1134" s="14">
        <v>816</v>
      </c>
      <c r="W1134" s="12">
        <v>0</v>
      </c>
      <c r="X1134" s="12">
        <v>0</v>
      </c>
      <c r="Y1134" s="12">
        <v>0</v>
      </c>
      <c r="Z1134" s="12">
        <v>0.79</v>
      </c>
      <c r="AA1134" s="12">
        <v>0</v>
      </c>
      <c r="AB1134" s="13">
        <f t="shared" si="69"/>
        <v>0</v>
      </c>
      <c r="AE1134" s="12">
        <v>0</v>
      </c>
      <c r="AF1134" s="12">
        <v>0</v>
      </c>
      <c r="AG1134" s="12">
        <v>0</v>
      </c>
      <c r="AH1134" s="12">
        <v>0.79</v>
      </c>
      <c r="AI1134" s="12">
        <v>0</v>
      </c>
      <c r="AJ1134" s="13">
        <f t="shared" si="70"/>
        <v>0</v>
      </c>
      <c r="AN1134" s="12">
        <f t="shared" si="71"/>
        <v>645</v>
      </c>
      <c r="AQ1134" s="8" t="s">
        <v>418</v>
      </c>
      <c r="AR1134" t="str">
        <f t="shared" si="72"/>
        <v>Noroeste - A01</v>
      </c>
    </row>
    <row r="1135" spans="1:44" x14ac:dyDescent="0.2">
      <c r="A1135" s="107" t="s">
        <v>1816</v>
      </c>
      <c r="B1135" s="106" t="s">
        <v>1815</v>
      </c>
      <c r="C1135" s="106" t="s">
        <v>1809</v>
      </c>
      <c r="D1135" s="106" t="s">
        <v>1263</v>
      </c>
      <c r="E1135" s="106" t="s">
        <v>1814</v>
      </c>
      <c r="F1135" s="106" t="s">
        <v>590</v>
      </c>
      <c r="G1135" s="106" t="s">
        <v>1813</v>
      </c>
      <c r="H1135" s="105" t="s">
        <v>1812</v>
      </c>
      <c r="I1135" s="105" t="s">
        <v>1806</v>
      </c>
      <c r="J1135" s="104">
        <v>0.26</v>
      </c>
      <c r="K1135" s="103" t="s">
        <v>424</v>
      </c>
      <c r="L1135" s="102" t="s">
        <v>533</v>
      </c>
      <c r="M1135" s="95"/>
      <c r="N1135" s="14"/>
      <c r="O1135" s="94">
        <v>26</v>
      </c>
      <c r="P1135" s="14" t="s">
        <v>586</v>
      </c>
      <c r="Q1135" s="14" t="s">
        <v>561</v>
      </c>
      <c r="R1135" s="14" t="s">
        <v>585</v>
      </c>
      <c r="S1135" s="15">
        <v>12.55</v>
      </c>
      <c r="T1135" s="15">
        <v>0</v>
      </c>
      <c r="U1135" s="15">
        <v>0</v>
      </c>
      <c r="V1135" s="14">
        <v>816</v>
      </c>
      <c r="W1135" s="12">
        <v>0</v>
      </c>
      <c r="X1135" s="12">
        <v>0</v>
      </c>
      <c r="Y1135" s="12">
        <v>0</v>
      </c>
      <c r="Z1135" s="12">
        <v>0.26</v>
      </c>
      <c r="AA1135" s="12">
        <v>0</v>
      </c>
      <c r="AB1135" s="13">
        <f t="shared" si="69"/>
        <v>0</v>
      </c>
      <c r="AE1135" s="12">
        <v>0</v>
      </c>
      <c r="AF1135" s="12">
        <v>0</v>
      </c>
      <c r="AG1135" s="12">
        <v>0</v>
      </c>
      <c r="AH1135" s="12">
        <v>0.26</v>
      </c>
      <c r="AI1135" s="12">
        <v>0</v>
      </c>
      <c r="AJ1135" s="13">
        <f t="shared" si="70"/>
        <v>0</v>
      </c>
      <c r="AN1135" s="12">
        <f t="shared" si="71"/>
        <v>213</v>
      </c>
      <c r="AQ1135" s="8" t="s">
        <v>418</v>
      </c>
      <c r="AR1135" t="str">
        <f t="shared" si="72"/>
        <v>Noroeste - A04</v>
      </c>
    </row>
    <row r="1136" spans="1:44" x14ac:dyDescent="0.2">
      <c r="A1136" s="107" t="s">
        <v>1811</v>
      </c>
      <c r="B1136" s="106" t="s">
        <v>1810</v>
      </c>
      <c r="C1136" s="106" t="s">
        <v>1809</v>
      </c>
      <c r="D1136" s="106" t="s">
        <v>965</v>
      </c>
      <c r="E1136" s="106" t="s">
        <v>1808</v>
      </c>
      <c r="F1136" s="106" t="s">
        <v>490</v>
      </c>
      <c r="G1136" s="106" t="s">
        <v>1807</v>
      </c>
      <c r="H1136" s="105" t="s">
        <v>1806</v>
      </c>
      <c r="I1136" s="105" t="s">
        <v>1805</v>
      </c>
      <c r="J1136" s="104">
        <v>9.3000000000000007</v>
      </c>
      <c r="K1136" s="103" t="s">
        <v>424</v>
      </c>
      <c r="L1136" s="102" t="s">
        <v>533</v>
      </c>
      <c r="M1136" s="95"/>
      <c r="N1136" s="14"/>
      <c r="O1136" s="94">
        <v>26</v>
      </c>
      <c r="P1136" s="14" t="s">
        <v>485</v>
      </c>
      <c r="Q1136" s="14" t="s">
        <v>561</v>
      </c>
      <c r="R1136" s="14" t="s">
        <v>585</v>
      </c>
      <c r="S1136" s="15">
        <v>7.0142857142857133</v>
      </c>
      <c r="T1136" s="15">
        <v>1</v>
      </c>
      <c r="U1136" s="15">
        <v>0</v>
      </c>
      <c r="V1136" s="14">
        <v>1498</v>
      </c>
      <c r="W1136" s="12">
        <v>0</v>
      </c>
      <c r="X1136" s="12">
        <v>2</v>
      </c>
      <c r="Y1136" s="12">
        <v>0.30000000000000071</v>
      </c>
      <c r="Z1136" s="12">
        <v>7</v>
      </c>
      <c r="AA1136" s="12">
        <v>0</v>
      </c>
      <c r="AB1136" s="13">
        <f t="shared" si="69"/>
        <v>0</v>
      </c>
      <c r="AE1136" s="12">
        <v>0</v>
      </c>
      <c r="AF1136" s="12">
        <v>2</v>
      </c>
      <c r="AG1136" s="12">
        <v>0.30000000000000071</v>
      </c>
      <c r="AH1136" s="12">
        <v>7</v>
      </c>
      <c r="AI1136" s="12">
        <v>0</v>
      </c>
      <c r="AJ1136" s="13">
        <f t="shared" si="70"/>
        <v>0</v>
      </c>
      <c r="AN1136" s="12">
        <f t="shared" si="71"/>
        <v>13932</v>
      </c>
      <c r="AQ1136" s="8" t="s">
        <v>418</v>
      </c>
      <c r="AR1136" t="str">
        <f t="shared" si="72"/>
        <v>Noroeste - A04</v>
      </c>
    </row>
    <row r="1137" spans="1:44" x14ac:dyDescent="0.2">
      <c r="A1137" s="107" t="s">
        <v>1804</v>
      </c>
      <c r="B1137" s="106" t="s">
        <v>1803</v>
      </c>
      <c r="C1137" s="106" t="s">
        <v>1798</v>
      </c>
      <c r="D1137" s="106" t="s">
        <v>492</v>
      </c>
      <c r="E1137" s="106" t="s">
        <v>1797</v>
      </c>
      <c r="F1137" s="106" t="s">
        <v>490</v>
      </c>
      <c r="G1137" s="106" t="s">
        <v>1802</v>
      </c>
      <c r="H1137" s="105" t="s">
        <v>1801</v>
      </c>
      <c r="I1137" s="105" t="s">
        <v>1795</v>
      </c>
      <c r="J1137" s="104">
        <v>2.69</v>
      </c>
      <c r="K1137" s="103" t="s">
        <v>422</v>
      </c>
      <c r="L1137" s="102" t="s">
        <v>486</v>
      </c>
      <c r="M1137" s="95"/>
      <c r="N1137" s="14"/>
      <c r="O1137" s="94">
        <v>14</v>
      </c>
      <c r="P1137" s="14" t="s">
        <v>485</v>
      </c>
      <c r="Q1137" s="14" t="s">
        <v>887</v>
      </c>
      <c r="R1137" s="14" t="s">
        <v>1258</v>
      </c>
      <c r="S1137" s="15">
        <v>6.8</v>
      </c>
      <c r="T1137" s="15">
        <v>1.1000000000000001</v>
      </c>
      <c r="U1137" s="15">
        <v>0</v>
      </c>
      <c r="V1137" s="14">
        <v>1210</v>
      </c>
      <c r="W1137" s="12">
        <v>0</v>
      </c>
      <c r="X1137" s="12">
        <v>0</v>
      </c>
      <c r="Y1137" s="12">
        <v>0</v>
      </c>
      <c r="Z1137" s="12">
        <v>2.69</v>
      </c>
      <c r="AA1137" s="12">
        <v>0</v>
      </c>
      <c r="AB1137" s="13">
        <f t="shared" si="69"/>
        <v>0</v>
      </c>
      <c r="AE1137" s="12">
        <v>0</v>
      </c>
      <c r="AF1137" s="12">
        <v>0</v>
      </c>
      <c r="AG1137" s="12">
        <v>0</v>
      </c>
      <c r="AH1137" s="12">
        <v>2.69</v>
      </c>
      <c r="AI1137" s="12">
        <v>0</v>
      </c>
      <c r="AJ1137" s="13">
        <f t="shared" si="70"/>
        <v>0</v>
      </c>
      <c r="AN1137" s="12">
        <f t="shared" si="71"/>
        <v>3255</v>
      </c>
      <c r="AQ1137" s="8" t="s">
        <v>419</v>
      </c>
      <c r="AR1137" t="str">
        <f t="shared" si="72"/>
        <v>Norte - A02</v>
      </c>
    </row>
    <row r="1138" spans="1:44" x14ac:dyDescent="0.2">
      <c r="A1138" s="107" t="s">
        <v>1800</v>
      </c>
      <c r="B1138" s="106" t="s">
        <v>1799</v>
      </c>
      <c r="C1138" s="106" t="s">
        <v>1798</v>
      </c>
      <c r="D1138" s="106" t="s">
        <v>513</v>
      </c>
      <c r="E1138" s="106" t="s">
        <v>1797</v>
      </c>
      <c r="F1138" s="106" t="s">
        <v>490</v>
      </c>
      <c r="G1138" s="106" t="s">
        <v>1796</v>
      </c>
      <c r="H1138" s="105" t="s">
        <v>1795</v>
      </c>
      <c r="I1138" s="105" t="s">
        <v>1794</v>
      </c>
      <c r="J1138" s="104">
        <v>5.29</v>
      </c>
      <c r="K1138" s="103" t="s">
        <v>422</v>
      </c>
      <c r="L1138" s="102" t="s">
        <v>486</v>
      </c>
      <c r="M1138" s="95"/>
      <c r="N1138" s="14"/>
      <c r="O1138" s="94">
        <v>14</v>
      </c>
      <c r="P1138" s="14" t="s">
        <v>485</v>
      </c>
      <c r="Q1138" s="14" t="s">
        <v>887</v>
      </c>
      <c r="R1138" s="14" t="s">
        <v>1258</v>
      </c>
      <c r="S1138" s="15">
        <v>6.6</v>
      </c>
      <c r="T1138" s="15">
        <v>1.4</v>
      </c>
      <c r="U1138" s="15">
        <v>0</v>
      </c>
      <c r="V1138" s="14">
        <v>1148</v>
      </c>
      <c r="W1138" s="12">
        <v>0</v>
      </c>
      <c r="X1138" s="12">
        <v>0</v>
      </c>
      <c r="Y1138" s="12">
        <v>0</v>
      </c>
      <c r="Z1138" s="12">
        <v>5.29</v>
      </c>
      <c r="AA1138" s="12">
        <v>0</v>
      </c>
      <c r="AB1138" s="13">
        <f t="shared" si="69"/>
        <v>0</v>
      </c>
      <c r="AE1138" s="12">
        <v>0</v>
      </c>
      <c r="AF1138" s="12">
        <v>0</v>
      </c>
      <c r="AG1138" s="12">
        <v>0</v>
      </c>
      <c r="AH1138" s="12">
        <v>5.29</v>
      </c>
      <c r="AI1138" s="12">
        <v>0</v>
      </c>
      <c r="AJ1138" s="13">
        <f t="shared" si="70"/>
        <v>0</v>
      </c>
      <c r="AN1138" s="12">
        <f t="shared" si="71"/>
        <v>6073</v>
      </c>
      <c r="AQ1138" s="8" t="s">
        <v>419</v>
      </c>
      <c r="AR1138" t="str">
        <f t="shared" si="72"/>
        <v>Norte - A02</v>
      </c>
    </row>
    <row r="1139" spans="1:44" x14ac:dyDescent="0.2">
      <c r="A1139" s="107" t="s">
        <v>1793</v>
      </c>
      <c r="B1139" s="106" t="s">
        <v>1792</v>
      </c>
      <c r="C1139" s="106" t="s">
        <v>1791</v>
      </c>
      <c r="D1139" s="106" t="s">
        <v>492</v>
      </c>
      <c r="E1139" s="106" t="s">
        <v>1790</v>
      </c>
      <c r="F1139" s="106" t="s">
        <v>490</v>
      </c>
      <c r="G1139" s="106" t="s">
        <v>1789</v>
      </c>
      <c r="H1139" s="105" t="s">
        <v>1788</v>
      </c>
      <c r="I1139" s="105" t="s">
        <v>1787</v>
      </c>
      <c r="J1139" s="104">
        <v>9.99</v>
      </c>
      <c r="K1139" s="103" t="s">
        <v>423</v>
      </c>
      <c r="L1139" s="102" t="s">
        <v>486</v>
      </c>
      <c r="M1139" s="95"/>
      <c r="N1139" s="14"/>
      <c r="O1139" s="94">
        <v>15</v>
      </c>
      <c r="P1139" s="14" t="s">
        <v>485</v>
      </c>
      <c r="Q1139" s="14" t="s">
        <v>497</v>
      </c>
      <c r="R1139" s="14" t="s">
        <v>496</v>
      </c>
      <c r="S1139" s="15">
        <v>7</v>
      </c>
      <c r="T1139" s="15">
        <v>1</v>
      </c>
      <c r="U1139" s="15">
        <v>3</v>
      </c>
      <c r="V1139" s="14">
        <v>5243</v>
      </c>
      <c r="W1139" s="12">
        <v>0</v>
      </c>
      <c r="X1139" s="12">
        <v>0</v>
      </c>
      <c r="Y1139" s="12">
        <v>0</v>
      </c>
      <c r="Z1139" s="12">
        <v>9.99</v>
      </c>
      <c r="AA1139" s="12">
        <v>0</v>
      </c>
      <c r="AB1139" s="13">
        <f t="shared" si="69"/>
        <v>0</v>
      </c>
      <c r="AE1139" s="12">
        <v>0</v>
      </c>
      <c r="AF1139" s="12">
        <v>0</v>
      </c>
      <c r="AG1139" s="12">
        <v>0</v>
      </c>
      <c r="AH1139" s="12">
        <v>9.99</v>
      </c>
      <c r="AI1139" s="12">
        <v>0</v>
      </c>
      <c r="AJ1139" s="13">
        <f t="shared" si="70"/>
        <v>0</v>
      </c>
      <c r="AN1139" s="12">
        <f t="shared" si="71"/>
        <v>52378</v>
      </c>
      <c r="AQ1139" s="8" t="s">
        <v>419</v>
      </c>
      <c r="AR1139" t="str">
        <f t="shared" si="72"/>
        <v>Norte - A03</v>
      </c>
    </row>
    <row r="1140" spans="1:44" x14ac:dyDescent="0.2">
      <c r="A1140" s="107" t="s">
        <v>1786</v>
      </c>
      <c r="B1140" s="106" t="s">
        <v>1785</v>
      </c>
      <c r="C1140" s="106" t="s">
        <v>1763</v>
      </c>
      <c r="D1140" s="106" t="s">
        <v>492</v>
      </c>
      <c r="E1140" s="106" t="s">
        <v>1768</v>
      </c>
      <c r="F1140" s="106" t="s">
        <v>490</v>
      </c>
      <c r="G1140" s="106" t="s">
        <v>1784</v>
      </c>
      <c r="H1140" s="105" t="s">
        <v>1783</v>
      </c>
      <c r="I1140" s="105" t="s">
        <v>1779</v>
      </c>
      <c r="J1140" s="104">
        <v>26.84</v>
      </c>
      <c r="K1140" s="103" t="s">
        <v>422</v>
      </c>
      <c r="L1140" s="102" t="s">
        <v>533</v>
      </c>
      <c r="M1140" s="95"/>
      <c r="N1140" s="14"/>
      <c r="O1140" s="94">
        <v>24</v>
      </c>
      <c r="P1140" s="14" t="s">
        <v>485</v>
      </c>
      <c r="Q1140" s="14" t="s">
        <v>561</v>
      </c>
      <c r="R1140" s="14" t="s">
        <v>585</v>
      </c>
      <c r="S1140" s="15">
        <v>7.2571428571428571</v>
      </c>
      <c r="T1140" s="15">
        <v>1</v>
      </c>
      <c r="U1140" s="15">
        <v>0</v>
      </c>
      <c r="V1140" s="14">
        <v>2548</v>
      </c>
      <c r="W1140" s="12">
        <v>0</v>
      </c>
      <c r="X1140" s="12">
        <v>3</v>
      </c>
      <c r="Y1140" s="12">
        <v>5</v>
      </c>
      <c r="Z1140" s="12">
        <v>18.84</v>
      </c>
      <c r="AA1140" s="12">
        <v>0</v>
      </c>
      <c r="AB1140" s="13">
        <f t="shared" si="69"/>
        <v>0</v>
      </c>
      <c r="AE1140" s="12">
        <v>0</v>
      </c>
      <c r="AF1140" s="12">
        <v>3</v>
      </c>
      <c r="AG1140" s="12">
        <v>5</v>
      </c>
      <c r="AH1140" s="12">
        <v>18.84</v>
      </c>
      <c r="AI1140" s="12">
        <v>0</v>
      </c>
      <c r="AJ1140" s="13">
        <f t="shared" si="70"/>
        <v>0</v>
      </c>
      <c r="AN1140" s="12">
        <f t="shared" si="71"/>
        <v>68389</v>
      </c>
      <c r="AQ1140" s="8" t="s">
        <v>418</v>
      </c>
      <c r="AR1140" t="str">
        <f t="shared" si="72"/>
        <v>Noroeste - A02</v>
      </c>
    </row>
    <row r="1141" spans="1:44" x14ac:dyDescent="0.2">
      <c r="A1141" s="107" t="s">
        <v>1782</v>
      </c>
      <c r="B1141" s="106" t="s">
        <v>1781</v>
      </c>
      <c r="C1141" s="106" t="s">
        <v>1763</v>
      </c>
      <c r="D1141" s="106" t="s">
        <v>519</v>
      </c>
      <c r="E1141" s="106" t="s">
        <v>1768</v>
      </c>
      <c r="F1141" s="106" t="s">
        <v>490</v>
      </c>
      <c r="G1141" s="106" t="s">
        <v>1780</v>
      </c>
      <c r="H1141" s="105" t="s">
        <v>1779</v>
      </c>
      <c r="I1141" s="105" t="s">
        <v>1775</v>
      </c>
      <c r="J1141" s="104">
        <v>0.43</v>
      </c>
      <c r="K1141" s="103" t="s">
        <v>422</v>
      </c>
      <c r="L1141" s="102" t="s">
        <v>533</v>
      </c>
      <c r="M1141" s="95"/>
      <c r="N1141" s="14"/>
      <c r="O1141" s="94">
        <v>24</v>
      </c>
      <c r="P1141" s="14" t="s">
        <v>485</v>
      </c>
      <c r="Q1141" s="14" t="s">
        <v>561</v>
      </c>
      <c r="R1141" s="14" t="s">
        <v>585</v>
      </c>
      <c r="S1141" s="15">
        <v>7.3428571428571425</v>
      </c>
      <c r="T1141" s="15">
        <v>1</v>
      </c>
      <c r="U1141" s="15">
        <v>0</v>
      </c>
      <c r="V1141" s="14">
        <v>448</v>
      </c>
      <c r="W1141" s="12">
        <v>0</v>
      </c>
      <c r="X1141" s="12">
        <v>0</v>
      </c>
      <c r="Y1141" s="12">
        <v>0</v>
      </c>
      <c r="Z1141" s="12">
        <v>0.43</v>
      </c>
      <c r="AA1141" s="12">
        <v>0</v>
      </c>
      <c r="AB1141" s="13">
        <f t="shared" si="69"/>
        <v>0</v>
      </c>
      <c r="AE1141" s="12">
        <v>0</v>
      </c>
      <c r="AF1141" s="12">
        <v>0</v>
      </c>
      <c r="AG1141" s="12">
        <v>0</v>
      </c>
      <c r="AH1141" s="12">
        <v>0.43</v>
      </c>
      <c r="AI1141" s="12">
        <v>0</v>
      </c>
      <c r="AJ1141" s="13">
        <f t="shared" si="70"/>
        <v>0</v>
      </c>
      <c r="AN1141" s="12">
        <f t="shared" si="71"/>
        <v>193</v>
      </c>
      <c r="AQ1141" s="8" t="s">
        <v>418</v>
      </c>
      <c r="AR1141" t="str">
        <f t="shared" si="72"/>
        <v>Noroeste - A02</v>
      </c>
    </row>
    <row r="1142" spans="1:44" x14ac:dyDescent="0.2">
      <c r="A1142" s="107" t="s">
        <v>1778</v>
      </c>
      <c r="B1142" s="106" t="s">
        <v>1777</v>
      </c>
      <c r="C1142" s="106" t="s">
        <v>1763</v>
      </c>
      <c r="D1142" s="106" t="s">
        <v>1032</v>
      </c>
      <c r="E1142" s="106" t="s">
        <v>1762</v>
      </c>
      <c r="F1142" s="106" t="s">
        <v>590</v>
      </c>
      <c r="G1142" s="106" t="s">
        <v>1776</v>
      </c>
      <c r="H1142" s="105" t="s">
        <v>1775</v>
      </c>
      <c r="I1142" s="105" t="s">
        <v>1771</v>
      </c>
      <c r="J1142" s="104">
        <v>1.58</v>
      </c>
      <c r="K1142" s="103" t="s">
        <v>422</v>
      </c>
      <c r="L1142" s="102" t="s">
        <v>533</v>
      </c>
      <c r="M1142" s="95"/>
      <c r="N1142" s="14"/>
      <c r="O1142" s="94">
        <v>24</v>
      </c>
      <c r="P1142" s="14" t="s">
        <v>586</v>
      </c>
      <c r="Q1142" s="14" t="s">
        <v>561</v>
      </c>
      <c r="R1142" s="14" t="s">
        <v>585</v>
      </c>
      <c r="S1142" s="15">
        <v>9.5</v>
      </c>
      <c r="T1142" s="15">
        <v>0</v>
      </c>
      <c r="U1142" s="15">
        <v>0</v>
      </c>
      <c r="V1142" s="14">
        <v>319</v>
      </c>
      <c r="W1142" s="12">
        <v>0</v>
      </c>
      <c r="X1142" s="12">
        <v>0</v>
      </c>
      <c r="Y1142" s="12">
        <v>0</v>
      </c>
      <c r="Z1142" s="12">
        <v>1.58</v>
      </c>
      <c r="AA1142" s="12">
        <v>0</v>
      </c>
      <c r="AB1142" s="13">
        <f t="shared" si="69"/>
        <v>0</v>
      </c>
      <c r="AE1142" s="12">
        <v>0</v>
      </c>
      <c r="AF1142" s="12">
        <v>0</v>
      </c>
      <c r="AG1142" s="12">
        <v>0</v>
      </c>
      <c r="AH1142" s="12">
        <v>1.58</v>
      </c>
      <c r="AI1142" s="12">
        <v>0</v>
      </c>
      <c r="AJ1142" s="13">
        <f t="shared" si="70"/>
        <v>0</v>
      </c>
      <c r="AN1142" s="12">
        <f t="shared" si="71"/>
        <v>505</v>
      </c>
      <c r="AQ1142" s="8" t="s">
        <v>418</v>
      </c>
      <c r="AR1142" t="str">
        <f t="shared" si="72"/>
        <v>Noroeste - A02</v>
      </c>
    </row>
    <row r="1143" spans="1:44" x14ac:dyDescent="0.2">
      <c r="A1143" s="107" t="s">
        <v>1774</v>
      </c>
      <c r="B1143" s="106" t="s">
        <v>1773</v>
      </c>
      <c r="C1143" s="106" t="s">
        <v>1763</v>
      </c>
      <c r="D1143" s="106" t="s">
        <v>513</v>
      </c>
      <c r="E1143" s="106" t="s">
        <v>1768</v>
      </c>
      <c r="F1143" s="106" t="s">
        <v>490</v>
      </c>
      <c r="G1143" s="106" t="s">
        <v>1772</v>
      </c>
      <c r="H1143" s="105" t="s">
        <v>1771</v>
      </c>
      <c r="I1143" s="105" t="s">
        <v>1766</v>
      </c>
      <c r="J1143" s="104">
        <v>1.06</v>
      </c>
      <c r="K1143" s="103" t="s">
        <v>422</v>
      </c>
      <c r="L1143" s="102" t="s">
        <v>533</v>
      </c>
      <c r="M1143" s="95"/>
      <c r="N1143" s="14"/>
      <c r="O1143" s="94">
        <v>24</v>
      </c>
      <c r="P1143" s="14" t="s">
        <v>485</v>
      </c>
      <c r="Q1143" s="14" t="s">
        <v>561</v>
      </c>
      <c r="R1143" s="14" t="s">
        <v>585</v>
      </c>
      <c r="S1143" s="15">
        <v>7.4142857142857137</v>
      </c>
      <c r="T1143" s="15">
        <v>1</v>
      </c>
      <c r="U1143" s="15">
        <v>0</v>
      </c>
      <c r="V1143" s="14">
        <v>448</v>
      </c>
      <c r="W1143" s="12">
        <v>0</v>
      </c>
      <c r="X1143" s="12">
        <v>0</v>
      </c>
      <c r="Y1143" s="12">
        <v>0</v>
      </c>
      <c r="Z1143" s="12">
        <v>1.06</v>
      </c>
      <c r="AA1143" s="12">
        <v>0</v>
      </c>
      <c r="AB1143" s="13">
        <f t="shared" si="69"/>
        <v>0</v>
      </c>
      <c r="AE1143" s="12">
        <v>0</v>
      </c>
      <c r="AF1143" s="12">
        <v>0</v>
      </c>
      <c r="AG1143" s="12">
        <v>0</v>
      </c>
      <c r="AH1143" s="12">
        <v>1.06</v>
      </c>
      <c r="AI1143" s="12">
        <v>0</v>
      </c>
      <c r="AJ1143" s="13">
        <f t="shared" si="70"/>
        <v>0</v>
      </c>
      <c r="AN1143" s="12">
        <f t="shared" si="71"/>
        <v>475</v>
      </c>
      <c r="AQ1143" s="8" t="s">
        <v>418</v>
      </c>
      <c r="AR1143" t="str">
        <f t="shared" si="72"/>
        <v>Noroeste - A02</v>
      </c>
    </row>
    <row r="1144" spans="1:44" x14ac:dyDescent="0.2">
      <c r="A1144" s="107" t="s">
        <v>1770</v>
      </c>
      <c r="B1144" s="106" t="s">
        <v>1769</v>
      </c>
      <c r="C1144" s="106" t="s">
        <v>1763</v>
      </c>
      <c r="D1144" s="106" t="s">
        <v>989</v>
      </c>
      <c r="E1144" s="106" t="s">
        <v>1768</v>
      </c>
      <c r="F1144" s="106" t="s">
        <v>490</v>
      </c>
      <c r="G1144" s="106" t="s">
        <v>1767</v>
      </c>
      <c r="H1144" s="105" t="s">
        <v>1766</v>
      </c>
      <c r="I1144" s="105" t="s">
        <v>1760</v>
      </c>
      <c r="J1144" s="104">
        <v>9.42</v>
      </c>
      <c r="K1144" s="103" t="s">
        <v>422</v>
      </c>
      <c r="L1144" s="102" t="s">
        <v>533</v>
      </c>
      <c r="M1144" s="95"/>
      <c r="N1144" s="14"/>
      <c r="O1144" s="94">
        <v>24</v>
      </c>
      <c r="P1144" s="14" t="s">
        <v>485</v>
      </c>
      <c r="Q1144" s="14" t="s">
        <v>561</v>
      </c>
      <c r="R1144" s="14" t="s">
        <v>585</v>
      </c>
      <c r="S1144" s="15">
        <v>7.257142857142858</v>
      </c>
      <c r="T1144" s="15">
        <v>1</v>
      </c>
      <c r="U1144" s="15">
        <v>0</v>
      </c>
      <c r="V1144" s="14">
        <v>448</v>
      </c>
      <c r="W1144" s="12">
        <v>0</v>
      </c>
      <c r="X1144" s="12">
        <v>0</v>
      </c>
      <c r="Y1144" s="12">
        <v>5</v>
      </c>
      <c r="Z1144" s="12">
        <v>4.42</v>
      </c>
      <c r="AA1144" s="12">
        <v>0</v>
      </c>
      <c r="AB1144" s="13">
        <f t="shared" si="69"/>
        <v>0</v>
      </c>
      <c r="AE1144" s="12">
        <v>0</v>
      </c>
      <c r="AF1144" s="12">
        <v>0</v>
      </c>
      <c r="AG1144" s="12">
        <v>5</v>
      </c>
      <c r="AH1144" s="12">
        <v>4.42</v>
      </c>
      <c r="AI1144" s="12">
        <v>0</v>
      </c>
      <c r="AJ1144" s="13">
        <f t="shared" si="70"/>
        <v>0</v>
      </c>
      <c r="AN1144" s="12">
        <f t="shared" si="71"/>
        <v>4221</v>
      </c>
      <c r="AQ1144" s="8" t="s">
        <v>418</v>
      </c>
      <c r="AR1144" t="str">
        <f t="shared" si="72"/>
        <v>Noroeste - A02</v>
      </c>
    </row>
    <row r="1145" spans="1:44" x14ac:dyDescent="0.2">
      <c r="A1145" s="107" t="s">
        <v>1765</v>
      </c>
      <c r="B1145" s="106" t="s">
        <v>1764</v>
      </c>
      <c r="C1145" s="106" t="s">
        <v>1763</v>
      </c>
      <c r="D1145" s="106" t="s">
        <v>1002</v>
      </c>
      <c r="E1145" s="106" t="s">
        <v>1762</v>
      </c>
      <c r="F1145" s="106" t="s">
        <v>590</v>
      </c>
      <c r="G1145" s="106" t="s">
        <v>1761</v>
      </c>
      <c r="H1145" s="105" t="s">
        <v>1760</v>
      </c>
      <c r="I1145" s="105" t="s">
        <v>1759</v>
      </c>
      <c r="J1145" s="104">
        <v>1.84</v>
      </c>
      <c r="K1145" s="103" t="s">
        <v>422</v>
      </c>
      <c r="L1145" s="102" t="s">
        <v>533</v>
      </c>
      <c r="M1145" s="95"/>
      <c r="N1145" s="14"/>
      <c r="O1145" s="94">
        <v>24</v>
      </c>
      <c r="P1145" s="14" t="s">
        <v>586</v>
      </c>
      <c r="Q1145" s="14" t="s">
        <v>561</v>
      </c>
      <c r="R1145" s="14" t="s">
        <v>585</v>
      </c>
      <c r="S1145" s="15">
        <v>8</v>
      </c>
      <c r="T1145" s="15">
        <v>0</v>
      </c>
      <c r="U1145" s="15">
        <v>0</v>
      </c>
      <c r="V1145" s="14">
        <v>319</v>
      </c>
      <c r="W1145" s="12">
        <v>0</v>
      </c>
      <c r="X1145" s="12">
        <v>0</v>
      </c>
      <c r="Y1145" s="12">
        <v>0.84000000000000008</v>
      </c>
      <c r="Z1145" s="12">
        <v>1</v>
      </c>
      <c r="AA1145" s="12">
        <v>0</v>
      </c>
      <c r="AB1145" s="13">
        <f t="shared" si="69"/>
        <v>0</v>
      </c>
      <c r="AE1145" s="12">
        <v>0</v>
      </c>
      <c r="AF1145" s="12">
        <v>0</v>
      </c>
      <c r="AG1145" s="12">
        <v>0.84000000000000008</v>
      </c>
      <c r="AH1145" s="12">
        <v>1</v>
      </c>
      <c r="AI1145" s="12">
        <v>0</v>
      </c>
      <c r="AJ1145" s="13">
        <f t="shared" si="70"/>
        <v>0</v>
      </c>
      <c r="AN1145" s="12">
        <f t="shared" si="71"/>
        <v>587</v>
      </c>
      <c r="AQ1145" s="8" t="s">
        <v>418</v>
      </c>
      <c r="AR1145" t="str">
        <f t="shared" si="72"/>
        <v>Noroeste - A02</v>
      </c>
    </row>
    <row r="1146" spans="1:44" x14ac:dyDescent="0.2">
      <c r="A1146" s="107" t="s">
        <v>1758</v>
      </c>
      <c r="B1146" s="106" t="s">
        <v>1757</v>
      </c>
      <c r="C1146" s="106" t="s">
        <v>1746</v>
      </c>
      <c r="D1146" s="106" t="s">
        <v>492</v>
      </c>
      <c r="E1146" s="106" t="s">
        <v>1745</v>
      </c>
      <c r="F1146" s="106" t="s">
        <v>490</v>
      </c>
      <c r="G1146" s="106" t="s">
        <v>1756</v>
      </c>
      <c r="H1146" s="105" t="s">
        <v>1755</v>
      </c>
      <c r="I1146" s="105" t="s">
        <v>1754</v>
      </c>
      <c r="J1146" s="104">
        <v>2.57</v>
      </c>
      <c r="K1146" s="103" t="s">
        <v>421</v>
      </c>
      <c r="L1146" s="102" t="s">
        <v>486</v>
      </c>
      <c r="M1146" s="95"/>
      <c r="N1146" s="14"/>
      <c r="O1146" s="94">
        <v>13</v>
      </c>
      <c r="P1146" s="14" t="s">
        <v>485</v>
      </c>
      <c r="Q1146" s="14" t="s">
        <v>505</v>
      </c>
      <c r="R1146" s="14" t="s">
        <v>576</v>
      </c>
      <c r="S1146" s="15">
        <v>7.4</v>
      </c>
      <c r="T1146" s="15">
        <v>0</v>
      </c>
      <c r="U1146" s="15">
        <v>0</v>
      </c>
      <c r="V1146" s="14">
        <v>396</v>
      </c>
      <c r="W1146" s="12">
        <v>0</v>
      </c>
      <c r="X1146" s="12">
        <v>0</v>
      </c>
      <c r="Y1146" s="12">
        <v>1.5699999999999998</v>
      </c>
      <c r="Z1146" s="12">
        <v>1</v>
      </c>
      <c r="AA1146" s="12">
        <v>0</v>
      </c>
      <c r="AB1146" s="13">
        <f t="shared" si="69"/>
        <v>0</v>
      </c>
      <c r="AE1146" s="12">
        <v>0</v>
      </c>
      <c r="AF1146" s="12">
        <v>0</v>
      </c>
      <c r="AG1146" s="12">
        <v>1.5699999999999998</v>
      </c>
      <c r="AH1146" s="12">
        <v>1</v>
      </c>
      <c r="AI1146" s="12">
        <v>0</v>
      </c>
      <c r="AJ1146" s="13">
        <f t="shared" si="70"/>
        <v>0</v>
      </c>
      <c r="AN1146" s="12">
        <f t="shared" si="71"/>
        <v>1018</v>
      </c>
      <c r="AQ1146" s="8" t="s">
        <v>419</v>
      </c>
      <c r="AR1146" t="str">
        <f t="shared" si="72"/>
        <v>Norte - A01</v>
      </c>
    </row>
    <row r="1147" spans="1:44" x14ac:dyDescent="0.2">
      <c r="A1147" s="107" t="s">
        <v>1753</v>
      </c>
      <c r="B1147" s="106" t="s">
        <v>1752</v>
      </c>
      <c r="C1147" s="106" t="s">
        <v>1746</v>
      </c>
      <c r="D1147" s="106" t="s">
        <v>1032</v>
      </c>
      <c r="E1147" s="106" t="s">
        <v>1751</v>
      </c>
      <c r="F1147" s="106" t="s">
        <v>590</v>
      </c>
      <c r="G1147" s="106" t="s">
        <v>1750</v>
      </c>
      <c r="H1147" s="105" t="s">
        <v>1749</v>
      </c>
      <c r="I1147" s="105" t="s">
        <v>1743</v>
      </c>
      <c r="J1147" s="104">
        <v>1.01</v>
      </c>
      <c r="K1147" s="103" t="s">
        <v>421</v>
      </c>
      <c r="L1147" s="102" t="s">
        <v>486</v>
      </c>
      <c r="M1147" s="95"/>
      <c r="N1147" s="14"/>
      <c r="O1147" s="94">
        <v>13</v>
      </c>
      <c r="P1147" s="14" t="s">
        <v>586</v>
      </c>
      <c r="Q1147" s="14" t="s">
        <v>505</v>
      </c>
      <c r="R1147" s="14" t="s">
        <v>585</v>
      </c>
      <c r="S1147" s="15">
        <v>7</v>
      </c>
      <c r="T1147" s="15">
        <v>0</v>
      </c>
      <c r="U1147" s="15">
        <v>0</v>
      </c>
      <c r="V1147" s="14">
        <v>547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3">
        <f t="shared" si="69"/>
        <v>-1.01</v>
      </c>
      <c r="AE1147" s="12">
        <f>IF(W1147=0,0,W1147-$AB1147)</f>
        <v>0</v>
      </c>
      <c r="AF1147" s="12">
        <f>IF(X1147=0,0,X1147-$AB1147)</f>
        <v>0</v>
      </c>
      <c r="AG1147" s="12">
        <f>IF(Y1147=0,0,Y1147-$AB1147)</f>
        <v>0</v>
      </c>
      <c r="AH1147" s="12">
        <f>IF(Z1147=0,0,Z1147-$AB1147)</f>
        <v>0</v>
      </c>
      <c r="AI1147" s="12">
        <f>IF(AA1147=0,0,AA1147-$AB1147)</f>
        <v>0</v>
      </c>
      <c r="AJ1147" s="13">
        <f t="shared" si="70"/>
        <v>-1.01</v>
      </c>
      <c r="AN1147" s="12">
        <f t="shared" si="71"/>
        <v>553</v>
      </c>
      <c r="AQ1147" s="8" t="s">
        <v>419</v>
      </c>
      <c r="AR1147" t="str">
        <f t="shared" si="72"/>
        <v>Norte - A01</v>
      </c>
    </row>
    <row r="1148" spans="1:44" x14ac:dyDescent="0.2">
      <c r="A1148" s="107" t="s">
        <v>1748</v>
      </c>
      <c r="B1148" s="106" t="s">
        <v>1747</v>
      </c>
      <c r="C1148" s="106" t="s">
        <v>1746</v>
      </c>
      <c r="D1148" s="106" t="s">
        <v>513</v>
      </c>
      <c r="E1148" s="106" t="s">
        <v>1745</v>
      </c>
      <c r="F1148" s="106" t="s">
        <v>490</v>
      </c>
      <c r="G1148" s="106" t="s">
        <v>1744</v>
      </c>
      <c r="H1148" s="105" t="s">
        <v>1743</v>
      </c>
      <c r="I1148" s="105" t="s">
        <v>1742</v>
      </c>
      <c r="J1148" s="104">
        <v>6.09</v>
      </c>
      <c r="K1148" s="103" t="s">
        <v>421</v>
      </c>
      <c r="L1148" s="102" t="s">
        <v>486</v>
      </c>
      <c r="M1148" s="95"/>
      <c r="N1148" s="14"/>
      <c r="O1148" s="94">
        <v>13</v>
      </c>
      <c r="P1148" s="14" t="s">
        <v>485</v>
      </c>
      <c r="Q1148" s="14" t="s">
        <v>505</v>
      </c>
      <c r="R1148" s="14" t="s">
        <v>585</v>
      </c>
      <c r="S1148" s="15">
        <v>7</v>
      </c>
      <c r="T1148" s="15">
        <v>0</v>
      </c>
      <c r="U1148" s="15">
        <v>0</v>
      </c>
      <c r="V1148" s="14">
        <v>396</v>
      </c>
      <c r="W1148" s="12">
        <v>0</v>
      </c>
      <c r="X1148" s="12">
        <v>0</v>
      </c>
      <c r="Y1148" s="12">
        <v>2.09</v>
      </c>
      <c r="Z1148" s="12">
        <v>4</v>
      </c>
      <c r="AA1148" s="12">
        <v>0</v>
      </c>
      <c r="AB1148" s="13">
        <f t="shared" si="69"/>
        <v>0</v>
      </c>
      <c r="AE1148" s="12">
        <v>0</v>
      </c>
      <c r="AF1148" s="12">
        <v>0</v>
      </c>
      <c r="AG1148" s="12">
        <v>2.09</v>
      </c>
      <c r="AH1148" s="12">
        <v>4</v>
      </c>
      <c r="AI1148" s="12">
        <v>0</v>
      </c>
      <c r="AJ1148" s="13">
        <f t="shared" si="70"/>
        <v>0</v>
      </c>
      <c r="AN1148" s="12">
        <f t="shared" si="71"/>
        <v>2412</v>
      </c>
      <c r="AQ1148" s="8" t="s">
        <v>419</v>
      </c>
      <c r="AR1148" t="str">
        <f t="shared" si="72"/>
        <v>Norte - A01</v>
      </c>
    </row>
    <row r="1149" spans="1:44" x14ac:dyDescent="0.2">
      <c r="A1149" s="107" t="s">
        <v>1741</v>
      </c>
      <c r="B1149" s="106" t="s">
        <v>1740</v>
      </c>
      <c r="C1149" s="106" t="s">
        <v>1726</v>
      </c>
      <c r="D1149" s="106" t="s">
        <v>492</v>
      </c>
      <c r="E1149" s="106" t="s">
        <v>1725</v>
      </c>
      <c r="F1149" s="106" t="s">
        <v>490</v>
      </c>
      <c r="G1149" s="106" t="s">
        <v>1739</v>
      </c>
      <c r="H1149" s="105" t="s">
        <v>1738</v>
      </c>
      <c r="I1149" s="105" t="s">
        <v>1733</v>
      </c>
      <c r="J1149" s="104">
        <v>14.96</v>
      </c>
      <c r="K1149" s="103" t="s">
        <v>422</v>
      </c>
      <c r="L1149" s="102" t="s">
        <v>533</v>
      </c>
      <c r="M1149" s="95"/>
      <c r="N1149" s="14"/>
      <c r="O1149" s="94">
        <v>24</v>
      </c>
      <c r="P1149" s="14" t="s">
        <v>485</v>
      </c>
      <c r="Q1149" s="14" t="s">
        <v>497</v>
      </c>
      <c r="R1149" s="14" t="s">
        <v>496</v>
      </c>
      <c r="S1149" s="15">
        <v>6</v>
      </c>
      <c r="T1149" s="15">
        <v>1.6</v>
      </c>
      <c r="U1149" s="15">
        <v>0</v>
      </c>
      <c r="V1149" s="14">
        <v>654</v>
      </c>
      <c r="W1149" s="12">
        <v>0</v>
      </c>
      <c r="X1149" s="12">
        <v>0</v>
      </c>
      <c r="Y1149" s="12">
        <v>11.96</v>
      </c>
      <c r="Z1149" s="12">
        <v>3</v>
      </c>
      <c r="AA1149" s="12">
        <v>0</v>
      </c>
      <c r="AB1149" s="13">
        <f t="shared" si="69"/>
        <v>0</v>
      </c>
      <c r="AE1149" s="12">
        <v>0</v>
      </c>
      <c r="AF1149" s="12">
        <v>0</v>
      </c>
      <c r="AG1149" s="12">
        <v>11.96</v>
      </c>
      <c r="AH1149" s="12">
        <v>3</v>
      </c>
      <c r="AI1149" s="12">
        <v>0</v>
      </c>
      <c r="AJ1149" s="13">
        <f t="shared" si="70"/>
        <v>0</v>
      </c>
      <c r="AN1149" s="12">
        <f t="shared" si="71"/>
        <v>9784</v>
      </c>
      <c r="AQ1149" s="8" t="s">
        <v>418</v>
      </c>
      <c r="AR1149" t="str">
        <f t="shared" si="72"/>
        <v>Noroeste - A02</v>
      </c>
    </row>
    <row r="1150" spans="1:44" x14ac:dyDescent="0.2">
      <c r="A1150" s="107" t="s">
        <v>1737</v>
      </c>
      <c r="B1150" s="106" t="s">
        <v>1736</v>
      </c>
      <c r="C1150" s="106" t="s">
        <v>1726</v>
      </c>
      <c r="D1150" s="106" t="s">
        <v>519</v>
      </c>
      <c r="E1150" s="106" t="s">
        <v>1735</v>
      </c>
      <c r="F1150" s="106" t="s">
        <v>590</v>
      </c>
      <c r="G1150" s="106" t="s">
        <v>1734</v>
      </c>
      <c r="H1150" s="105" t="s">
        <v>1733</v>
      </c>
      <c r="I1150" s="105" t="s">
        <v>1729</v>
      </c>
      <c r="J1150" s="104">
        <v>1.18</v>
      </c>
      <c r="K1150" s="103" t="s">
        <v>422</v>
      </c>
      <c r="L1150" s="102" t="s">
        <v>533</v>
      </c>
      <c r="M1150" s="95"/>
      <c r="N1150" s="14"/>
      <c r="O1150" s="94">
        <v>24</v>
      </c>
      <c r="P1150" s="14" t="s">
        <v>586</v>
      </c>
      <c r="Q1150" s="14" t="s">
        <v>497</v>
      </c>
      <c r="R1150" s="14" t="s">
        <v>496</v>
      </c>
      <c r="S1150" s="15">
        <v>10</v>
      </c>
      <c r="T1150" s="15">
        <v>0</v>
      </c>
      <c r="U1150" s="15">
        <v>0</v>
      </c>
      <c r="V1150" s="14">
        <v>484</v>
      </c>
      <c r="W1150" s="12">
        <v>0</v>
      </c>
      <c r="X1150" s="12">
        <v>5.0000000000000044E-2</v>
      </c>
      <c r="Y1150" s="12">
        <v>1</v>
      </c>
      <c r="Z1150" s="12">
        <v>0</v>
      </c>
      <c r="AA1150" s="12">
        <v>0</v>
      </c>
      <c r="AB1150" s="13">
        <f t="shared" si="69"/>
        <v>-0.12999999999999989</v>
      </c>
      <c r="AE1150" s="12">
        <f>IF(W1150=0,0,W1150-$AB1150)</f>
        <v>0</v>
      </c>
      <c r="AF1150" s="12">
        <v>0.11</v>
      </c>
      <c r="AG1150" s="12">
        <v>1.07</v>
      </c>
      <c r="AH1150" s="12">
        <f>IF(Z1150=0,0,Z1150-$AB1150)</f>
        <v>0</v>
      </c>
      <c r="AI1150" s="12">
        <f>IF(AA1150=0,0,AA1150-$AB1150)</f>
        <v>0</v>
      </c>
      <c r="AJ1150" s="13">
        <f t="shared" si="70"/>
        <v>0</v>
      </c>
      <c r="AN1150" s="12">
        <f t="shared" si="71"/>
        <v>572</v>
      </c>
      <c r="AQ1150" s="8" t="s">
        <v>418</v>
      </c>
      <c r="AR1150" t="str">
        <f t="shared" si="72"/>
        <v>Noroeste - A02</v>
      </c>
    </row>
    <row r="1151" spans="1:44" x14ac:dyDescent="0.2">
      <c r="A1151" s="107" t="s">
        <v>1732</v>
      </c>
      <c r="B1151" s="106" t="s">
        <v>1731</v>
      </c>
      <c r="C1151" s="106" t="s">
        <v>1726</v>
      </c>
      <c r="D1151" s="106" t="s">
        <v>1594</v>
      </c>
      <c r="E1151" s="106" t="s">
        <v>1725</v>
      </c>
      <c r="F1151" s="106" t="s">
        <v>490</v>
      </c>
      <c r="G1151" s="106" t="s">
        <v>1730</v>
      </c>
      <c r="H1151" s="105" t="s">
        <v>1729</v>
      </c>
      <c r="I1151" s="105" t="s">
        <v>1723</v>
      </c>
      <c r="J1151" s="104">
        <v>17.010000000000002</v>
      </c>
      <c r="K1151" s="103" t="s">
        <v>426</v>
      </c>
      <c r="L1151" s="102" t="s">
        <v>533</v>
      </c>
      <c r="M1151" s="95"/>
      <c r="N1151" s="14"/>
      <c r="O1151" s="94">
        <v>28</v>
      </c>
      <c r="P1151" s="14" t="s">
        <v>485</v>
      </c>
      <c r="Q1151" s="14" t="s">
        <v>497</v>
      </c>
      <c r="R1151" s="14" t="s">
        <v>496</v>
      </c>
      <c r="S1151" s="15">
        <v>6</v>
      </c>
      <c r="T1151" s="15">
        <v>0.7</v>
      </c>
      <c r="U1151" s="15">
        <v>0</v>
      </c>
      <c r="V1151" s="14">
        <v>654</v>
      </c>
      <c r="W1151" s="12">
        <v>0</v>
      </c>
      <c r="X1151" s="12">
        <v>2</v>
      </c>
      <c r="Y1151" s="12">
        <v>14.010000000000002</v>
      </c>
      <c r="Z1151" s="12">
        <v>1</v>
      </c>
      <c r="AA1151" s="12">
        <v>0</v>
      </c>
      <c r="AB1151" s="13">
        <f t="shared" si="69"/>
        <v>0</v>
      </c>
      <c r="AE1151" s="12">
        <v>0</v>
      </c>
      <c r="AF1151" s="12">
        <v>2</v>
      </c>
      <c r="AG1151" s="12">
        <v>14.010000000000002</v>
      </c>
      <c r="AH1151" s="12">
        <v>1</v>
      </c>
      <c r="AI1151" s="12">
        <v>0</v>
      </c>
      <c r="AJ1151" s="13">
        <f t="shared" si="70"/>
        <v>0</v>
      </c>
      <c r="AN1151" s="12">
        <f t="shared" si="71"/>
        <v>11125</v>
      </c>
      <c r="AQ1151" s="8" t="s">
        <v>418</v>
      </c>
      <c r="AR1151" t="str">
        <f t="shared" si="72"/>
        <v>Noroeste - A06</v>
      </c>
    </row>
    <row r="1152" spans="1:44" x14ac:dyDescent="0.2">
      <c r="A1152" s="107" t="s">
        <v>1728</v>
      </c>
      <c r="B1152" s="106" t="s">
        <v>1727</v>
      </c>
      <c r="C1152" s="106" t="s">
        <v>1726</v>
      </c>
      <c r="D1152" s="106" t="s">
        <v>1329</v>
      </c>
      <c r="E1152" s="106" t="s">
        <v>1725</v>
      </c>
      <c r="F1152" s="106" t="s">
        <v>490</v>
      </c>
      <c r="G1152" s="106" t="s">
        <v>1724</v>
      </c>
      <c r="H1152" s="105" t="s">
        <v>1723</v>
      </c>
      <c r="I1152" s="105" t="s">
        <v>1663</v>
      </c>
      <c r="J1152" s="104">
        <v>7.83</v>
      </c>
      <c r="K1152" s="103" t="s">
        <v>426</v>
      </c>
      <c r="L1152" s="102" t="s">
        <v>533</v>
      </c>
      <c r="M1152" s="95"/>
      <c r="N1152" s="14"/>
      <c r="O1152" s="94">
        <v>28</v>
      </c>
      <c r="P1152" s="14" t="s">
        <v>485</v>
      </c>
      <c r="Q1152" s="14" t="s">
        <v>497</v>
      </c>
      <c r="R1152" s="14" t="s">
        <v>496</v>
      </c>
      <c r="S1152" s="15">
        <v>6</v>
      </c>
      <c r="T1152" s="15">
        <v>1.4</v>
      </c>
      <c r="U1152" s="15">
        <v>0</v>
      </c>
      <c r="V1152" s="14">
        <v>654</v>
      </c>
      <c r="W1152" s="12">
        <v>0</v>
      </c>
      <c r="X1152" s="12">
        <v>0</v>
      </c>
      <c r="Y1152" s="12">
        <v>7.83</v>
      </c>
      <c r="Z1152" s="12">
        <v>0</v>
      </c>
      <c r="AA1152" s="12">
        <v>0</v>
      </c>
      <c r="AB1152" s="13">
        <f t="shared" si="69"/>
        <v>0</v>
      </c>
      <c r="AE1152" s="12">
        <v>0</v>
      </c>
      <c r="AF1152" s="12">
        <v>0</v>
      </c>
      <c r="AG1152" s="12">
        <v>7.83</v>
      </c>
      <c r="AH1152" s="12">
        <v>0</v>
      </c>
      <c r="AI1152" s="12">
        <v>0</v>
      </c>
      <c r="AJ1152" s="13">
        <f t="shared" si="70"/>
        <v>0</v>
      </c>
      <c r="AN1152" s="12">
        <f t="shared" si="71"/>
        <v>5121</v>
      </c>
      <c r="AQ1152" s="8" t="s">
        <v>418</v>
      </c>
      <c r="AR1152" t="str">
        <f t="shared" si="72"/>
        <v>Noroeste - A06</v>
      </c>
    </row>
    <row r="1153" spans="1:44" x14ac:dyDescent="0.2">
      <c r="A1153" s="107" t="s">
        <v>1722</v>
      </c>
      <c r="B1153" s="106" t="s">
        <v>1721</v>
      </c>
      <c r="C1153" s="106" t="s">
        <v>1711</v>
      </c>
      <c r="D1153" s="106" t="s">
        <v>492</v>
      </c>
      <c r="E1153" s="106" t="s">
        <v>1710</v>
      </c>
      <c r="F1153" s="106" t="s">
        <v>490</v>
      </c>
      <c r="G1153" s="106" t="s">
        <v>1720</v>
      </c>
      <c r="H1153" s="105" t="s">
        <v>1719</v>
      </c>
      <c r="I1153" s="105" t="s">
        <v>1714</v>
      </c>
      <c r="J1153" s="104">
        <v>7.87</v>
      </c>
      <c r="K1153" s="103" t="s">
        <v>421</v>
      </c>
      <c r="L1153" s="102" t="s">
        <v>533</v>
      </c>
      <c r="M1153" s="95"/>
      <c r="N1153" s="14"/>
      <c r="O1153" s="94">
        <v>23</v>
      </c>
      <c r="P1153" s="14" t="s">
        <v>485</v>
      </c>
      <c r="Q1153" s="14" t="s">
        <v>887</v>
      </c>
      <c r="R1153" s="14" t="s">
        <v>1258</v>
      </c>
      <c r="S1153" s="15">
        <v>7.1000000000000005</v>
      </c>
      <c r="T1153" s="15">
        <v>1.4</v>
      </c>
      <c r="U1153" s="15">
        <v>0</v>
      </c>
      <c r="V1153" s="14">
        <v>1304</v>
      </c>
      <c r="W1153" s="12">
        <v>0</v>
      </c>
      <c r="X1153" s="12">
        <v>0</v>
      </c>
      <c r="Y1153" s="12">
        <v>0</v>
      </c>
      <c r="Z1153" s="12">
        <v>7.87</v>
      </c>
      <c r="AA1153" s="12">
        <v>0</v>
      </c>
      <c r="AB1153" s="13">
        <f t="shared" si="69"/>
        <v>0</v>
      </c>
      <c r="AE1153" s="12">
        <v>0</v>
      </c>
      <c r="AF1153" s="12">
        <v>0</v>
      </c>
      <c r="AG1153" s="12">
        <v>0</v>
      </c>
      <c r="AH1153" s="12">
        <v>7.87</v>
      </c>
      <c r="AI1153" s="12">
        <v>0</v>
      </c>
      <c r="AJ1153" s="13">
        <f t="shared" si="70"/>
        <v>0</v>
      </c>
      <c r="AN1153" s="12">
        <f t="shared" si="71"/>
        <v>10263</v>
      </c>
      <c r="AQ1153" s="8" t="s">
        <v>418</v>
      </c>
      <c r="AR1153" t="str">
        <f t="shared" si="72"/>
        <v>Noroeste - A01</v>
      </c>
    </row>
    <row r="1154" spans="1:44" x14ac:dyDescent="0.2">
      <c r="A1154" s="107" t="s">
        <v>1718</v>
      </c>
      <c r="B1154" s="106" t="s">
        <v>1717</v>
      </c>
      <c r="C1154" s="106" t="s">
        <v>1711</v>
      </c>
      <c r="D1154" s="106" t="s">
        <v>519</v>
      </c>
      <c r="E1154" s="106" t="s">
        <v>1716</v>
      </c>
      <c r="F1154" s="106" t="s">
        <v>590</v>
      </c>
      <c r="G1154" s="106" t="s">
        <v>1715</v>
      </c>
      <c r="H1154" s="105" t="s">
        <v>1714</v>
      </c>
      <c r="I1154" s="105" t="s">
        <v>1708</v>
      </c>
      <c r="J1154" s="104">
        <v>0.9</v>
      </c>
      <c r="K1154" s="103" t="s">
        <v>421</v>
      </c>
      <c r="L1154" s="102" t="s">
        <v>533</v>
      </c>
      <c r="M1154" s="95"/>
      <c r="N1154" s="14"/>
      <c r="O1154" s="94">
        <v>23</v>
      </c>
      <c r="P1154" s="14" t="s">
        <v>586</v>
      </c>
      <c r="Q1154" s="14" t="s">
        <v>887</v>
      </c>
      <c r="R1154" s="14" t="s">
        <v>1258</v>
      </c>
      <c r="S1154" s="15">
        <v>12</v>
      </c>
      <c r="T1154" s="15">
        <v>0</v>
      </c>
      <c r="U1154" s="15">
        <v>0</v>
      </c>
      <c r="V1154" s="14">
        <v>216</v>
      </c>
      <c r="W1154" s="12">
        <v>0</v>
      </c>
      <c r="X1154" s="12">
        <v>0</v>
      </c>
      <c r="Y1154" s="12">
        <v>0</v>
      </c>
      <c r="Z1154" s="12">
        <v>0.9</v>
      </c>
      <c r="AA1154" s="12">
        <v>0</v>
      </c>
      <c r="AB1154" s="13">
        <f t="shared" si="69"/>
        <v>0</v>
      </c>
      <c r="AE1154" s="12">
        <v>0</v>
      </c>
      <c r="AF1154" s="12">
        <v>0</v>
      </c>
      <c r="AG1154" s="12">
        <v>0</v>
      </c>
      <c r="AH1154" s="12">
        <v>0.9</v>
      </c>
      <c r="AI1154" s="12">
        <v>0</v>
      </c>
      <c r="AJ1154" s="13">
        <f t="shared" si="70"/>
        <v>0</v>
      </c>
      <c r="AN1154" s="12">
        <f t="shared" si="71"/>
        <v>195</v>
      </c>
      <c r="AQ1154" s="8" t="s">
        <v>418</v>
      </c>
      <c r="AR1154" t="str">
        <f t="shared" si="72"/>
        <v>Noroeste - A01</v>
      </c>
    </row>
    <row r="1155" spans="1:44" x14ac:dyDescent="0.2">
      <c r="A1155" s="107" t="s">
        <v>1713</v>
      </c>
      <c r="B1155" s="106" t="s">
        <v>1712</v>
      </c>
      <c r="C1155" s="106" t="s">
        <v>1711</v>
      </c>
      <c r="D1155" s="106" t="s">
        <v>513</v>
      </c>
      <c r="E1155" s="106" t="s">
        <v>1710</v>
      </c>
      <c r="F1155" s="106" t="s">
        <v>490</v>
      </c>
      <c r="G1155" s="106" t="s">
        <v>1709</v>
      </c>
      <c r="H1155" s="105" t="s">
        <v>1708</v>
      </c>
      <c r="I1155" s="105" t="s">
        <v>1707</v>
      </c>
      <c r="J1155" s="104">
        <v>4.8499999999999996</v>
      </c>
      <c r="K1155" s="103" t="s">
        <v>421</v>
      </c>
      <c r="L1155" s="102" t="s">
        <v>533</v>
      </c>
      <c r="M1155" s="95"/>
      <c r="N1155" s="14"/>
      <c r="O1155" s="94">
        <v>23</v>
      </c>
      <c r="P1155" s="14" t="s">
        <v>485</v>
      </c>
      <c r="Q1155" s="14" t="s">
        <v>887</v>
      </c>
      <c r="R1155" s="14" t="s">
        <v>1258</v>
      </c>
      <c r="S1155" s="15">
        <v>7.7857142857142856</v>
      </c>
      <c r="T1155" s="15">
        <v>1</v>
      </c>
      <c r="U1155" s="15">
        <v>0</v>
      </c>
      <c r="V1155" s="14">
        <v>1304</v>
      </c>
      <c r="W1155" s="12">
        <v>0</v>
      </c>
      <c r="X1155" s="12">
        <v>0</v>
      </c>
      <c r="Y1155" s="12">
        <v>0</v>
      </c>
      <c r="Z1155" s="12">
        <v>4.8499999999999996</v>
      </c>
      <c r="AA1155" s="12">
        <v>0</v>
      </c>
      <c r="AB1155" s="13">
        <f t="shared" si="69"/>
        <v>0</v>
      </c>
      <c r="AE1155" s="12">
        <v>0</v>
      </c>
      <c r="AF1155" s="12">
        <v>0</v>
      </c>
      <c r="AG1155" s="12">
        <v>0</v>
      </c>
      <c r="AH1155" s="12">
        <v>4.8499999999999996</v>
      </c>
      <c r="AI1155" s="12">
        <v>0</v>
      </c>
      <c r="AJ1155" s="13">
        <f t="shared" si="70"/>
        <v>0</v>
      </c>
      <c r="AN1155" s="12">
        <f t="shared" si="71"/>
        <v>6325</v>
      </c>
      <c r="AQ1155" s="8" t="s">
        <v>418</v>
      </c>
      <c r="AR1155" t="str">
        <f t="shared" si="72"/>
        <v>Noroeste - A01</v>
      </c>
    </row>
    <row r="1156" spans="1:44" x14ac:dyDescent="0.2">
      <c r="A1156" s="107" t="s">
        <v>1706</v>
      </c>
      <c r="B1156" s="106" t="s">
        <v>1705</v>
      </c>
      <c r="C1156" s="106" t="s">
        <v>1690</v>
      </c>
      <c r="D1156" s="106" t="s">
        <v>492</v>
      </c>
      <c r="E1156" s="106" t="s">
        <v>1689</v>
      </c>
      <c r="F1156" s="106" t="s">
        <v>490</v>
      </c>
      <c r="G1156" s="106" t="s">
        <v>1704</v>
      </c>
      <c r="H1156" s="105" t="s">
        <v>1703</v>
      </c>
      <c r="I1156" s="105" t="s">
        <v>1702</v>
      </c>
      <c r="J1156" s="104">
        <v>17.98</v>
      </c>
      <c r="K1156" s="103" t="s">
        <v>423</v>
      </c>
      <c r="L1156" s="102" t="s">
        <v>533</v>
      </c>
      <c r="M1156" s="95"/>
      <c r="N1156" s="14"/>
      <c r="O1156" s="94">
        <v>25</v>
      </c>
      <c r="P1156" s="14" t="s">
        <v>485</v>
      </c>
      <c r="Q1156" s="14" t="s">
        <v>561</v>
      </c>
      <c r="R1156" s="14" t="s">
        <v>496</v>
      </c>
      <c r="S1156" s="15">
        <v>7.2</v>
      </c>
      <c r="T1156" s="15">
        <v>0.7</v>
      </c>
      <c r="U1156" s="15">
        <v>0</v>
      </c>
      <c r="V1156" s="14">
        <v>1838</v>
      </c>
      <c r="W1156" s="12">
        <v>0</v>
      </c>
      <c r="X1156" s="12">
        <v>0</v>
      </c>
      <c r="Y1156" s="12">
        <v>1</v>
      </c>
      <c r="Z1156" s="12">
        <v>16.98</v>
      </c>
      <c r="AA1156" s="12">
        <v>0</v>
      </c>
      <c r="AB1156" s="13">
        <f t="shared" si="69"/>
        <v>0</v>
      </c>
      <c r="AE1156" s="12">
        <v>0</v>
      </c>
      <c r="AF1156" s="12">
        <v>0</v>
      </c>
      <c r="AG1156" s="12">
        <v>1</v>
      </c>
      <c r="AH1156" s="12">
        <v>16.98</v>
      </c>
      <c r="AI1156" s="12">
        <v>0</v>
      </c>
      <c r="AJ1156" s="13">
        <f t="shared" si="70"/>
        <v>0</v>
      </c>
      <c r="AN1156" s="12">
        <f t="shared" si="71"/>
        <v>33048</v>
      </c>
      <c r="AQ1156" s="8" t="s">
        <v>418</v>
      </c>
      <c r="AR1156" t="str">
        <f t="shared" si="72"/>
        <v>Noroeste - A03</v>
      </c>
    </row>
    <row r="1157" spans="1:44" x14ac:dyDescent="0.2">
      <c r="A1157" s="107" t="s">
        <v>1701</v>
      </c>
      <c r="B1157" s="106" t="s">
        <v>1700</v>
      </c>
      <c r="C1157" s="106" t="s">
        <v>1690</v>
      </c>
      <c r="D1157" s="106" t="s">
        <v>519</v>
      </c>
      <c r="E1157" s="106" t="s">
        <v>1699</v>
      </c>
      <c r="F1157" s="106" t="s">
        <v>590</v>
      </c>
      <c r="G1157" s="106" t="s">
        <v>1698</v>
      </c>
      <c r="H1157" s="105" t="s">
        <v>1697</v>
      </c>
      <c r="I1157" s="105" t="s">
        <v>1693</v>
      </c>
      <c r="J1157" s="104">
        <v>0.55000000000000004</v>
      </c>
      <c r="K1157" s="103" t="s">
        <v>423</v>
      </c>
      <c r="L1157" s="102" t="s">
        <v>533</v>
      </c>
      <c r="M1157" s="95"/>
      <c r="N1157" s="14"/>
      <c r="O1157" s="94">
        <v>25</v>
      </c>
      <c r="P1157" s="14" t="s">
        <v>586</v>
      </c>
      <c r="Q1157" s="14" t="s">
        <v>561</v>
      </c>
      <c r="R1157" s="14" t="s">
        <v>496</v>
      </c>
      <c r="S1157" s="15">
        <v>14</v>
      </c>
      <c r="T1157" s="15">
        <v>1.6</v>
      </c>
      <c r="U1157" s="15">
        <v>0</v>
      </c>
      <c r="V1157" s="14">
        <v>515</v>
      </c>
      <c r="W1157" s="12">
        <v>0</v>
      </c>
      <c r="X1157" s="12">
        <v>0</v>
      </c>
      <c r="Y1157" s="12">
        <v>0</v>
      </c>
      <c r="Z1157" s="12">
        <v>0.55000000000000004</v>
      </c>
      <c r="AA1157" s="12">
        <v>0</v>
      </c>
      <c r="AB1157" s="13">
        <f t="shared" si="69"/>
        <v>0</v>
      </c>
      <c r="AE1157" s="12">
        <v>0</v>
      </c>
      <c r="AF1157" s="12">
        <v>0</v>
      </c>
      <c r="AG1157" s="12">
        <v>0</v>
      </c>
      <c r="AH1157" s="12">
        <v>0.55000000000000004</v>
      </c>
      <c r="AI1157" s="12">
        <v>0</v>
      </c>
      <c r="AJ1157" s="13">
        <f t="shared" si="70"/>
        <v>0</v>
      </c>
      <c r="AN1157" s="12">
        <f t="shared" si="71"/>
        <v>284</v>
      </c>
      <c r="AQ1157" s="8" t="s">
        <v>418</v>
      </c>
      <c r="AR1157" t="str">
        <f t="shared" si="72"/>
        <v>Noroeste - A03</v>
      </c>
    </row>
    <row r="1158" spans="1:44" x14ac:dyDescent="0.2">
      <c r="A1158" s="107" t="s">
        <v>1696</v>
      </c>
      <c r="B1158" s="106" t="s">
        <v>1695</v>
      </c>
      <c r="C1158" s="106" t="s">
        <v>1690</v>
      </c>
      <c r="D1158" s="106" t="s">
        <v>513</v>
      </c>
      <c r="E1158" s="106" t="s">
        <v>1689</v>
      </c>
      <c r="F1158" s="106" t="s">
        <v>490</v>
      </c>
      <c r="G1158" s="106" t="s">
        <v>1694</v>
      </c>
      <c r="H1158" s="105" t="s">
        <v>1693</v>
      </c>
      <c r="I1158" s="105" t="s">
        <v>1687</v>
      </c>
      <c r="J1158" s="104">
        <v>7.11</v>
      </c>
      <c r="K1158" s="103" t="s">
        <v>423</v>
      </c>
      <c r="L1158" s="102" t="s">
        <v>533</v>
      </c>
      <c r="M1158" s="95"/>
      <c r="N1158" s="14"/>
      <c r="O1158" s="94">
        <v>25</v>
      </c>
      <c r="P1158" s="14" t="s">
        <v>485</v>
      </c>
      <c r="Q1158" s="14" t="s">
        <v>561</v>
      </c>
      <c r="R1158" s="14" t="s">
        <v>496</v>
      </c>
      <c r="S1158" s="15">
        <v>6.7</v>
      </c>
      <c r="T1158" s="15">
        <v>1.1000000000000001</v>
      </c>
      <c r="U1158" s="15">
        <v>0</v>
      </c>
      <c r="V1158" s="14">
        <v>1838</v>
      </c>
      <c r="W1158" s="12">
        <v>0</v>
      </c>
      <c r="X1158" s="12">
        <v>0</v>
      </c>
      <c r="Y1158" s="12">
        <v>0</v>
      </c>
      <c r="Z1158" s="12">
        <v>7.11</v>
      </c>
      <c r="AA1158" s="12">
        <v>0</v>
      </c>
      <c r="AB1158" s="13">
        <f t="shared" ref="AB1158:AB1221" si="73">SUM(W1158:AA1158)-J1158</f>
        <v>0</v>
      </c>
      <c r="AE1158" s="12">
        <v>0</v>
      </c>
      <c r="AF1158" s="12">
        <v>0</v>
      </c>
      <c r="AG1158" s="12">
        <v>0</v>
      </c>
      <c r="AH1158" s="12">
        <v>7.11</v>
      </c>
      <c r="AI1158" s="12">
        <v>0</v>
      </c>
      <c r="AJ1158" s="13">
        <f t="shared" ref="AJ1158:AJ1221" si="74">SUM(AE1158:AI1158)-J1158</f>
        <v>0</v>
      </c>
      <c r="AN1158" s="12">
        <f t="shared" ref="AN1158:AN1221" si="75">ROUNDUP(V1158*J1158,0)</f>
        <v>13069</v>
      </c>
      <c r="AQ1158" s="8" t="s">
        <v>418</v>
      </c>
      <c r="AR1158" t="str">
        <f t="shared" ref="AR1158:AR1221" si="76">AQ1158&amp;" - "&amp;K1158</f>
        <v>Noroeste - A03</v>
      </c>
    </row>
    <row r="1159" spans="1:44" x14ac:dyDescent="0.2">
      <c r="A1159" s="107" t="s">
        <v>1692</v>
      </c>
      <c r="B1159" s="106" t="s">
        <v>1691</v>
      </c>
      <c r="C1159" s="106" t="s">
        <v>1690</v>
      </c>
      <c r="D1159" s="106" t="s">
        <v>989</v>
      </c>
      <c r="E1159" s="106" t="s">
        <v>1689</v>
      </c>
      <c r="F1159" s="106" t="s">
        <v>490</v>
      </c>
      <c r="G1159" s="106" t="s">
        <v>1688</v>
      </c>
      <c r="H1159" s="105" t="s">
        <v>1687</v>
      </c>
      <c r="I1159" s="105" t="s">
        <v>1550</v>
      </c>
      <c r="J1159" s="104">
        <v>1.92</v>
      </c>
      <c r="K1159" s="103" t="s">
        <v>423</v>
      </c>
      <c r="L1159" s="102" t="s">
        <v>533</v>
      </c>
      <c r="M1159" s="95"/>
      <c r="N1159" s="14"/>
      <c r="O1159" s="94">
        <v>25</v>
      </c>
      <c r="P1159" s="14" t="s">
        <v>485</v>
      </c>
      <c r="Q1159" s="14" t="s">
        <v>561</v>
      </c>
      <c r="R1159" s="14" t="s">
        <v>496</v>
      </c>
      <c r="S1159" s="15">
        <v>8</v>
      </c>
      <c r="T1159" s="15">
        <v>1.8</v>
      </c>
      <c r="U1159" s="15">
        <v>0</v>
      </c>
      <c r="V1159" s="14">
        <v>1838</v>
      </c>
      <c r="W1159" s="12">
        <v>0</v>
      </c>
      <c r="X1159" s="12">
        <v>0</v>
      </c>
      <c r="Y1159" s="12">
        <v>0</v>
      </c>
      <c r="Z1159" s="12">
        <v>1.92</v>
      </c>
      <c r="AA1159" s="12">
        <v>0</v>
      </c>
      <c r="AB1159" s="13">
        <f t="shared" si="73"/>
        <v>0</v>
      </c>
      <c r="AE1159" s="12">
        <v>0</v>
      </c>
      <c r="AF1159" s="12">
        <v>0</v>
      </c>
      <c r="AG1159" s="12">
        <v>0</v>
      </c>
      <c r="AH1159" s="12">
        <v>1.92</v>
      </c>
      <c r="AI1159" s="12">
        <v>0</v>
      </c>
      <c r="AJ1159" s="13">
        <f t="shared" si="74"/>
        <v>0</v>
      </c>
      <c r="AN1159" s="12">
        <f t="shared" si="75"/>
        <v>3529</v>
      </c>
      <c r="AQ1159" s="8" t="s">
        <v>418</v>
      </c>
      <c r="AR1159" t="str">
        <f t="shared" si="76"/>
        <v>Noroeste - A03</v>
      </c>
    </row>
    <row r="1160" spans="1:44" x14ac:dyDescent="0.2">
      <c r="A1160" s="107" t="s">
        <v>1686</v>
      </c>
      <c r="B1160" s="106" t="s">
        <v>1685</v>
      </c>
      <c r="C1160" s="106" t="s">
        <v>1671</v>
      </c>
      <c r="D1160" s="106" t="s">
        <v>492</v>
      </c>
      <c r="E1160" s="106" t="s">
        <v>1676</v>
      </c>
      <c r="F1160" s="106" t="s">
        <v>490</v>
      </c>
      <c r="G1160" s="106" t="s">
        <v>1684</v>
      </c>
      <c r="H1160" s="105" t="s">
        <v>1683</v>
      </c>
      <c r="I1160" s="105" t="s">
        <v>1679</v>
      </c>
      <c r="J1160" s="104">
        <v>0.85</v>
      </c>
      <c r="K1160" s="103" t="s">
        <v>423</v>
      </c>
      <c r="L1160" s="102" t="s">
        <v>533</v>
      </c>
      <c r="M1160" s="95"/>
      <c r="N1160" s="14"/>
      <c r="O1160" s="94">
        <v>25</v>
      </c>
      <c r="P1160" s="14" t="s">
        <v>485</v>
      </c>
      <c r="Q1160" s="14" t="s">
        <v>561</v>
      </c>
      <c r="R1160" s="14" t="s">
        <v>496</v>
      </c>
      <c r="S1160" s="15">
        <v>7.5</v>
      </c>
      <c r="T1160" s="15">
        <v>1</v>
      </c>
      <c r="U1160" s="15">
        <v>0</v>
      </c>
      <c r="V1160" s="14">
        <v>5208</v>
      </c>
      <c r="W1160" s="12">
        <v>0</v>
      </c>
      <c r="X1160" s="12">
        <v>0</v>
      </c>
      <c r="Y1160" s="12">
        <v>0</v>
      </c>
      <c r="Z1160" s="12">
        <v>0.85</v>
      </c>
      <c r="AA1160" s="12">
        <v>0</v>
      </c>
      <c r="AB1160" s="13">
        <f t="shared" si="73"/>
        <v>0</v>
      </c>
      <c r="AE1160" s="12">
        <v>0</v>
      </c>
      <c r="AF1160" s="12">
        <v>0</v>
      </c>
      <c r="AG1160" s="12">
        <v>0</v>
      </c>
      <c r="AH1160" s="12">
        <v>0.85</v>
      </c>
      <c r="AI1160" s="12">
        <v>0</v>
      </c>
      <c r="AJ1160" s="13">
        <f t="shared" si="74"/>
        <v>0</v>
      </c>
      <c r="AN1160" s="12">
        <f t="shared" si="75"/>
        <v>4427</v>
      </c>
      <c r="AQ1160" s="8" t="s">
        <v>418</v>
      </c>
      <c r="AR1160" t="str">
        <f t="shared" si="76"/>
        <v>Noroeste - A03</v>
      </c>
    </row>
    <row r="1161" spans="1:44" x14ac:dyDescent="0.2">
      <c r="A1161" s="107" t="s">
        <v>1682</v>
      </c>
      <c r="B1161" s="106" t="s">
        <v>1681</v>
      </c>
      <c r="C1161" s="106" t="s">
        <v>1671</v>
      </c>
      <c r="D1161" s="106" t="s">
        <v>519</v>
      </c>
      <c r="E1161" s="106" t="s">
        <v>1676</v>
      </c>
      <c r="F1161" s="106" t="s">
        <v>490</v>
      </c>
      <c r="G1161" s="106" t="s">
        <v>1680</v>
      </c>
      <c r="H1161" s="105" t="s">
        <v>1679</v>
      </c>
      <c r="I1161" s="105" t="s">
        <v>1674</v>
      </c>
      <c r="J1161" s="104">
        <v>11.53</v>
      </c>
      <c r="K1161" s="103" t="s">
        <v>423</v>
      </c>
      <c r="L1161" s="102" t="s">
        <v>533</v>
      </c>
      <c r="M1161" s="95"/>
      <c r="N1161" s="14"/>
      <c r="O1161" s="94">
        <v>25</v>
      </c>
      <c r="P1161" s="14" t="s">
        <v>485</v>
      </c>
      <c r="Q1161" s="14" t="s">
        <v>561</v>
      </c>
      <c r="R1161" s="14" t="s">
        <v>496</v>
      </c>
      <c r="S1161" s="15">
        <v>7.5</v>
      </c>
      <c r="T1161" s="15">
        <v>0.9</v>
      </c>
      <c r="U1161" s="15">
        <v>0</v>
      </c>
      <c r="V1161" s="14">
        <v>1990</v>
      </c>
      <c r="W1161" s="12">
        <v>0</v>
      </c>
      <c r="X1161" s="12">
        <v>0</v>
      </c>
      <c r="Y1161" s="12">
        <v>3</v>
      </c>
      <c r="Z1161" s="12">
        <v>8.5299999999999994</v>
      </c>
      <c r="AA1161" s="12">
        <v>0</v>
      </c>
      <c r="AB1161" s="13">
        <f t="shared" si="73"/>
        <v>0</v>
      </c>
      <c r="AE1161" s="12">
        <v>0</v>
      </c>
      <c r="AF1161" s="12">
        <v>0</v>
      </c>
      <c r="AG1161" s="12">
        <v>3</v>
      </c>
      <c r="AH1161" s="12">
        <v>8.5299999999999994</v>
      </c>
      <c r="AI1161" s="12">
        <v>0</v>
      </c>
      <c r="AJ1161" s="13">
        <f t="shared" si="74"/>
        <v>0</v>
      </c>
      <c r="AN1161" s="12">
        <f t="shared" si="75"/>
        <v>22945</v>
      </c>
      <c r="AQ1161" s="8" t="s">
        <v>418</v>
      </c>
      <c r="AR1161" t="str">
        <f t="shared" si="76"/>
        <v>Noroeste - A03</v>
      </c>
    </row>
    <row r="1162" spans="1:44" x14ac:dyDescent="0.2">
      <c r="A1162" s="107" t="s">
        <v>1678</v>
      </c>
      <c r="B1162" s="106" t="s">
        <v>1677</v>
      </c>
      <c r="C1162" s="106" t="s">
        <v>1671</v>
      </c>
      <c r="D1162" s="106" t="s">
        <v>513</v>
      </c>
      <c r="E1162" s="106" t="s">
        <v>1676</v>
      </c>
      <c r="F1162" s="106" t="s">
        <v>490</v>
      </c>
      <c r="G1162" s="106" t="s">
        <v>1675</v>
      </c>
      <c r="H1162" s="105" t="s">
        <v>1674</v>
      </c>
      <c r="I1162" s="105" t="s">
        <v>1647</v>
      </c>
      <c r="J1162" s="104">
        <v>12.94</v>
      </c>
      <c r="K1162" s="103" t="s">
        <v>423</v>
      </c>
      <c r="L1162" s="102" t="s">
        <v>533</v>
      </c>
      <c r="M1162" s="95"/>
      <c r="N1162" s="14"/>
      <c r="O1162" s="94">
        <v>25</v>
      </c>
      <c r="P1162" s="14" t="s">
        <v>485</v>
      </c>
      <c r="Q1162" s="14" t="s">
        <v>561</v>
      </c>
      <c r="R1162" s="14" t="s">
        <v>496</v>
      </c>
      <c r="S1162" s="15">
        <v>7.5</v>
      </c>
      <c r="T1162" s="15">
        <v>1.1499999999999999</v>
      </c>
      <c r="U1162" s="15">
        <v>0</v>
      </c>
      <c r="V1162" s="14">
        <v>5208</v>
      </c>
      <c r="W1162" s="12">
        <v>0</v>
      </c>
      <c r="X1162" s="12">
        <v>0</v>
      </c>
      <c r="Y1162" s="12">
        <v>1</v>
      </c>
      <c r="Z1162" s="12">
        <v>11.94</v>
      </c>
      <c r="AA1162" s="12">
        <v>0</v>
      </c>
      <c r="AB1162" s="13">
        <f t="shared" si="73"/>
        <v>0</v>
      </c>
      <c r="AE1162" s="12">
        <v>0</v>
      </c>
      <c r="AF1162" s="12">
        <v>0</v>
      </c>
      <c r="AG1162" s="12">
        <v>1</v>
      </c>
      <c r="AH1162" s="12">
        <v>11.94</v>
      </c>
      <c r="AI1162" s="12">
        <v>0</v>
      </c>
      <c r="AJ1162" s="13">
        <f t="shared" si="74"/>
        <v>0</v>
      </c>
      <c r="AN1162" s="12">
        <f t="shared" si="75"/>
        <v>67392</v>
      </c>
      <c r="AQ1162" s="8" t="s">
        <v>418</v>
      </c>
      <c r="AR1162" t="str">
        <f t="shared" si="76"/>
        <v>Noroeste - A03</v>
      </c>
    </row>
    <row r="1163" spans="1:44" x14ac:dyDescent="0.2">
      <c r="A1163" s="107" t="s">
        <v>1673</v>
      </c>
      <c r="B1163" s="106" t="s">
        <v>1672</v>
      </c>
      <c r="C1163" s="106" t="s">
        <v>1671</v>
      </c>
      <c r="D1163" s="106" t="s">
        <v>1324</v>
      </c>
      <c r="E1163" s="106" t="s">
        <v>1670</v>
      </c>
      <c r="F1163" s="106" t="s">
        <v>590</v>
      </c>
      <c r="G1163" s="106" t="s">
        <v>1669</v>
      </c>
      <c r="H1163" s="105" t="s">
        <v>1647</v>
      </c>
      <c r="I1163" s="105" t="s">
        <v>1668</v>
      </c>
      <c r="J1163" s="104">
        <v>0.21</v>
      </c>
      <c r="K1163" s="103" t="s">
        <v>423</v>
      </c>
      <c r="L1163" s="102" t="s">
        <v>533</v>
      </c>
      <c r="M1163" s="95"/>
      <c r="N1163" s="14"/>
      <c r="O1163" s="94">
        <v>25</v>
      </c>
      <c r="P1163" s="14" t="s">
        <v>586</v>
      </c>
      <c r="Q1163" s="14" t="s">
        <v>561</v>
      </c>
      <c r="R1163" s="14" t="s">
        <v>496</v>
      </c>
      <c r="S1163" s="15">
        <v>6.8</v>
      </c>
      <c r="T1163" s="15">
        <v>1</v>
      </c>
      <c r="U1163" s="15">
        <v>0</v>
      </c>
      <c r="V1163" s="14">
        <v>925</v>
      </c>
      <c r="W1163" s="12">
        <v>0</v>
      </c>
      <c r="X1163" s="12">
        <v>0</v>
      </c>
      <c r="Y1163" s="12">
        <v>0</v>
      </c>
      <c r="Z1163" s="12">
        <v>0.21</v>
      </c>
      <c r="AA1163" s="12">
        <v>0</v>
      </c>
      <c r="AB1163" s="13">
        <f t="shared" si="73"/>
        <v>0</v>
      </c>
      <c r="AE1163" s="12">
        <v>0</v>
      </c>
      <c r="AF1163" s="12">
        <v>0</v>
      </c>
      <c r="AG1163" s="12">
        <v>0</v>
      </c>
      <c r="AH1163" s="12">
        <v>0.21</v>
      </c>
      <c r="AI1163" s="12">
        <v>0</v>
      </c>
      <c r="AJ1163" s="13">
        <f t="shared" si="74"/>
        <v>0</v>
      </c>
      <c r="AN1163" s="12">
        <f t="shared" si="75"/>
        <v>195</v>
      </c>
      <c r="AQ1163" s="8" t="s">
        <v>418</v>
      </c>
      <c r="AR1163" t="str">
        <f t="shared" si="76"/>
        <v>Noroeste - A03</v>
      </c>
    </row>
    <row r="1164" spans="1:44" x14ac:dyDescent="0.2">
      <c r="A1164" s="107" t="s">
        <v>1667</v>
      </c>
      <c r="B1164" s="106" t="s">
        <v>1666</v>
      </c>
      <c r="C1164" s="106" t="s">
        <v>1660</v>
      </c>
      <c r="D1164" s="106" t="s">
        <v>492</v>
      </c>
      <c r="E1164" s="106" t="s">
        <v>1665</v>
      </c>
      <c r="F1164" s="106" t="s">
        <v>490</v>
      </c>
      <c r="G1164" s="106" t="s">
        <v>1664</v>
      </c>
      <c r="H1164" s="105" t="s">
        <v>1663</v>
      </c>
      <c r="I1164" s="105" t="s">
        <v>1657</v>
      </c>
      <c r="J1164" s="104">
        <v>4.62</v>
      </c>
      <c r="K1164" s="103" t="s">
        <v>426</v>
      </c>
      <c r="L1164" s="102" t="s">
        <v>533</v>
      </c>
      <c r="M1164" s="95"/>
      <c r="N1164" s="14"/>
      <c r="O1164" s="94">
        <v>28</v>
      </c>
      <c r="P1164" s="14" t="s">
        <v>485</v>
      </c>
      <c r="Q1164" s="14" t="s">
        <v>561</v>
      </c>
      <c r="R1164" s="14" t="s">
        <v>496</v>
      </c>
      <c r="S1164" s="15">
        <v>6.6</v>
      </c>
      <c r="T1164" s="15">
        <v>1.5</v>
      </c>
      <c r="U1164" s="15">
        <v>1.2</v>
      </c>
      <c r="V1164" s="14">
        <v>1292</v>
      </c>
      <c r="W1164" s="12">
        <v>0</v>
      </c>
      <c r="X1164" s="12">
        <v>0</v>
      </c>
      <c r="Y1164" s="12">
        <v>3.62</v>
      </c>
      <c r="Z1164" s="12">
        <v>1</v>
      </c>
      <c r="AA1164" s="12">
        <v>0</v>
      </c>
      <c r="AB1164" s="13">
        <f t="shared" si="73"/>
        <v>0</v>
      </c>
      <c r="AE1164" s="12">
        <v>0</v>
      </c>
      <c r="AF1164" s="12">
        <v>0</v>
      </c>
      <c r="AG1164" s="12">
        <v>3.62</v>
      </c>
      <c r="AH1164" s="12">
        <v>1</v>
      </c>
      <c r="AI1164" s="12">
        <v>0</v>
      </c>
      <c r="AJ1164" s="13">
        <f t="shared" si="74"/>
        <v>0</v>
      </c>
      <c r="AN1164" s="12">
        <f t="shared" si="75"/>
        <v>5970</v>
      </c>
      <c r="AQ1164" s="8" t="s">
        <v>418</v>
      </c>
      <c r="AR1164" t="str">
        <f t="shared" si="76"/>
        <v>Noroeste - A06</v>
      </c>
    </row>
    <row r="1165" spans="1:44" x14ac:dyDescent="0.2">
      <c r="A1165" s="107" t="s">
        <v>1662</v>
      </c>
      <c r="B1165" s="106" t="s">
        <v>1661</v>
      </c>
      <c r="C1165" s="106" t="s">
        <v>1660</v>
      </c>
      <c r="D1165" s="106" t="s">
        <v>519</v>
      </c>
      <c r="E1165" s="106" t="s">
        <v>1659</v>
      </c>
      <c r="F1165" s="106" t="s">
        <v>590</v>
      </c>
      <c r="G1165" s="106" t="s">
        <v>1658</v>
      </c>
      <c r="H1165" s="105" t="s">
        <v>1657</v>
      </c>
      <c r="I1165" s="105" t="s">
        <v>1656</v>
      </c>
      <c r="J1165" s="104">
        <v>2.02</v>
      </c>
      <c r="K1165" s="103" t="s">
        <v>426</v>
      </c>
      <c r="L1165" s="102" t="s">
        <v>533</v>
      </c>
      <c r="M1165" s="95"/>
      <c r="N1165" s="14"/>
      <c r="O1165" s="94">
        <v>28</v>
      </c>
      <c r="P1165" s="14" t="s">
        <v>586</v>
      </c>
      <c r="Q1165" s="14" t="s">
        <v>561</v>
      </c>
      <c r="R1165" s="14" t="s">
        <v>496</v>
      </c>
      <c r="S1165" s="15">
        <v>14</v>
      </c>
      <c r="T1165" s="15">
        <v>0</v>
      </c>
      <c r="U1165" s="15">
        <v>0</v>
      </c>
      <c r="V1165" s="14">
        <v>517</v>
      </c>
      <c r="W1165" s="12">
        <v>0</v>
      </c>
      <c r="X1165" s="12">
        <v>0</v>
      </c>
      <c r="Y1165" s="12">
        <v>1</v>
      </c>
      <c r="Z1165" s="12">
        <v>1.02</v>
      </c>
      <c r="AA1165" s="12">
        <v>0</v>
      </c>
      <c r="AB1165" s="13">
        <f t="shared" si="73"/>
        <v>0</v>
      </c>
      <c r="AE1165" s="12">
        <v>0</v>
      </c>
      <c r="AF1165" s="12">
        <v>0</v>
      </c>
      <c r="AG1165" s="12">
        <v>1</v>
      </c>
      <c r="AH1165" s="12">
        <v>1.02</v>
      </c>
      <c r="AI1165" s="12">
        <v>0</v>
      </c>
      <c r="AJ1165" s="13">
        <f t="shared" si="74"/>
        <v>0</v>
      </c>
      <c r="AN1165" s="12">
        <f t="shared" si="75"/>
        <v>1045</v>
      </c>
      <c r="AQ1165" s="8" t="s">
        <v>418</v>
      </c>
      <c r="AR1165" t="str">
        <f t="shared" si="76"/>
        <v>Noroeste - A06</v>
      </c>
    </row>
    <row r="1166" spans="1:44" x14ac:dyDescent="0.2">
      <c r="A1166" s="107" t="s">
        <v>1655</v>
      </c>
      <c r="B1166" s="106" t="s">
        <v>1654</v>
      </c>
      <c r="C1166" s="106" t="s">
        <v>1644</v>
      </c>
      <c r="D1166" s="106" t="s">
        <v>492</v>
      </c>
      <c r="E1166" s="106" t="s">
        <v>1643</v>
      </c>
      <c r="F1166" s="106" t="s">
        <v>490</v>
      </c>
      <c r="G1166" s="106" t="s">
        <v>1653</v>
      </c>
      <c r="H1166" s="105" t="s">
        <v>1652</v>
      </c>
      <c r="I1166" s="105" t="s">
        <v>1647</v>
      </c>
      <c r="J1166" s="104">
        <v>18.27</v>
      </c>
      <c r="K1166" s="103" t="s">
        <v>423</v>
      </c>
      <c r="L1166" s="102" t="s">
        <v>533</v>
      </c>
      <c r="M1166" s="95"/>
      <c r="N1166" s="14"/>
      <c r="O1166" s="94">
        <v>25</v>
      </c>
      <c r="P1166" s="14" t="s">
        <v>485</v>
      </c>
      <c r="Q1166" s="14" t="s">
        <v>887</v>
      </c>
      <c r="R1166" s="14" t="s">
        <v>1258</v>
      </c>
      <c r="S1166" s="15">
        <v>6.6</v>
      </c>
      <c r="T1166" s="15">
        <v>0.9</v>
      </c>
      <c r="U1166" s="15">
        <v>0</v>
      </c>
      <c r="V1166" s="14">
        <v>817</v>
      </c>
      <c r="W1166" s="12">
        <v>0</v>
      </c>
      <c r="X1166" s="12">
        <v>0</v>
      </c>
      <c r="Y1166" s="12">
        <v>0</v>
      </c>
      <c r="Z1166" s="12">
        <v>18.27</v>
      </c>
      <c r="AA1166" s="12">
        <v>0</v>
      </c>
      <c r="AB1166" s="13">
        <f t="shared" si="73"/>
        <v>0</v>
      </c>
      <c r="AE1166" s="12">
        <v>0</v>
      </c>
      <c r="AF1166" s="12">
        <v>0</v>
      </c>
      <c r="AG1166" s="12">
        <v>0</v>
      </c>
      <c r="AH1166" s="12">
        <v>18.27</v>
      </c>
      <c r="AI1166" s="12">
        <v>0</v>
      </c>
      <c r="AJ1166" s="13">
        <f t="shared" si="74"/>
        <v>0</v>
      </c>
      <c r="AN1166" s="12">
        <f t="shared" si="75"/>
        <v>14927</v>
      </c>
      <c r="AQ1166" s="8" t="s">
        <v>418</v>
      </c>
      <c r="AR1166" t="str">
        <f t="shared" si="76"/>
        <v>Noroeste - A03</v>
      </c>
    </row>
    <row r="1167" spans="1:44" x14ac:dyDescent="0.2">
      <c r="A1167" s="107" t="s">
        <v>1651</v>
      </c>
      <c r="B1167" s="106" t="s">
        <v>1650</v>
      </c>
      <c r="C1167" s="106" t="s">
        <v>1644</v>
      </c>
      <c r="D1167" s="106" t="s">
        <v>519</v>
      </c>
      <c r="E1167" s="106" t="s">
        <v>1649</v>
      </c>
      <c r="F1167" s="106" t="s">
        <v>590</v>
      </c>
      <c r="G1167" s="106" t="s">
        <v>1648</v>
      </c>
      <c r="H1167" s="105" t="s">
        <v>1647</v>
      </c>
      <c r="I1167" s="105" t="s">
        <v>1641</v>
      </c>
      <c r="J1167" s="104">
        <v>1.1000000000000001</v>
      </c>
      <c r="K1167" s="103" t="s">
        <v>423</v>
      </c>
      <c r="L1167" s="102" t="s">
        <v>533</v>
      </c>
      <c r="M1167" s="95"/>
      <c r="N1167" s="14"/>
      <c r="O1167" s="94">
        <v>25</v>
      </c>
      <c r="P1167" s="14" t="s">
        <v>586</v>
      </c>
      <c r="Q1167" s="14" t="s">
        <v>887</v>
      </c>
      <c r="R1167" s="14" t="s">
        <v>496</v>
      </c>
      <c r="S1167" s="15">
        <v>9.1999999999999993</v>
      </c>
      <c r="T1167" s="15">
        <v>1.1000000000000001</v>
      </c>
      <c r="U1167" s="15">
        <v>0</v>
      </c>
      <c r="V1167" s="14">
        <v>223</v>
      </c>
      <c r="W1167" s="12">
        <v>0</v>
      </c>
      <c r="X1167" s="12">
        <v>0</v>
      </c>
      <c r="Y1167" s="12">
        <v>0</v>
      </c>
      <c r="Z1167" s="12">
        <v>1.1000000000000001</v>
      </c>
      <c r="AA1167" s="12">
        <v>0</v>
      </c>
      <c r="AB1167" s="13">
        <f t="shared" si="73"/>
        <v>0</v>
      </c>
      <c r="AE1167" s="12">
        <v>0</v>
      </c>
      <c r="AF1167" s="12">
        <v>0</v>
      </c>
      <c r="AG1167" s="12">
        <v>0</v>
      </c>
      <c r="AH1167" s="12">
        <v>1.1000000000000001</v>
      </c>
      <c r="AI1167" s="12">
        <v>0</v>
      </c>
      <c r="AJ1167" s="13">
        <f t="shared" si="74"/>
        <v>0</v>
      </c>
      <c r="AN1167" s="12">
        <f t="shared" si="75"/>
        <v>246</v>
      </c>
      <c r="AQ1167" s="8" t="s">
        <v>418</v>
      </c>
      <c r="AR1167" t="str">
        <f t="shared" si="76"/>
        <v>Noroeste - A03</v>
      </c>
    </row>
    <row r="1168" spans="1:44" x14ac:dyDescent="0.2">
      <c r="A1168" s="107" t="s">
        <v>1646</v>
      </c>
      <c r="B1168" s="106" t="s">
        <v>1645</v>
      </c>
      <c r="C1168" s="106" t="s">
        <v>1644</v>
      </c>
      <c r="D1168" s="106" t="s">
        <v>513</v>
      </c>
      <c r="E1168" s="106" t="s">
        <v>1643</v>
      </c>
      <c r="F1168" s="106" t="s">
        <v>490</v>
      </c>
      <c r="G1168" s="106" t="s">
        <v>1642</v>
      </c>
      <c r="H1168" s="105" t="s">
        <v>1641</v>
      </c>
      <c r="I1168" s="105" t="s">
        <v>1640</v>
      </c>
      <c r="J1168" s="104">
        <v>18.41</v>
      </c>
      <c r="K1168" s="103" t="s">
        <v>423</v>
      </c>
      <c r="L1168" s="102" t="s">
        <v>533</v>
      </c>
      <c r="M1168" s="95"/>
      <c r="N1168" s="14"/>
      <c r="O1168" s="94">
        <v>25</v>
      </c>
      <c r="P1168" s="14" t="s">
        <v>485</v>
      </c>
      <c r="Q1168" s="14" t="s">
        <v>887</v>
      </c>
      <c r="R1168" s="14" t="s">
        <v>496</v>
      </c>
      <c r="S1168" s="15">
        <v>7.2</v>
      </c>
      <c r="T1168" s="15">
        <v>0.5</v>
      </c>
      <c r="U1168" s="15">
        <v>0</v>
      </c>
      <c r="V1168" s="14">
        <v>1554</v>
      </c>
      <c r="W1168" s="12">
        <v>0</v>
      </c>
      <c r="X1168" s="12">
        <v>1</v>
      </c>
      <c r="Y1168" s="12">
        <v>8</v>
      </c>
      <c r="Z1168" s="12">
        <v>9.41</v>
      </c>
      <c r="AA1168" s="12">
        <v>0</v>
      </c>
      <c r="AB1168" s="13">
        <f t="shared" si="73"/>
        <v>0</v>
      </c>
      <c r="AE1168" s="12">
        <v>0</v>
      </c>
      <c r="AF1168" s="12">
        <v>1</v>
      </c>
      <c r="AG1168" s="12">
        <v>8</v>
      </c>
      <c r="AH1168" s="12">
        <v>9.41</v>
      </c>
      <c r="AI1168" s="12">
        <v>0</v>
      </c>
      <c r="AJ1168" s="13">
        <f t="shared" si="74"/>
        <v>0</v>
      </c>
      <c r="AN1168" s="12">
        <f t="shared" si="75"/>
        <v>28610</v>
      </c>
      <c r="AQ1168" s="8" t="s">
        <v>418</v>
      </c>
      <c r="AR1168" t="str">
        <f t="shared" si="76"/>
        <v>Noroeste - A03</v>
      </c>
    </row>
    <row r="1169" spans="1:44" x14ac:dyDescent="0.2">
      <c r="A1169" s="107" t="s">
        <v>1639</v>
      </c>
      <c r="B1169" s="106" t="s">
        <v>1638</v>
      </c>
      <c r="C1169" s="106" t="s">
        <v>1627</v>
      </c>
      <c r="D1169" s="106" t="s">
        <v>1637</v>
      </c>
      <c r="E1169" s="106" t="s">
        <v>1626</v>
      </c>
      <c r="F1169" s="106" t="s">
        <v>490</v>
      </c>
      <c r="G1169" s="106" t="s">
        <v>1636</v>
      </c>
      <c r="H1169" s="105" t="s">
        <v>1635</v>
      </c>
      <c r="I1169" s="105" t="s">
        <v>1630</v>
      </c>
      <c r="J1169" s="104">
        <v>12.33</v>
      </c>
      <c r="K1169" s="103" t="s">
        <v>423</v>
      </c>
      <c r="L1169" s="102" t="s">
        <v>533</v>
      </c>
      <c r="M1169" s="95"/>
      <c r="N1169" s="14"/>
      <c r="O1169" s="94">
        <v>25</v>
      </c>
      <c r="P1169" s="14" t="s">
        <v>485</v>
      </c>
      <c r="Q1169" s="14" t="s">
        <v>505</v>
      </c>
      <c r="R1169" s="14" t="s">
        <v>1258</v>
      </c>
      <c r="S1169" s="15">
        <v>6.6</v>
      </c>
      <c r="T1169" s="15">
        <v>1.5</v>
      </c>
      <c r="U1169" s="15">
        <v>0</v>
      </c>
      <c r="V1169" s="14">
        <v>1756</v>
      </c>
      <c r="W1169" s="12">
        <v>0</v>
      </c>
      <c r="X1169" s="12">
        <v>0</v>
      </c>
      <c r="Y1169" s="12">
        <v>0</v>
      </c>
      <c r="Z1169" s="12">
        <v>6.33</v>
      </c>
      <c r="AA1169" s="12">
        <v>6</v>
      </c>
      <c r="AB1169" s="13">
        <f t="shared" si="73"/>
        <v>0</v>
      </c>
      <c r="AE1169" s="12">
        <v>0</v>
      </c>
      <c r="AF1169" s="12">
        <v>0</v>
      </c>
      <c r="AG1169" s="12">
        <v>0</v>
      </c>
      <c r="AH1169" s="12">
        <v>6.33</v>
      </c>
      <c r="AI1169" s="12">
        <v>6</v>
      </c>
      <c r="AJ1169" s="13">
        <f t="shared" si="74"/>
        <v>0</v>
      </c>
      <c r="AN1169" s="12">
        <f t="shared" si="75"/>
        <v>21652</v>
      </c>
      <c r="AQ1169" s="8" t="s">
        <v>418</v>
      </c>
      <c r="AR1169" t="str">
        <f t="shared" si="76"/>
        <v>Noroeste - A03</v>
      </c>
    </row>
    <row r="1170" spans="1:44" x14ac:dyDescent="0.2">
      <c r="A1170" s="107" t="s">
        <v>1634</v>
      </c>
      <c r="B1170" s="106" t="s">
        <v>1633</v>
      </c>
      <c r="C1170" s="106" t="s">
        <v>1627</v>
      </c>
      <c r="D1170" s="106" t="s">
        <v>1128</v>
      </c>
      <c r="E1170" s="106" t="s">
        <v>1632</v>
      </c>
      <c r="F1170" s="106" t="s">
        <v>590</v>
      </c>
      <c r="G1170" s="106" t="s">
        <v>1631</v>
      </c>
      <c r="H1170" s="105" t="s">
        <v>1630</v>
      </c>
      <c r="I1170" s="105" t="s">
        <v>1624</v>
      </c>
      <c r="J1170" s="104">
        <v>0.39</v>
      </c>
      <c r="K1170" s="103" t="s">
        <v>423</v>
      </c>
      <c r="L1170" s="102" t="s">
        <v>533</v>
      </c>
      <c r="M1170" s="95"/>
      <c r="N1170" s="14"/>
      <c r="O1170" s="94">
        <v>25</v>
      </c>
      <c r="P1170" s="14" t="s">
        <v>586</v>
      </c>
      <c r="Q1170" s="14" t="s">
        <v>505</v>
      </c>
      <c r="R1170" s="14" t="s">
        <v>1258</v>
      </c>
      <c r="S1170" s="15">
        <v>13.2</v>
      </c>
      <c r="T1170" s="15">
        <v>0</v>
      </c>
      <c r="U1170" s="15">
        <v>0</v>
      </c>
      <c r="V1170" s="14">
        <v>742</v>
      </c>
      <c r="W1170" s="12">
        <v>0</v>
      </c>
      <c r="X1170" s="12">
        <v>0</v>
      </c>
      <c r="Y1170" s="12">
        <v>0</v>
      </c>
      <c r="Z1170" s="12">
        <v>0.39</v>
      </c>
      <c r="AA1170" s="12">
        <v>0</v>
      </c>
      <c r="AB1170" s="13">
        <f t="shared" si="73"/>
        <v>0</v>
      </c>
      <c r="AE1170" s="12">
        <v>0</v>
      </c>
      <c r="AF1170" s="12">
        <v>0</v>
      </c>
      <c r="AG1170" s="12">
        <v>0</v>
      </c>
      <c r="AH1170" s="12">
        <v>0.39</v>
      </c>
      <c r="AI1170" s="12">
        <v>0</v>
      </c>
      <c r="AJ1170" s="13">
        <f t="shared" si="74"/>
        <v>0</v>
      </c>
      <c r="AN1170" s="12">
        <f t="shared" si="75"/>
        <v>290</v>
      </c>
      <c r="AQ1170" s="8" t="s">
        <v>418</v>
      </c>
      <c r="AR1170" t="str">
        <f t="shared" si="76"/>
        <v>Noroeste - A03</v>
      </c>
    </row>
    <row r="1171" spans="1:44" x14ac:dyDescent="0.2">
      <c r="A1171" s="107" t="s">
        <v>1629</v>
      </c>
      <c r="B1171" s="106" t="s">
        <v>1628</v>
      </c>
      <c r="C1171" s="106" t="s">
        <v>1627</v>
      </c>
      <c r="D1171" s="106" t="s">
        <v>1106</v>
      </c>
      <c r="E1171" s="106" t="s">
        <v>1626</v>
      </c>
      <c r="F1171" s="106" t="s">
        <v>490</v>
      </c>
      <c r="G1171" s="106" t="s">
        <v>1625</v>
      </c>
      <c r="H1171" s="105" t="s">
        <v>1624</v>
      </c>
      <c r="I1171" s="105" t="s">
        <v>1623</v>
      </c>
      <c r="J1171" s="104">
        <v>13.8</v>
      </c>
      <c r="K1171" s="103" t="s">
        <v>423</v>
      </c>
      <c r="L1171" s="102" t="s">
        <v>533</v>
      </c>
      <c r="M1171" s="95"/>
      <c r="N1171" s="14"/>
      <c r="O1171" s="94">
        <v>25</v>
      </c>
      <c r="P1171" s="14" t="s">
        <v>485</v>
      </c>
      <c r="Q1171" s="14" t="s">
        <v>505</v>
      </c>
      <c r="R1171" s="14" t="s">
        <v>1258</v>
      </c>
      <c r="S1171" s="15">
        <v>6.6</v>
      </c>
      <c r="T1171" s="15">
        <v>0.7</v>
      </c>
      <c r="U1171" s="15">
        <v>0</v>
      </c>
      <c r="V1171" s="14">
        <v>1756</v>
      </c>
      <c r="W1171" s="12">
        <v>0</v>
      </c>
      <c r="X1171" s="12">
        <v>0</v>
      </c>
      <c r="Y1171" s="12">
        <v>0</v>
      </c>
      <c r="Z1171" s="12">
        <v>13.8</v>
      </c>
      <c r="AA1171" s="12">
        <v>0</v>
      </c>
      <c r="AB1171" s="13">
        <f t="shared" si="73"/>
        <v>0</v>
      </c>
      <c r="AE1171" s="12">
        <v>0</v>
      </c>
      <c r="AF1171" s="12">
        <v>0</v>
      </c>
      <c r="AG1171" s="12">
        <v>0</v>
      </c>
      <c r="AH1171" s="12">
        <v>13.8</v>
      </c>
      <c r="AI1171" s="12">
        <v>0</v>
      </c>
      <c r="AJ1171" s="13">
        <f t="shared" si="74"/>
        <v>0</v>
      </c>
      <c r="AN1171" s="12">
        <f t="shared" si="75"/>
        <v>24233</v>
      </c>
      <c r="AQ1171" s="8" t="s">
        <v>418</v>
      </c>
      <c r="AR1171" t="str">
        <f t="shared" si="76"/>
        <v>Noroeste - A03</v>
      </c>
    </row>
    <row r="1172" spans="1:44" x14ac:dyDescent="0.2">
      <c r="A1172" s="107" t="s">
        <v>1622</v>
      </c>
      <c r="B1172" s="106" t="s">
        <v>1621</v>
      </c>
      <c r="C1172" s="106" t="s">
        <v>1610</v>
      </c>
      <c r="D1172" s="106" t="s">
        <v>592</v>
      </c>
      <c r="E1172" s="106" t="s">
        <v>1609</v>
      </c>
      <c r="F1172" s="106" t="s">
        <v>590</v>
      </c>
      <c r="G1172" s="106" t="s">
        <v>1620</v>
      </c>
      <c r="H1172" s="105" t="s">
        <v>1619</v>
      </c>
      <c r="I1172" s="105" t="s">
        <v>1618</v>
      </c>
      <c r="J1172" s="104">
        <v>0.36</v>
      </c>
      <c r="K1172" s="103" t="s">
        <v>424</v>
      </c>
      <c r="L1172" s="102" t="s">
        <v>533</v>
      </c>
      <c r="M1172" s="95"/>
      <c r="N1172" s="14"/>
      <c r="O1172" s="94">
        <v>26</v>
      </c>
      <c r="P1172" s="14" t="s">
        <v>586</v>
      </c>
      <c r="Q1172" s="14" t="s">
        <v>505</v>
      </c>
      <c r="R1172" s="14" t="s">
        <v>1258</v>
      </c>
      <c r="S1172" s="15">
        <v>8</v>
      </c>
      <c r="T1172" s="15">
        <v>0</v>
      </c>
      <c r="U1172" s="15">
        <v>0</v>
      </c>
      <c r="V1172" s="14">
        <v>678</v>
      </c>
      <c r="W1172" s="12">
        <v>0</v>
      </c>
      <c r="X1172" s="12">
        <v>0</v>
      </c>
      <c r="Y1172" s="12">
        <v>0.36</v>
      </c>
      <c r="Z1172" s="12">
        <v>0</v>
      </c>
      <c r="AA1172" s="12">
        <v>0</v>
      </c>
      <c r="AB1172" s="13">
        <f t="shared" si="73"/>
        <v>0</v>
      </c>
      <c r="AE1172" s="12">
        <v>0</v>
      </c>
      <c r="AF1172" s="12">
        <v>0</v>
      </c>
      <c r="AG1172" s="12">
        <v>0.36</v>
      </c>
      <c r="AH1172" s="12">
        <v>0</v>
      </c>
      <c r="AI1172" s="12">
        <v>0</v>
      </c>
      <c r="AJ1172" s="13">
        <f t="shared" si="74"/>
        <v>0</v>
      </c>
      <c r="AN1172" s="12">
        <f t="shared" si="75"/>
        <v>245</v>
      </c>
      <c r="AQ1172" s="8" t="s">
        <v>418</v>
      </c>
      <c r="AR1172" t="str">
        <f t="shared" si="76"/>
        <v>Noroeste - A04</v>
      </c>
    </row>
    <row r="1173" spans="1:44" x14ac:dyDescent="0.2">
      <c r="A1173" s="107" t="s">
        <v>1617</v>
      </c>
      <c r="B1173" s="106" t="s">
        <v>1616</v>
      </c>
      <c r="C1173" s="106" t="s">
        <v>1610</v>
      </c>
      <c r="D1173" s="106" t="s">
        <v>513</v>
      </c>
      <c r="E1173" s="106" t="s">
        <v>1615</v>
      </c>
      <c r="F1173" s="106" t="s">
        <v>490</v>
      </c>
      <c r="G1173" s="106" t="s">
        <v>1614</v>
      </c>
      <c r="H1173" s="105" t="s">
        <v>1613</v>
      </c>
      <c r="I1173" s="105" t="s">
        <v>1607</v>
      </c>
      <c r="J1173" s="104">
        <v>12.9</v>
      </c>
      <c r="K1173" s="103" t="s">
        <v>424</v>
      </c>
      <c r="L1173" s="102" t="s">
        <v>533</v>
      </c>
      <c r="M1173" s="95"/>
      <c r="N1173" s="14"/>
      <c r="O1173" s="94">
        <v>26</v>
      </c>
      <c r="P1173" s="14" t="s">
        <v>485</v>
      </c>
      <c r="Q1173" s="14" t="s">
        <v>505</v>
      </c>
      <c r="R1173" s="14" t="s">
        <v>1258</v>
      </c>
      <c r="S1173" s="15">
        <v>6.6</v>
      </c>
      <c r="T1173" s="15">
        <v>0.7</v>
      </c>
      <c r="U1173" s="15">
        <v>0</v>
      </c>
      <c r="V1173" s="14">
        <v>802</v>
      </c>
      <c r="W1173" s="12">
        <v>0</v>
      </c>
      <c r="X1173" s="12">
        <v>0.90000000000000036</v>
      </c>
      <c r="Y1173" s="12">
        <v>1</v>
      </c>
      <c r="Z1173" s="12">
        <v>11</v>
      </c>
      <c r="AA1173" s="12">
        <v>0</v>
      </c>
      <c r="AB1173" s="13">
        <f t="shared" si="73"/>
        <v>0</v>
      </c>
      <c r="AE1173" s="12">
        <v>0</v>
      </c>
      <c r="AF1173" s="12">
        <v>0.90000000000000036</v>
      </c>
      <c r="AG1173" s="12">
        <v>1</v>
      </c>
      <c r="AH1173" s="12">
        <v>11</v>
      </c>
      <c r="AI1173" s="12">
        <v>0</v>
      </c>
      <c r="AJ1173" s="13">
        <f t="shared" si="74"/>
        <v>0</v>
      </c>
      <c r="AN1173" s="12">
        <f t="shared" si="75"/>
        <v>10346</v>
      </c>
      <c r="AQ1173" s="8" t="s">
        <v>418</v>
      </c>
      <c r="AR1173" t="str">
        <f t="shared" si="76"/>
        <v>Noroeste - A04</v>
      </c>
    </row>
    <row r="1174" spans="1:44" x14ac:dyDescent="0.2">
      <c r="A1174" s="107" t="s">
        <v>1612</v>
      </c>
      <c r="B1174" s="106" t="s">
        <v>1611</v>
      </c>
      <c r="C1174" s="106" t="s">
        <v>1610</v>
      </c>
      <c r="D1174" s="106" t="s">
        <v>1324</v>
      </c>
      <c r="E1174" s="106" t="s">
        <v>1609</v>
      </c>
      <c r="F1174" s="106" t="s">
        <v>590</v>
      </c>
      <c r="G1174" s="106" t="s">
        <v>1608</v>
      </c>
      <c r="H1174" s="105" t="s">
        <v>1607</v>
      </c>
      <c r="I1174" s="105" t="s">
        <v>1606</v>
      </c>
      <c r="J1174" s="104">
        <v>1.56</v>
      </c>
      <c r="K1174" s="103" t="s">
        <v>424</v>
      </c>
      <c r="L1174" s="102" t="s">
        <v>533</v>
      </c>
      <c r="M1174" s="95"/>
      <c r="N1174" s="14"/>
      <c r="O1174" s="94">
        <v>26</v>
      </c>
      <c r="P1174" s="14" t="s">
        <v>586</v>
      </c>
      <c r="Q1174" s="14" t="s">
        <v>887</v>
      </c>
      <c r="R1174" s="14" t="s">
        <v>585</v>
      </c>
      <c r="S1174" s="15">
        <v>8</v>
      </c>
      <c r="T1174" s="15">
        <v>0</v>
      </c>
      <c r="U1174" s="15">
        <v>0</v>
      </c>
      <c r="V1174" s="14">
        <v>678</v>
      </c>
      <c r="W1174" s="12">
        <v>0</v>
      </c>
      <c r="X1174" s="12">
        <v>0</v>
      </c>
      <c r="Y1174" s="12">
        <v>0</v>
      </c>
      <c r="Z1174" s="12">
        <v>1.56</v>
      </c>
      <c r="AA1174" s="12">
        <v>0</v>
      </c>
      <c r="AB1174" s="13">
        <f t="shared" si="73"/>
        <v>0</v>
      </c>
      <c r="AE1174" s="12">
        <v>0</v>
      </c>
      <c r="AF1174" s="12">
        <v>0</v>
      </c>
      <c r="AG1174" s="12">
        <v>0</v>
      </c>
      <c r="AH1174" s="12">
        <v>1.56</v>
      </c>
      <c r="AI1174" s="12">
        <v>0</v>
      </c>
      <c r="AJ1174" s="13">
        <f t="shared" si="74"/>
        <v>0</v>
      </c>
      <c r="AN1174" s="12">
        <f t="shared" si="75"/>
        <v>1058</v>
      </c>
      <c r="AQ1174" s="8" t="s">
        <v>418</v>
      </c>
      <c r="AR1174" t="str">
        <f t="shared" si="76"/>
        <v>Noroeste - A04</v>
      </c>
    </row>
    <row r="1175" spans="1:44" x14ac:dyDescent="0.2">
      <c r="A1175" s="107" t="s">
        <v>1605</v>
      </c>
      <c r="B1175" s="106" t="s">
        <v>1604</v>
      </c>
      <c r="C1175" s="106" t="s">
        <v>1584</v>
      </c>
      <c r="D1175" s="106" t="s">
        <v>492</v>
      </c>
      <c r="E1175" s="106" t="s">
        <v>1589</v>
      </c>
      <c r="F1175" s="106" t="s">
        <v>490</v>
      </c>
      <c r="G1175" s="106" t="s">
        <v>1603</v>
      </c>
      <c r="H1175" s="105" t="s">
        <v>1602</v>
      </c>
      <c r="I1175" s="105" t="s">
        <v>1598</v>
      </c>
      <c r="J1175" s="104">
        <v>29.57</v>
      </c>
      <c r="K1175" s="103" t="s">
        <v>424</v>
      </c>
      <c r="L1175" s="102" t="s">
        <v>533</v>
      </c>
      <c r="M1175" s="95"/>
      <c r="N1175" s="14"/>
      <c r="O1175" s="94">
        <v>26</v>
      </c>
      <c r="P1175" s="14" t="s">
        <v>485</v>
      </c>
      <c r="Q1175" s="14" t="s">
        <v>887</v>
      </c>
      <c r="R1175" s="14" t="s">
        <v>585</v>
      </c>
      <c r="S1175" s="15">
        <v>6.8</v>
      </c>
      <c r="T1175" s="15">
        <v>0.7</v>
      </c>
      <c r="U1175" s="15">
        <v>0</v>
      </c>
      <c r="V1175" s="14">
        <v>842</v>
      </c>
      <c r="W1175" s="12">
        <v>0</v>
      </c>
      <c r="X1175" s="12">
        <v>0</v>
      </c>
      <c r="Y1175" s="12">
        <v>6</v>
      </c>
      <c r="Z1175" s="12">
        <v>23.57</v>
      </c>
      <c r="AA1175" s="12">
        <v>0</v>
      </c>
      <c r="AB1175" s="13">
        <f t="shared" si="73"/>
        <v>0</v>
      </c>
      <c r="AE1175" s="12">
        <v>0</v>
      </c>
      <c r="AF1175" s="12">
        <v>0</v>
      </c>
      <c r="AG1175" s="12">
        <v>6</v>
      </c>
      <c r="AH1175" s="12">
        <v>23.57</v>
      </c>
      <c r="AI1175" s="12">
        <v>0</v>
      </c>
      <c r="AJ1175" s="13">
        <f t="shared" si="74"/>
        <v>0</v>
      </c>
      <c r="AN1175" s="12">
        <f t="shared" si="75"/>
        <v>24898</v>
      </c>
      <c r="AQ1175" s="8" t="s">
        <v>418</v>
      </c>
      <c r="AR1175" t="str">
        <f t="shared" si="76"/>
        <v>Noroeste - A04</v>
      </c>
    </row>
    <row r="1176" spans="1:44" x14ac:dyDescent="0.2">
      <c r="A1176" s="107" t="s">
        <v>1601</v>
      </c>
      <c r="B1176" s="106" t="s">
        <v>1600</v>
      </c>
      <c r="C1176" s="106" t="s">
        <v>1584</v>
      </c>
      <c r="D1176" s="106" t="s">
        <v>592</v>
      </c>
      <c r="E1176" s="106" t="s">
        <v>1583</v>
      </c>
      <c r="F1176" s="106" t="s">
        <v>590</v>
      </c>
      <c r="G1176" s="106" t="s">
        <v>1599</v>
      </c>
      <c r="H1176" s="105" t="s">
        <v>1598</v>
      </c>
      <c r="I1176" s="105" t="s">
        <v>1597</v>
      </c>
      <c r="J1176" s="104">
        <v>1</v>
      </c>
      <c r="K1176" s="103" t="s">
        <v>424</v>
      </c>
      <c r="L1176" s="102" t="s">
        <v>533</v>
      </c>
      <c r="M1176" s="95"/>
      <c r="N1176" s="14"/>
      <c r="O1176" s="94">
        <v>26</v>
      </c>
      <c r="P1176" s="14" t="s">
        <v>586</v>
      </c>
      <c r="Q1176" s="14" t="s">
        <v>887</v>
      </c>
      <c r="R1176" s="14" t="s">
        <v>585</v>
      </c>
      <c r="S1176" s="15">
        <v>14</v>
      </c>
      <c r="T1176" s="15">
        <v>0</v>
      </c>
      <c r="U1176" s="15">
        <v>0</v>
      </c>
      <c r="V1176" s="14">
        <v>778</v>
      </c>
      <c r="W1176" s="12">
        <v>0</v>
      </c>
      <c r="X1176" s="12">
        <v>0</v>
      </c>
      <c r="Y1176" s="12">
        <v>0</v>
      </c>
      <c r="Z1176" s="12">
        <v>1</v>
      </c>
      <c r="AA1176" s="12">
        <v>0</v>
      </c>
      <c r="AB1176" s="13">
        <f t="shared" si="73"/>
        <v>0</v>
      </c>
      <c r="AE1176" s="12">
        <v>0</v>
      </c>
      <c r="AF1176" s="12">
        <v>0</v>
      </c>
      <c r="AG1176" s="12">
        <v>0</v>
      </c>
      <c r="AH1176" s="12">
        <v>1</v>
      </c>
      <c r="AI1176" s="12">
        <v>0</v>
      </c>
      <c r="AJ1176" s="13">
        <f t="shared" si="74"/>
        <v>0</v>
      </c>
      <c r="AN1176" s="12">
        <f t="shared" si="75"/>
        <v>778</v>
      </c>
      <c r="AQ1176" s="8" t="s">
        <v>418</v>
      </c>
      <c r="AR1176" t="str">
        <f t="shared" si="76"/>
        <v>Noroeste - A04</v>
      </c>
    </row>
    <row r="1177" spans="1:44" x14ac:dyDescent="0.2">
      <c r="A1177" s="107" t="s">
        <v>1596</v>
      </c>
      <c r="B1177" s="106" t="s">
        <v>1595</v>
      </c>
      <c r="C1177" s="106" t="s">
        <v>1584</v>
      </c>
      <c r="D1177" s="106" t="s">
        <v>1594</v>
      </c>
      <c r="E1177" s="106" t="s">
        <v>1589</v>
      </c>
      <c r="F1177" s="106" t="s">
        <v>490</v>
      </c>
      <c r="G1177" s="106" t="s">
        <v>1593</v>
      </c>
      <c r="H1177" s="105" t="s">
        <v>1592</v>
      </c>
      <c r="I1177" s="105" t="s">
        <v>1587</v>
      </c>
      <c r="J1177" s="104">
        <v>11.43</v>
      </c>
      <c r="K1177" s="103" t="s">
        <v>429</v>
      </c>
      <c r="L1177" s="102" t="s">
        <v>533</v>
      </c>
      <c r="M1177" s="95"/>
      <c r="N1177" s="14"/>
      <c r="O1177" s="94">
        <v>31</v>
      </c>
      <c r="P1177" s="14" t="s">
        <v>485</v>
      </c>
      <c r="Q1177" s="14" t="s">
        <v>887</v>
      </c>
      <c r="R1177" s="14" t="s">
        <v>496</v>
      </c>
      <c r="S1177" s="15">
        <v>6.8</v>
      </c>
      <c r="T1177" s="15">
        <v>0</v>
      </c>
      <c r="U1177" s="15">
        <v>0</v>
      </c>
      <c r="V1177" s="14">
        <v>1450</v>
      </c>
      <c r="W1177" s="12">
        <v>0</v>
      </c>
      <c r="X1177" s="12">
        <v>0</v>
      </c>
      <c r="Y1177" s="12">
        <v>3.4299999999999997</v>
      </c>
      <c r="Z1177" s="12">
        <v>8</v>
      </c>
      <c r="AA1177" s="12">
        <v>0</v>
      </c>
      <c r="AB1177" s="13">
        <f t="shared" si="73"/>
        <v>0</v>
      </c>
      <c r="AE1177" s="12">
        <v>0</v>
      </c>
      <c r="AF1177" s="12">
        <v>0</v>
      </c>
      <c r="AG1177" s="12">
        <v>3.4299999999999997</v>
      </c>
      <c r="AH1177" s="12">
        <v>8</v>
      </c>
      <c r="AI1177" s="12">
        <v>0</v>
      </c>
      <c r="AJ1177" s="13">
        <f t="shared" si="74"/>
        <v>0</v>
      </c>
      <c r="AN1177" s="12">
        <f t="shared" si="75"/>
        <v>16574</v>
      </c>
      <c r="AQ1177" s="8" t="s">
        <v>418</v>
      </c>
      <c r="AR1177" t="str">
        <f t="shared" si="76"/>
        <v>Noroeste - A09</v>
      </c>
    </row>
    <row r="1178" spans="1:44" x14ac:dyDescent="0.2">
      <c r="A1178" s="107" t="s">
        <v>1591</v>
      </c>
      <c r="B1178" s="106" t="s">
        <v>1590</v>
      </c>
      <c r="C1178" s="106" t="s">
        <v>1584</v>
      </c>
      <c r="D1178" s="106" t="s">
        <v>1329</v>
      </c>
      <c r="E1178" s="106" t="s">
        <v>1589</v>
      </c>
      <c r="F1178" s="106" t="s">
        <v>490</v>
      </c>
      <c r="G1178" s="106" t="s">
        <v>1588</v>
      </c>
      <c r="H1178" s="105" t="s">
        <v>1587</v>
      </c>
      <c r="I1178" s="105" t="s">
        <v>1581</v>
      </c>
      <c r="J1178" s="104">
        <v>14.66</v>
      </c>
      <c r="K1178" s="103" t="s">
        <v>429</v>
      </c>
      <c r="L1178" s="102" t="s">
        <v>533</v>
      </c>
      <c r="M1178" s="95"/>
      <c r="N1178" s="14"/>
      <c r="O1178" s="94">
        <v>31</v>
      </c>
      <c r="P1178" s="14" t="s">
        <v>485</v>
      </c>
      <c r="Q1178" s="14" t="s">
        <v>887</v>
      </c>
      <c r="R1178" s="14" t="s">
        <v>496</v>
      </c>
      <c r="S1178" s="15">
        <v>6.8</v>
      </c>
      <c r="T1178" s="15">
        <v>0</v>
      </c>
      <c r="U1178" s="15">
        <v>0</v>
      </c>
      <c r="V1178" s="14">
        <v>1450</v>
      </c>
      <c r="W1178" s="12">
        <v>0</v>
      </c>
      <c r="X1178" s="12">
        <v>0</v>
      </c>
      <c r="Y1178" s="12">
        <v>6</v>
      </c>
      <c r="Z1178" s="12">
        <v>8.66</v>
      </c>
      <c r="AA1178" s="12">
        <v>0</v>
      </c>
      <c r="AB1178" s="13">
        <f t="shared" si="73"/>
        <v>0</v>
      </c>
      <c r="AE1178" s="12">
        <v>0</v>
      </c>
      <c r="AF1178" s="12">
        <v>0</v>
      </c>
      <c r="AG1178" s="12">
        <v>6</v>
      </c>
      <c r="AH1178" s="12">
        <v>8.66</v>
      </c>
      <c r="AI1178" s="12">
        <v>0</v>
      </c>
      <c r="AJ1178" s="13">
        <f t="shared" si="74"/>
        <v>0</v>
      </c>
      <c r="AN1178" s="12">
        <f t="shared" si="75"/>
        <v>21257</v>
      </c>
      <c r="AQ1178" s="8" t="s">
        <v>418</v>
      </c>
      <c r="AR1178" t="str">
        <f t="shared" si="76"/>
        <v>Noroeste - A09</v>
      </c>
    </row>
    <row r="1179" spans="1:44" x14ac:dyDescent="0.2">
      <c r="A1179" s="107" t="s">
        <v>1586</v>
      </c>
      <c r="B1179" s="106" t="s">
        <v>1585</v>
      </c>
      <c r="C1179" s="106" t="s">
        <v>1584</v>
      </c>
      <c r="D1179" s="106" t="s">
        <v>989</v>
      </c>
      <c r="E1179" s="106" t="s">
        <v>1583</v>
      </c>
      <c r="F1179" s="106" t="s">
        <v>590</v>
      </c>
      <c r="G1179" s="106" t="s">
        <v>1582</v>
      </c>
      <c r="H1179" s="105" t="s">
        <v>1581</v>
      </c>
      <c r="I1179" s="105" t="s">
        <v>1580</v>
      </c>
      <c r="J1179" s="104">
        <v>1.81</v>
      </c>
      <c r="K1179" s="103" t="s">
        <v>429</v>
      </c>
      <c r="L1179" s="102" t="s">
        <v>533</v>
      </c>
      <c r="M1179" s="95"/>
      <c r="N1179" s="14"/>
      <c r="O1179" s="94">
        <v>31</v>
      </c>
      <c r="P1179" s="14" t="s">
        <v>586</v>
      </c>
      <c r="Q1179" s="14" t="s">
        <v>887</v>
      </c>
      <c r="R1179" s="14" t="s">
        <v>496</v>
      </c>
      <c r="S1179" s="15">
        <v>14</v>
      </c>
      <c r="T1179" s="15">
        <v>0</v>
      </c>
      <c r="U1179" s="15">
        <v>0</v>
      </c>
      <c r="V1179" s="14">
        <v>760</v>
      </c>
      <c r="W1179" s="12">
        <v>0</v>
      </c>
      <c r="X1179" s="12">
        <v>0</v>
      </c>
      <c r="Y1179" s="12">
        <v>1.81</v>
      </c>
      <c r="Z1179" s="12">
        <v>0</v>
      </c>
      <c r="AA1179" s="12">
        <v>0</v>
      </c>
      <c r="AB1179" s="13">
        <f t="shared" si="73"/>
        <v>0</v>
      </c>
      <c r="AE1179" s="12">
        <v>0</v>
      </c>
      <c r="AF1179" s="12">
        <v>0</v>
      </c>
      <c r="AG1179" s="12">
        <v>1.81</v>
      </c>
      <c r="AH1179" s="12">
        <v>0</v>
      </c>
      <c r="AI1179" s="12">
        <v>0</v>
      </c>
      <c r="AJ1179" s="13">
        <f t="shared" si="74"/>
        <v>0</v>
      </c>
      <c r="AN1179" s="12">
        <f t="shared" si="75"/>
        <v>1376</v>
      </c>
      <c r="AQ1179" s="8" t="s">
        <v>418</v>
      </c>
      <c r="AR1179" t="str">
        <f t="shared" si="76"/>
        <v>Noroeste - A09</v>
      </c>
    </row>
    <row r="1180" spans="1:44" x14ac:dyDescent="0.2">
      <c r="A1180" s="107" t="s">
        <v>1579</v>
      </c>
      <c r="B1180" s="106" t="s">
        <v>1578</v>
      </c>
      <c r="C1180" s="106" t="s">
        <v>1554</v>
      </c>
      <c r="D1180" s="106" t="s">
        <v>492</v>
      </c>
      <c r="E1180" s="106" t="s">
        <v>1553</v>
      </c>
      <c r="F1180" s="106" t="s">
        <v>490</v>
      </c>
      <c r="G1180" s="106" t="s">
        <v>1577</v>
      </c>
      <c r="H1180" s="105" t="s">
        <v>1576</v>
      </c>
      <c r="I1180" s="105" t="s">
        <v>1575</v>
      </c>
      <c r="J1180" s="104">
        <v>3.13</v>
      </c>
      <c r="K1180" s="103" t="s">
        <v>425</v>
      </c>
      <c r="L1180" s="102" t="s">
        <v>533</v>
      </c>
      <c r="M1180" s="95"/>
      <c r="N1180" s="14"/>
      <c r="O1180" s="94">
        <v>27</v>
      </c>
      <c r="P1180" s="14" t="s">
        <v>485</v>
      </c>
      <c r="Q1180" s="14" t="s">
        <v>497</v>
      </c>
      <c r="R1180" s="14" t="s">
        <v>496</v>
      </c>
      <c r="S1180" s="15">
        <v>7</v>
      </c>
      <c r="T1180" s="15">
        <v>1</v>
      </c>
      <c r="U1180" s="15">
        <v>0</v>
      </c>
      <c r="V1180" s="14">
        <v>2224</v>
      </c>
      <c r="W1180" s="12">
        <v>0</v>
      </c>
      <c r="X1180" s="12">
        <v>0</v>
      </c>
      <c r="Y1180" s="12">
        <v>1.1299999999999999</v>
      </c>
      <c r="Z1180" s="12">
        <v>2</v>
      </c>
      <c r="AA1180" s="12">
        <v>0</v>
      </c>
      <c r="AB1180" s="13">
        <f t="shared" si="73"/>
        <v>0</v>
      </c>
      <c r="AE1180" s="12">
        <v>0</v>
      </c>
      <c r="AF1180" s="12">
        <v>0</v>
      </c>
      <c r="AG1180" s="12">
        <v>1.1299999999999999</v>
      </c>
      <c r="AH1180" s="12">
        <v>2</v>
      </c>
      <c r="AI1180" s="12">
        <v>0</v>
      </c>
      <c r="AJ1180" s="13">
        <f t="shared" si="74"/>
        <v>0</v>
      </c>
      <c r="AN1180" s="12">
        <f t="shared" si="75"/>
        <v>6962</v>
      </c>
      <c r="AQ1180" s="8" t="s">
        <v>418</v>
      </c>
      <c r="AR1180" t="str">
        <f t="shared" si="76"/>
        <v>Noroeste - A05</v>
      </c>
    </row>
    <row r="1181" spans="1:44" x14ac:dyDescent="0.2">
      <c r="A1181" s="107" t="s">
        <v>1574</v>
      </c>
      <c r="B1181" s="106" t="s">
        <v>1573</v>
      </c>
      <c r="C1181" s="106" t="s">
        <v>1554</v>
      </c>
      <c r="D1181" s="106" t="s">
        <v>519</v>
      </c>
      <c r="E1181" s="106" t="s">
        <v>1553</v>
      </c>
      <c r="F1181" s="106" t="s">
        <v>490</v>
      </c>
      <c r="G1181" s="106" t="s">
        <v>1572</v>
      </c>
      <c r="H1181" s="105" t="s">
        <v>1571</v>
      </c>
      <c r="I1181" s="105" t="s">
        <v>1567</v>
      </c>
      <c r="J1181" s="104">
        <v>10.99</v>
      </c>
      <c r="K1181" s="103" t="s">
        <v>425</v>
      </c>
      <c r="L1181" s="102" t="s">
        <v>533</v>
      </c>
      <c r="M1181" s="95"/>
      <c r="N1181" s="14"/>
      <c r="O1181" s="94">
        <v>27</v>
      </c>
      <c r="P1181" s="14" t="s">
        <v>485</v>
      </c>
      <c r="Q1181" s="14" t="s">
        <v>561</v>
      </c>
      <c r="R1181" s="14" t="s">
        <v>496</v>
      </c>
      <c r="S1181" s="15">
        <v>7</v>
      </c>
      <c r="T1181" s="15">
        <v>1</v>
      </c>
      <c r="U1181" s="15">
        <v>0</v>
      </c>
      <c r="V1181" s="14">
        <v>880</v>
      </c>
      <c r="W1181" s="12">
        <v>0</v>
      </c>
      <c r="X1181" s="12">
        <v>0</v>
      </c>
      <c r="Y1181" s="12">
        <v>0</v>
      </c>
      <c r="Z1181" s="12">
        <v>10.99</v>
      </c>
      <c r="AA1181" s="12">
        <v>0</v>
      </c>
      <c r="AB1181" s="13">
        <f t="shared" si="73"/>
        <v>0</v>
      </c>
      <c r="AE1181" s="12">
        <v>0</v>
      </c>
      <c r="AF1181" s="12">
        <v>0</v>
      </c>
      <c r="AG1181" s="12">
        <v>0</v>
      </c>
      <c r="AH1181" s="12">
        <v>10.99</v>
      </c>
      <c r="AI1181" s="12">
        <v>0</v>
      </c>
      <c r="AJ1181" s="13">
        <f t="shared" si="74"/>
        <v>0</v>
      </c>
      <c r="AN1181" s="12">
        <f t="shared" si="75"/>
        <v>9672</v>
      </c>
      <c r="AQ1181" s="8" t="s">
        <v>418</v>
      </c>
      <c r="AR1181" t="str">
        <f t="shared" si="76"/>
        <v>Noroeste - A05</v>
      </c>
    </row>
    <row r="1182" spans="1:44" x14ac:dyDescent="0.2">
      <c r="A1182" s="107" t="s">
        <v>1570</v>
      </c>
      <c r="B1182" s="106" t="s">
        <v>1569</v>
      </c>
      <c r="C1182" s="106" t="s">
        <v>1554</v>
      </c>
      <c r="D1182" s="106" t="s">
        <v>1032</v>
      </c>
      <c r="E1182" s="106" t="s">
        <v>1553</v>
      </c>
      <c r="F1182" s="106" t="s">
        <v>490</v>
      </c>
      <c r="G1182" s="106" t="s">
        <v>1568</v>
      </c>
      <c r="H1182" s="105" t="s">
        <v>1567</v>
      </c>
      <c r="I1182" s="105" t="s">
        <v>1566</v>
      </c>
      <c r="J1182" s="104">
        <v>4.92</v>
      </c>
      <c r="K1182" s="103" t="s">
        <v>425</v>
      </c>
      <c r="L1182" s="102" t="s">
        <v>533</v>
      </c>
      <c r="M1182" s="95"/>
      <c r="N1182" s="14"/>
      <c r="O1182" s="94">
        <v>27</v>
      </c>
      <c r="P1182" s="14" t="s">
        <v>485</v>
      </c>
      <c r="Q1182" s="14" t="s">
        <v>561</v>
      </c>
      <c r="R1182" s="14" t="s">
        <v>496</v>
      </c>
      <c r="S1182" s="15">
        <v>7</v>
      </c>
      <c r="T1182" s="15">
        <v>1</v>
      </c>
      <c r="U1182" s="15">
        <v>0</v>
      </c>
      <c r="V1182" s="14">
        <v>880</v>
      </c>
      <c r="W1182" s="12">
        <v>0</v>
      </c>
      <c r="X1182" s="12">
        <v>0</v>
      </c>
      <c r="Y1182" s="12">
        <v>1.92</v>
      </c>
      <c r="Z1182" s="12">
        <v>3</v>
      </c>
      <c r="AA1182" s="12">
        <v>0</v>
      </c>
      <c r="AB1182" s="13">
        <f t="shared" si="73"/>
        <v>0</v>
      </c>
      <c r="AE1182" s="12">
        <v>0</v>
      </c>
      <c r="AF1182" s="12">
        <v>0</v>
      </c>
      <c r="AG1182" s="12">
        <v>1.92</v>
      </c>
      <c r="AH1182" s="12">
        <v>3</v>
      </c>
      <c r="AI1182" s="12">
        <v>0</v>
      </c>
      <c r="AJ1182" s="13">
        <f t="shared" si="74"/>
        <v>0</v>
      </c>
      <c r="AN1182" s="12">
        <f t="shared" si="75"/>
        <v>4330</v>
      </c>
      <c r="AQ1182" s="8" t="s">
        <v>418</v>
      </c>
      <c r="AR1182" t="str">
        <f t="shared" si="76"/>
        <v>Noroeste - A05</v>
      </c>
    </row>
    <row r="1183" spans="1:44" x14ac:dyDescent="0.2">
      <c r="A1183" s="107" t="s">
        <v>1565</v>
      </c>
      <c r="B1183" s="106" t="s">
        <v>1564</v>
      </c>
      <c r="C1183" s="106" t="s">
        <v>1554</v>
      </c>
      <c r="D1183" s="106" t="s">
        <v>1319</v>
      </c>
      <c r="E1183" s="106" t="s">
        <v>1553</v>
      </c>
      <c r="F1183" s="106" t="s">
        <v>490</v>
      </c>
      <c r="G1183" s="106" t="s">
        <v>1563</v>
      </c>
      <c r="H1183" s="105" t="s">
        <v>1562</v>
      </c>
      <c r="I1183" s="105" t="s">
        <v>1557</v>
      </c>
      <c r="J1183" s="104">
        <v>11.78</v>
      </c>
      <c r="K1183" s="103" t="s">
        <v>422</v>
      </c>
      <c r="L1183" s="102" t="s">
        <v>533</v>
      </c>
      <c r="M1183" s="95"/>
      <c r="N1183" s="14"/>
      <c r="O1183" s="94">
        <v>24</v>
      </c>
      <c r="P1183" s="14" t="s">
        <v>485</v>
      </c>
      <c r="Q1183" s="14" t="s">
        <v>887</v>
      </c>
      <c r="R1183" s="14" t="s">
        <v>496</v>
      </c>
      <c r="S1183" s="15">
        <v>7.3</v>
      </c>
      <c r="T1183" s="15">
        <v>0.4</v>
      </c>
      <c r="U1183" s="15">
        <v>0</v>
      </c>
      <c r="V1183" s="14">
        <v>672</v>
      </c>
      <c r="W1183" s="12">
        <v>0</v>
      </c>
      <c r="X1183" s="12">
        <v>0</v>
      </c>
      <c r="Y1183" s="12">
        <v>5</v>
      </c>
      <c r="Z1183" s="12">
        <v>6.7799999999999994</v>
      </c>
      <c r="AA1183" s="12">
        <v>0</v>
      </c>
      <c r="AB1183" s="13">
        <f t="shared" si="73"/>
        <v>0</v>
      </c>
      <c r="AE1183" s="12">
        <v>0</v>
      </c>
      <c r="AF1183" s="12">
        <v>0</v>
      </c>
      <c r="AG1183" s="12">
        <v>5</v>
      </c>
      <c r="AH1183" s="12">
        <v>6.7799999999999994</v>
      </c>
      <c r="AI1183" s="12">
        <v>0</v>
      </c>
      <c r="AJ1183" s="13">
        <f t="shared" si="74"/>
        <v>0</v>
      </c>
      <c r="AN1183" s="12">
        <f t="shared" si="75"/>
        <v>7917</v>
      </c>
      <c r="AQ1183" s="8" t="s">
        <v>418</v>
      </c>
      <c r="AR1183" t="str">
        <f t="shared" si="76"/>
        <v>Noroeste - A02</v>
      </c>
    </row>
    <row r="1184" spans="1:44" x14ac:dyDescent="0.2">
      <c r="A1184" s="107" t="s">
        <v>1561</v>
      </c>
      <c r="B1184" s="106" t="s">
        <v>1560</v>
      </c>
      <c r="C1184" s="106" t="s">
        <v>1554</v>
      </c>
      <c r="D1184" s="106" t="s">
        <v>1314</v>
      </c>
      <c r="E1184" s="106" t="s">
        <v>1559</v>
      </c>
      <c r="F1184" s="106" t="s">
        <v>590</v>
      </c>
      <c r="G1184" s="106" t="s">
        <v>1558</v>
      </c>
      <c r="H1184" s="105" t="s">
        <v>1557</v>
      </c>
      <c r="I1184" s="105" t="s">
        <v>1551</v>
      </c>
      <c r="J1184" s="104">
        <v>1.08</v>
      </c>
      <c r="K1184" s="103" t="s">
        <v>422</v>
      </c>
      <c r="L1184" s="102" t="s">
        <v>533</v>
      </c>
      <c r="M1184" s="95"/>
      <c r="N1184" s="14"/>
      <c r="O1184" s="94">
        <v>24</v>
      </c>
      <c r="P1184" s="14" t="s">
        <v>586</v>
      </c>
      <c r="Q1184" s="14" t="s">
        <v>887</v>
      </c>
      <c r="R1184" s="14" t="s">
        <v>496</v>
      </c>
      <c r="S1184" s="15">
        <v>13.6</v>
      </c>
      <c r="T1184" s="15">
        <v>0.3</v>
      </c>
      <c r="U1184" s="15">
        <v>0</v>
      </c>
      <c r="V1184" s="14">
        <v>823</v>
      </c>
      <c r="W1184" s="12">
        <v>0</v>
      </c>
      <c r="X1184" s="12">
        <v>0</v>
      </c>
      <c r="Y1184" s="12">
        <v>1.08</v>
      </c>
      <c r="Z1184" s="12">
        <v>0</v>
      </c>
      <c r="AA1184" s="12">
        <v>0</v>
      </c>
      <c r="AB1184" s="13">
        <f t="shared" si="73"/>
        <v>0</v>
      </c>
      <c r="AE1184" s="12">
        <v>0</v>
      </c>
      <c r="AF1184" s="12">
        <v>0</v>
      </c>
      <c r="AG1184" s="12">
        <v>1.08</v>
      </c>
      <c r="AH1184" s="12">
        <v>0</v>
      </c>
      <c r="AI1184" s="12">
        <v>0</v>
      </c>
      <c r="AJ1184" s="13">
        <f t="shared" si="74"/>
        <v>0</v>
      </c>
      <c r="AN1184" s="12">
        <f t="shared" si="75"/>
        <v>889</v>
      </c>
      <c r="AQ1184" s="8" t="s">
        <v>418</v>
      </c>
      <c r="AR1184" t="str">
        <f t="shared" si="76"/>
        <v>Noroeste - A02</v>
      </c>
    </row>
    <row r="1185" spans="1:44" x14ac:dyDescent="0.2">
      <c r="A1185" s="107" t="s">
        <v>1556</v>
      </c>
      <c r="B1185" s="106" t="s">
        <v>1555</v>
      </c>
      <c r="C1185" s="106" t="s">
        <v>1554</v>
      </c>
      <c r="D1185" s="106" t="s">
        <v>1304</v>
      </c>
      <c r="E1185" s="106" t="s">
        <v>1553</v>
      </c>
      <c r="F1185" s="106" t="s">
        <v>490</v>
      </c>
      <c r="G1185" s="106" t="s">
        <v>1552</v>
      </c>
      <c r="H1185" s="105" t="s">
        <v>1551</v>
      </c>
      <c r="I1185" s="105" t="s">
        <v>1550</v>
      </c>
      <c r="J1185" s="104">
        <v>7.99</v>
      </c>
      <c r="K1185" s="103" t="s">
        <v>422</v>
      </c>
      <c r="L1185" s="102" t="s">
        <v>533</v>
      </c>
      <c r="M1185" s="95"/>
      <c r="N1185" s="14"/>
      <c r="O1185" s="94">
        <v>24</v>
      </c>
      <c r="P1185" s="14" t="s">
        <v>485</v>
      </c>
      <c r="Q1185" s="14" t="s">
        <v>887</v>
      </c>
      <c r="R1185" s="14" t="s">
        <v>496</v>
      </c>
      <c r="S1185" s="15">
        <v>7.3</v>
      </c>
      <c r="T1185" s="15">
        <v>0.4</v>
      </c>
      <c r="U1185" s="15">
        <v>0</v>
      </c>
      <c r="V1185" s="14">
        <v>672</v>
      </c>
      <c r="W1185" s="12">
        <v>0</v>
      </c>
      <c r="X1185" s="12">
        <v>1</v>
      </c>
      <c r="Y1185" s="12">
        <v>2</v>
      </c>
      <c r="Z1185" s="12">
        <v>4.99</v>
      </c>
      <c r="AA1185" s="12">
        <v>0</v>
      </c>
      <c r="AB1185" s="13">
        <f t="shared" si="73"/>
        <v>0</v>
      </c>
      <c r="AE1185" s="12">
        <v>0</v>
      </c>
      <c r="AF1185" s="12">
        <v>1</v>
      </c>
      <c r="AG1185" s="12">
        <v>2</v>
      </c>
      <c r="AH1185" s="12">
        <v>4.99</v>
      </c>
      <c r="AI1185" s="12">
        <v>0</v>
      </c>
      <c r="AJ1185" s="13">
        <f t="shared" si="74"/>
        <v>0</v>
      </c>
      <c r="AN1185" s="12">
        <f t="shared" si="75"/>
        <v>5370</v>
      </c>
      <c r="AQ1185" s="8" t="s">
        <v>418</v>
      </c>
      <c r="AR1185" t="str">
        <f t="shared" si="76"/>
        <v>Noroeste - A02</v>
      </c>
    </row>
    <row r="1186" spans="1:44" x14ac:dyDescent="0.2">
      <c r="A1186" s="107" t="s">
        <v>1549</v>
      </c>
      <c r="B1186" s="106" t="s">
        <v>1548</v>
      </c>
      <c r="C1186" s="106" t="s">
        <v>1534</v>
      </c>
      <c r="D1186" s="106" t="s">
        <v>492</v>
      </c>
      <c r="E1186" s="106" t="s">
        <v>1533</v>
      </c>
      <c r="F1186" s="106" t="s">
        <v>490</v>
      </c>
      <c r="G1186" s="106" t="s">
        <v>1547</v>
      </c>
      <c r="H1186" s="105" t="s">
        <v>1546</v>
      </c>
      <c r="I1186" s="105" t="s">
        <v>1542</v>
      </c>
      <c r="J1186" s="104">
        <v>6.83</v>
      </c>
      <c r="K1186" s="103" t="s">
        <v>427</v>
      </c>
      <c r="L1186" s="102" t="s">
        <v>533</v>
      </c>
      <c r="M1186" s="95"/>
      <c r="N1186" s="14"/>
      <c r="O1186" s="94">
        <v>29</v>
      </c>
      <c r="P1186" s="14" t="s">
        <v>485</v>
      </c>
      <c r="Q1186" s="14" t="s">
        <v>505</v>
      </c>
      <c r="R1186" s="14" t="s">
        <v>496</v>
      </c>
      <c r="S1186" s="15">
        <v>7.5</v>
      </c>
      <c r="T1186" s="15">
        <v>1.3</v>
      </c>
      <c r="U1186" s="15">
        <v>0</v>
      </c>
      <c r="V1186" s="14">
        <v>2724</v>
      </c>
      <c r="W1186" s="12">
        <v>0</v>
      </c>
      <c r="X1186" s="12">
        <v>0</v>
      </c>
      <c r="Y1186" s="12">
        <v>0</v>
      </c>
      <c r="Z1186" s="12">
        <v>6.83</v>
      </c>
      <c r="AA1186" s="12">
        <v>0</v>
      </c>
      <c r="AB1186" s="13">
        <f t="shared" si="73"/>
        <v>0</v>
      </c>
      <c r="AE1186" s="12">
        <v>0</v>
      </c>
      <c r="AF1186" s="12">
        <v>0</v>
      </c>
      <c r="AG1186" s="12">
        <v>0</v>
      </c>
      <c r="AH1186" s="12">
        <v>6.83</v>
      </c>
      <c r="AI1186" s="12">
        <v>0</v>
      </c>
      <c r="AJ1186" s="13">
        <f t="shared" si="74"/>
        <v>0</v>
      </c>
      <c r="AN1186" s="12">
        <f t="shared" si="75"/>
        <v>18605</v>
      </c>
      <c r="AQ1186" s="8" t="s">
        <v>418</v>
      </c>
      <c r="AR1186" t="str">
        <f t="shared" si="76"/>
        <v>Noroeste - A07</v>
      </c>
    </row>
    <row r="1187" spans="1:44" x14ac:dyDescent="0.2">
      <c r="A1187" s="107" t="s">
        <v>1545</v>
      </c>
      <c r="B1187" s="106" t="s">
        <v>1544</v>
      </c>
      <c r="C1187" s="106" t="s">
        <v>1534</v>
      </c>
      <c r="D1187" s="106" t="s">
        <v>519</v>
      </c>
      <c r="E1187" s="106" t="s">
        <v>1533</v>
      </c>
      <c r="F1187" s="106" t="s">
        <v>490</v>
      </c>
      <c r="G1187" s="106" t="s">
        <v>1543</v>
      </c>
      <c r="H1187" s="105" t="s">
        <v>1542</v>
      </c>
      <c r="I1187" s="105" t="s">
        <v>1537</v>
      </c>
      <c r="J1187" s="104">
        <v>10.38</v>
      </c>
      <c r="K1187" s="103" t="s">
        <v>427</v>
      </c>
      <c r="L1187" s="102" t="s">
        <v>533</v>
      </c>
      <c r="M1187" s="95"/>
      <c r="N1187" s="14"/>
      <c r="O1187" s="94">
        <v>29</v>
      </c>
      <c r="P1187" s="14" t="s">
        <v>485</v>
      </c>
      <c r="Q1187" s="14" t="s">
        <v>505</v>
      </c>
      <c r="R1187" s="14" t="s">
        <v>496</v>
      </c>
      <c r="S1187" s="15">
        <v>7.5</v>
      </c>
      <c r="T1187" s="15">
        <v>1.3</v>
      </c>
      <c r="U1187" s="15">
        <v>0</v>
      </c>
      <c r="V1187" s="14">
        <v>2724</v>
      </c>
      <c r="W1187" s="12">
        <v>0</v>
      </c>
      <c r="X1187" s="12">
        <v>0</v>
      </c>
      <c r="Y1187" s="12">
        <v>0</v>
      </c>
      <c r="Z1187" s="12">
        <v>10.38</v>
      </c>
      <c r="AA1187" s="12">
        <v>0</v>
      </c>
      <c r="AB1187" s="13">
        <f t="shared" si="73"/>
        <v>0</v>
      </c>
      <c r="AE1187" s="12">
        <v>0</v>
      </c>
      <c r="AF1187" s="12">
        <v>0</v>
      </c>
      <c r="AG1187" s="12">
        <v>0</v>
      </c>
      <c r="AH1187" s="12">
        <v>10.38</v>
      </c>
      <c r="AI1187" s="12">
        <v>0</v>
      </c>
      <c r="AJ1187" s="13">
        <f t="shared" si="74"/>
        <v>0</v>
      </c>
      <c r="AN1187" s="12">
        <f t="shared" si="75"/>
        <v>28276</v>
      </c>
      <c r="AQ1187" s="8" t="s">
        <v>418</v>
      </c>
      <c r="AR1187" t="str">
        <f t="shared" si="76"/>
        <v>Noroeste - A07</v>
      </c>
    </row>
    <row r="1188" spans="1:44" x14ac:dyDescent="0.2">
      <c r="A1188" s="107" t="s">
        <v>1541</v>
      </c>
      <c r="B1188" s="106" t="s">
        <v>1540</v>
      </c>
      <c r="C1188" s="106" t="s">
        <v>1534</v>
      </c>
      <c r="D1188" s="106" t="s">
        <v>1032</v>
      </c>
      <c r="E1188" s="106" t="s">
        <v>1539</v>
      </c>
      <c r="F1188" s="106" t="s">
        <v>590</v>
      </c>
      <c r="G1188" s="106" t="s">
        <v>1538</v>
      </c>
      <c r="H1188" s="105" t="s">
        <v>1537</v>
      </c>
      <c r="I1188" s="105" t="s">
        <v>1531</v>
      </c>
      <c r="J1188" s="104">
        <v>2.15</v>
      </c>
      <c r="K1188" s="103" t="s">
        <v>427</v>
      </c>
      <c r="L1188" s="102" t="s">
        <v>533</v>
      </c>
      <c r="M1188" s="95"/>
      <c r="N1188" s="14"/>
      <c r="O1188" s="94">
        <v>29</v>
      </c>
      <c r="P1188" s="14" t="s">
        <v>586</v>
      </c>
      <c r="Q1188" s="14" t="s">
        <v>505</v>
      </c>
      <c r="R1188" s="14" t="s">
        <v>496</v>
      </c>
      <c r="S1188" s="15">
        <v>14.5</v>
      </c>
      <c r="T1188" s="15">
        <v>1.3</v>
      </c>
      <c r="U1188" s="15">
        <v>0</v>
      </c>
      <c r="V1188" s="14">
        <v>1490</v>
      </c>
      <c r="W1188" s="12">
        <v>0</v>
      </c>
      <c r="X1188" s="12">
        <v>0</v>
      </c>
      <c r="Y1188" s="12">
        <v>0</v>
      </c>
      <c r="Z1188" s="12">
        <v>2.5499999999999998</v>
      </c>
      <c r="AA1188" s="12">
        <v>0</v>
      </c>
      <c r="AB1188" s="13">
        <f t="shared" si="73"/>
        <v>0.39999999999999991</v>
      </c>
      <c r="AE1188" s="12">
        <f>IF(W1188=0,0,W1188-$AB1188)</f>
        <v>0</v>
      </c>
      <c r="AF1188" s="12">
        <f>IF(X1188=0,0,X1188-$AB1188)</f>
        <v>0</v>
      </c>
      <c r="AG1188" s="12">
        <f>IF(Y1188=0,0,Y1188-$AB1188)</f>
        <v>0</v>
      </c>
      <c r="AH1188" s="12">
        <f>IF(Z1188=0,0,Z1188-$AB1188)</f>
        <v>2.15</v>
      </c>
      <c r="AI1188" s="12">
        <f>IF(AA1188=0,0,AA1188-$AB1188)</f>
        <v>0</v>
      </c>
      <c r="AJ1188" s="13">
        <f t="shared" si="74"/>
        <v>0</v>
      </c>
      <c r="AN1188" s="12">
        <f t="shared" si="75"/>
        <v>3204</v>
      </c>
      <c r="AQ1188" s="8" t="s">
        <v>418</v>
      </c>
      <c r="AR1188" t="str">
        <f t="shared" si="76"/>
        <v>Noroeste - A07</v>
      </c>
    </row>
    <row r="1189" spans="1:44" x14ac:dyDescent="0.2">
      <c r="A1189" s="107" t="s">
        <v>1536</v>
      </c>
      <c r="B1189" s="106" t="s">
        <v>1535</v>
      </c>
      <c r="C1189" s="106" t="s">
        <v>1534</v>
      </c>
      <c r="D1189" s="106" t="s">
        <v>513</v>
      </c>
      <c r="E1189" s="106" t="s">
        <v>1533</v>
      </c>
      <c r="F1189" s="106" t="s">
        <v>490</v>
      </c>
      <c r="G1189" s="106" t="s">
        <v>1532</v>
      </c>
      <c r="H1189" s="105" t="s">
        <v>1531</v>
      </c>
      <c r="I1189" s="105" t="s">
        <v>1530</v>
      </c>
      <c r="J1189" s="104">
        <v>17.21</v>
      </c>
      <c r="K1189" s="103" t="s">
        <v>427</v>
      </c>
      <c r="L1189" s="102" t="s">
        <v>533</v>
      </c>
      <c r="M1189" s="95"/>
      <c r="N1189" s="14"/>
      <c r="O1189" s="94">
        <v>29</v>
      </c>
      <c r="P1189" s="14" t="s">
        <v>485</v>
      </c>
      <c r="Q1189" s="14" t="s">
        <v>505</v>
      </c>
      <c r="R1189" s="14" t="s">
        <v>496</v>
      </c>
      <c r="S1189" s="15">
        <v>6.6</v>
      </c>
      <c r="T1189" s="15">
        <v>0</v>
      </c>
      <c r="U1189" s="15">
        <v>0</v>
      </c>
      <c r="V1189" s="14">
        <v>330</v>
      </c>
      <c r="W1189" s="12">
        <v>0</v>
      </c>
      <c r="X1189" s="12">
        <v>1</v>
      </c>
      <c r="Y1189" s="12">
        <v>6</v>
      </c>
      <c r="Z1189" s="12">
        <v>10.210000000000001</v>
      </c>
      <c r="AA1189" s="12">
        <v>0</v>
      </c>
      <c r="AB1189" s="13">
        <f t="shared" si="73"/>
        <v>0</v>
      </c>
      <c r="AE1189" s="12">
        <v>0</v>
      </c>
      <c r="AF1189" s="12">
        <v>1</v>
      </c>
      <c r="AG1189" s="12">
        <v>6</v>
      </c>
      <c r="AH1189" s="12">
        <v>10.210000000000001</v>
      </c>
      <c r="AI1189" s="12">
        <v>0</v>
      </c>
      <c r="AJ1189" s="13">
        <f t="shared" si="74"/>
        <v>0</v>
      </c>
      <c r="AN1189" s="12">
        <f t="shared" si="75"/>
        <v>5680</v>
      </c>
      <c r="AQ1189" s="8" t="s">
        <v>418</v>
      </c>
      <c r="AR1189" t="str">
        <f t="shared" si="76"/>
        <v>Noroeste - A07</v>
      </c>
    </row>
    <row r="1190" spans="1:44" x14ac:dyDescent="0.2">
      <c r="A1190" s="107" t="s">
        <v>1529</v>
      </c>
      <c r="B1190" s="106" t="s">
        <v>1528</v>
      </c>
      <c r="C1190" s="106" t="s">
        <v>1527</v>
      </c>
      <c r="D1190" s="106" t="s">
        <v>492</v>
      </c>
      <c r="E1190" s="106" t="s">
        <v>1526</v>
      </c>
      <c r="F1190" s="106" t="s">
        <v>490</v>
      </c>
      <c r="G1190" s="106" t="s">
        <v>1525</v>
      </c>
      <c r="H1190" s="105" t="s">
        <v>1524</v>
      </c>
      <c r="I1190" s="105" t="s">
        <v>1523</v>
      </c>
      <c r="J1190" s="104">
        <v>12.61</v>
      </c>
      <c r="K1190" s="103" t="s">
        <v>427</v>
      </c>
      <c r="L1190" s="102" t="s">
        <v>577</v>
      </c>
      <c r="M1190" s="95"/>
      <c r="N1190" s="14"/>
      <c r="O1190" s="94">
        <v>12</v>
      </c>
      <c r="P1190" s="14" t="s">
        <v>485</v>
      </c>
      <c r="Q1190" s="14" t="s">
        <v>497</v>
      </c>
      <c r="R1190" s="14" t="s">
        <v>496</v>
      </c>
      <c r="S1190" s="15">
        <v>7</v>
      </c>
      <c r="T1190" s="15">
        <v>0</v>
      </c>
      <c r="U1190" s="15">
        <v>0</v>
      </c>
      <c r="V1190" s="14">
        <v>411</v>
      </c>
      <c r="W1190" s="12">
        <v>0</v>
      </c>
      <c r="X1190" s="12">
        <v>0</v>
      </c>
      <c r="Y1190" s="12">
        <v>8.61</v>
      </c>
      <c r="Z1190" s="12">
        <v>4</v>
      </c>
      <c r="AA1190" s="12">
        <v>0</v>
      </c>
      <c r="AB1190" s="13">
        <f t="shared" si="73"/>
        <v>0</v>
      </c>
      <c r="AE1190" s="12">
        <v>0</v>
      </c>
      <c r="AF1190" s="12">
        <v>0</v>
      </c>
      <c r="AG1190" s="12">
        <v>8.61</v>
      </c>
      <c r="AH1190" s="12">
        <v>4</v>
      </c>
      <c r="AI1190" s="12">
        <v>0</v>
      </c>
      <c r="AJ1190" s="13">
        <f t="shared" si="74"/>
        <v>0</v>
      </c>
      <c r="AN1190" s="12">
        <f t="shared" si="75"/>
        <v>5183</v>
      </c>
      <c r="AQ1190" s="8" t="s">
        <v>420</v>
      </c>
      <c r="AR1190" t="str">
        <f t="shared" si="76"/>
        <v>Campos Gerais - A07</v>
      </c>
    </row>
    <row r="1191" spans="1:44" x14ac:dyDescent="0.2">
      <c r="A1191" s="107" t="s">
        <v>1522</v>
      </c>
      <c r="B1191" s="106" t="s">
        <v>1521</v>
      </c>
      <c r="C1191" s="106" t="s">
        <v>1520</v>
      </c>
      <c r="D1191" s="106" t="s">
        <v>513</v>
      </c>
      <c r="E1191" s="106" t="s">
        <v>1519</v>
      </c>
      <c r="F1191" s="106" t="s">
        <v>490</v>
      </c>
      <c r="G1191" s="106" t="s">
        <v>1518</v>
      </c>
      <c r="H1191" s="105" t="s">
        <v>1517</v>
      </c>
      <c r="I1191" s="105" t="s">
        <v>1516</v>
      </c>
      <c r="J1191" s="104">
        <v>14.41</v>
      </c>
      <c r="K1191" s="103" t="s">
        <v>427</v>
      </c>
      <c r="L1191" s="102" t="s">
        <v>533</v>
      </c>
      <c r="M1191" s="95"/>
      <c r="N1191" s="14"/>
      <c r="O1191" s="94">
        <v>29</v>
      </c>
      <c r="P1191" s="14" t="s">
        <v>485</v>
      </c>
      <c r="Q1191" s="14" t="s">
        <v>887</v>
      </c>
      <c r="R1191" s="14" t="s">
        <v>585</v>
      </c>
      <c r="S1191" s="15">
        <v>6.8</v>
      </c>
      <c r="T1191" s="15">
        <v>0</v>
      </c>
      <c r="U1191" s="15">
        <v>0</v>
      </c>
      <c r="V1191" s="14">
        <v>950</v>
      </c>
      <c r="W1191" s="12">
        <v>0</v>
      </c>
      <c r="X1191" s="12">
        <v>0</v>
      </c>
      <c r="Y1191" s="12">
        <v>8</v>
      </c>
      <c r="Z1191" s="12">
        <v>6.41</v>
      </c>
      <c r="AA1191" s="12">
        <v>0</v>
      </c>
      <c r="AB1191" s="13">
        <f t="shared" si="73"/>
        <v>0</v>
      </c>
      <c r="AE1191" s="12">
        <v>0</v>
      </c>
      <c r="AF1191" s="12">
        <v>0</v>
      </c>
      <c r="AG1191" s="12">
        <v>8</v>
      </c>
      <c r="AH1191" s="12">
        <v>6.41</v>
      </c>
      <c r="AI1191" s="12">
        <v>0</v>
      </c>
      <c r="AJ1191" s="13">
        <f t="shared" si="74"/>
        <v>0</v>
      </c>
      <c r="AN1191" s="12">
        <f t="shared" si="75"/>
        <v>13690</v>
      </c>
      <c r="AQ1191" s="8" t="s">
        <v>418</v>
      </c>
      <c r="AR1191" t="str">
        <f t="shared" si="76"/>
        <v>Noroeste - A07</v>
      </c>
    </row>
    <row r="1192" spans="1:44" x14ac:dyDescent="0.2">
      <c r="A1192" s="107" t="s">
        <v>1515</v>
      </c>
      <c r="B1192" s="106" t="s">
        <v>1514</v>
      </c>
      <c r="C1192" s="106" t="s">
        <v>1472</v>
      </c>
      <c r="D1192" s="106" t="s">
        <v>1513</v>
      </c>
      <c r="E1192" s="106" t="s">
        <v>1502</v>
      </c>
      <c r="F1192" s="106" t="s">
        <v>590</v>
      </c>
      <c r="G1192" s="106" t="s">
        <v>1512</v>
      </c>
      <c r="H1192" s="105" t="s">
        <v>1511</v>
      </c>
      <c r="I1192" s="105" t="s">
        <v>1507</v>
      </c>
      <c r="J1192" s="104">
        <v>3</v>
      </c>
      <c r="K1192" s="103" t="s">
        <v>428</v>
      </c>
      <c r="L1192" s="102" t="s">
        <v>507</v>
      </c>
      <c r="M1192" s="95"/>
      <c r="N1192" s="14"/>
      <c r="O1192" s="94">
        <v>40</v>
      </c>
      <c r="P1192" s="14" t="s">
        <v>586</v>
      </c>
      <c r="Q1192" s="14" t="s">
        <v>865</v>
      </c>
      <c r="R1192" s="14" t="s">
        <v>496</v>
      </c>
      <c r="S1192" s="15">
        <v>7</v>
      </c>
      <c r="T1192" s="15">
        <v>0</v>
      </c>
      <c r="U1192" s="15">
        <v>0</v>
      </c>
      <c r="V1192" s="14">
        <v>348</v>
      </c>
      <c r="W1192" s="12">
        <v>0</v>
      </c>
      <c r="X1192" s="12">
        <v>0</v>
      </c>
      <c r="Y1192" s="12">
        <v>1</v>
      </c>
      <c r="Z1192" s="12">
        <v>2</v>
      </c>
      <c r="AA1192" s="12">
        <v>0</v>
      </c>
      <c r="AB1192" s="13">
        <f t="shared" si="73"/>
        <v>0</v>
      </c>
      <c r="AE1192" s="12">
        <v>0</v>
      </c>
      <c r="AF1192" s="12">
        <v>0</v>
      </c>
      <c r="AG1192" s="12">
        <v>1</v>
      </c>
      <c r="AH1192" s="12">
        <v>2</v>
      </c>
      <c r="AI1192" s="12">
        <v>0</v>
      </c>
      <c r="AJ1192" s="13">
        <f t="shared" si="74"/>
        <v>0</v>
      </c>
      <c r="AN1192" s="12">
        <f t="shared" si="75"/>
        <v>1044</v>
      </c>
      <c r="AQ1192" s="8" t="s">
        <v>417</v>
      </c>
      <c r="AR1192" t="str">
        <f t="shared" si="76"/>
        <v>Oeste - A08</v>
      </c>
    </row>
    <row r="1193" spans="1:44" x14ac:dyDescent="0.2">
      <c r="A1193" s="107" t="s">
        <v>1510</v>
      </c>
      <c r="B1193" s="106" t="s">
        <v>1509</v>
      </c>
      <c r="C1193" s="106" t="s">
        <v>1472</v>
      </c>
      <c r="D1193" s="106" t="s">
        <v>751</v>
      </c>
      <c r="E1193" s="106" t="s">
        <v>1471</v>
      </c>
      <c r="F1193" s="106" t="s">
        <v>490</v>
      </c>
      <c r="G1193" s="106" t="s">
        <v>1508</v>
      </c>
      <c r="H1193" s="105" t="s">
        <v>1507</v>
      </c>
      <c r="I1193" s="105" t="s">
        <v>1506</v>
      </c>
      <c r="J1193" s="104">
        <v>25.93</v>
      </c>
      <c r="K1193" s="103" t="s">
        <v>428</v>
      </c>
      <c r="L1193" s="102" t="s">
        <v>507</v>
      </c>
      <c r="M1193" s="95"/>
      <c r="N1193" s="14"/>
      <c r="O1193" s="94">
        <v>40</v>
      </c>
      <c r="P1193" s="14" t="s">
        <v>485</v>
      </c>
      <c r="Q1193" s="14" t="s">
        <v>865</v>
      </c>
      <c r="R1193" s="16" t="s">
        <v>496</v>
      </c>
      <c r="S1193" s="15">
        <v>7</v>
      </c>
      <c r="T1193" s="15">
        <v>0</v>
      </c>
      <c r="U1193" s="15">
        <v>0</v>
      </c>
      <c r="V1193" s="14">
        <v>348</v>
      </c>
      <c r="W1193" s="12">
        <v>0</v>
      </c>
      <c r="X1193" s="12">
        <v>0</v>
      </c>
      <c r="Y1193" s="12">
        <v>3</v>
      </c>
      <c r="Z1193" s="12">
        <v>22.93</v>
      </c>
      <c r="AA1193" s="12">
        <v>0</v>
      </c>
      <c r="AB1193" s="13">
        <f t="shared" si="73"/>
        <v>0</v>
      </c>
      <c r="AE1193" s="12">
        <v>0</v>
      </c>
      <c r="AF1193" s="12">
        <v>0</v>
      </c>
      <c r="AG1193" s="12">
        <v>3</v>
      </c>
      <c r="AH1193" s="12">
        <v>22.93</v>
      </c>
      <c r="AI1193" s="12">
        <v>0</v>
      </c>
      <c r="AJ1193" s="13">
        <f t="shared" si="74"/>
        <v>0</v>
      </c>
      <c r="AN1193" s="12">
        <f t="shared" si="75"/>
        <v>9024</v>
      </c>
      <c r="AQ1193" s="8" t="s">
        <v>417</v>
      </c>
      <c r="AR1193" t="str">
        <f t="shared" si="76"/>
        <v>Oeste - A08</v>
      </c>
    </row>
    <row r="1194" spans="1:44" x14ac:dyDescent="0.2">
      <c r="A1194" s="107" t="s">
        <v>1505</v>
      </c>
      <c r="B1194" s="106" t="s">
        <v>1504</v>
      </c>
      <c r="C1194" s="106" t="s">
        <v>1472</v>
      </c>
      <c r="D1194" s="106" t="s">
        <v>1503</v>
      </c>
      <c r="E1194" s="106" t="s">
        <v>1502</v>
      </c>
      <c r="F1194" s="106" t="s">
        <v>590</v>
      </c>
      <c r="G1194" s="106" t="s">
        <v>1501</v>
      </c>
      <c r="H1194" s="105" t="s">
        <v>1500</v>
      </c>
      <c r="I1194" s="105" t="s">
        <v>1496</v>
      </c>
      <c r="J1194" s="104">
        <v>1.32</v>
      </c>
      <c r="K1194" s="103" t="s">
        <v>427</v>
      </c>
      <c r="L1194" s="102" t="s">
        <v>507</v>
      </c>
      <c r="M1194" s="95"/>
      <c r="N1194" s="14"/>
      <c r="O1194" s="94">
        <v>39</v>
      </c>
      <c r="P1194" s="14" t="s">
        <v>586</v>
      </c>
      <c r="Q1194" s="14" t="s">
        <v>497</v>
      </c>
      <c r="R1194" s="14" t="s">
        <v>496</v>
      </c>
      <c r="S1194" s="15">
        <v>6.6</v>
      </c>
      <c r="T1194" s="15">
        <v>0</v>
      </c>
      <c r="U1194" s="15">
        <v>0</v>
      </c>
      <c r="V1194" s="14">
        <v>348</v>
      </c>
      <c r="W1194" s="12">
        <v>0</v>
      </c>
      <c r="X1194" s="12">
        <v>0</v>
      </c>
      <c r="Y1194" s="12">
        <v>0</v>
      </c>
      <c r="Z1194" s="12">
        <v>1.32</v>
      </c>
      <c r="AA1194" s="12">
        <v>0</v>
      </c>
      <c r="AB1194" s="13">
        <f t="shared" si="73"/>
        <v>0</v>
      </c>
      <c r="AE1194" s="12">
        <v>0</v>
      </c>
      <c r="AF1194" s="12">
        <v>0</v>
      </c>
      <c r="AG1194" s="12">
        <v>0</v>
      </c>
      <c r="AH1194" s="12">
        <v>1.32</v>
      </c>
      <c r="AI1194" s="12">
        <v>0</v>
      </c>
      <c r="AJ1194" s="13">
        <f t="shared" si="74"/>
        <v>0</v>
      </c>
      <c r="AN1194" s="12">
        <f t="shared" si="75"/>
        <v>460</v>
      </c>
      <c r="AQ1194" s="8" t="s">
        <v>417</v>
      </c>
      <c r="AR1194" t="str">
        <f t="shared" si="76"/>
        <v>Oeste - A07</v>
      </c>
    </row>
    <row r="1195" spans="1:44" x14ac:dyDescent="0.2">
      <c r="A1195" s="107" t="s">
        <v>1499</v>
      </c>
      <c r="B1195" s="106" t="s">
        <v>1498</v>
      </c>
      <c r="C1195" s="106" t="s">
        <v>1472</v>
      </c>
      <c r="D1195" s="106" t="s">
        <v>492</v>
      </c>
      <c r="E1195" s="106" t="s">
        <v>1471</v>
      </c>
      <c r="F1195" s="106" t="s">
        <v>490</v>
      </c>
      <c r="G1195" s="106" t="s">
        <v>1497</v>
      </c>
      <c r="H1195" s="105" t="s">
        <v>1496</v>
      </c>
      <c r="I1195" s="105" t="s">
        <v>1487</v>
      </c>
      <c r="J1195" s="104">
        <v>16.61</v>
      </c>
      <c r="K1195" s="103" t="s">
        <v>427</v>
      </c>
      <c r="L1195" s="102" t="s">
        <v>507</v>
      </c>
      <c r="M1195" s="95"/>
      <c r="N1195" s="14"/>
      <c r="O1195" s="94">
        <v>39</v>
      </c>
      <c r="P1195" s="14" t="s">
        <v>485</v>
      </c>
      <c r="Q1195" s="14" t="s">
        <v>497</v>
      </c>
      <c r="R1195" s="14" t="s">
        <v>496</v>
      </c>
      <c r="S1195" s="15">
        <v>6.6</v>
      </c>
      <c r="T1195" s="15">
        <v>0</v>
      </c>
      <c r="U1195" s="15">
        <v>0</v>
      </c>
      <c r="V1195" s="14">
        <v>348</v>
      </c>
      <c r="W1195" s="12">
        <v>0</v>
      </c>
      <c r="X1195" s="12">
        <v>0</v>
      </c>
      <c r="Y1195" s="12">
        <v>5</v>
      </c>
      <c r="Z1195" s="12">
        <v>11.61</v>
      </c>
      <c r="AA1195" s="12">
        <v>0</v>
      </c>
      <c r="AB1195" s="13">
        <f t="shared" si="73"/>
        <v>0</v>
      </c>
      <c r="AE1195" s="12">
        <v>0</v>
      </c>
      <c r="AF1195" s="12">
        <v>0</v>
      </c>
      <c r="AG1195" s="12">
        <v>5</v>
      </c>
      <c r="AH1195" s="12">
        <v>11.61</v>
      </c>
      <c r="AI1195" s="12">
        <v>0</v>
      </c>
      <c r="AJ1195" s="13">
        <f t="shared" si="74"/>
        <v>0</v>
      </c>
      <c r="AN1195" s="12">
        <f t="shared" si="75"/>
        <v>5781</v>
      </c>
      <c r="AQ1195" s="8" t="s">
        <v>417</v>
      </c>
      <c r="AR1195" t="str">
        <f t="shared" si="76"/>
        <v>Oeste - A07</v>
      </c>
    </row>
    <row r="1196" spans="1:44" x14ac:dyDescent="0.2">
      <c r="A1196" s="107" t="s">
        <v>1495</v>
      </c>
      <c r="B1196" s="106" t="s">
        <v>1494</v>
      </c>
      <c r="C1196" s="106" t="s">
        <v>1472</v>
      </c>
      <c r="D1196" s="106" t="s">
        <v>592</v>
      </c>
      <c r="E1196" s="106" t="s">
        <v>1493</v>
      </c>
      <c r="F1196" s="106" t="s">
        <v>606</v>
      </c>
      <c r="G1196" s="106" t="s">
        <v>1492</v>
      </c>
      <c r="H1196" s="105" t="s">
        <v>1487</v>
      </c>
      <c r="I1196" s="105" t="s">
        <v>1483</v>
      </c>
      <c r="J1196" s="104">
        <v>0.64</v>
      </c>
      <c r="K1196" s="103" t="s">
        <v>427</v>
      </c>
      <c r="L1196" s="102" t="s">
        <v>507</v>
      </c>
      <c r="M1196" s="95"/>
      <c r="N1196" s="14"/>
      <c r="O1196" s="94">
        <v>39</v>
      </c>
      <c r="P1196" s="14" t="s">
        <v>596</v>
      </c>
      <c r="Q1196" s="14" t="s">
        <v>497</v>
      </c>
      <c r="R1196" s="14" t="s">
        <v>496</v>
      </c>
      <c r="S1196" s="15">
        <v>6.6</v>
      </c>
      <c r="T1196" s="15">
        <v>0</v>
      </c>
      <c r="U1196" s="15">
        <v>0</v>
      </c>
      <c r="V1196" s="14">
        <v>563</v>
      </c>
      <c r="W1196" s="12">
        <v>0</v>
      </c>
      <c r="X1196" s="12">
        <v>0</v>
      </c>
      <c r="Y1196" s="12">
        <v>0</v>
      </c>
      <c r="Z1196" s="12">
        <v>0.64</v>
      </c>
      <c r="AA1196" s="12">
        <v>0</v>
      </c>
      <c r="AB1196" s="13">
        <f t="shared" si="73"/>
        <v>0</v>
      </c>
      <c r="AE1196" s="12">
        <v>0</v>
      </c>
      <c r="AF1196" s="12">
        <v>0</v>
      </c>
      <c r="AG1196" s="12">
        <v>0</v>
      </c>
      <c r="AH1196" s="12">
        <v>0.64</v>
      </c>
      <c r="AI1196" s="12">
        <v>0</v>
      </c>
      <c r="AJ1196" s="13">
        <f t="shared" si="74"/>
        <v>0</v>
      </c>
      <c r="AN1196" s="12">
        <f t="shared" si="75"/>
        <v>361</v>
      </c>
      <c r="AQ1196" s="8" t="s">
        <v>417</v>
      </c>
      <c r="AR1196" t="str">
        <f t="shared" si="76"/>
        <v>Oeste - A07</v>
      </c>
    </row>
    <row r="1197" spans="1:44" x14ac:dyDescent="0.2">
      <c r="A1197" s="107" t="s">
        <v>1491</v>
      </c>
      <c r="B1197" s="106" t="s">
        <v>1490</v>
      </c>
      <c r="C1197" s="106" t="s">
        <v>1472</v>
      </c>
      <c r="D1197" s="106" t="s">
        <v>592</v>
      </c>
      <c r="E1197" s="106" t="s">
        <v>1489</v>
      </c>
      <c r="F1197" s="106" t="s">
        <v>600</v>
      </c>
      <c r="G1197" s="106" t="s">
        <v>1488</v>
      </c>
      <c r="H1197" s="105" t="s">
        <v>1487</v>
      </c>
      <c r="I1197" s="105" t="s">
        <v>1483</v>
      </c>
      <c r="J1197" s="104">
        <v>0.64</v>
      </c>
      <c r="K1197" s="103" t="s">
        <v>427</v>
      </c>
      <c r="L1197" s="102" t="s">
        <v>507</v>
      </c>
      <c r="M1197" s="95"/>
      <c r="N1197" s="14"/>
      <c r="O1197" s="94">
        <v>39</v>
      </c>
      <c r="P1197" s="14" t="s">
        <v>596</v>
      </c>
      <c r="Q1197" s="14" t="s">
        <v>497</v>
      </c>
      <c r="R1197" s="14" t="s">
        <v>496</v>
      </c>
      <c r="S1197" s="15">
        <v>6.6</v>
      </c>
      <c r="T1197" s="15">
        <v>0</v>
      </c>
      <c r="U1197" s="15">
        <v>0</v>
      </c>
      <c r="V1197" s="14">
        <v>563</v>
      </c>
      <c r="W1197" s="12">
        <v>0</v>
      </c>
      <c r="X1197" s="12">
        <v>0</v>
      </c>
      <c r="Y1197" s="12">
        <v>0</v>
      </c>
      <c r="Z1197" s="12">
        <v>0.64</v>
      </c>
      <c r="AA1197" s="12">
        <v>0</v>
      </c>
      <c r="AB1197" s="13">
        <f t="shared" si="73"/>
        <v>0</v>
      </c>
      <c r="AE1197" s="12">
        <v>0</v>
      </c>
      <c r="AF1197" s="12">
        <v>0</v>
      </c>
      <c r="AG1197" s="12">
        <v>0</v>
      </c>
      <c r="AH1197" s="12">
        <v>0.64</v>
      </c>
      <c r="AI1197" s="12">
        <v>0</v>
      </c>
      <c r="AJ1197" s="13">
        <f t="shared" si="74"/>
        <v>0</v>
      </c>
      <c r="AN1197" s="12">
        <f t="shared" si="75"/>
        <v>361</v>
      </c>
      <c r="AQ1197" s="8" t="s">
        <v>417</v>
      </c>
      <c r="AR1197" t="str">
        <f t="shared" si="76"/>
        <v>Oeste - A07</v>
      </c>
    </row>
    <row r="1198" spans="1:44" x14ac:dyDescent="0.2">
      <c r="A1198" s="107" t="s">
        <v>1486</v>
      </c>
      <c r="B1198" s="106" t="s">
        <v>1485</v>
      </c>
      <c r="C1198" s="106" t="s">
        <v>1472</v>
      </c>
      <c r="D1198" s="106" t="s">
        <v>519</v>
      </c>
      <c r="E1198" s="106" t="s">
        <v>1471</v>
      </c>
      <c r="F1198" s="106" t="s">
        <v>490</v>
      </c>
      <c r="G1198" s="106" t="s">
        <v>1484</v>
      </c>
      <c r="H1198" s="105" t="s">
        <v>1483</v>
      </c>
      <c r="I1198" s="105" t="s">
        <v>1479</v>
      </c>
      <c r="J1198" s="104">
        <v>0.28999999999999998</v>
      </c>
      <c r="K1198" s="103" t="s">
        <v>427</v>
      </c>
      <c r="L1198" s="102" t="s">
        <v>507</v>
      </c>
      <c r="M1198" s="95"/>
      <c r="N1198" s="14"/>
      <c r="O1198" s="94">
        <v>39</v>
      </c>
      <c r="P1198" s="14" t="s">
        <v>485</v>
      </c>
      <c r="Q1198" s="14" t="s">
        <v>497</v>
      </c>
      <c r="R1198" s="14" t="s">
        <v>496</v>
      </c>
      <c r="S1198" s="15">
        <v>6.6</v>
      </c>
      <c r="T1198" s="15">
        <v>0</v>
      </c>
      <c r="U1198" s="15">
        <v>0</v>
      </c>
      <c r="V1198" s="14">
        <v>348</v>
      </c>
      <c r="W1198" s="12">
        <v>0</v>
      </c>
      <c r="X1198" s="12">
        <v>0</v>
      </c>
      <c r="Y1198" s="12">
        <v>0</v>
      </c>
      <c r="Z1198" s="12">
        <v>0.28999999999999998</v>
      </c>
      <c r="AA1198" s="12">
        <v>0</v>
      </c>
      <c r="AB1198" s="13">
        <f t="shared" si="73"/>
        <v>0</v>
      </c>
      <c r="AE1198" s="12">
        <v>0</v>
      </c>
      <c r="AF1198" s="12">
        <v>0</v>
      </c>
      <c r="AG1198" s="12">
        <v>0</v>
      </c>
      <c r="AH1198" s="12">
        <v>0.28999999999999998</v>
      </c>
      <c r="AI1198" s="12">
        <v>0</v>
      </c>
      <c r="AJ1198" s="13">
        <f t="shared" si="74"/>
        <v>0</v>
      </c>
      <c r="AN1198" s="12">
        <f t="shared" si="75"/>
        <v>101</v>
      </c>
      <c r="AQ1198" s="8" t="s">
        <v>417</v>
      </c>
      <c r="AR1198" t="str">
        <f t="shared" si="76"/>
        <v>Oeste - A07</v>
      </c>
    </row>
    <row r="1199" spans="1:44" x14ac:dyDescent="0.2">
      <c r="A1199" s="107" t="s">
        <v>1482</v>
      </c>
      <c r="B1199" s="106" t="s">
        <v>1481</v>
      </c>
      <c r="C1199" s="106" t="s">
        <v>1472</v>
      </c>
      <c r="D1199" s="106" t="s">
        <v>513</v>
      </c>
      <c r="E1199" s="106" t="s">
        <v>1471</v>
      </c>
      <c r="F1199" s="106" t="s">
        <v>490</v>
      </c>
      <c r="G1199" s="106" t="s">
        <v>1480</v>
      </c>
      <c r="H1199" s="105" t="s">
        <v>1479</v>
      </c>
      <c r="I1199" s="105" t="s">
        <v>1475</v>
      </c>
      <c r="J1199" s="104">
        <v>11.98</v>
      </c>
      <c r="K1199" s="103" t="s">
        <v>427</v>
      </c>
      <c r="L1199" s="102" t="s">
        <v>507</v>
      </c>
      <c r="M1199" s="95"/>
      <c r="N1199" s="14"/>
      <c r="O1199" s="94">
        <v>39</v>
      </c>
      <c r="P1199" s="14" t="s">
        <v>485</v>
      </c>
      <c r="Q1199" s="14" t="s">
        <v>497</v>
      </c>
      <c r="R1199" s="14" t="s">
        <v>496</v>
      </c>
      <c r="S1199" s="15">
        <v>7.0666666666666673</v>
      </c>
      <c r="T1199" s="15">
        <v>0</v>
      </c>
      <c r="U1199" s="15">
        <v>0</v>
      </c>
      <c r="V1199" s="14">
        <v>348</v>
      </c>
      <c r="W1199" s="12">
        <v>0</v>
      </c>
      <c r="X1199" s="12">
        <v>0</v>
      </c>
      <c r="Y1199" s="12">
        <v>1</v>
      </c>
      <c r="Z1199" s="12">
        <v>10.98</v>
      </c>
      <c r="AA1199" s="12">
        <v>0</v>
      </c>
      <c r="AB1199" s="13">
        <f t="shared" si="73"/>
        <v>0</v>
      </c>
      <c r="AE1199" s="12">
        <v>0</v>
      </c>
      <c r="AF1199" s="12">
        <v>0</v>
      </c>
      <c r="AG1199" s="12">
        <v>1</v>
      </c>
      <c r="AH1199" s="12">
        <v>10.98</v>
      </c>
      <c r="AI1199" s="12">
        <v>0</v>
      </c>
      <c r="AJ1199" s="13">
        <f t="shared" si="74"/>
        <v>0</v>
      </c>
      <c r="AN1199" s="12">
        <f t="shared" si="75"/>
        <v>4170</v>
      </c>
      <c r="AQ1199" s="8" t="s">
        <v>417</v>
      </c>
      <c r="AR1199" t="str">
        <f t="shared" si="76"/>
        <v>Oeste - A07</v>
      </c>
    </row>
    <row r="1200" spans="1:44" x14ac:dyDescent="0.2">
      <c r="A1200" s="107" t="s">
        <v>1478</v>
      </c>
      <c r="B1200" s="106" t="s">
        <v>1477</v>
      </c>
      <c r="C1200" s="106" t="s">
        <v>1472</v>
      </c>
      <c r="D1200" s="106" t="s">
        <v>989</v>
      </c>
      <c r="E1200" s="106" t="s">
        <v>1471</v>
      </c>
      <c r="F1200" s="106" t="s">
        <v>490</v>
      </c>
      <c r="G1200" s="106" t="s">
        <v>1476</v>
      </c>
      <c r="H1200" s="105" t="s">
        <v>1475</v>
      </c>
      <c r="I1200" s="105" t="s">
        <v>1469</v>
      </c>
      <c r="J1200" s="104">
        <v>1.53</v>
      </c>
      <c r="K1200" s="103" t="s">
        <v>427</v>
      </c>
      <c r="L1200" s="102" t="s">
        <v>507</v>
      </c>
      <c r="M1200" s="95"/>
      <c r="N1200" s="14"/>
      <c r="O1200" s="94">
        <v>39</v>
      </c>
      <c r="P1200" s="14" t="s">
        <v>485</v>
      </c>
      <c r="Q1200" s="14" t="s">
        <v>497</v>
      </c>
      <c r="R1200" s="14" t="s">
        <v>496</v>
      </c>
      <c r="S1200" s="15">
        <v>7.1333333333333329</v>
      </c>
      <c r="T1200" s="15">
        <v>0</v>
      </c>
      <c r="U1200" s="15">
        <v>0</v>
      </c>
      <c r="V1200" s="14">
        <v>348</v>
      </c>
      <c r="W1200" s="12">
        <v>0</v>
      </c>
      <c r="X1200" s="12">
        <v>0.53</v>
      </c>
      <c r="Y1200" s="12">
        <v>1</v>
      </c>
      <c r="Z1200" s="12">
        <v>0</v>
      </c>
      <c r="AA1200" s="12">
        <v>0</v>
      </c>
      <c r="AB1200" s="13">
        <f t="shared" si="73"/>
        <v>0</v>
      </c>
      <c r="AE1200" s="12">
        <v>0</v>
      </c>
      <c r="AF1200" s="12">
        <v>0.53</v>
      </c>
      <c r="AG1200" s="12">
        <v>1</v>
      </c>
      <c r="AH1200" s="12">
        <v>0</v>
      </c>
      <c r="AI1200" s="12">
        <v>0</v>
      </c>
      <c r="AJ1200" s="13">
        <f t="shared" si="74"/>
        <v>0</v>
      </c>
      <c r="AN1200" s="12">
        <f t="shared" si="75"/>
        <v>533</v>
      </c>
      <c r="AQ1200" s="8" t="s">
        <v>417</v>
      </c>
      <c r="AR1200" t="str">
        <f t="shared" si="76"/>
        <v>Oeste - A07</v>
      </c>
    </row>
    <row r="1201" spans="1:44" x14ac:dyDescent="0.2">
      <c r="A1201" s="107" t="s">
        <v>1474</v>
      </c>
      <c r="B1201" s="106" t="s">
        <v>1473</v>
      </c>
      <c r="C1201" s="106" t="s">
        <v>1472</v>
      </c>
      <c r="D1201" s="106" t="s">
        <v>981</v>
      </c>
      <c r="E1201" s="106" t="s">
        <v>1471</v>
      </c>
      <c r="F1201" s="106" t="s">
        <v>490</v>
      </c>
      <c r="G1201" s="106" t="s">
        <v>1470</v>
      </c>
      <c r="H1201" s="105" t="s">
        <v>1469</v>
      </c>
      <c r="I1201" s="105" t="s">
        <v>1468</v>
      </c>
      <c r="J1201" s="104">
        <v>0.75</v>
      </c>
      <c r="K1201" s="103" t="s">
        <v>427</v>
      </c>
      <c r="L1201" s="102" t="s">
        <v>507</v>
      </c>
      <c r="M1201" s="95"/>
      <c r="N1201" s="14"/>
      <c r="O1201" s="94">
        <v>39</v>
      </c>
      <c r="P1201" s="14" t="s">
        <v>485</v>
      </c>
      <c r="Q1201" s="14" t="s">
        <v>497</v>
      </c>
      <c r="R1201" s="14" t="s">
        <v>496</v>
      </c>
      <c r="S1201" s="15">
        <v>6.6000000000000005</v>
      </c>
      <c r="T1201" s="15">
        <v>0</v>
      </c>
      <c r="U1201" s="15">
        <v>0</v>
      </c>
      <c r="V1201" s="14">
        <v>348</v>
      </c>
      <c r="W1201" s="12">
        <v>0</v>
      </c>
      <c r="X1201" s="12">
        <v>0</v>
      </c>
      <c r="Y1201" s="12">
        <v>0</v>
      </c>
      <c r="Z1201" s="12">
        <v>0.75</v>
      </c>
      <c r="AA1201" s="12">
        <v>0</v>
      </c>
      <c r="AB1201" s="13">
        <f t="shared" si="73"/>
        <v>0</v>
      </c>
      <c r="AE1201" s="12">
        <v>0</v>
      </c>
      <c r="AF1201" s="12">
        <v>0</v>
      </c>
      <c r="AG1201" s="12">
        <v>0</v>
      </c>
      <c r="AH1201" s="12">
        <v>0.75</v>
      </c>
      <c r="AI1201" s="12">
        <v>0</v>
      </c>
      <c r="AJ1201" s="13">
        <f t="shared" si="74"/>
        <v>0</v>
      </c>
      <c r="AN1201" s="12">
        <f t="shared" si="75"/>
        <v>261</v>
      </c>
      <c r="AQ1201" s="8" t="s">
        <v>417</v>
      </c>
      <c r="AR1201" t="str">
        <f t="shared" si="76"/>
        <v>Oeste - A07</v>
      </c>
    </row>
    <row r="1202" spans="1:44" x14ac:dyDescent="0.2">
      <c r="A1202" s="107" t="s">
        <v>1467</v>
      </c>
      <c r="B1202" s="106" t="s">
        <v>1466</v>
      </c>
      <c r="C1202" s="106" t="s">
        <v>1456</v>
      </c>
      <c r="D1202" s="106" t="s">
        <v>751</v>
      </c>
      <c r="E1202" s="106" t="s">
        <v>1455</v>
      </c>
      <c r="F1202" s="106" t="s">
        <v>590</v>
      </c>
      <c r="G1202" s="106" t="s">
        <v>1465</v>
      </c>
      <c r="H1202" s="105" t="s">
        <v>1464</v>
      </c>
      <c r="I1202" s="105" t="s">
        <v>1459</v>
      </c>
      <c r="J1202" s="104">
        <v>2.21</v>
      </c>
      <c r="K1202" s="103" t="s">
        <v>427</v>
      </c>
      <c r="L1202" s="102" t="s">
        <v>577</v>
      </c>
      <c r="M1202" s="95"/>
      <c r="N1202" s="14"/>
      <c r="O1202" s="94">
        <v>12</v>
      </c>
      <c r="P1202" s="14" t="s">
        <v>586</v>
      </c>
      <c r="Q1202" s="14" t="s">
        <v>1451</v>
      </c>
      <c r="R1202" s="14" t="s">
        <v>496</v>
      </c>
      <c r="S1202" s="15">
        <v>12.9</v>
      </c>
      <c r="T1202" s="15">
        <v>0</v>
      </c>
      <c r="U1202" s="15">
        <v>0</v>
      </c>
      <c r="V1202" s="14">
        <v>200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3">
        <f t="shared" si="73"/>
        <v>-2.21</v>
      </c>
      <c r="AE1202" s="12">
        <f>IF(W1202=0,0,W1202-$AB1202)</f>
        <v>0</v>
      </c>
      <c r="AF1202" s="12">
        <f>IF(X1202=0,0,X1202-$AB1202)</f>
        <v>0</v>
      </c>
      <c r="AG1202" s="12">
        <v>1.21</v>
      </c>
      <c r="AH1202" s="12">
        <v>1</v>
      </c>
      <c r="AI1202" s="12">
        <f>IF(AA1202=0,0,AA1202-$AB1202)</f>
        <v>0</v>
      </c>
      <c r="AJ1202" s="13">
        <f t="shared" si="74"/>
        <v>0</v>
      </c>
      <c r="AN1202" s="12">
        <f t="shared" si="75"/>
        <v>442</v>
      </c>
      <c r="AQ1202" s="8" t="s">
        <v>420</v>
      </c>
      <c r="AR1202" t="str">
        <f t="shared" si="76"/>
        <v>Campos Gerais - A07</v>
      </c>
    </row>
    <row r="1203" spans="1:44" x14ac:dyDescent="0.2">
      <c r="A1203" s="107" t="s">
        <v>1463</v>
      </c>
      <c r="B1203" s="106" t="s">
        <v>1462</v>
      </c>
      <c r="C1203" s="106" t="s">
        <v>1456</v>
      </c>
      <c r="D1203" s="106" t="s">
        <v>492</v>
      </c>
      <c r="E1203" s="106" t="s">
        <v>1461</v>
      </c>
      <c r="F1203" s="106" t="s">
        <v>490</v>
      </c>
      <c r="G1203" s="106" t="s">
        <v>1460</v>
      </c>
      <c r="H1203" s="105" t="s">
        <v>1459</v>
      </c>
      <c r="I1203" s="105" t="s">
        <v>1453</v>
      </c>
      <c r="J1203" s="104">
        <v>15.78</v>
      </c>
      <c r="K1203" s="103" t="s">
        <v>427</v>
      </c>
      <c r="L1203" s="102" t="s">
        <v>577</v>
      </c>
      <c r="M1203" s="95"/>
      <c r="N1203" s="14"/>
      <c r="O1203" s="94">
        <v>12</v>
      </c>
      <c r="P1203" s="14" t="s">
        <v>485</v>
      </c>
      <c r="Q1203" s="14" t="s">
        <v>1451</v>
      </c>
      <c r="R1203" s="14" t="s">
        <v>496</v>
      </c>
      <c r="S1203" s="15">
        <v>7</v>
      </c>
      <c r="T1203" s="15">
        <v>0</v>
      </c>
      <c r="U1203" s="15">
        <v>0</v>
      </c>
      <c r="V1203" s="14">
        <v>1549</v>
      </c>
      <c r="W1203" s="12">
        <v>0</v>
      </c>
      <c r="X1203" s="12">
        <v>0</v>
      </c>
      <c r="Y1203" s="12">
        <v>7.7799999999999994</v>
      </c>
      <c r="Z1203" s="12">
        <v>8</v>
      </c>
      <c r="AA1203" s="12">
        <v>0</v>
      </c>
      <c r="AB1203" s="13">
        <f t="shared" si="73"/>
        <v>0</v>
      </c>
      <c r="AE1203" s="12">
        <v>0</v>
      </c>
      <c r="AF1203" s="12">
        <v>0</v>
      </c>
      <c r="AG1203" s="12">
        <v>7.7799999999999994</v>
      </c>
      <c r="AH1203" s="12">
        <v>8</v>
      </c>
      <c r="AI1203" s="12">
        <v>0</v>
      </c>
      <c r="AJ1203" s="13">
        <f t="shared" si="74"/>
        <v>0</v>
      </c>
      <c r="AN1203" s="12">
        <f t="shared" si="75"/>
        <v>24444</v>
      </c>
      <c r="AQ1203" s="8" t="s">
        <v>420</v>
      </c>
      <c r="AR1203" t="str">
        <f t="shared" si="76"/>
        <v>Campos Gerais - A07</v>
      </c>
    </row>
    <row r="1204" spans="1:44" x14ac:dyDescent="0.2">
      <c r="A1204" s="107" t="s">
        <v>1458</v>
      </c>
      <c r="B1204" s="106" t="s">
        <v>1457</v>
      </c>
      <c r="C1204" s="106" t="s">
        <v>1456</v>
      </c>
      <c r="D1204" s="106" t="s">
        <v>1032</v>
      </c>
      <c r="E1204" s="106" t="s">
        <v>1455</v>
      </c>
      <c r="F1204" s="106" t="s">
        <v>590</v>
      </c>
      <c r="G1204" s="106" t="s">
        <v>1454</v>
      </c>
      <c r="H1204" s="105" t="s">
        <v>1453</v>
      </c>
      <c r="I1204" s="105" t="s">
        <v>1452</v>
      </c>
      <c r="J1204" s="104">
        <v>2.76</v>
      </c>
      <c r="K1204" s="103" t="s">
        <v>427</v>
      </c>
      <c r="L1204" s="102" t="s">
        <v>577</v>
      </c>
      <c r="M1204" s="95"/>
      <c r="N1204" s="14"/>
      <c r="O1204" s="94">
        <v>12</v>
      </c>
      <c r="P1204" s="14" t="s">
        <v>586</v>
      </c>
      <c r="Q1204" s="14" t="s">
        <v>1451</v>
      </c>
      <c r="R1204" s="14" t="s">
        <v>496</v>
      </c>
      <c r="S1204" s="15">
        <v>8.4</v>
      </c>
      <c r="T1204" s="15">
        <v>0</v>
      </c>
      <c r="U1204" s="15">
        <v>0</v>
      </c>
      <c r="V1204" s="14">
        <v>200</v>
      </c>
      <c r="W1204" s="12">
        <v>0</v>
      </c>
      <c r="X1204" s="12">
        <v>0</v>
      </c>
      <c r="Y1204" s="12">
        <v>1.7599999999999998</v>
      </c>
      <c r="Z1204" s="12">
        <v>1</v>
      </c>
      <c r="AA1204" s="12">
        <v>0</v>
      </c>
      <c r="AB1204" s="13">
        <f t="shared" si="73"/>
        <v>0</v>
      </c>
      <c r="AE1204" s="12">
        <v>0</v>
      </c>
      <c r="AF1204" s="12">
        <v>0</v>
      </c>
      <c r="AG1204" s="12">
        <v>1.7599999999999998</v>
      </c>
      <c r="AH1204" s="12">
        <v>1</v>
      </c>
      <c r="AI1204" s="12">
        <v>0</v>
      </c>
      <c r="AJ1204" s="13">
        <f t="shared" si="74"/>
        <v>0</v>
      </c>
      <c r="AN1204" s="12">
        <f t="shared" si="75"/>
        <v>552</v>
      </c>
      <c r="AQ1204" s="8" t="s">
        <v>420</v>
      </c>
      <c r="AR1204" t="str">
        <f t="shared" si="76"/>
        <v>Campos Gerais - A07</v>
      </c>
    </row>
    <row r="1205" spans="1:44" x14ac:dyDescent="0.2">
      <c r="A1205" s="107" t="s">
        <v>1450</v>
      </c>
      <c r="B1205" s="106" t="s">
        <v>1449</v>
      </c>
      <c r="C1205" s="106" t="s">
        <v>1436</v>
      </c>
      <c r="D1205" s="106" t="s">
        <v>492</v>
      </c>
      <c r="E1205" s="106" t="s">
        <v>1435</v>
      </c>
      <c r="F1205" s="106" t="s">
        <v>490</v>
      </c>
      <c r="G1205" s="106" t="s">
        <v>1448</v>
      </c>
      <c r="H1205" s="105" t="s">
        <v>1447</v>
      </c>
      <c r="I1205" s="105" t="s">
        <v>1443</v>
      </c>
      <c r="J1205" s="104">
        <v>12.18</v>
      </c>
      <c r="K1205" s="103" t="s">
        <v>427</v>
      </c>
      <c r="L1205" s="102" t="s">
        <v>507</v>
      </c>
      <c r="M1205" s="95"/>
      <c r="N1205" s="14"/>
      <c r="O1205" s="94">
        <v>39</v>
      </c>
      <c r="P1205" s="14" t="s">
        <v>485</v>
      </c>
      <c r="Q1205" s="14" t="s">
        <v>497</v>
      </c>
      <c r="R1205" s="14" t="s">
        <v>496</v>
      </c>
      <c r="S1205" s="15">
        <v>7.2</v>
      </c>
      <c r="T1205" s="15">
        <v>0</v>
      </c>
      <c r="U1205" s="15">
        <v>6.4</v>
      </c>
      <c r="V1205" s="14">
        <v>90</v>
      </c>
      <c r="W1205" s="12">
        <v>0</v>
      </c>
      <c r="X1205" s="12">
        <v>0</v>
      </c>
      <c r="Y1205" s="12">
        <v>1.1799999999999997</v>
      </c>
      <c r="Z1205" s="12">
        <v>11</v>
      </c>
      <c r="AA1205" s="12">
        <v>0</v>
      </c>
      <c r="AB1205" s="13">
        <f t="shared" si="73"/>
        <v>0</v>
      </c>
      <c r="AE1205" s="12">
        <v>0</v>
      </c>
      <c r="AF1205" s="12">
        <v>0</v>
      </c>
      <c r="AG1205" s="12">
        <v>1.1799999999999997</v>
      </c>
      <c r="AH1205" s="12">
        <v>11</v>
      </c>
      <c r="AI1205" s="12">
        <v>0</v>
      </c>
      <c r="AJ1205" s="13">
        <f t="shared" si="74"/>
        <v>0</v>
      </c>
      <c r="AN1205" s="12">
        <f t="shared" si="75"/>
        <v>1097</v>
      </c>
      <c r="AQ1205" s="8" t="s">
        <v>417</v>
      </c>
      <c r="AR1205" t="str">
        <f t="shared" si="76"/>
        <v>Oeste - A07</v>
      </c>
    </row>
    <row r="1206" spans="1:44" x14ac:dyDescent="0.2">
      <c r="A1206" s="107" t="s">
        <v>1446</v>
      </c>
      <c r="B1206" s="106" t="s">
        <v>1445</v>
      </c>
      <c r="C1206" s="106" t="s">
        <v>1436</v>
      </c>
      <c r="D1206" s="106" t="s">
        <v>519</v>
      </c>
      <c r="E1206" s="106" t="s">
        <v>1435</v>
      </c>
      <c r="F1206" s="106" t="s">
        <v>490</v>
      </c>
      <c r="G1206" s="106" t="s">
        <v>1444</v>
      </c>
      <c r="H1206" s="105" t="s">
        <v>1443</v>
      </c>
      <c r="I1206" s="105" t="s">
        <v>1439</v>
      </c>
      <c r="J1206" s="104">
        <v>8.75</v>
      </c>
      <c r="K1206" s="103" t="s">
        <v>427</v>
      </c>
      <c r="L1206" s="102" t="s">
        <v>507</v>
      </c>
      <c r="M1206" s="95"/>
      <c r="N1206" s="14"/>
      <c r="O1206" s="94">
        <v>39</v>
      </c>
      <c r="P1206" s="14" t="s">
        <v>485</v>
      </c>
      <c r="Q1206" s="14" t="s">
        <v>497</v>
      </c>
      <c r="R1206" s="14" t="s">
        <v>496</v>
      </c>
      <c r="S1206" s="15">
        <v>7.2</v>
      </c>
      <c r="T1206" s="15">
        <v>0</v>
      </c>
      <c r="U1206" s="15">
        <v>0.25</v>
      </c>
      <c r="V1206" s="14">
        <v>90</v>
      </c>
      <c r="W1206" s="12">
        <v>0</v>
      </c>
      <c r="X1206" s="12">
        <v>0</v>
      </c>
      <c r="Y1206" s="12">
        <v>2</v>
      </c>
      <c r="Z1206" s="12">
        <v>6.75</v>
      </c>
      <c r="AA1206" s="12">
        <v>0</v>
      </c>
      <c r="AB1206" s="13">
        <f t="shared" si="73"/>
        <v>0</v>
      </c>
      <c r="AE1206" s="12">
        <v>0</v>
      </c>
      <c r="AF1206" s="12">
        <v>0</v>
      </c>
      <c r="AG1206" s="12">
        <v>2</v>
      </c>
      <c r="AH1206" s="12">
        <v>6.75</v>
      </c>
      <c r="AI1206" s="12">
        <v>0</v>
      </c>
      <c r="AJ1206" s="13">
        <f t="shared" si="74"/>
        <v>0</v>
      </c>
      <c r="AN1206" s="12">
        <f t="shared" si="75"/>
        <v>788</v>
      </c>
      <c r="AQ1206" s="8" t="s">
        <v>417</v>
      </c>
      <c r="AR1206" t="str">
        <f t="shared" si="76"/>
        <v>Oeste - A07</v>
      </c>
    </row>
    <row r="1207" spans="1:44" x14ac:dyDescent="0.2">
      <c r="A1207" s="107" t="s">
        <v>1442</v>
      </c>
      <c r="B1207" s="106" t="s">
        <v>1441</v>
      </c>
      <c r="C1207" s="106" t="s">
        <v>1436</v>
      </c>
      <c r="D1207" s="106" t="s">
        <v>513</v>
      </c>
      <c r="E1207" s="106" t="s">
        <v>1435</v>
      </c>
      <c r="F1207" s="106" t="s">
        <v>490</v>
      </c>
      <c r="G1207" s="106" t="s">
        <v>1440</v>
      </c>
      <c r="H1207" s="105" t="s">
        <v>1439</v>
      </c>
      <c r="I1207" s="105" t="s">
        <v>1433</v>
      </c>
      <c r="J1207" s="104">
        <v>2.71</v>
      </c>
      <c r="K1207" s="103" t="s">
        <v>425</v>
      </c>
      <c r="L1207" s="102" t="s">
        <v>507</v>
      </c>
      <c r="M1207" s="95"/>
      <c r="N1207" s="14"/>
      <c r="O1207" s="94">
        <v>37</v>
      </c>
      <c r="P1207" s="14" t="s">
        <v>485</v>
      </c>
      <c r="Q1207" s="14" t="s">
        <v>497</v>
      </c>
      <c r="R1207" s="14" t="s">
        <v>496</v>
      </c>
      <c r="S1207" s="15">
        <v>7.8</v>
      </c>
      <c r="T1207" s="15">
        <v>0</v>
      </c>
      <c r="U1207" s="15">
        <v>0</v>
      </c>
      <c r="V1207" s="14">
        <v>130</v>
      </c>
      <c r="W1207" s="12">
        <v>0</v>
      </c>
      <c r="X1207" s="12">
        <v>0</v>
      </c>
      <c r="Y1207" s="12">
        <v>1</v>
      </c>
      <c r="Z1207" s="12">
        <v>1.71</v>
      </c>
      <c r="AA1207" s="12">
        <v>0</v>
      </c>
      <c r="AB1207" s="13">
        <f t="shared" si="73"/>
        <v>0</v>
      </c>
      <c r="AE1207" s="12">
        <v>0</v>
      </c>
      <c r="AF1207" s="12">
        <v>0</v>
      </c>
      <c r="AG1207" s="12">
        <v>1</v>
      </c>
      <c r="AH1207" s="12">
        <v>1.71</v>
      </c>
      <c r="AI1207" s="12">
        <v>0</v>
      </c>
      <c r="AJ1207" s="13">
        <f t="shared" si="74"/>
        <v>0</v>
      </c>
      <c r="AN1207" s="12">
        <f t="shared" si="75"/>
        <v>353</v>
      </c>
      <c r="AQ1207" s="8" t="s">
        <v>417</v>
      </c>
      <c r="AR1207" t="str">
        <f t="shared" si="76"/>
        <v>Oeste - A05</v>
      </c>
    </row>
    <row r="1208" spans="1:44" x14ac:dyDescent="0.2">
      <c r="A1208" s="107" t="s">
        <v>1438</v>
      </c>
      <c r="B1208" s="106" t="s">
        <v>1437</v>
      </c>
      <c r="C1208" s="106" t="s">
        <v>1436</v>
      </c>
      <c r="D1208" s="106" t="s">
        <v>989</v>
      </c>
      <c r="E1208" s="106" t="s">
        <v>1435</v>
      </c>
      <c r="F1208" s="106" t="s">
        <v>490</v>
      </c>
      <c r="G1208" s="106" t="s">
        <v>1434</v>
      </c>
      <c r="H1208" s="105" t="s">
        <v>1433</v>
      </c>
      <c r="I1208" s="105" t="s">
        <v>1432</v>
      </c>
      <c r="J1208" s="104">
        <v>19.02</v>
      </c>
      <c r="K1208" s="103" t="s">
        <v>425</v>
      </c>
      <c r="L1208" s="102" t="s">
        <v>507</v>
      </c>
      <c r="M1208" s="95"/>
      <c r="N1208" s="14"/>
      <c r="O1208" s="94">
        <v>37</v>
      </c>
      <c r="P1208" s="14" t="s">
        <v>485</v>
      </c>
      <c r="Q1208" s="14" t="s">
        <v>497</v>
      </c>
      <c r="R1208" s="14" t="s">
        <v>496</v>
      </c>
      <c r="S1208" s="15">
        <v>8.4</v>
      </c>
      <c r="T1208" s="15">
        <v>0</v>
      </c>
      <c r="U1208" s="15">
        <v>3.800000000000002</v>
      </c>
      <c r="V1208" s="14">
        <v>130</v>
      </c>
      <c r="W1208" s="12">
        <v>0</v>
      </c>
      <c r="X1208" s="12">
        <v>0</v>
      </c>
      <c r="Y1208" s="12">
        <v>1</v>
      </c>
      <c r="Z1208" s="12">
        <v>18.02</v>
      </c>
      <c r="AA1208" s="12">
        <v>0</v>
      </c>
      <c r="AB1208" s="13">
        <f t="shared" si="73"/>
        <v>0</v>
      </c>
      <c r="AE1208" s="12">
        <v>0</v>
      </c>
      <c r="AF1208" s="12">
        <v>0</v>
      </c>
      <c r="AG1208" s="12">
        <v>1</v>
      </c>
      <c r="AH1208" s="12">
        <v>18.02</v>
      </c>
      <c r="AI1208" s="12">
        <v>0</v>
      </c>
      <c r="AJ1208" s="13">
        <f t="shared" si="74"/>
        <v>0</v>
      </c>
      <c r="AN1208" s="12">
        <f t="shared" si="75"/>
        <v>2473</v>
      </c>
      <c r="AQ1208" s="8" t="s">
        <v>417</v>
      </c>
      <c r="AR1208" t="str">
        <f t="shared" si="76"/>
        <v>Oeste - A05</v>
      </c>
    </row>
    <row r="1209" spans="1:44" x14ac:dyDescent="0.2">
      <c r="A1209" s="107" t="s">
        <v>1431</v>
      </c>
      <c r="B1209" s="106" t="s">
        <v>1430</v>
      </c>
      <c r="C1209" s="106" t="s">
        <v>1422</v>
      </c>
      <c r="D1209" s="106" t="s">
        <v>492</v>
      </c>
      <c r="E1209" s="106" t="s">
        <v>1421</v>
      </c>
      <c r="F1209" s="106" t="s">
        <v>490</v>
      </c>
      <c r="G1209" s="106" t="s">
        <v>1429</v>
      </c>
      <c r="H1209" s="105" t="s">
        <v>788</v>
      </c>
      <c r="I1209" s="105" t="s">
        <v>1425</v>
      </c>
      <c r="J1209" s="104">
        <v>0.99</v>
      </c>
      <c r="K1209" s="103" t="s">
        <v>425</v>
      </c>
      <c r="L1209" s="102" t="s">
        <v>533</v>
      </c>
      <c r="M1209" s="95"/>
      <c r="N1209" s="14"/>
      <c r="O1209" s="94">
        <v>27</v>
      </c>
      <c r="P1209" s="14" t="s">
        <v>485</v>
      </c>
      <c r="Q1209" s="14" t="s">
        <v>561</v>
      </c>
      <c r="R1209" s="14" t="s">
        <v>496</v>
      </c>
      <c r="S1209" s="15">
        <v>7.2</v>
      </c>
      <c r="T1209" s="15">
        <v>0.5</v>
      </c>
      <c r="U1209" s="15">
        <v>0</v>
      </c>
      <c r="V1209" s="14">
        <v>974</v>
      </c>
      <c r="W1209" s="12">
        <v>0</v>
      </c>
      <c r="X1209" s="12">
        <v>0</v>
      </c>
      <c r="Y1209" s="12">
        <v>0</v>
      </c>
      <c r="Z1209" s="12">
        <v>0.99</v>
      </c>
      <c r="AA1209" s="12">
        <v>0</v>
      </c>
      <c r="AB1209" s="13">
        <f t="shared" si="73"/>
        <v>0</v>
      </c>
      <c r="AE1209" s="12">
        <v>0</v>
      </c>
      <c r="AF1209" s="12">
        <v>0</v>
      </c>
      <c r="AG1209" s="12">
        <v>0</v>
      </c>
      <c r="AH1209" s="12">
        <v>0.99</v>
      </c>
      <c r="AI1209" s="12">
        <v>0</v>
      </c>
      <c r="AJ1209" s="13">
        <f t="shared" si="74"/>
        <v>0</v>
      </c>
      <c r="AN1209" s="12">
        <f t="shared" si="75"/>
        <v>965</v>
      </c>
      <c r="AQ1209" s="8" t="s">
        <v>418</v>
      </c>
      <c r="AR1209" t="str">
        <f t="shared" si="76"/>
        <v>Noroeste - A05</v>
      </c>
    </row>
    <row r="1210" spans="1:44" x14ac:dyDescent="0.2">
      <c r="A1210" s="107" t="s">
        <v>1428</v>
      </c>
      <c r="B1210" s="106" t="s">
        <v>1427</v>
      </c>
      <c r="C1210" s="106" t="s">
        <v>1422</v>
      </c>
      <c r="D1210" s="106" t="s">
        <v>519</v>
      </c>
      <c r="E1210" s="106" t="s">
        <v>1421</v>
      </c>
      <c r="F1210" s="106" t="s">
        <v>490</v>
      </c>
      <c r="G1210" s="106" t="s">
        <v>1426</v>
      </c>
      <c r="H1210" s="105" t="s">
        <v>1425</v>
      </c>
      <c r="I1210" s="105" t="s">
        <v>1419</v>
      </c>
      <c r="J1210" s="104">
        <v>14.1</v>
      </c>
      <c r="K1210" s="103" t="s">
        <v>425</v>
      </c>
      <c r="L1210" s="102" t="s">
        <v>533</v>
      </c>
      <c r="M1210" s="95"/>
      <c r="N1210" s="14"/>
      <c r="O1210" s="94">
        <v>27</v>
      </c>
      <c r="P1210" s="14" t="s">
        <v>485</v>
      </c>
      <c r="Q1210" s="14" t="s">
        <v>561</v>
      </c>
      <c r="R1210" s="14" t="s">
        <v>496</v>
      </c>
      <c r="S1210" s="15">
        <v>7.2</v>
      </c>
      <c r="T1210" s="15">
        <v>0.5</v>
      </c>
      <c r="U1210" s="15">
        <v>0</v>
      </c>
      <c r="V1210" s="14">
        <v>974</v>
      </c>
      <c r="W1210" s="12">
        <v>0</v>
      </c>
      <c r="X1210" s="12">
        <v>0</v>
      </c>
      <c r="Y1210" s="12">
        <v>0</v>
      </c>
      <c r="Z1210" s="12">
        <v>14.1</v>
      </c>
      <c r="AA1210" s="12">
        <v>0</v>
      </c>
      <c r="AB1210" s="13">
        <f t="shared" si="73"/>
        <v>0</v>
      </c>
      <c r="AE1210" s="12">
        <v>0</v>
      </c>
      <c r="AF1210" s="12">
        <v>0</v>
      </c>
      <c r="AG1210" s="12">
        <v>0</v>
      </c>
      <c r="AH1210" s="12">
        <v>14.1</v>
      </c>
      <c r="AI1210" s="12">
        <v>0</v>
      </c>
      <c r="AJ1210" s="13">
        <f t="shared" si="74"/>
        <v>0</v>
      </c>
      <c r="AN1210" s="12">
        <f t="shared" si="75"/>
        <v>13734</v>
      </c>
      <c r="AQ1210" s="8" t="s">
        <v>418</v>
      </c>
      <c r="AR1210" t="str">
        <f t="shared" si="76"/>
        <v>Noroeste - A05</v>
      </c>
    </row>
    <row r="1211" spans="1:44" x14ac:dyDescent="0.2">
      <c r="A1211" s="107" t="s">
        <v>1424</v>
      </c>
      <c r="B1211" s="106" t="s">
        <v>1423</v>
      </c>
      <c r="C1211" s="106" t="s">
        <v>1422</v>
      </c>
      <c r="D1211" s="106" t="s">
        <v>513</v>
      </c>
      <c r="E1211" s="106" t="s">
        <v>1421</v>
      </c>
      <c r="F1211" s="106" t="s">
        <v>490</v>
      </c>
      <c r="G1211" s="106" t="s">
        <v>1420</v>
      </c>
      <c r="H1211" s="105" t="s">
        <v>1419</v>
      </c>
      <c r="I1211" s="105" t="s">
        <v>1418</v>
      </c>
      <c r="J1211" s="104">
        <v>20.43</v>
      </c>
      <c r="K1211" s="103" t="s">
        <v>425</v>
      </c>
      <c r="L1211" s="102" t="s">
        <v>533</v>
      </c>
      <c r="M1211" s="95"/>
      <c r="N1211" s="14"/>
      <c r="O1211" s="94">
        <v>27</v>
      </c>
      <c r="P1211" s="14" t="s">
        <v>485</v>
      </c>
      <c r="Q1211" s="14" t="s">
        <v>561</v>
      </c>
      <c r="R1211" s="14" t="s">
        <v>496</v>
      </c>
      <c r="S1211" s="15">
        <v>7.2</v>
      </c>
      <c r="T1211" s="15">
        <v>0.5</v>
      </c>
      <c r="U1211" s="15">
        <v>0</v>
      </c>
      <c r="V1211" s="14">
        <v>1706</v>
      </c>
      <c r="W1211" s="12">
        <v>0</v>
      </c>
      <c r="X1211" s="12">
        <v>0</v>
      </c>
      <c r="Y1211" s="12">
        <v>0</v>
      </c>
      <c r="Z1211" s="12">
        <v>20.43</v>
      </c>
      <c r="AA1211" s="12">
        <v>0</v>
      </c>
      <c r="AB1211" s="13">
        <f t="shared" si="73"/>
        <v>0</v>
      </c>
      <c r="AE1211" s="12">
        <v>0</v>
      </c>
      <c r="AF1211" s="12">
        <v>0</v>
      </c>
      <c r="AG1211" s="12">
        <v>0</v>
      </c>
      <c r="AH1211" s="12">
        <v>20.43</v>
      </c>
      <c r="AI1211" s="12">
        <v>0</v>
      </c>
      <c r="AJ1211" s="13">
        <f t="shared" si="74"/>
        <v>0</v>
      </c>
      <c r="AN1211" s="12">
        <f t="shared" si="75"/>
        <v>34854</v>
      </c>
      <c r="AQ1211" s="8" t="s">
        <v>418</v>
      </c>
      <c r="AR1211" t="str">
        <f t="shared" si="76"/>
        <v>Noroeste - A05</v>
      </c>
    </row>
    <row r="1212" spans="1:44" x14ac:dyDescent="0.2">
      <c r="A1212" s="107" t="s">
        <v>1417</v>
      </c>
      <c r="B1212" s="106" t="s">
        <v>1414</v>
      </c>
      <c r="C1212" s="106" t="s">
        <v>1403</v>
      </c>
      <c r="D1212" s="106" t="s">
        <v>1065</v>
      </c>
      <c r="E1212" s="106" t="s">
        <v>1409</v>
      </c>
      <c r="F1212" s="106" t="s">
        <v>590</v>
      </c>
      <c r="G1212" s="106" t="s">
        <v>1416</v>
      </c>
      <c r="H1212" s="105" t="s">
        <v>1412</v>
      </c>
      <c r="I1212" s="105" t="s">
        <v>1407</v>
      </c>
      <c r="J1212" s="104">
        <v>0.69</v>
      </c>
      <c r="K1212" s="103" t="s">
        <v>429</v>
      </c>
      <c r="L1212" s="102" t="s">
        <v>533</v>
      </c>
      <c r="M1212" s="95"/>
      <c r="N1212" s="14"/>
      <c r="O1212" s="94">
        <v>31</v>
      </c>
      <c r="P1212" s="14" t="s">
        <v>586</v>
      </c>
      <c r="Q1212" s="14" t="s">
        <v>505</v>
      </c>
      <c r="R1212" s="14" t="s">
        <v>585</v>
      </c>
      <c r="S1212" s="15">
        <v>11.2</v>
      </c>
      <c r="T1212" s="15">
        <v>0</v>
      </c>
      <c r="U1212" s="15">
        <v>0</v>
      </c>
      <c r="V1212" s="14">
        <v>760</v>
      </c>
      <c r="W1212" s="12">
        <v>0</v>
      </c>
      <c r="X1212" s="12">
        <v>0</v>
      </c>
      <c r="Y1212" s="12">
        <v>1</v>
      </c>
      <c r="Z1212" s="12">
        <v>0.3899999999999999</v>
      </c>
      <c r="AA1212" s="12">
        <v>0</v>
      </c>
      <c r="AB1212" s="13">
        <f t="shared" si="73"/>
        <v>0.7</v>
      </c>
      <c r="AE1212" s="12">
        <f t="shared" ref="AE1212:AF1214" si="77">IF(W1212=0,0,W1212-$AB1212)</f>
        <v>0</v>
      </c>
      <c r="AF1212" s="12">
        <f t="shared" si="77"/>
        <v>0</v>
      </c>
      <c r="AG1212" s="12">
        <v>0.7</v>
      </c>
      <c r="AH1212" s="12">
        <v>0.04</v>
      </c>
      <c r="AI1212" s="12">
        <f>IF(AA1212=0,0,AA1212-$AB1212)</f>
        <v>0</v>
      </c>
      <c r="AJ1212" s="13">
        <f t="shared" si="74"/>
        <v>5.0000000000000044E-2</v>
      </c>
      <c r="AN1212" s="12">
        <f t="shared" si="75"/>
        <v>525</v>
      </c>
      <c r="AQ1212" s="8" t="s">
        <v>418</v>
      </c>
      <c r="AR1212" t="str">
        <f t="shared" si="76"/>
        <v>Noroeste - A09</v>
      </c>
    </row>
    <row r="1213" spans="1:44" x14ac:dyDescent="0.2">
      <c r="A1213" s="107" t="s">
        <v>1415</v>
      </c>
      <c r="B1213" s="106" t="s">
        <v>1414</v>
      </c>
      <c r="C1213" s="106" t="s">
        <v>1403</v>
      </c>
      <c r="D1213" s="106" t="s">
        <v>1065</v>
      </c>
      <c r="E1213" s="106" t="s">
        <v>1409</v>
      </c>
      <c r="F1213" s="106" t="s">
        <v>590</v>
      </c>
      <c r="G1213" s="106" t="s">
        <v>1413</v>
      </c>
      <c r="H1213" s="105" t="s">
        <v>1407</v>
      </c>
      <c r="I1213" s="105" t="s">
        <v>1412</v>
      </c>
      <c r="J1213" s="104">
        <v>0.75</v>
      </c>
      <c r="K1213" s="103" t="s">
        <v>429</v>
      </c>
      <c r="L1213" s="102" t="s">
        <v>533</v>
      </c>
      <c r="M1213" s="95"/>
      <c r="N1213" s="14"/>
      <c r="O1213" s="94">
        <v>31</v>
      </c>
      <c r="P1213" s="14" t="s">
        <v>586</v>
      </c>
      <c r="Q1213" s="14" t="s">
        <v>505</v>
      </c>
      <c r="R1213" s="14" t="s">
        <v>585</v>
      </c>
      <c r="S1213" s="15">
        <v>11.2</v>
      </c>
      <c r="T1213" s="15">
        <v>0</v>
      </c>
      <c r="U1213" s="15">
        <v>0</v>
      </c>
      <c r="V1213" s="14">
        <v>760</v>
      </c>
      <c r="W1213" s="12">
        <v>0</v>
      </c>
      <c r="X1213" s="12">
        <v>0</v>
      </c>
      <c r="Y1213" s="12">
        <v>1.39</v>
      </c>
      <c r="Z1213" s="12">
        <v>0</v>
      </c>
      <c r="AA1213" s="12">
        <v>0</v>
      </c>
      <c r="AB1213" s="13">
        <f t="shared" si="73"/>
        <v>0.6399999999999999</v>
      </c>
      <c r="AE1213" s="12">
        <f t="shared" si="77"/>
        <v>0</v>
      </c>
      <c r="AF1213" s="12">
        <f t="shared" si="77"/>
        <v>0</v>
      </c>
      <c r="AG1213" s="12">
        <f>IF(Y1213=0,0,Y1213-$AB1213)</f>
        <v>0.75</v>
      </c>
      <c r="AH1213" s="12">
        <f>IF(Z1213=0,0,Z1213-$AB1213)</f>
        <v>0</v>
      </c>
      <c r="AI1213" s="12">
        <f>IF(AA1213=0,0,AA1213-$AB1213)</f>
        <v>0</v>
      </c>
      <c r="AJ1213" s="13">
        <f t="shared" si="74"/>
        <v>0</v>
      </c>
      <c r="AN1213" s="12">
        <f t="shared" si="75"/>
        <v>570</v>
      </c>
      <c r="AQ1213" s="8" t="s">
        <v>418</v>
      </c>
      <c r="AR1213" t="str">
        <f t="shared" si="76"/>
        <v>Noroeste - A09</v>
      </c>
    </row>
    <row r="1214" spans="1:44" x14ac:dyDescent="0.2">
      <c r="A1214" s="107" t="s">
        <v>1411</v>
      </c>
      <c r="B1214" s="106" t="s">
        <v>1410</v>
      </c>
      <c r="C1214" s="106" t="s">
        <v>1403</v>
      </c>
      <c r="D1214" s="106" t="s">
        <v>751</v>
      </c>
      <c r="E1214" s="106" t="s">
        <v>1409</v>
      </c>
      <c r="F1214" s="106" t="s">
        <v>590</v>
      </c>
      <c r="G1214" s="106" t="s">
        <v>1408</v>
      </c>
      <c r="H1214" s="105" t="s">
        <v>1407</v>
      </c>
      <c r="I1214" s="105" t="s">
        <v>1406</v>
      </c>
      <c r="J1214" s="104">
        <v>0.65</v>
      </c>
      <c r="K1214" s="103" t="s">
        <v>429</v>
      </c>
      <c r="L1214" s="102" t="s">
        <v>533</v>
      </c>
      <c r="M1214" s="95"/>
      <c r="N1214" s="14"/>
      <c r="O1214" s="94">
        <v>31</v>
      </c>
      <c r="P1214" s="14" t="s">
        <v>586</v>
      </c>
      <c r="Q1214" s="14" t="s">
        <v>505</v>
      </c>
      <c r="R1214" s="14" t="s">
        <v>585</v>
      </c>
      <c r="S1214" s="15">
        <v>9.6999999999999993</v>
      </c>
      <c r="T1214" s="15">
        <v>0</v>
      </c>
      <c r="U1214" s="15">
        <v>0</v>
      </c>
      <c r="V1214" s="14">
        <v>760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3">
        <f t="shared" si="73"/>
        <v>-0.65</v>
      </c>
      <c r="AE1214" s="12">
        <f t="shared" si="77"/>
        <v>0</v>
      </c>
      <c r="AF1214" s="12">
        <f t="shared" si="77"/>
        <v>0</v>
      </c>
      <c r="AG1214" s="12">
        <v>0.39</v>
      </c>
      <c r="AH1214" s="12">
        <v>0.26</v>
      </c>
      <c r="AI1214" s="12">
        <f>IF(AA1214=0,0,AA1214-$AB1214)</f>
        <v>0</v>
      </c>
      <c r="AJ1214" s="13">
        <f t="shared" si="74"/>
        <v>0</v>
      </c>
      <c r="AN1214" s="12">
        <f t="shared" si="75"/>
        <v>494</v>
      </c>
      <c r="AQ1214" s="8" t="s">
        <v>418</v>
      </c>
      <c r="AR1214" t="str">
        <f t="shared" si="76"/>
        <v>Noroeste - A09</v>
      </c>
    </row>
    <row r="1215" spans="1:44" x14ac:dyDescent="0.2">
      <c r="A1215" s="107" t="s">
        <v>1405</v>
      </c>
      <c r="B1215" s="106" t="s">
        <v>1404</v>
      </c>
      <c r="C1215" s="106" t="s">
        <v>1403</v>
      </c>
      <c r="D1215" s="106" t="s">
        <v>492</v>
      </c>
      <c r="E1215" s="106" t="s">
        <v>1402</v>
      </c>
      <c r="F1215" s="106" t="s">
        <v>490</v>
      </c>
      <c r="G1215" s="106" t="s">
        <v>1401</v>
      </c>
      <c r="H1215" s="105" t="s">
        <v>1400</v>
      </c>
      <c r="I1215" s="105" t="s">
        <v>1399</v>
      </c>
      <c r="J1215" s="104">
        <v>3.84</v>
      </c>
      <c r="K1215" s="103" t="s">
        <v>429</v>
      </c>
      <c r="L1215" s="102" t="s">
        <v>533</v>
      </c>
      <c r="M1215" s="95"/>
      <c r="N1215" s="14"/>
      <c r="O1215" s="94">
        <v>31</v>
      </c>
      <c r="P1215" s="14" t="s">
        <v>485</v>
      </c>
      <c r="Q1215" s="14" t="s">
        <v>505</v>
      </c>
      <c r="R1215" s="14" t="s">
        <v>496</v>
      </c>
      <c r="S1215" s="15">
        <v>7</v>
      </c>
      <c r="T1215" s="15">
        <v>1</v>
      </c>
      <c r="U1215" s="15">
        <v>0</v>
      </c>
      <c r="V1215" s="14">
        <v>2888</v>
      </c>
      <c r="W1215" s="12">
        <v>0</v>
      </c>
      <c r="X1215" s="12">
        <v>0</v>
      </c>
      <c r="Y1215" s="12">
        <v>0</v>
      </c>
      <c r="Z1215" s="12">
        <v>3.84</v>
      </c>
      <c r="AA1215" s="12">
        <v>0</v>
      </c>
      <c r="AB1215" s="13">
        <f t="shared" si="73"/>
        <v>0</v>
      </c>
      <c r="AE1215" s="12">
        <v>0</v>
      </c>
      <c r="AF1215" s="12">
        <v>0</v>
      </c>
      <c r="AG1215" s="12">
        <v>0</v>
      </c>
      <c r="AH1215" s="12">
        <v>3.84</v>
      </c>
      <c r="AI1215" s="12">
        <v>0</v>
      </c>
      <c r="AJ1215" s="13">
        <f t="shared" si="74"/>
        <v>0</v>
      </c>
      <c r="AN1215" s="12">
        <f t="shared" si="75"/>
        <v>11090</v>
      </c>
      <c r="AQ1215" s="8" t="s">
        <v>418</v>
      </c>
      <c r="AR1215" t="str">
        <f t="shared" si="76"/>
        <v>Noroeste - A09</v>
      </c>
    </row>
    <row r="1216" spans="1:44" x14ac:dyDescent="0.2">
      <c r="A1216" s="107" t="s">
        <v>1398</v>
      </c>
      <c r="B1216" s="106" t="s">
        <v>1397</v>
      </c>
      <c r="C1216" s="106" t="s">
        <v>1396</v>
      </c>
      <c r="D1216" s="106" t="s">
        <v>492</v>
      </c>
      <c r="E1216" s="106" t="s">
        <v>1395</v>
      </c>
      <c r="F1216" s="106" t="s">
        <v>490</v>
      </c>
      <c r="G1216" s="106" t="s">
        <v>1394</v>
      </c>
      <c r="H1216" s="105" t="s">
        <v>1393</v>
      </c>
      <c r="I1216" s="105" t="s">
        <v>1392</v>
      </c>
      <c r="J1216" s="104">
        <v>13.3</v>
      </c>
      <c r="K1216" s="103" t="s">
        <v>427</v>
      </c>
      <c r="L1216" s="102" t="s">
        <v>507</v>
      </c>
      <c r="M1216" s="95"/>
      <c r="N1216" s="14"/>
      <c r="O1216" s="94">
        <v>39</v>
      </c>
      <c r="P1216" s="14" t="s">
        <v>485</v>
      </c>
      <c r="Q1216" s="14" t="s">
        <v>497</v>
      </c>
      <c r="R1216" s="14" t="s">
        <v>496</v>
      </c>
      <c r="S1216" s="15">
        <v>7</v>
      </c>
      <c r="T1216" s="15">
        <v>0</v>
      </c>
      <c r="U1216" s="15">
        <v>0</v>
      </c>
      <c r="V1216" s="14">
        <v>208</v>
      </c>
      <c r="W1216" s="12">
        <v>0</v>
      </c>
      <c r="X1216" s="12">
        <v>0</v>
      </c>
      <c r="Y1216" s="12">
        <v>2.3000000000000007</v>
      </c>
      <c r="Z1216" s="12">
        <v>11</v>
      </c>
      <c r="AA1216" s="12">
        <v>0</v>
      </c>
      <c r="AB1216" s="13">
        <f t="shared" si="73"/>
        <v>0</v>
      </c>
      <c r="AE1216" s="12">
        <v>0</v>
      </c>
      <c r="AF1216" s="12">
        <v>0</v>
      </c>
      <c r="AG1216" s="12">
        <v>2.3000000000000007</v>
      </c>
      <c r="AH1216" s="12">
        <v>11</v>
      </c>
      <c r="AI1216" s="12">
        <v>0</v>
      </c>
      <c r="AJ1216" s="13">
        <f t="shared" si="74"/>
        <v>0</v>
      </c>
      <c r="AN1216" s="12">
        <f t="shared" si="75"/>
        <v>2767</v>
      </c>
      <c r="AQ1216" s="8" t="s">
        <v>417</v>
      </c>
      <c r="AR1216" t="str">
        <f t="shared" si="76"/>
        <v>Oeste - A07</v>
      </c>
    </row>
    <row r="1217" spans="1:44" x14ac:dyDescent="0.2">
      <c r="A1217" s="107" t="s">
        <v>1391</v>
      </c>
      <c r="B1217" s="106" t="s">
        <v>1390</v>
      </c>
      <c r="C1217" s="106" t="s">
        <v>1380</v>
      </c>
      <c r="D1217" s="106" t="s">
        <v>492</v>
      </c>
      <c r="E1217" s="106" t="s">
        <v>1389</v>
      </c>
      <c r="F1217" s="106" t="s">
        <v>490</v>
      </c>
      <c r="G1217" s="106" t="s">
        <v>1388</v>
      </c>
      <c r="H1217" s="105" t="s">
        <v>1387</v>
      </c>
      <c r="I1217" s="105" t="s">
        <v>1377</v>
      </c>
      <c r="J1217" s="104">
        <v>20.74</v>
      </c>
      <c r="K1217" s="103" t="s">
        <v>424</v>
      </c>
      <c r="L1217" s="102" t="s">
        <v>507</v>
      </c>
      <c r="M1217" s="95"/>
      <c r="N1217" s="14"/>
      <c r="O1217" s="94">
        <v>36</v>
      </c>
      <c r="P1217" s="14" t="s">
        <v>485</v>
      </c>
      <c r="Q1217" s="14" t="s">
        <v>497</v>
      </c>
      <c r="R1217" s="14" t="s">
        <v>496</v>
      </c>
      <c r="S1217" s="15">
        <v>6.6</v>
      </c>
      <c r="T1217" s="15">
        <v>0</v>
      </c>
      <c r="U1217" s="15">
        <v>0</v>
      </c>
      <c r="V1217" s="14">
        <v>291</v>
      </c>
      <c r="W1217" s="12">
        <v>0</v>
      </c>
      <c r="X1217" s="12">
        <v>0</v>
      </c>
      <c r="Y1217" s="12">
        <v>2</v>
      </c>
      <c r="Z1217" s="12">
        <v>18.739999999999998</v>
      </c>
      <c r="AA1217" s="12">
        <v>0</v>
      </c>
      <c r="AB1217" s="13">
        <f t="shared" si="73"/>
        <v>0</v>
      </c>
      <c r="AE1217" s="12">
        <v>0</v>
      </c>
      <c r="AF1217" s="12">
        <v>0</v>
      </c>
      <c r="AG1217" s="12">
        <v>2</v>
      </c>
      <c r="AH1217" s="12">
        <v>18.739999999999998</v>
      </c>
      <c r="AI1217" s="12">
        <v>0</v>
      </c>
      <c r="AJ1217" s="13">
        <f t="shared" si="74"/>
        <v>0</v>
      </c>
      <c r="AN1217" s="12">
        <f t="shared" si="75"/>
        <v>6036</v>
      </c>
      <c r="AQ1217" s="8" t="s">
        <v>417</v>
      </c>
      <c r="AR1217" t="str">
        <f t="shared" si="76"/>
        <v>Oeste - A04</v>
      </c>
    </row>
    <row r="1218" spans="1:44" x14ac:dyDescent="0.2">
      <c r="A1218" s="107" t="s">
        <v>1386</v>
      </c>
      <c r="B1218" s="106" t="s">
        <v>1385</v>
      </c>
      <c r="C1218" s="106" t="s">
        <v>1380</v>
      </c>
      <c r="D1218" s="106" t="s">
        <v>519</v>
      </c>
      <c r="E1218" s="106" t="s">
        <v>1384</v>
      </c>
      <c r="F1218" s="106" t="s">
        <v>606</v>
      </c>
      <c r="G1218" s="106" t="s">
        <v>1383</v>
      </c>
      <c r="H1218" s="105" t="s">
        <v>1377</v>
      </c>
      <c r="I1218" s="105" t="s">
        <v>1376</v>
      </c>
      <c r="J1218" s="104">
        <v>2.48</v>
      </c>
      <c r="K1218" s="103" t="s">
        <v>424</v>
      </c>
      <c r="L1218" s="102" t="s">
        <v>507</v>
      </c>
      <c r="M1218" s="95"/>
      <c r="N1218" s="14"/>
      <c r="O1218" s="94">
        <v>36</v>
      </c>
      <c r="P1218" s="14" t="s">
        <v>596</v>
      </c>
      <c r="Q1218" s="14" t="s">
        <v>497</v>
      </c>
      <c r="R1218" s="14" t="s">
        <v>496</v>
      </c>
      <c r="S1218" s="15">
        <v>6.6</v>
      </c>
      <c r="T1218" s="15">
        <v>0.8</v>
      </c>
      <c r="U1218" s="15">
        <v>0</v>
      </c>
      <c r="V1218" s="14">
        <v>1165</v>
      </c>
      <c r="W1218" s="12">
        <v>0</v>
      </c>
      <c r="X1218" s="12">
        <v>0</v>
      </c>
      <c r="Y1218" s="12">
        <v>1</v>
      </c>
      <c r="Z1218" s="12">
        <v>1.48</v>
      </c>
      <c r="AA1218" s="12">
        <v>0</v>
      </c>
      <c r="AB1218" s="13">
        <f t="shared" si="73"/>
        <v>0</v>
      </c>
      <c r="AE1218" s="12">
        <v>0</v>
      </c>
      <c r="AF1218" s="12">
        <v>0</v>
      </c>
      <c r="AG1218" s="12">
        <v>1</v>
      </c>
      <c r="AH1218" s="12">
        <v>1.48</v>
      </c>
      <c r="AI1218" s="12">
        <v>0</v>
      </c>
      <c r="AJ1218" s="13">
        <f t="shared" si="74"/>
        <v>0</v>
      </c>
      <c r="AN1218" s="12">
        <f t="shared" si="75"/>
        <v>2890</v>
      </c>
      <c r="AQ1218" s="8" t="s">
        <v>417</v>
      </c>
      <c r="AR1218" t="str">
        <f t="shared" si="76"/>
        <v>Oeste - A04</v>
      </c>
    </row>
    <row r="1219" spans="1:44" x14ac:dyDescent="0.2">
      <c r="A1219" s="107" t="s">
        <v>1382</v>
      </c>
      <c r="B1219" s="106" t="s">
        <v>1381</v>
      </c>
      <c r="C1219" s="106" t="s">
        <v>1380</v>
      </c>
      <c r="D1219" s="106" t="s">
        <v>519</v>
      </c>
      <c r="E1219" s="106" t="s">
        <v>1379</v>
      </c>
      <c r="F1219" s="106" t="s">
        <v>600</v>
      </c>
      <c r="G1219" s="106" t="s">
        <v>1378</v>
      </c>
      <c r="H1219" s="105" t="s">
        <v>1377</v>
      </c>
      <c r="I1219" s="105" t="s">
        <v>1376</v>
      </c>
      <c r="J1219" s="104">
        <v>2.48</v>
      </c>
      <c r="K1219" s="103" t="s">
        <v>424</v>
      </c>
      <c r="L1219" s="102" t="s">
        <v>507</v>
      </c>
      <c r="M1219" s="95"/>
      <c r="N1219" s="14"/>
      <c r="O1219" s="94">
        <v>36</v>
      </c>
      <c r="P1219" s="14" t="s">
        <v>596</v>
      </c>
      <c r="Q1219" s="14" t="s">
        <v>497</v>
      </c>
      <c r="R1219" s="14" t="s">
        <v>496</v>
      </c>
      <c r="S1219" s="15">
        <v>6.6</v>
      </c>
      <c r="T1219" s="15">
        <v>0.8</v>
      </c>
      <c r="U1219" s="15">
        <v>0</v>
      </c>
      <c r="V1219" s="14">
        <v>1165</v>
      </c>
      <c r="W1219" s="12">
        <v>0</v>
      </c>
      <c r="X1219" s="12">
        <v>0</v>
      </c>
      <c r="Y1219" s="12">
        <v>1</v>
      </c>
      <c r="Z1219" s="12">
        <v>1.48</v>
      </c>
      <c r="AA1219" s="12">
        <v>0</v>
      </c>
      <c r="AB1219" s="13">
        <f t="shared" si="73"/>
        <v>0</v>
      </c>
      <c r="AE1219" s="12">
        <v>0</v>
      </c>
      <c r="AF1219" s="12">
        <v>0</v>
      </c>
      <c r="AG1219" s="12">
        <v>1</v>
      </c>
      <c r="AH1219" s="12">
        <v>1.48</v>
      </c>
      <c r="AI1219" s="12">
        <v>0</v>
      </c>
      <c r="AJ1219" s="13">
        <f t="shared" si="74"/>
        <v>0</v>
      </c>
      <c r="AN1219" s="12">
        <f t="shared" si="75"/>
        <v>2890</v>
      </c>
      <c r="AQ1219" s="8" t="s">
        <v>417</v>
      </c>
      <c r="AR1219" t="str">
        <f t="shared" si="76"/>
        <v>Oeste - A04</v>
      </c>
    </row>
    <row r="1220" spans="1:44" x14ac:dyDescent="0.2">
      <c r="A1220" s="107" t="s">
        <v>1375</v>
      </c>
      <c r="B1220" s="106" t="s">
        <v>1374</v>
      </c>
      <c r="C1220" s="106" t="s">
        <v>1361</v>
      </c>
      <c r="D1220" s="106" t="s">
        <v>1373</v>
      </c>
      <c r="E1220" s="106" t="s">
        <v>1366</v>
      </c>
      <c r="F1220" s="106" t="s">
        <v>590</v>
      </c>
      <c r="G1220" s="106" t="s">
        <v>1372</v>
      </c>
      <c r="H1220" s="105" t="s">
        <v>1371</v>
      </c>
      <c r="I1220" s="105" t="s">
        <v>1370</v>
      </c>
      <c r="J1220" s="104">
        <v>0.32</v>
      </c>
      <c r="K1220" s="103" t="s">
        <v>423</v>
      </c>
      <c r="L1220" s="102" t="s">
        <v>507</v>
      </c>
      <c r="M1220" s="95"/>
      <c r="N1220" s="14"/>
      <c r="O1220" s="94">
        <v>35</v>
      </c>
      <c r="P1220" s="14" t="s">
        <v>586</v>
      </c>
      <c r="Q1220" s="14" t="s">
        <v>497</v>
      </c>
      <c r="R1220" s="14" t="s">
        <v>496</v>
      </c>
      <c r="S1220" s="15">
        <v>8</v>
      </c>
      <c r="T1220" s="15">
        <v>0</v>
      </c>
      <c r="U1220" s="15">
        <v>0</v>
      </c>
      <c r="V1220" s="14">
        <v>212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3">
        <f t="shared" si="73"/>
        <v>-0.32</v>
      </c>
      <c r="AE1220" s="12">
        <f>IF(W1220=0,0,W1220-$AB1220)</f>
        <v>0</v>
      </c>
      <c r="AF1220" s="12">
        <f>IF(X1220=0,0,X1220-$AB1220)</f>
        <v>0</v>
      </c>
      <c r="AG1220" s="12">
        <v>0.32</v>
      </c>
      <c r="AH1220" s="12">
        <f>IF(Z1220=0,0,Z1220-$AB1220)</f>
        <v>0</v>
      </c>
      <c r="AI1220" s="12">
        <f>IF(AA1220=0,0,AA1220-$AB1220)</f>
        <v>0</v>
      </c>
      <c r="AJ1220" s="13">
        <f t="shared" si="74"/>
        <v>0</v>
      </c>
      <c r="AN1220" s="12">
        <f t="shared" si="75"/>
        <v>68</v>
      </c>
      <c r="AQ1220" s="8" t="s">
        <v>417</v>
      </c>
      <c r="AR1220" t="str">
        <f t="shared" si="76"/>
        <v>Oeste - A03</v>
      </c>
    </row>
    <row r="1221" spans="1:44" x14ac:dyDescent="0.2">
      <c r="A1221" s="107" t="s">
        <v>1369</v>
      </c>
      <c r="B1221" s="106" t="s">
        <v>1368</v>
      </c>
      <c r="C1221" s="106" t="s">
        <v>1361</v>
      </c>
      <c r="D1221" s="106" t="s">
        <v>1367</v>
      </c>
      <c r="E1221" s="106" t="s">
        <v>1366</v>
      </c>
      <c r="F1221" s="106" t="s">
        <v>590</v>
      </c>
      <c r="G1221" s="106" t="s">
        <v>1365</v>
      </c>
      <c r="H1221" s="105" t="s">
        <v>1364</v>
      </c>
      <c r="I1221" s="105" t="s">
        <v>1358</v>
      </c>
      <c r="J1221" s="104">
        <v>1.52</v>
      </c>
      <c r="K1221" s="103" t="s">
        <v>423</v>
      </c>
      <c r="L1221" s="102" t="s">
        <v>507</v>
      </c>
      <c r="M1221" s="95"/>
      <c r="N1221" s="14"/>
      <c r="O1221" s="94">
        <v>35</v>
      </c>
      <c r="P1221" s="14" t="s">
        <v>586</v>
      </c>
      <c r="Q1221" s="14" t="s">
        <v>497</v>
      </c>
      <c r="R1221" s="14" t="s">
        <v>496</v>
      </c>
      <c r="S1221" s="15">
        <v>14</v>
      </c>
      <c r="T1221" s="15">
        <v>0</v>
      </c>
      <c r="U1221" s="15">
        <v>0</v>
      </c>
      <c r="V1221" s="14">
        <v>911</v>
      </c>
      <c r="W1221" s="12">
        <v>0</v>
      </c>
      <c r="X1221" s="12">
        <v>0</v>
      </c>
      <c r="Y1221" s="12">
        <v>1.52</v>
      </c>
      <c r="Z1221" s="12">
        <v>0</v>
      </c>
      <c r="AA1221" s="12">
        <v>0</v>
      </c>
      <c r="AB1221" s="13">
        <f t="shared" si="73"/>
        <v>0</v>
      </c>
      <c r="AE1221" s="12">
        <v>0</v>
      </c>
      <c r="AF1221" s="12">
        <v>0</v>
      </c>
      <c r="AG1221" s="12">
        <v>1.52</v>
      </c>
      <c r="AH1221" s="12">
        <v>0</v>
      </c>
      <c r="AI1221" s="12">
        <v>0</v>
      </c>
      <c r="AJ1221" s="13">
        <f t="shared" si="74"/>
        <v>0</v>
      </c>
      <c r="AN1221" s="12">
        <f t="shared" si="75"/>
        <v>1385</v>
      </c>
      <c r="AQ1221" s="8" t="s">
        <v>417</v>
      </c>
      <c r="AR1221" t="str">
        <f t="shared" si="76"/>
        <v>Oeste - A03</v>
      </c>
    </row>
    <row r="1222" spans="1:44" x14ac:dyDescent="0.2">
      <c r="A1222" s="107" t="s">
        <v>1363</v>
      </c>
      <c r="B1222" s="106" t="s">
        <v>1362</v>
      </c>
      <c r="C1222" s="106" t="s">
        <v>1361</v>
      </c>
      <c r="D1222" s="106" t="s">
        <v>492</v>
      </c>
      <c r="E1222" s="106" t="s">
        <v>1360</v>
      </c>
      <c r="F1222" s="106" t="s">
        <v>490</v>
      </c>
      <c r="G1222" s="106" t="s">
        <v>1359</v>
      </c>
      <c r="H1222" s="105" t="s">
        <v>1358</v>
      </c>
      <c r="I1222" s="105" t="s">
        <v>1357</v>
      </c>
      <c r="J1222" s="104">
        <v>13.11</v>
      </c>
      <c r="K1222" s="103" t="s">
        <v>423</v>
      </c>
      <c r="L1222" s="102" t="s">
        <v>507</v>
      </c>
      <c r="M1222" s="95"/>
      <c r="N1222" s="14"/>
      <c r="O1222" s="94">
        <v>35</v>
      </c>
      <c r="P1222" s="14" t="s">
        <v>485</v>
      </c>
      <c r="Q1222" s="14" t="s">
        <v>497</v>
      </c>
      <c r="R1222" s="14" t="s">
        <v>496</v>
      </c>
      <c r="S1222" s="15">
        <v>7</v>
      </c>
      <c r="T1222" s="15">
        <v>0</v>
      </c>
      <c r="U1222" s="15">
        <v>0</v>
      </c>
      <c r="V1222" s="14">
        <v>2428</v>
      </c>
      <c r="W1222" s="12">
        <v>0</v>
      </c>
      <c r="X1222" s="12">
        <v>3.1099999999999994</v>
      </c>
      <c r="Y1222" s="12">
        <v>8</v>
      </c>
      <c r="Z1222" s="12">
        <v>2</v>
      </c>
      <c r="AA1222" s="12">
        <v>0</v>
      </c>
      <c r="AB1222" s="13">
        <f t="shared" ref="AB1222:AB1285" si="78">SUM(W1222:AA1222)-J1222</f>
        <v>0</v>
      </c>
      <c r="AE1222" s="12">
        <v>0</v>
      </c>
      <c r="AF1222" s="12">
        <v>3.1099999999999994</v>
      </c>
      <c r="AG1222" s="12">
        <v>8</v>
      </c>
      <c r="AH1222" s="12">
        <v>2</v>
      </c>
      <c r="AI1222" s="12">
        <v>0</v>
      </c>
      <c r="AJ1222" s="13">
        <f t="shared" ref="AJ1222:AJ1285" si="79">SUM(AE1222:AI1222)-J1222</f>
        <v>0</v>
      </c>
      <c r="AN1222" s="12">
        <f t="shared" ref="AN1222:AN1285" si="80">ROUNDUP(V1222*J1222,0)</f>
        <v>31832</v>
      </c>
      <c r="AQ1222" s="8" t="s">
        <v>417</v>
      </c>
      <c r="AR1222" t="str">
        <f t="shared" ref="AR1222:AR1285" si="81">AQ1222&amp;" - "&amp;K1222</f>
        <v>Oeste - A03</v>
      </c>
    </row>
    <row r="1223" spans="1:44" x14ac:dyDescent="0.2">
      <c r="A1223" s="107" t="s">
        <v>1356</v>
      </c>
      <c r="B1223" s="106" t="s">
        <v>1355</v>
      </c>
      <c r="C1223" s="106" t="s">
        <v>1345</v>
      </c>
      <c r="D1223" s="106" t="s">
        <v>1032</v>
      </c>
      <c r="E1223" s="106" t="s">
        <v>1344</v>
      </c>
      <c r="F1223" s="106" t="s">
        <v>590</v>
      </c>
      <c r="G1223" s="106" t="s">
        <v>1354</v>
      </c>
      <c r="H1223" s="105" t="s">
        <v>1353</v>
      </c>
      <c r="I1223" s="105" t="s">
        <v>1348</v>
      </c>
      <c r="J1223" s="104">
        <v>0.38</v>
      </c>
      <c r="K1223" s="103" t="s">
        <v>423</v>
      </c>
      <c r="L1223" s="102" t="s">
        <v>507</v>
      </c>
      <c r="M1223" s="95"/>
      <c r="N1223" s="14"/>
      <c r="O1223" s="94">
        <v>35</v>
      </c>
      <c r="P1223" s="14" t="s">
        <v>586</v>
      </c>
      <c r="Q1223" s="14" t="s">
        <v>497</v>
      </c>
      <c r="R1223" s="14" t="s">
        <v>496</v>
      </c>
      <c r="S1223" s="15">
        <v>8</v>
      </c>
      <c r="T1223" s="15">
        <v>0</v>
      </c>
      <c r="U1223" s="15">
        <v>0</v>
      </c>
      <c r="V1223" s="14">
        <v>212</v>
      </c>
      <c r="W1223" s="12">
        <v>0</v>
      </c>
      <c r="X1223" s="12">
        <v>0</v>
      </c>
      <c r="Y1223" s="12">
        <v>0</v>
      </c>
      <c r="Z1223" s="12">
        <v>0.38</v>
      </c>
      <c r="AA1223" s="12">
        <v>0</v>
      </c>
      <c r="AB1223" s="13">
        <f t="shared" si="78"/>
        <v>0</v>
      </c>
      <c r="AE1223" s="12">
        <v>0</v>
      </c>
      <c r="AF1223" s="12">
        <v>0</v>
      </c>
      <c r="AG1223" s="12">
        <v>0</v>
      </c>
      <c r="AH1223" s="12">
        <v>0.38</v>
      </c>
      <c r="AI1223" s="12">
        <v>0</v>
      </c>
      <c r="AJ1223" s="13">
        <f t="shared" si="79"/>
        <v>0</v>
      </c>
      <c r="AN1223" s="12">
        <f t="shared" si="80"/>
        <v>81</v>
      </c>
      <c r="AQ1223" s="8" t="s">
        <v>417</v>
      </c>
      <c r="AR1223" t="str">
        <f t="shared" si="81"/>
        <v>Oeste - A03</v>
      </c>
    </row>
    <row r="1224" spans="1:44" x14ac:dyDescent="0.2">
      <c r="A1224" s="107" t="s">
        <v>1352</v>
      </c>
      <c r="B1224" s="106" t="s">
        <v>1351</v>
      </c>
      <c r="C1224" s="106" t="s">
        <v>1345</v>
      </c>
      <c r="D1224" s="106" t="s">
        <v>513</v>
      </c>
      <c r="E1224" s="106" t="s">
        <v>1350</v>
      </c>
      <c r="F1224" s="106" t="s">
        <v>490</v>
      </c>
      <c r="G1224" s="106" t="s">
        <v>1349</v>
      </c>
      <c r="H1224" s="105" t="s">
        <v>1348</v>
      </c>
      <c r="I1224" s="105" t="s">
        <v>1342</v>
      </c>
      <c r="J1224" s="104">
        <v>13.31</v>
      </c>
      <c r="K1224" s="103" t="s">
        <v>423</v>
      </c>
      <c r="L1224" s="102" t="s">
        <v>507</v>
      </c>
      <c r="M1224" s="95"/>
      <c r="N1224" s="14"/>
      <c r="O1224" s="94">
        <v>35</v>
      </c>
      <c r="P1224" s="14" t="s">
        <v>485</v>
      </c>
      <c r="Q1224" s="14" t="s">
        <v>497</v>
      </c>
      <c r="R1224" s="14" t="s">
        <v>496</v>
      </c>
      <c r="S1224" s="15">
        <v>7</v>
      </c>
      <c r="T1224" s="15">
        <v>0.5</v>
      </c>
      <c r="U1224" s="15">
        <v>0</v>
      </c>
      <c r="V1224" s="14">
        <v>1212</v>
      </c>
      <c r="W1224" s="12">
        <v>0</v>
      </c>
      <c r="X1224" s="12">
        <v>0</v>
      </c>
      <c r="Y1224" s="12">
        <v>0.3100000000000005</v>
      </c>
      <c r="Z1224" s="12">
        <v>13</v>
      </c>
      <c r="AA1224" s="12">
        <v>0</v>
      </c>
      <c r="AB1224" s="13">
        <f t="shared" si="78"/>
        <v>0</v>
      </c>
      <c r="AE1224" s="12">
        <v>0</v>
      </c>
      <c r="AF1224" s="12">
        <v>0</v>
      </c>
      <c r="AG1224" s="12">
        <v>0.3100000000000005</v>
      </c>
      <c r="AH1224" s="12">
        <v>13</v>
      </c>
      <c r="AI1224" s="12">
        <v>0</v>
      </c>
      <c r="AJ1224" s="13">
        <f t="shared" si="79"/>
        <v>0</v>
      </c>
      <c r="AN1224" s="12">
        <f t="shared" si="80"/>
        <v>16132</v>
      </c>
      <c r="AQ1224" s="8" t="s">
        <v>417</v>
      </c>
      <c r="AR1224" t="str">
        <f t="shared" si="81"/>
        <v>Oeste - A03</v>
      </c>
    </row>
    <row r="1225" spans="1:44" x14ac:dyDescent="0.2">
      <c r="A1225" s="107" t="s">
        <v>1347</v>
      </c>
      <c r="B1225" s="106" t="s">
        <v>1346</v>
      </c>
      <c r="C1225" s="106" t="s">
        <v>1345</v>
      </c>
      <c r="D1225" s="106" t="s">
        <v>1324</v>
      </c>
      <c r="E1225" s="106" t="s">
        <v>1344</v>
      </c>
      <c r="F1225" s="106" t="s">
        <v>590</v>
      </c>
      <c r="G1225" s="106" t="s">
        <v>1343</v>
      </c>
      <c r="H1225" s="105" t="s">
        <v>1342</v>
      </c>
      <c r="I1225" s="105" t="s">
        <v>1341</v>
      </c>
      <c r="J1225" s="104">
        <v>0.32</v>
      </c>
      <c r="K1225" s="103" t="s">
        <v>423</v>
      </c>
      <c r="L1225" s="102" t="s">
        <v>507</v>
      </c>
      <c r="M1225" s="95"/>
      <c r="N1225" s="14"/>
      <c r="O1225" s="94">
        <v>35</v>
      </c>
      <c r="P1225" s="14" t="s">
        <v>586</v>
      </c>
      <c r="Q1225" s="14" t="s">
        <v>497</v>
      </c>
      <c r="R1225" s="14" t="s">
        <v>496</v>
      </c>
      <c r="S1225" s="15">
        <v>8</v>
      </c>
      <c r="T1225" s="15">
        <v>0</v>
      </c>
      <c r="U1225" s="15">
        <v>0</v>
      </c>
      <c r="V1225" s="14">
        <v>212</v>
      </c>
      <c r="W1225" s="12">
        <v>0</v>
      </c>
      <c r="X1225" s="12">
        <v>0</v>
      </c>
      <c r="Y1225" s="12">
        <v>0.32</v>
      </c>
      <c r="Z1225" s="12">
        <v>0</v>
      </c>
      <c r="AA1225" s="12">
        <v>0</v>
      </c>
      <c r="AB1225" s="13">
        <f t="shared" si="78"/>
        <v>0</v>
      </c>
      <c r="AE1225" s="12">
        <v>0</v>
      </c>
      <c r="AF1225" s="12">
        <v>0</v>
      </c>
      <c r="AG1225" s="12">
        <v>0.32</v>
      </c>
      <c r="AH1225" s="12">
        <v>0</v>
      </c>
      <c r="AI1225" s="12">
        <v>0</v>
      </c>
      <c r="AJ1225" s="13">
        <f t="shared" si="79"/>
        <v>0</v>
      </c>
      <c r="AN1225" s="12">
        <f t="shared" si="80"/>
        <v>68</v>
      </c>
      <c r="AQ1225" s="8" t="s">
        <v>417</v>
      </c>
      <c r="AR1225" t="str">
        <f t="shared" si="81"/>
        <v>Oeste - A03</v>
      </c>
    </row>
    <row r="1226" spans="1:44" x14ac:dyDescent="0.2">
      <c r="A1226" s="107" t="s">
        <v>1340</v>
      </c>
      <c r="B1226" s="106" t="s">
        <v>1339</v>
      </c>
      <c r="C1226" s="106" t="s">
        <v>1264</v>
      </c>
      <c r="D1226" s="106" t="s">
        <v>492</v>
      </c>
      <c r="E1226" s="106" t="s">
        <v>1262</v>
      </c>
      <c r="F1226" s="106" t="s">
        <v>490</v>
      </c>
      <c r="G1226" s="106" t="s">
        <v>1338</v>
      </c>
      <c r="H1226" s="105" t="s">
        <v>1337</v>
      </c>
      <c r="I1226" s="105" t="s">
        <v>1332</v>
      </c>
      <c r="J1226" s="104">
        <v>14.1</v>
      </c>
      <c r="K1226" s="103" t="s">
        <v>429</v>
      </c>
      <c r="L1226" s="102" t="s">
        <v>533</v>
      </c>
      <c r="M1226" s="95"/>
      <c r="N1226" s="14"/>
      <c r="O1226" s="94">
        <v>31</v>
      </c>
      <c r="P1226" s="14" t="s">
        <v>485</v>
      </c>
      <c r="Q1226" s="14" t="s">
        <v>1336</v>
      </c>
      <c r="R1226" s="14" t="s">
        <v>1336</v>
      </c>
      <c r="S1226" s="15" t="s">
        <v>1336</v>
      </c>
      <c r="T1226" s="15" t="s">
        <v>1336</v>
      </c>
      <c r="U1226" s="15" t="s">
        <v>1336</v>
      </c>
      <c r="V1226" s="14">
        <v>994</v>
      </c>
      <c r="W1226" s="12">
        <v>0</v>
      </c>
      <c r="X1226" s="12">
        <v>0</v>
      </c>
      <c r="Y1226" s="12">
        <v>5</v>
      </c>
      <c r="Z1226" s="12">
        <v>9.1</v>
      </c>
      <c r="AA1226" s="12">
        <v>0</v>
      </c>
      <c r="AB1226" s="13">
        <f t="shared" si="78"/>
        <v>0</v>
      </c>
      <c r="AE1226" s="12">
        <v>0</v>
      </c>
      <c r="AF1226" s="12">
        <v>0</v>
      </c>
      <c r="AG1226" s="12">
        <v>5</v>
      </c>
      <c r="AH1226" s="12">
        <v>9.1</v>
      </c>
      <c r="AI1226" s="12">
        <v>0</v>
      </c>
      <c r="AJ1226" s="13">
        <f t="shared" si="79"/>
        <v>0</v>
      </c>
      <c r="AN1226" s="12">
        <f t="shared" si="80"/>
        <v>14016</v>
      </c>
      <c r="AQ1226" s="8" t="s">
        <v>418</v>
      </c>
      <c r="AR1226" t="str">
        <f t="shared" si="81"/>
        <v>Noroeste - A09</v>
      </c>
    </row>
    <row r="1227" spans="1:44" x14ac:dyDescent="0.2">
      <c r="A1227" s="107" t="s">
        <v>1335</v>
      </c>
      <c r="B1227" s="106" t="s">
        <v>1334</v>
      </c>
      <c r="C1227" s="106" t="s">
        <v>1264</v>
      </c>
      <c r="D1227" s="106" t="s">
        <v>513</v>
      </c>
      <c r="E1227" s="106" t="s">
        <v>1262</v>
      </c>
      <c r="F1227" s="106" t="s">
        <v>490</v>
      </c>
      <c r="G1227" s="106" t="s">
        <v>1333</v>
      </c>
      <c r="H1227" s="105" t="s">
        <v>1332</v>
      </c>
      <c r="I1227" s="105" t="s">
        <v>1327</v>
      </c>
      <c r="J1227" s="104">
        <v>10.81</v>
      </c>
      <c r="K1227" s="103" t="s">
        <v>429</v>
      </c>
      <c r="L1227" s="102" t="s">
        <v>533</v>
      </c>
      <c r="M1227" s="95"/>
      <c r="N1227" s="14"/>
      <c r="O1227" s="94">
        <v>31</v>
      </c>
      <c r="P1227" s="14" t="s">
        <v>485</v>
      </c>
      <c r="Q1227" s="14" t="s">
        <v>887</v>
      </c>
      <c r="R1227" s="14" t="s">
        <v>496</v>
      </c>
      <c r="S1227" s="15">
        <v>7</v>
      </c>
      <c r="T1227" s="15">
        <v>0.7</v>
      </c>
      <c r="U1227" s="15">
        <v>0</v>
      </c>
      <c r="V1227" s="14">
        <v>744</v>
      </c>
      <c r="W1227" s="12">
        <v>0</v>
      </c>
      <c r="X1227" s="12">
        <v>0</v>
      </c>
      <c r="Y1227" s="12">
        <v>7.8100000000000005</v>
      </c>
      <c r="Z1227" s="12">
        <v>3</v>
      </c>
      <c r="AA1227" s="12">
        <v>0</v>
      </c>
      <c r="AB1227" s="13">
        <f t="shared" si="78"/>
        <v>0</v>
      </c>
      <c r="AE1227" s="12">
        <v>0</v>
      </c>
      <c r="AF1227" s="12">
        <v>0</v>
      </c>
      <c r="AG1227" s="12">
        <v>7.8100000000000005</v>
      </c>
      <c r="AH1227" s="12">
        <v>3</v>
      </c>
      <c r="AI1227" s="12">
        <v>0</v>
      </c>
      <c r="AJ1227" s="13">
        <f t="shared" si="79"/>
        <v>0</v>
      </c>
      <c r="AN1227" s="12">
        <f t="shared" si="80"/>
        <v>8043</v>
      </c>
      <c r="AQ1227" s="8" t="s">
        <v>418</v>
      </c>
      <c r="AR1227" t="str">
        <f t="shared" si="81"/>
        <v>Noroeste - A09</v>
      </c>
    </row>
    <row r="1228" spans="1:44" x14ac:dyDescent="0.2">
      <c r="A1228" s="107" t="s">
        <v>1331</v>
      </c>
      <c r="B1228" s="106" t="s">
        <v>1330</v>
      </c>
      <c r="C1228" s="106" t="s">
        <v>1264</v>
      </c>
      <c r="D1228" s="106" t="s">
        <v>1329</v>
      </c>
      <c r="E1228" s="106" t="s">
        <v>1274</v>
      </c>
      <c r="F1228" s="106" t="s">
        <v>590</v>
      </c>
      <c r="G1228" s="106" t="s">
        <v>1328</v>
      </c>
      <c r="H1228" s="105" t="s">
        <v>1327</v>
      </c>
      <c r="I1228" s="105" t="s">
        <v>1322</v>
      </c>
      <c r="J1228" s="104">
        <v>0.92</v>
      </c>
      <c r="K1228" s="103" t="s">
        <v>429</v>
      </c>
      <c r="L1228" s="102" t="s">
        <v>533</v>
      </c>
      <c r="M1228" s="95"/>
      <c r="N1228" s="14"/>
      <c r="O1228" s="94">
        <v>31</v>
      </c>
      <c r="P1228" s="14" t="s">
        <v>586</v>
      </c>
      <c r="Q1228" s="14" t="s">
        <v>887</v>
      </c>
      <c r="R1228" s="14" t="s">
        <v>496</v>
      </c>
      <c r="S1228" s="15">
        <v>14</v>
      </c>
      <c r="T1228" s="15">
        <v>0</v>
      </c>
      <c r="U1228" s="15">
        <v>0</v>
      </c>
      <c r="V1228" s="14">
        <v>128</v>
      </c>
      <c r="W1228" s="12">
        <v>0</v>
      </c>
      <c r="X1228" s="12">
        <v>0</v>
      </c>
      <c r="Y1228" s="12">
        <v>0.92</v>
      </c>
      <c r="Z1228" s="12">
        <v>0</v>
      </c>
      <c r="AA1228" s="12">
        <v>0</v>
      </c>
      <c r="AB1228" s="13">
        <f t="shared" si="78"/>
        <v>0</v>
      </c>
      <c r="AE1228" s="12">
        <v>0</v>
      </c>
      <c r="AF1228" s="12">
        <v>0</v>
      </c>
      <c r="AG1228" s="12">
        <v>0.92</v>
      </c>
      <c r="AH1228" s="12">
        <v>0</v>
      </c>
      <c r="AI1228" s="12">
        <v>0</v>
      </c>
      <c r="AJ1228" s="13">
        <f t="shared" si="79"/>
        <v>0</v>
      </c>
      <c r="AN1228" s="12">
        <f t="shared" si="80"/>
        <v>118</v>
      </c>
      <c r="AQ1228" s="8" t="s">
        <v>418</v>
      </c>
      <c r="AR1228" t="str">
        <f t="shared" si="81"/>
        <v>Noroeste - A09</v>
      </c>
    </row>
    <row r="1229" spans="1:44" x14ac:dyDescent="0.2">
      <c r="A1229" s="107" t="s">
        <v>1326</v>
      </c>
      <c r="B1229" s="106" t="s">
        <v>1325</v>
      </c>
      <c r="C1229" s="106" t="s">
        <v>1264</v>
      </c>
      <c r="D1229" s="106" t="s">
        <v>1324</v>
      </c>
      <c r="E1229" s="106" t="s">
        <v>1274</v>
      </c>
      <c r="F1229" s="106" t="s">
        <v>590</v>
      </c>
      <c r="G1229" s="106" t="s">
        <v>1323</v>
      </c>
      <c r="H1229" s="105" t="s">
        <v>1322</v>
      </c>
      <c r="I1229" s="105" t="s">
        <v>1317</v>
      </c>
      <c r="J1229" s="104">
        <v>0.89</v>
      </c>
      <c r="K1229" s="103" t="s">
        <v>427</v>
      </c>
      <c r="L1229" s="102" t="s">
        <v>533</v>
      </c>
      <c r="M1229" s="95"/>
      <c r="N1229" s="14"/>
      <c r="O1229" s="94">
        <v>29</v>
      </c>
      <c r="P1229" s="14" t="s">
        <v>586</v>
      </c>
      <c r="Q1229" s="14" t="s">
        <v>887</v>
      </c>
      <c r="R1229" s="14" t="s">
        <v>496</v>
      </c>
      <c r="S1229" s="15">
        <v>15.5</v>
      </c>
      <c r="T1229" s="15">
        <v>0</v>
      </c>
      <c r="U1229" s="15">
        <v>0</v>
      </c>
      <c r="V1229" s="14">
        <v>221</v>
      </c>
      <c r="W1229" s="12">
        <v>0</v>
      </c>
      <c r="X1229" s="12">
        <v>0</v>
      </c>
      <c r="Y1229" s="12">
        <v>0.89</v>
      </c>
      <c r="Z1229" s="12">
        <v>0</v>
      </c>
      <c r="AA1229" s="12">
        <v>0</v>
      </c>
      <c r="AB1229" s="13">
        <f t="shared" si="78"/>
        <v>0</v>
      </c>
      <c r="AE1229" s="12">
        <v>0</v>
      </c>
      <c r="AF1229" s="12">
        <v>0</v>
      </c>
      <c r="AG1229" s="12">
        <v>0.89</v>
      </c>
      <c r="AH1229" s="12">
        <v>0</v>
      </c>
      <c r="AI1229" s="12">
        <v>0</v>
      </c>
      <c r="AJ1229" s="13">
        <f t="shared" si="79"/>
        <v>0</v>
      </c>
      <c r="AN1229" s="12">
        <f t="shared" si="80"/>
        <v>197</v>
      </c>
      <c r="AQ1229" s="8" t="s">
        <v>418</v>
      </c>
      <c r="AR1229" t="str">
        <f t="shared" si="81"/>
        <v>Noroeste - A07</v>
      </c>
    </row>
    <row r="1230" spans="1:44" x14ac:dyDescent="0.2">
      <c r="A1230" s="107" t="s">
        <v>1321</v>
      </c>
      <c r="B1230" s="106" t="s">
        <v>1320</v>
      </c>
      <c r="C1230" s="106" t="s">
        <v>1264</v>
      </c>
      <c r="D1230" s="106" t="s">
        <v>1319</v>
      </c>
      <c r="E1230" s="106" t="s">
        <v>1262</v>
      </c>
      <c r="F1230" s="106" t="s">
        <v>490</v>
      </c>
      <c r="G1230" s="106" t="s">
        <v>1318</v>
      </c>
      <c r="H1230" s="105" t="s">
        <v>1317</v>
      </c>
      <c r="I1230" s="105" t="s">
        <v>1312</v>
      </c>
      <c r="J1230" s="104">
        <v>5.47</v>
      </c>
      <c r="K1230" s="103" t="s">
        <v>427</v>
      </c>
      <c r="L1230" s="102" t="s">
        <v>533</v>
      </c>
      <c r="M1230" s="95"/>
      <c r="N1230" s="14"/>
      <c r="O1230" s="94">
        <v>29</v>
      </c>
      <c r="P1230" s="14" t="s">
        <v>485</v>
      </c>
      <c r="Q1230" s="14" t="s">
        <v>887</v>
      </c>
      <c r="R1230" s="14" t="s">
        <v>496</v>
      </c>
      <c r="S1230" s="15">
        <v>7.1</v>
      </c>
      <c r="T1230" s="15">
        <v>0.5</v>
      </c>
      <c r="U1230" s="15">
        <v>0</v>
      </c>
      <c r="V1230" s="14">
        <v>1970</v>
      </c>
      <c r="W1230" s="12">
        <v>0</v>
      </c>
      <c r="X1230" s="12">
        <v>0</v>
      </c>
      <c r="Y1230" s="12">
        <v>0</v>
      </c>
      <c r="Z1230" s="12">
        <v>5.47</v>
      </c>
      <c r="AA1230" s="12">
        <v>0</v>
      </c>
      <c r="AB1230" s="13">
        <f t="shared" si="78"/>
        <v>0</v>
      </c>
      <c r="AE1230" s="12">
        <v>0</v>
      </c>
      <c r="AF1230" s="12">
        <v>0</v>
      </c>
      <c r="AG1230" s="12">
        <v>0</v>
      </c>
      <c r="AH1230" s="12">
        <v>5.47</v>
      </c>
      <c r="AI1230" s="12">
        <v>0</v>
      </c>
      <c r="AJ1230" s="13">
        <f t="shared" si="79"/>
        <v>0</v>
      </c>
      <c r="AN1230" s="12">
        <f t="shared" si="80"/>
        <v>10776</v>
      </c>
      <c r="AQ1230" s="8" t="s">
        <v>418</v>
      </c>
      <c r="AR1230" t="str">
        <f t="shared" si="81"/>
        <v>Noroeste - A07</v>
      </c>
    </row>
    <row r="1231" spans="1:44" x14ac:dyDescent="0.2">
      <c r="A1231" s="107" t="s">
        <v>1316</v>
      </c>
      <c r="B1231" s="106" t="s">
        <v>1315</v>
      </c>
      <c r="C1231" s="106" t="s">
        <v>1264</v>
      </c>
      <c r="D1231" s="106" t="s">
        <v>1314</v>
      </c>
      <c r="E1231" s="106" t="s">
        <v>1262</v>
      </c>
      <c r="F1231" s="106" t="s">
        <v>490</v>
      </c>
      <c r="G1231" s="106" t="s">
        <v>1313</v>
      </c>
      <c r="H1231" s="105" t="s">
        <v>1312</v>
      </c>
      <c r="I1231" s="105" t="s">
        <v>1307</v>
      </c>
      <c r="J1231" s="104">
        <v>11.59</v>
      </c>
      <c r="K1231" s="103" t="s">
        <v>427</v>
      </c>
      <c r="L1231" s="102" t="s">
        <v>533</v>
      </c>
      <c r="M1231" s="95"/>
      <c r="N1231" s="14"/>
      <c r="O1231" s="94">
        <v>29</v>
      </c>
      <c r="P1231" s="14" t="s">
        <v>485</v>
      </c>
      <c r="Q1231" s="14" t="s">
        <v>887</v>
      </c>
      <c r="R1231" s="14" t="s">
        <v>496</v>
      </c>
      <c r="S1231" s="15">
        <v>7.1</v>
      </c>
      <c r="T1231" s="15">
        <v>0.5</v>
      </c>
      <c r="U1231" s="15">
        <v>0</v>
      </c>
      <c r="V1231" s="14">
        <v>1172</v>
      </c>
      <c r="W1231" s="12">
        <v>0</v>
      </c>
      <c r="X1231" s="12">
        <v>0</v>
      </c>
      <c r="Y1231" s="12">
        <v>2</v>
      </c>
      <c r="Z1231" s="12">
        <v>9.59</v>
      </c>
      <c r="AA1231" s="12">
        <v>0</v>
      </c>
      <c r="AB1231" s="13">
        <f t="shared" si="78"/>
        <v>0</v>
      </c>
      <c r="AE1231" s="12">
        <v>0</v>
      </c>
      <c r="AF1231" s="12">
        <v>0</v>
      </c>
      <c r="AG1231" s="12">
        <v>2</v>
      </c>
      <c r="AH1231" s="12">
        <v>9.59</v>
      </c>
      <c r="AI1231" s="12">
        <v>0</v>
      </c>
      <c r="AJ1231" s="13">
        <f t="shared" si="79"/>
        <v>0</v>
      </c>
      <c r="AN1231" s="12">
        <f t="shared" si="80"/>
        <v>13584</v>
      </c>
      <c r="AQ1231" s="8" t="s">
        <v>418</v>
      </c>
      <c r="AR1231" t="str">
        <f t="shared" si="81"/>
        <v>Noroeste - A07</v>
      </c>
    </row>
    <row r="1232" spans="1:44" x14ac:dyDescent="0.2">
      <c r="A1232" s="107" t="s">
        <v>1311</v>
      </c>
      <c r="B1232" s="106" t="s">
        <v>1310</v>
      </c>
      <c r="C1232" s="106" t="s">
        <v>1264</v>
      </c>
      <c r="D1232" s="106" t="s">
        <v>1309</v>
      </c>
      <c r="E1232" s="106" t="s">
        <v>1274</v>
      </c>
      <c r="F1232" s="106" t="s">
        <v>590</v>
      </c>
      <c r="G1232" s="106" t="s">
        <v>1308</v>
      </c>
      <c r="H1232" s="105" t="s">
        <v>1307</v>
      </c>
      <c r="I1232" s="105" t="s">
        <v>1302</v>
      </c>
      <c r="J1232" s="104">
        <v>0.73</v>
      </c>
      <c r="K1232" s="103" t="s">
        <v>427</v>
      </c>
      <c r="L1232" s="102" t="s">
        <v>533</v>
      </c>
      <c r="M1232" s="95"/>
      <c r="N1232" s="14"/>
      <c r="O1232" s="94">
        <v>29</v>
      </c>
      <c r="P1232" s="14" t="s">
        <v>586</v>
      </c>
      <c r="Q1232" s="14" t="s">
        <v>887</v>
      </c>
      <c r="R1232" s="14" t="s">
        <v>496</v>
      </c>
      <c r="S1232" s="15">
        <v>12</v>
      </c>
      <c r="T1232" s="15">
        <v>0</v>
      </c>
      <c r="U1232" s="15">
        <v>0</v>
      </c>
      <c r="V1232" s="14">
        <v>221</v>
      </c>
      <c r="W1232" s="12">
        <v>0</v>
      </c>
      <c r="X1232" s="12">
        <v>0</v>
      </c>
      <c r="Y1232" s="12">
        <v>0</v>
      </c>
      <c r="Z1232" s="12">
        <v>0.73</v>
      </c>
      <c r="AA1232" s="12">
        <v>0</v>
      </c>
      <c r="AB1232" s="13">
        <f t="shared" si="78"/>
        <v>0</v>
      </c>
      <c r="AE1232" s="12">
        <v>0</v>
      </c>
      <c r="AF1232" s="12">
        <v>0</v>
      </c>
      <c r="AG1232" s="12">
        <v>0</v>
      </c>
      <c r="AH1232" s="12">
        <v>0.73</v>
      </c>
      <c r="AI1232" s="12">
        <v>0</v>
      </c>
      <c r="AJ1232" s="13">
        <f t="shared" si="79"/>
        <v>0</v>
      </c>
      <c r="AN1232" s="12">
        <f t="shared" si="80"/>
        <v>162</v>
      </c>
      <c r="AQ1232" s="8" t="s">
        <v>418</v>
      </c>
      <c r="AR1232" t="str">
        <f t="shared" si="81"/>
        <v>Noroeste - A07</v>
      </c>
    </row>
    <row r="1233" spans="1:44" x14ac:dyDescent="0.2">
      <c r="A1233" s="107" t="s">
        <v>1306</v>
      </c>
      <c r="B1233" s="106" t="s">
        <v>1305</v>
      </c>
      <c r="C1233" s="106" t="s">
        <v>1264</v>
      </c>
      <c r="D1233" s="106" t="s">
        <v>1304</v>
      </c>
      <c r="E1233" s="106" t="s">
        <v>1262</v>
      </c>
      <c r="F1233" s="106" t="s">
        <v>490</v>
      </c>
      <c r="G1233" s="106" t="s">
        <v>1303</v>
      </c>
      <c r="H1233" s="105" t="s">
        <v>1302</v>
      </c>
      <c r="I1233" s="105" t="s">
        <v>1297</v>
      </c>
      <c r="J1233" s="104">
        <v>7</v>
      </c>
      <c r="K1233" s="103" t="s">
        <v>427</v>
      </c>
      <c r="L1233" s="102" t="s">
        <v>533</v>
      </c>
      <c r="M1233" s="95"/>
      <c r="N1233" s="14"/>
      <c r="O1233" s="94">
        <v>29</v>
      </c>
      <c r="P1233" s="14" t="s">
        <v>485</v>
      </c>
      <c r="Q1233" s="14" t="s">
        <v>887</v>
      </c>
      <c r="R1233" s="14" t="s">
        <v>496</v>
      </c>
      <c r="S1233" s="15">
        <v>7</v>
      </c>
      <c r="T1233" s="15">
        <v>0.6</v>
      </c>
      <c r="U1233" s="15">
        <v>0</v>
      </c>
      <c r="V1233" s="14">
        <v>1304</v>
      </c>
      <c r="W1233" s="12">
        <v>0</v>
      </c>
      <c r="X1233" s="12">
        <v>0</v>
      </c>
      <c r="Y1233" s="12">
        <v>1</v>
      </c>
      <c r="Z1233" s="12">
        <v>6</v>
      </c>
      <c r="AA1233" s="12">
        <v>0</v>
      </c>
      <c r="AB1233" s="13">
        <f t="shared" si="78"/>
        <v>0</v>
      </c>
      <c r="AE1233" s="12">
        <v>0</v>
      </c>
      <c r="AF1233" s="12">
        <v>0</v>
      </c>
      <c r="AG1233" s="12">
        <v>1</v>
      </c>
      <c r="AH1233" s="12">
        <v>6</v>
      </c>
      <c r="AI1233" s="12">
        <v>0</v>
      </c>
      <c r="AJ1233" s="13">
        <f t="shared" si="79"/>
        <v>0</v>
      </c>
      <c r="AN1233" s="12">
        <f t="shared" si="80"/>
        <v>9128</v>
      </c>
      <c r="AQ1233" s="8" t="s">
        <v>418</v>
      </c>
      <c r="AR1233" t="str">
        <f t="shared" si="81"/>
        <v>Noroeste - A07</v>
      </c>
    </row>
    <row r="1234" spans="1:44" x14ac:dyDescent="0.2">
      <c r="A1234" s="107" t="s">
        <v>1301</v>
      </c>
      <c r="B1234" s="106" t="s">
        <v>1300</v>
      </c>
      <c r="C1234" s="106" t="s">
        <v>1264</v>
      </c>
      <c r="D1234" s="106" t="s">
        <v>1299</v>
      </c>
      <c r="E1234" s="106" t="s">
        <v>1274</v>
      </c>
      <c r="F1234" s="106" t="s">
        <v>590</v>
      </c>
      <c r="G1234" s="106" t="s">
        <v>1298</v>
      </c>
      <c r="H1234" s="105" t="s">
        <v>1297</v>
      </c>
      <c r="I1234" s="105" t="s">
        <v>1292</v>
      </c>
      <c r="J1234" s="104">
        <v>0.93</v>
      </c>
      <c r="K1234" s="103" t="s">
        <v>427</v>
      </c>
      <c r="L1234" s="102" t="s">
        <v>533</v>
      </c>
      <c r="M1234" s="95"/>
      <c r="N1234" s="14"/>
      <c r="O1234" s="94">
        <v>29</v>
      </c>
      <c r="P1234" s="14" t="s">
        <v>586</v>
      </c>
      <c r="Q1234" s="14" t="s">
        <v>887</v>
      </c>
      <c r="R1234" s="14" t="s">
        <v>496</v>
      </c>
      <c r="S1234" s="15">
        <v>15.5</v>
      </c>
      <c r="T1234" s="15">
        <v>0</v>
      </c>
      <c r="U1234" s="15">
        <v>0</v>
      </c>
      <c r="V1234" s="14">
        <v>221</v>
      </c>
      <c r="W1234" s="12">
        <v>0</v>
      </c>
      <c r="X1234" s="12">
        <v>0</v>
      </c>
      <c r="Y1234" s="12">
        <v>0.93</v>
      </c>
      <c r="Z1234" s="12">
        <v>0</v>
      </c>
      <c r="AA1234" s="12">
        <v>0</v>
      </c>
      <c r="AB1234" s="13">
        <f t="shared" si="78"/>
        <v>0</v>
      </c>
      <c r="AE1234" s="12">
        <v>0</v>
      </c>
      <c r="AF1234" s="12">
        <v>0</v>
      </c>
      <c r="AG1234" s="12">
        <v>0.93</v>
      </c>
      <c r="AH1234" s="12">
        <v>0</v>
      </c>
      <c r="AI1234" s="12">
        <v>0</v>
      </c>
      <c r="AJ1234" s="13">
        <f t="shared" si="79"/>
        <v>0</v>
      </c>
      <c r="AN1234" s="12">
        <f t="shared" si="80"/>
        <v>206</v>
      </c>
      <c r="AQ1234" s="8" t="s">
        <v>418</v>
      </c>
      <c r="AR1234" t="str">
        <f t="shared" si="81"/>
        <v>Noroeste - A07</v>
      </c>
    </row>
    <row r="1235" spans="1:44" x14ac:dyDescent="0.2">
      <c r="A1235" s="107" t="s">
        <v>1296</v>
      </c>
      <c r="B1235" s="106" t="s">
        <v>1295</v>
      </c>
      <c r="C1235" s="106" t="s">
        <v>1264</v>
      </c>
      <c r="D1235" s="106" t="s">
        <v>1294</v>
      </c>
      <c r="E1235" s="106" t="s">
        <v>1262</v>
      </c>
      <c r="F1235" s="106" t="s">
        <v>490</v>
      </c>
      <c r="G1235" s="106" t="s">
        <v>1293</v>
      </c>
      <c r="H1235" s="105" t="s">
        <v>1292</v>
      </c>
      <c r="I1235" s="105" t="s">
        <v>1288</v>
      </c>
      <c r="J1235" s="104">
        <v>7.02</v>
      </c>
      <c r="K1235" s="103" t="s">
        <v>427</v>
      </c>
      <c r="L1235" s="102" t="s">
        <v>533</v>
      </c>
      <c r="M1235" s="95"/>
      <c r="N1235" s="14"/>
      <c r="O1235" s="94">
        <v>29</v>
      </c>
      <c r="P1235" s="14" t="s">
        <v>485</v>
      </c>
      <c r="Q1235" s="14" t="s">
        <v>887</v>
      </c>
      <c r="R1235" s="14" t="s">
        <v>496</v>
      </c>
      <c r="S1235" s="15">
        <v>7</v>
      </c>
      <c r="T1235" s="15">
        <v>0.7</v>
      </c>
      <c r="U1235" s="15">
        <v>0</v>
      </c>
      <c r="V1235" s="14">
        <v>1304</v>
      </c>
      <c r="W1235" s="12">
        <v>0</v>
      </c>
      <c r="X1235" s="12">
        <v>0</v>
      </c>
      <c r="Y1235" s="12">
        <v>5.0199999999999996</v>
      </c>
      <c r="Z1235" s="12">
        <v>2</v>
      </c>
      <c r="AA1235" s="12">
        <v>0</v>
      </c>
      <c r="AB1235" s="13">
        <f t="shared" si="78"/>
        <v>0</v>
      </c>
      <c r="AE1235" s="12">
        <v>0</v>
      </c>
      <c r="AF1235" s="12">
        <v>0</v>
      </c>
      <c r="AG1235" s="12">
        <v>5.0199999999999996</v>
      </c>
      <c r="AH1235" s="12">
        <v>2</v>
      </c>
      <c r="AI1235" s="12">
        <v>0</v>
      </c>
      <c r="AJ1235" s="13">
        <f t="shared" si="79"/>
        <v>0</v>
      </c>
      <c r="AN1235" s="12">
        <f t="shared" si="80"/>
        <v>9155</v>
      </c>
      <c r="AQ1235" s="8" t="s">
        <v>418</v>
      </c>
      <c r="AR1235" t="str">
        <f t="shared" si="81"/>
        <v>Noroeste - A07</v>
      </c>
    </row>
    <row r="1236" spans="1:44" x14ac:dyDescent="0.2">
      <c r="A1236" s="107" t="s">
        <v>1291</v>
      </c>
      <c r="B1236" s="106" t="s">
        <v>1290</v>
      </c>
      <c r="C1236" s="106" t="s">
        <v>1264</v>
      </c>
      <c r="D1236" s="106" t="s">
        <v>975</v>
      </c>
      <c r="E1236" s="106" t="s">
        <v>1262</v>
      </c>
      <c r="F1236" s="106" t="s">
        <v>490</v>
      </c>
      <c r="G1236" s="106" t="s">
        <v>1289</v>
      </c>
      <c r="H1236" s="105" t="s">
        <v>1288</v>
      </c>
      <c r="I1236" s="105" t="s">
        <v>1287</v>
      </c>
      <c r="J1236" s="104">
        <v>8.1199999999999992</v>
      </c>
      <c r="K1236" s="103" t="s">
        <v>427</v>
      </c>
      <c r="L1236" s="102" t="s">
        <v>533</v>
      </c>
      <c r="M1236" s="95"/>
      <c r="N1236" s="14"/>
      <c r="O1236" s="94">
        <v>29</v>
      </c>
      <c r="P1236" s="14" t="s">
        <v>485</v>
      </c>
      <c r="Q1236" s="14" t="s">
        <v>505</v>
      </c>
      <c r="R1236" s="14" t="s">
        <v>585</v>
      </c>
      <c r="S1236" s="15">
        <v>6.6</v>
      </c>
      <c r="T1236" s="15">
        <v>0.7</v>
      </c>
      <c r="U1236" s="15">
        <v>0</v>
      </c>
      <c r="V1236" s="14">
        <v>1058</v>
      </c>
      <c r="W1236" s="12">
        <v>0</v>
      </c>
      <c r="X1236" s="12">
        <v>1</v>
      </c>
      <c r="Y1236" s="12">
        <v>2</v>
      </c>
      <c r="Z1236" s="12">
        <v>5.1199999999999992</v>
      </c>
      <c r="AA1236" s="12">
        <v>0</v>
      </c>
      <c r="AB1236" s="13">
        <f t="shared" si="78"/>
        <v>0</v>
      </c>
      <c r="AE1236" s="12">
        <v>0</v>
      </c>
      <c r="AF1236" s="12">
        <v>1</v>
      </c>
      <c r="AG1236" s="12">
        <v>2</v>
      </c>
      <c r="AH1236" s="12">
        <v>5.1199999999999992</v>
      </c>
      <c r="AI1236" s="12">
        <v>0</v>
      </c>
      <c r="AJ1236" s="13">
        <f t="shared" si="79"/>
        <v>0</v>
      </c>
      <c r="AN1236" s="12">
        <f t="shared" si="80"/>
        <v>8591</v>
      </c>
      <c r="AQ1236" s="8" t="s">
        <v>418</v>
      </c>
      <c r="AR1236" t="str">
        <f t="shared" si="81"/>
        <v>Noroeste - A07</v>
      </c>
    </row>
    <row r="1237" spans="1:44" x14ac:dyDescent="0.2">
      <c r="A1237" s="107" t="s">
        <v>1286</v>
      </c>
      <c r="B1237" s="106" t="s">
        <v>1285</v>
      </c>
      <c r="C1237" s="106" t="s">
        <v>1264</v>
      </c>
      <c r="D1237" s="106" t="s">
        <v>1284</v>
      </c>
      <c r="E1237" s="106" t="s">
        <v>1274</v>
      </c>
      <c r="F1237" s="106" t="s">
        <v>590</v>
      </c>
      <c r="G1237" s="106" t="s">
        <v>1283</v>
      </c>
      <c r="H1237" s="105" t="s">
        <v>1267</v>
      </c>
      <c r="I1237" s="105" t="s">
        <v>1278</v>
      </c>
      <c r="J1237" s="104">
        <v>1.41</v>
      </c>
      <c r="K1237" s="103" t="s">
        <v>427</v>
      </c>
      <c r="L1237" s="102" t="s">
        <v>533</v>
      </c>
      <c r="M1237" s="95"/>
      <c r="N1237" s="14"/>
      <c r="O1237" s="94">
        <v>29</v>
      </c>
      <c r="P1237" s="14" t="s">
        <v>586</v>
      </c>
      <c r="Q1237" s="14" t="s">
        <v>887</v>
      </c>
      <c r="R1237" s="14" t="s">
        <v>1258</v>
      </c>
      <c r="S1237" s="15">
        <v>14</v>
      </c>
      <c r="T1237" s="15">
        <v>0</v>
      </c>
      <c r="U1237" s="15">
        <v>0</v>
      </c>
      <c r="V1237" s="14">
        <v>210</v>
      </c>
      <c r="W1237" s="12">
        <v>0</v>
      </c>
      <c r="X1237" s="12">
        <v>0</v>
      </c>
      <c r="Y1237" s="12">
        <v>1.41</v>
      </c>
      <c r="Z1237" s="12">
        <v>0</v>
      </c>
      <c r="AA1237" s="12">
        <v>0</v>
      </c>
      <c r="AB1237" s="13">
        <f t="shared" si="78"/>
        <v>0</v>
      </c>
      <c r="AE1237" s="12">
        <v>0</v>
      </c>
      <c r="AF1237" s="12">
        <v>0</v>
      </c>
      <c r="AG1237" s="12">
        <v>1.41</v>
      </c>
      <c r="AH1237" s="12">
        <v>0</v>
      </c>
      <c r="AI1237" s="12">
        <v>0</v>
      </c>
      <c r="AJ1237" s="13">
        <f t="shared" si="79"/>
        <v>0</v>
      </c>
      <c r="AN1237" s="12">
        <f t="shared" si="80"/>
        <v>297</v>
      </c>
      <c r="AQ1237" s="8" t="s">
        <v>418</v>
      </c>
      <c r="AR1237" t="str">
        <f t="shared" si="81"/>
        <v>Noroeste - A07</v>
      </c>
    </row>
    <row r="1238" spans="1:44" x14ac:dyDescent="0.2">
      <c r="A1238" s="107" t="s">
        <v>1282</v>
      </c>
      <c r="B1238" s="106" t="s">
        <v>1281</v>
      </c>
      <c r="C1238" s="106" t="s">
        <v>1264</v>
      </c>
      <c r="D1238" s="106" t="s">
        <v>1280</v>
      </c>
      <c r="E1238" s="106" t="s">
        <v>1274</v>
      </c>
      <c r="F1238" s="106" t="s">
        <v>590</v>
      </c>
      <c r="G1238" s="106" t="s">
        <v>1279</v>
      </c>
      <c r="H1238" s="105" t="s">
        <v>1278</v>
      </c>
      <c r="I1238" s="105" t="s">
        <v>888</v>
      </c>
      <c r="J1238" s="104">
        <v>0.26</v>
      </c>
      <c r="K1238" s="103" t="s">
        <v>427</v>
      </c>
      <c r="L1238" s="102" t="s">
        <v>533</v>
      </c>
      <c r="M1238" s="95"/>
      <c r="N1238" s="14"/>
      <c r="O1238" s="94">
        <v>29</v>
      </c>
      <c r="P1238" s="14" t="s">
        <v>586</v>
      </c>
      <c r="Q1238" s="14" t="s">
        <v>887</v>
      </c>
      <c r="R1238" s="14" t="s">
        <v>1258</v>
      </c>
      <c r="S1238" s="15">
        <v>14</v>
      </c>
      <c r="T1238" s="15">
        <v>0</v>
      </c>
      <c r="U1238" s="15">
        <v>0</v>
      </c>
      <c r="V1238" s="14">
        <v>210</v>
      </c>
      <c r="W1238" s="12">
        <v>0</v>
      </c>
      <c r="X1238" s="12">
        <v>0</v>
      </c>
      <c r="Y1238" s="12">
        <v>0.26</v>
      </c>
      <c r="Z1238" s="12">
        <v>0</v>
      </c>
      <c r="AA1238" s="12">
        <v>0</v>
      </c>
      <c r="AB1238" s="13">
        <f t="shared" si="78"/>
        <v>0</v>
      </c>
      <c r="AE1238" s="12">
        <v>0</v>
      </c>
      <c r="AF1238" s="12">
        <v>0</v>
      </c>
      <c r="AG1238" s="12">
        <v>0.26</v>
      </c>
      <c r="AH1238" s="12">
        <v>0</v>
      </c>
      <c r="AI1238" s="12">
        <v>0</v>
      </c>
      <c r="AJ1238" s="13">
        <f t="shared" si="79"/>
        <v>0</v>
      </c>
      <c r="AN1238" s="12">
        <f t="shared" si="80"/>
        <v>55</v>
      </c>
      <c r="AQ1238" s="8" t="s">
        <v>418</v>
      </c>
      <c r="AR1238" t="str">
        <f t="shared" si="81"/>
        <v>Noroeste - A07</v>
      </c>
    </row>
    <row r="1239" spans="1:44" x14ac:dyDescent="0.2">
      <c r="A1239" s="107" t="s">
        <v>1277</v>
      </c>
      <c r="B1239" s="106" t="s">
        <v>1276</v>
      </c>
      <c r="C1239" s="106" t="s">
        <v>1264</v>
      </c>
      <c r="D1239" s="106" t="s">
        <v>1275</v>
      </c>
      <c r="E1239" s="106" t="s">
        <v>1274</v>
      </c>
      <c r="F1239" s="106" t="s">
        <v>590</v>
      </c>
      <c r="G1239" s="106" t="s">
        <v>1273</v>
      </c>
      <c r="H1239" s="105" t="s">
        <v>888</v>
      </c>
      <c r="I1239" s="105" t="s">
        <v>1272</v>
      </c>
      <c r="J1239" s="104">
        <v>0.37</v>
      </c>
      <c r="K1239" s="103" t="s">
        <v>427</v>
      </c>
      <c r="L1239" s="102" t="s">
        <v>533</v>
      </c>
      <c r="M1239" s="95"/>
      <c r="N1239" s="14"/>
      <c r="O1239" s="94">
        <v>29</v>
      </c>
      <c r="P1239" s="14" t="s">
        <v>586</v>
      </c>
      <c r="Q1239" s="14" t="s">
        <v>887</v>
      </c>
      <c r="R1239" s="14" t="s">
        <v>1258</v>
      </c>
      <c r="S1239" s="15">
        <v>14</v>
      </c>
      <c r="T1239" s="15">
        <v>0</v>
      </c>
      <c r="U1239" s="15">
        <v>0</v>
      </c>
      <c r="V1239" s="14">
        <v>210</v>
      </c>
      <c r="W1239" s="12">
        <v>0</v>
      </c>
      <c r="X1239" s="12">
        <v>0</v>
      </c>
      <c r="Y1239" s="12">
        <v>0.49</v>
      </c>
      <c r="Z1239" s="12">
        <v>0</v>
      </c>
      <c r="AA1239" s="12">
        <v>0</v>
      </c>
      <c r="AB1239" s="13">
        <f t="shared" si="78"/>
        <v>0.12</v>
      </c>
      <c r="AE1239" s="12">
        <f>IF(W1239=0,0,W1239-$AB1239)</f>
        <v>0</v>
      </c>
      <c r="AF1239" s="12">
        <f>IF(X1239=0,0,X1239-$AB1239)</f>
        <v>0</v>
      </c>
      <c r="AG1239" s="12">
        <f>IF(Y1239=0,0,Y1239-$AB1239)</f>
        <v>0.37</v>
      </c>
      <c r="AH1239" s="12">
        <f>IF(Z1239=0,0,Z1239-$AB1239)</f>
        <v>0</v>
      </c>
      <c r="AI1239" s="12">
        <f>IF(AA1239=0,0,AA1239-$AB1239)</f>
        <v>0</v>
      </c>
      <c r="AJ1239" s="13">
        <f t="shared" si="79"/>
        <v>0</v>
      </c>
      <c r="AN1239" s="12">
        <f t="shared" si="80"/>
        <v>78</v>
      </c>
      <c r="AQ1239" s="8" t="s">
        <v>418</v>
      </c>
      <c r="AR1239" t="str">
        <f t="shared" si="81"/>
        <v>Noroeste - A07</v>
      </c>
    </row>
    <row r="1240" spans="1:44" x14ac:dyDescent="0.2">
      <c r="A1240" s="107" t="s">
        <v>1271</v>
      </c>
      <c r="B1240" s="106" t="s">
        <v>1270</v>
      </c>
      <c r="C1240" s="106" t="s">
        <v>1264</v>
      </c>
      <c r="D1240" s="106" t="s">
        <v>1269</v>
      </c>
      <c r="E1240" s="106" t="s">
        <v>1262</v>
      </c>
      <c r="F1240" s="106" t="s">
        <v>490</v>
      </c>
      <c r="G1240" s="106" t="s">
        <v>1268</v>
      </c>
      <c r="H1240" s="105" t="s">
        <v>1267</v>
      </c>
      <c r="I1240" s="105" t="s">
        <v>1260</v>
      </c>
      <c r="J1240" s="104">
        <v>13.2</v>
      </c>
      <c r="K1240" s="103" t="s">
        <v>427</v>
      </c>
      <c r="L1240" s="102" t="s">
        <v>533</v>
      </c>
      <c r="M1240" s="95"/>
      <c r="N1240" s="14"/>
      <c r="O1240" s="94">
        <v>29</v>
      </c>
      <c r="P1240" s="14" t="s">
        <v>485</v>
      </c>
      <c r="Q1240" s="14" t="s">
        <v>887</v>
      </c>
      <c r="R1240" s="14" t="s">
        <v>1258</v>
      </c>
      <c r="S1240" s="15">
        <v>7</v>
      </c>
      <c r="T1240" s="15">
        <v>0</v>
      </c>
      <c r="U1240" s="15">
        <v>0</v>
      </c>
      <c r="V1240" s="14">
        <v>1342</v>
      </c>
      <c r="W1240" s="12">
        <v>0</v>
      </c>
      <c r="X1240" s="12">
        <v>1</v>
      </c>
      <c r="Y1240" s="12">
        <v>8.1999999999999993</v>
      </c>
      <c r="Z1240" s="12">
        <v>4</v>
      </c>
      <c r="AA1240" s="12">
        <v>0</v>
      </c>
      <c r="AB1240" s="13">
        <f t="shared" si="78"/>
        <v>0</v>
      </c>
      <c r="AE1240" s="12">
        <v>0</v>
      </c>
      <c r="AF1240" s="12">
        <v>1</v>
      </c>
      <c r="AG1240" s="12">
        <v>8.1999999999999993</v>
      </c>
      <c r="AH1240" s="12">
        <v>4</v>
      </c>
      <c r="AI1240" s="12">
        <v>0</v>
      </c>
      <c r="AJ1240" s="13">
        <f t="shared" si="79"/>
        <v>0</v>
      </c>
      <c r="AN1240" s="12">
        <f t="shared" si="80"/>
        <v>17715</v>
      </c>
      <c r="AQ1240" s="8" t="s">
        <v>418</v>
      </c>
      <c r="AR1240" t="str">
        <f t="shared" si="81"/>
        <v>Noroeste - A07</v>
      </c>
    </row>
    <row r="1241" spans="1:44" x14ac:dyDescent="0.2">
      <c r="A1241" s="107" t="s">
        <v>1266</v>
      </c>
      <c r="B1241" s="106" t="s">
        <v>1265</v>
      </c>
      <c r="C1241" s="106" t="s">
        <v>1264</v>
      </c>
      <c r="D1241" s="106" t="s">
        <v>1263</v>
      </c>
      <c r="E1241" s="106" t="s">
        <v>1262</v>
      </c>
      <c r="F1241" s="106" t="s">
        <v>490</v>
      </c>
      <c r="G1241" s="106" t="s">
        <v>1261</v>
      </c>
      <c r="H1241" s="105" t="s">
        <v>1260</v>
      </c>
      <c r="I1241" s="105" t="s">
        <v>1259</v>
      </c>
      <c r="J1241" s="104">
        <v>7.51</v>
      </c>
      <c r="K1241" s="103" t="s">
        <v>427</v>
      </c>
      <c r="L1241" s="102" t="s">
        <v>533</v>
      </c>
      <c r="M1241" s="95"/>
      <c r="N1241" s="14"/>
      <c r="O1241" s="94">
        <v>29</v>
      </c>
      <c r="P1241" s="14" t="s">
        <v>485</v>
      </c>
      <c r="Q1241" s="14" t="s">
        <v>887</v>
      </c>
      <c r="R1241" s="14" t="s">
        <v>1258</v>
      </c>
      <c r="S1241" s="15">
        <v>7</v>
      </c>
      <c r="T1241" s="15">
        <v>0</v>
      </c>
      <c r="U1241" s="15">
        <v>0</v>
      </c>
      <c r="V1241" s="14">
        <v>1342</v>
      </c>
      <c r="W1241" s="12">
        <v>0</v>
      </c>
      <c r="X1241" s="12">
        <v>1</v>
      </c>
      <c r="Y1241" s="12">
        <v>3.51</v>
      </c>
      <c r="Z1241" s="12">
        <v>3</v>
      </c>
      <c r="AA1241" s="12">
        <v>0</v>
      </c>
      <c r="AB1241" s="13">
        <f t="shared" si="78"/>
        <v>0</v>
      </c>
      <c r="AE1241" s="12">
        <v>0</v>
      </c>
      <c r="AF1241" s="12">
        <v>1</v>
      </c>
      <c r="AG1241" s="12">
        <v>3.51</v>
      </c>
      <c r="AH1241" s="12">
        <v>3</v>
      </c>
      <c r="AI1241" s="12">
        <v>0</v>
      </c>
      <c r="AJ1241" s="13">
        <f t="shared" si="79"/>
        <v>0</v>
      </c>
      <c r="AN1241" s="12">
        <f t="shared" si="80"/>
        <v>10079</v>
      </c>
      <c r="AQ1241" s="8" t="s">
        <v>418</v>
      </c>
      <c r="AR1241" t="str">
        <f t="shared" si="81"/>
        <v>Noroeste - A07</v>
      </c>
    </row>
    <row r="1242" spans="1:44" x14ac:dyDescent="0.2">
      <c r="A1242" s="107" t="s">
        <v>1257</v>
      </c>
      <c r="B1242" s="106" t="s">
        <v>1256</v>
      </c>
      <c r="C1242" s="106" t="s">
        <v>1255</v>
      </c>
      <c r="D1242" s="106" t="s">
        <v>492</v>
      </c>
      <c r="E1242" s="106" t="s">
        <v>1254</v>
      </c>
      <c r="F1242" s="106" t="s">
        <v>490</v>
      </c>
      <c r="G1242" s="106" t="s">
        <v>1253</v>
      </c>
      <c r="H1242" s="105" t="s">
        <v>1252</v>
      </c>
      <c r="I1242" s="105" t="s">
        <v>915</v>
      </c>
      <c r="J1242" s="104">
        <v>19.350000000000001</v>
      </c>
      <c r="K1242" s="103" t="s">
        <v>429</v>
      </c>
      <c r="L1242" s="102" t="s">
        <v>533</v>
      </c>
      <c r="M1242" s="95"/>
      <c r="N1242" s="14"/>
      <c r="O1242" s="94">
        <v>31</v>
      </c>
      <c r="P1242" s="14" t="s">
        <v>485</v>
      </c>
      <c r="Q1242" s="14" t="s">
        <v>887</v>
      </c>
      <c r="R1242" s="14" t="s">
        <v>585</v>
      </c>
      <c r="S1242" s="15">
        <v>6.6</v>
      </c>
      <c r="T1242" s="15">
        <v>0.7</v>
      </c>
      <c r="U1242" s="15">
        <v>1</v>
      </c>
      <c r="V1242" s="14">
        <v>1422</v>
      </c>
      <c r="W1242" s="12">
        <v>0</v>
      </c>
      <c r="X1242" s="12">
        <v>0</v>
      </c>
      <c r="Y1242" s="12">
        <v>3</v>
      </c>
      <c r="Z1242" s="12">
        <v>16.350000000000001</v>
      </c>
      <c r="AA1242" s="12">
        <v>0</v>
      </c>
      <c r="AB1242" s="13">
        <f t="shared" si="78"/>
        <v>0</v>
      </c>
      <c r="AE1242" s="12">
        <v>0</v>
      </c>
      <c r="AF1242" s="12">
        <v>0</v>
      </c>
      <c r="AG1242" s="12">
        <v>3</v>
      </c>
      <c r="AH1242" s="12">
        <v>16.350000000000001</v>
      </c>
      <c r="AI1242" s="12">
        <v>0</v>
      </c>
      <c r="AJ1242" s="13">
        <f t="shared" si="79"/>
        <v>0</v>
      </c>
      <c r="AN1242" s="12">
        <f t="shared" si="80"/>
        <v>27516</v>
      </c>
      <c r="AQ1242" s="8" t="s">
        <v>418</v>
      </c>
      <c r="AR1242" t="str">
        <f t="shared" si="81"/>
        <v>Noroeste - A09</v>
      </c>
    </row>
    <row r="1243" spans="1:44" x14ac:dyDescent="0.2">
      <c r="A1243" s="107" t="s">
        <v>1251</v>
      </c>
      <c r="B1243" s="106" t="s">
        <v>1250</v>
      </c>
      <c r="C1243" s="106" t="s">
        <v>1233</v>
      </c>
      <c r="D1243" s="106" t="s">
        <v>751</v>
      </c>
      <c r="E1243" s="106" t="s">
        <v>1249</v>
      </c>
      <c r="F1243" s="106" t="s">
        <v>590</v>
      </c>
      <c r="G1243" s="106" t="s">
        <v>1248</v>
      </c>
      <c r="H1243" s="105" t="s">
        <v>1247</v>
      </c>
      <c r="I1243" s="105" t="s">
        <v>1246</v>
      </c>
      <c r="J1243" s="104">
        <v>0.82</v>
      </c>
      <c r="K1243" s="103" t="s">
        <v>429</v>
      </c>
      <c r="L1243" s="102" t="s">
        <v>533</v>
      </c>
      <c r="M1243" s="95"/>
      <c r="N1243" s="14"/>
      <c r="O1243" s="94">
        <v>31</v>
      </c>
      <c r="P1243" s="14" t="s">
        <v>586</v>
      </c>
      <c r="Q1243" s="14" t="s">
        <v>887</v>
      </c>
      <c r="R1243" s="14" t="s">
        <v>1245</v>
      </c>
      <c r="S1243" s="15">
        <v>16</v>
      </c>
      <c r="T1243" s="15">
        <v>0</v>
      </c>
      <c r="U1243" s="15">
        <v>0</v>
      </c>
      <c r="V1243" s="14">
        <v>688</v>
      </c>
      <c r="W1243" s="12">
        <v>0</v>
      </c>
      <c r="X1243" s="12">
        <v>0</v>
      </c>
      <c r="Y1243" s="12">
        <v>0.82</v>
      </c>
      <c r="Z1243" s="12">
        <v>0</v>
      </c>
      <c r="AA1243" s="12">
        <v>0</v>
      </c>
      <c r="AB1243" s="13">
        <f t="shared" si="78"/>
        <v>0</v>
      </c>
      <c r="AE1243" s="12">
        <v>0</v>
      </c>
      <c r="AF1243" s="12">
        <v>0</v>
      </c>
      <c r="AG1243" s="12">
        <v>0.82</v>
      </c>
      <c r="AH1243" s="12">
        <v>0</v>
      </c>
      <c r="AI1243" s="12">
        <v>0</v>
      </c>
      <c r="AJ1243" s="13">
        <f t="shared" si="79"/>
        <v>0</v>
      </c>
      <c r="AN1243" s="12">
        <f t="shared" si="80"/>
        <v>565</v>
      </c>
      <c r="AQ1243" s="8" t="s">
        <v>418</v>
      </c>
      <c r="AR1243" t="str">
        <f t="shared" si="81"/>
        <v>Noroeste - A09</v>
      </c>
    </row>
    <row r="1244" spans="1:44" x14ac:dyDescent="0.2">
      <c r="A1244" s="107" t="s">
        <v>1244</v>
      </c>
      <c r="B1244" s="106" t="s">
        <v>1243</v>
      </c>
      <c r="C1244" s="106" t="s">
        <v>1233</v>
      </c>
      <c r="D1244" s="106" t="s">
        <v>492</v>
      </c>
      <c r="E1244" s="106" t="s">
        <v>1232</v>
      </c>
      <c r="F1244" s="106" t="s">
        <v>490</v>
      </c>
      <c r="G1244" s="106" t="s">
        <v>1242</v>
      </c>
      <c r="H1244" s="105" t="s">
        <v>1241</v>
      </c>
      <c r="I1244" s="105" t="s">
        <v>1237</v>
      </c>
      <c r="J1244" s="104">
        <v>15.94</v>
      </c>
      <c r="K1244" s="103" t="s">
        <v>429</v>
      </c>
      <c r="L1244" s="102" t="s">
        <v>533</v>
      </c>
      <c r="M1244" s="95"/>
      <c r="N1244" s="14"/>
      <c r="O1244" s="94">
        <v>31</v>
      </c>
      <c r="P1244" s="14" t="s">
        <v>485</v>
      </c>
      <c r="Q1244" s="14" t="s">
        <v>561</v>
      </c>
      <c r="R1244" s="14" t="s">
        <v>496</v>
      </c>
      <c r="S1244" s="15">
        <v>7</v>
      </c>
      <c r="T1244" s="15" t="s">
        <v>1228</v>
      </c>
      <c r="U1244" s="15" t="s">
        <v>1228</v>
      </c>
      <c r="V1244" s="14">
        <v>2716</v>
      </c>
      <c r="W1244" s="12">
        <v>0</v>
      </c>
      <c r="X1244" s="12">
        <v>0</v>
      </c>
      <c r="Y1244" s="12">
        <v>0</v>
      </c>
      <c r="Z1244" s="12">
        <v>15.94</v>
      </c>
      <c r="AA1244" s="12">
        <v>0</v>
      </c>
      <c r="AB1244" s="13">
        <f t="shared" si="78"/>
        <v>0</v>
      </c>
      <c r="AE1244" s="12">
        <v>0</v>
      </c>
      <c r="AF1244" s="12">
        <v>0</v>
      </c>
      <c r="AG1244" s="12">
        <v>0</v>
      </c>
      <c r="AH1244" s="12">
        <v>15.94</v>
      </c>
      <c r="AI1244" s="12">
        <v>0</v>
      </c>
      <c r="AJ1244" s="13">
        <f t="shared" si="79"/>
        <v>0</v>
      </c>
      <c r="AN1244" s="12">
        <f t="shared" si="80"/>
        <v>43294</v>
      </c>
      <c r="AQ1244" s="8" t="s">
        <v>418</v>
      </c>
      <c r="AR1244" t="str">
        <f t="shared" si="81"/>
        <v>Noroeste - A09</v>
      </c>
    </row>
    <row r="1245" spans="1:44" x14ac:dyDescent="0.2">
      <c r="A1245" s="107" t="s">
        <v>1240</v>
      </c>
      <c r="B1245" s="106" t="s">
        <v>1239</v>
      </c>
      <c r="C1245" s="106" t="s">
        <v>1233</v>
      </c>
      <c r="D1245" s="106" t="s">
        <v>519</v>
      </c>
      <c r="E1245" s="106" t="s">
        <v>1232</v>
      </c>
      <c r="F1245" s="106" t="s">
        <v>490</v>
      </c>
      <c r="G1245" s="106" t="s">
        <v>1238</v>
      </c>
      <c r="H1245" s="105" t="s">
        <v>1237</v>
      </c>
      <c r="I1245" s="105" t="s">
        <v>1236</v>
      </c>
      <c r="J1245" s="104">
        <v>10.24</v>
      </c>
      <c r="K1245" s="103" t="s">
        <v>429</v>
      </c>
      <c r="L1245" s="102" t="s">
        <v>533</v>
      </c>
      <c r="M1245" s="95"/>
      <c r="N1245" s="14"/>
      <c r="O1245" s="94">
        <v>31</v>
      </c>
      <c r="P1245" s="14" t="s">
        <v>485</v>
      </c>
      <c r="Q1245" s="14" t="s">
        <v>561</v>
      </c>
      <c r="R1245" s="14" t="s">
        <v>496</v>
      </c>
      <c r="S1245" s="15">
        <v>6</v>
      </c>
      <c r="T1245" s="15" t="s">
        <v>1228</v>
      </c>
      <c r="U1245" s="15" t="s">
        <v>1228</v>
      </c>
      <c r="V1245" s="14">
        <v>2716</v>
      </c>
      <c r="W1245" s="12">
        <v>0</v>
      </c>
      <c r="X1245" s="12">
        <v>0</v>
      </c>
      <c r="Y1245" s="12">
        <v>0</v>
      </c>
      <c r="Z1245" s="12">
        <v>10.24</v>
      </c>
      <c r="AA1245" s="12">
        <v>0</v>
      </c>
      <c r="AB1245" s="13">
        <f t="shared" si="78"/>
        <v>0</v>
      </c>
      <c r="AE1245" s="12">
        <v>0</v>
      </c>
      <c r="AF1245" s="12">
        <v>0</v>
      </c>
      <c r="AG1245" s="12">
        <v>0</v>
      </c>
      <c r="AH1245" s="12">
        <v>10.24</v>
      </c>
      <c r="AI1245" s="12">
        <v>0</v>
      </c>
      <c r="AJ1245" s="13">
        <f t="shared" si="79"/>
        <v>0</v>
      </c>
      <c r="AN1245" s="12">
        <f t="shared" si="80"/>
        <v>27812</v>
      </c>
      <c r="AQ1245" s="8" t="s">
        <v>418</v>
      </c>
      <c r="AR1245" t="str">
        <f t="shared" si="81"/>
        <v>Noroeste - A09</v>
      </c>
    </row>
    <row r="1246" spans="1:44" x14ac:dyDescent="0.2">
      <c r="A1246" s="107" t="s">
        <v>1235</v>
      </c>
      <c r="B1246" s="106" t="s">
        <v>1234</v>
      </c>
      <c r="C1246" s="106" t="s">
        <v>1233</v>
      </c>
      <c r="D1246" s="106" t="s">
        <v>981</v>
      </c>
      <c r="E1246" s="106" t="s">
        <v>1232</v>
      </c>
      <c r="F1246" s="106" t="s">
        <v>490</v>
      </c>
      <c r="G1246" s="106" t="s">
        <v>1231</v>
      </c>
      <c r="H1246" s="105" t="s">
        <v>1230</v>
      </c>
      <c r="I1246" s="105" t="s">
        <v>1229</v>
      </c>
      <c r="J1246" s="104">
        <v>14.7</v>
      </c>
      <c r="K1246" s="103" t="s">
        <v>430</v>
      </c>
      <c r="L1246" s="102" t="s">
        <v>533</v>
      </c>
      <c r="M1246" s="95"/>
      <c r="N1246" s="14"/>
      <c r="O1246" s="94">
        <v>32</v>
      </c>
      <c r="P1246" s="14" t="s">
        <v>485</v>
      </c>
      <c r="Q1246" s="14" t="s">
        <v>561</v>
      </c>
      <c r="R1246" s="14" t="s">
        <v>496</v>
      </c>
      <c r="S1246" s="15">
        <v>7</v>
      </c>
      <c r="T1246" s="15" t="s">
        <v>1228</v>
      </c>
      <c r="U1246" s="15" t="s">
        <v>1228</v>
      </c>
      <c r="V1246" s="14">
        <v>2716</v>
      </c>
      <c r="W1246" s="12">
        <v>0</v>
      </c>
      <c r="X1246" s="12">
        <v>0</v>
      </c>
      <c r="Y1246" s="12">
        <v>1</v>
      </c>
      <c r="Z1246" s="12">
        <v>13.7</v>
      </c>
      <c r="AA1246" s="12">
        <v>0</v>
      </c>
      <c r="AB1246" s="13">
        <f t="shared" si="78"/>
        <v>0</v>
      </c>
      <c r="AE1246" s="12">
        <v>0</v>
      </c>
      <c r="AF1246" s="12">
        <v>0</v>
      </c>
      <c r="AG1246" s="12">
        <v>1</v>
      </c>
      <c r="AH1246" s="12">
        <v>13.7</v>
      </c>
      <c r="AI1246" s="12">
        <v>0</v>
      </c>
      <c r="AJ1246" s="13">
        <f t="shared" si="79"/>
        <v>0</v>
      </c>
      <c r="AN1246" s="12">
        <f t="shared" si="80"/>
        <v>39926</v>
      </c>
      <c r="AQ1246" s="8" t="s">
        <v>418</v>
      </c>
      <c r="AR1246" t="str">
        <f t="shared" si="81"/>
        <v>Noroeste - A10</v>
      </c>
    </row>
    <row r="1247" spans="1:44" x14ac:dyDescent="0.2">
      <c r="A1247" s="107" t="s">
        <v>1227</v>
      </c>
      <c r="B1247" s="106" t="s">
        <v>1226</v>
      </c>
      <c r="C1247" s="106" t="s">
        <v>1220</v>
      </c>
      <c r="D1247" s="106" t="s">
        <v>1106</v>
      </c>
      <c r="E1247" s="106" t="s">
        <v>1225</v>
      </c>
      <c r="F1247" s="106" t="s">
        <v>590</v>
      </c>
      <c r="G1247" s="106" t="s">
        <v>1224</v>
      </c>
      <c r="H1247" s="105" t="s">
        <v>1223</v>
      </c>
      <c r="I1247" s="105" t="s">
        <v>1217</v>
      </c>
      <c r="J1247" s="104">
        <v>5.53</v>
      </c>
      <c r="K1247" s="103" t="s">
        <v>430</v>
      </c>
      <c r="L1247" s="102" t="s">
        <v>533</v>
      </c>
      <c r="M1247" s="95"/>
      <c r="N1247" s="14"/>
      <c r="O1247" s="94">
        <v>32</v>
      </c>
      <c r="P1247" s="14" t="s">
        <v>586</v>
      </c>
      <c r="Q1247" s="14" t="s">
        <v>947</v>
      </c>
      <c r="R1247" s="14" t="s">
        <v>496</v>
      </c>
      <c r="S1247" s="15">
        <v>14</v>
      </c>
      <c r="T1247" s="15">
        <v>0</v>
      </c>
      <c r="U1247" s="15">
        <v>0</v>
      </c>
      <c r="V1247" s="14">
        <v>210</v>
      </c>
      <c r="W1247" s="12">
        <v>0</v>
      </c>
      <c r="X1247" s="12">
        <v>0</v>
      </c>
      <c r="Y1247" s="12">
        <v>0</v>
      </c>
      <c r="Z1247" s="12">
        <v>5.53</v>
      </c>
      <c r="AA1247" s="12">
        <v>0</v>
      </c>
      <c r="AB1247" s="13">
        <f t="shared" si="78"/>
        <v>0</v>
      </c>
      <c r="AE1247" s="12">
        <v>0</v>
      </c>
      <c r="AF1247" s="12">
        <v>0</v>
      </c>
      <c r="AG1247" s="12">
        <v>0</v>
      </c>
      <c r="AH1247" s="12">
        <v>5.53</v>
      </c>
      <c r="AI1247" s="12">
        <v>0</v>
      </c>
      <c r="AJ1247" s="13">
        <f t="shared" si="79"/>
        <v>0</v>
      </c>
      <c r="AN1247" s="12">
        <f t="shared" si="80"/>
        <v>1162</v>
      </c>
      <c r="AQ1247" s="8" t="s">
        <v>418</v>
      </c>
      <c r="AR1247" t="str">
        <f t="shared" si="81"/>
        <v>Noroeste - A10</v>
      </c>
    </row>
    <row r="1248" spans="1:44" x14ac:dyDescent="0.2">
      <c r="A1248" s="107" t="s">
        <v>1222</v>
      </c>
      <c r="B1248" s="106" t="s">
        <v>1221</v>
      </c>
      <c r="C1248" s="106" t="s">
        <v>1220</v>
      </c>
      <c r="D1248" s="106" t="s">
        <v>592</v>
      </c>
      <c r="E1248" s="106" t="s">
        <v>1219</v>
      </c>
      <c r="F1248" s="106" t="s">
        <v>490</v>
      </c>
      <c r="G1248" s="106" t="s">
        <v>1218</v>
      </c>
      <c r="H1248" s="105" t="s">
        <v>1217</v>
      </c>
      <c r="I1248" s="105" t="s">
        <v>1216</v>
      </c>
      <c r="J1248" s="104">
        <v>14.55</v>
      </c>
      <c r="K1248" s="103" t="s">
        <v>430</v>
      </c>
      <c r="L1248" s="102" t="s">
        <v>533</v>
      </c>
      <c r="M1248" s="95"/>
      <c r="N1248" s="14"/>
      <c r="O1248" s="94">
        <v>32</v>
      </c>
      <c r="P1248" s="14" t="s">
        <v>485</v>
      </c>
      <c r="Q1248" s="14" t="s">
        <v>947</v>
      </c>
      <c r="R1248" s="14" t="s">
        <v>496</v>
      </c>
      <c r="S1248" s="15">
        <v>7</v>
      </c>
      <c r="T1248" s="15">
        <v>0.5</v>
      </c>
      <c r="U1248" s="15">
        <v>0</v>
      </c>
      <c r="V1248" s="14">
        <v>3450</v>
      </c>
      <c r="W1248" s="12">
        <v>0</v>
      </c>
      <c r="X1248" s="12">
        <v>0</v>
      </c>
      <c r="Y1248" s="12">
        <v>0</v>
      </c>
      <c r="Z1248" s="12">
        <v>14.55</v>
      </c>
      <c r="AA1248" s="12">
        <v>0</v>
      </c>
      <c r="AB1248" s="13">
        <f t="shared" si="78"/>
        <v>0</v>
      </c>
      <c r="AE1248" s="12">
        <v>0</v>
      </c>
      <c r="AF1248" s="12">
        <v>0</v>
      </c>
      <c r="AG1248" s="12">
        <v>0</v>
      </c>
      <c r="AH1248" s="12">
        <v>14.55</v>
      </c>
      <c r="AI1248" s="12">
        <v>0</v>
      </c>
      <c r="AJ1248" s="13">
        <f t="shared" si="79"/>
        <v>0</v>
      </c>
      <c r="AN1248" s="12">
        <f t="shared" si="80"/>
        <v>50198</v>
      </c>
      <c r="AQ1248" s="8" t="s">
        <v>418</v>
      </c>
      <c r="AR1248" t="str">
        <f t="shared" si="81"/>
        <v>Noroeste - A10</v>
      </c>
    </row>
    <row r="1249" spans="1:44" x14ac:dyDescent="0.2">
      <c r="A1249" s="107" t="s">
        <v>1215</v>
      </c>
      <c r="B1249" s="106" t="s">
        <v>1214</v>
      </c>
      <c r="C1249" s="106" t="s">
        <v>1204</v>
      </c>
      <c r="D1249" s="106" t="s">
        <v>492</v>
      </c>
      <c r="E1249" s="106" t="s">
        <v>1203</v>
      </c>
      <c r="F1249" s="106" t="s">
        <v>490</v>
      </c>
      <c r="G1249" s="106" t="s">
        <v>1213</v>
      </c>
      <c r="H1249" s="105" t="s">
        <v>1212</v>
      </c>
      <c r="I1249" s="105" t="s">
        <v>1207</v>
      </c>
      <c r="J1249" s="104">
        <v>9.26</v>
      </c>
      <c r="K1249" s="103" t="s">
        <v>423</v>
      </c>
      <c r="L1249" s="102" t="s">
        <v>507</v>
      </c>
      <c r="M1249" s="95"/>
      <c r="N1249" s="14"/>
      <c r="O1249" s="94">
        <v>35</v>
      </c>
      <c r="P1249" s="14" t="s">
        <v>485</v>
      </c>
      <c r="Q1249" s="14" t="s">
        <v>497</v>
      </c>
      <c r="R1249" s="14" t="s">
        <v>496</v>
      </c>
      <c r="S1249" s="15">
        <v>6.8</v>
      </c>
      <c r="T1249" s="15">
        <v>0</v>
      </c>
      <c r="U1249" s="15">
        <v>0</v>
      </c>
      <c r="V1249" s="14">
        <v>2352</v>
      </c>
      <c r="W1249" s="12">
        <v>0</v>
      </c>
      <c r="X1249" s="12">
        <v>1</v>
      </c>
      <c r="Y1249" s="12">
        <v>2.2599999999999998</v>
      </c>
      <c r="Z1249" s="12">
        <v>6</v>
      </c>
      <c r="AA1249" s="12">
        <v>0</v>
      </c>
      <c r="AB1249" s="13">
        <f t="shared" si="78"/>
        <v>0</v>
      </c>
      <c r="AE1249" s="12">
        <v>0</v>
      </c>
      <c r="AF1249" s="12">
        <v>1</v>
      </c>
      <c r="AG1249" s="12">
        <v>2.2599999999999998</v>
      </c>
      <c r="AH1249" s="12">
        <v>6</v>
      </c>
      <c r="AI1249" s="12">
        <v>0</v>
      </c>
      <c r="AJ1249" s="13">
        <f t="shared" si="79"/>
        <v>0</v>
      </c>
      <c r="AN1249" s="12">
        <f t="shared" si="80"/>
        <v>21780</v>
      </c>
      <c r="AQ1249" s="8" t="s">
        <v>417</v>
      </c>
      <c r="AR1249" t="str">
        <f t="shared" si="81"/>
        <v>Oeste - A03</v>
      </c>
    </row>
    <row r="1250" spans="1:44" x14ac:dyDescent="0.2">
      <c r="A1250" s="107" t="s">
        <v>1211</v>
      </c>
      <c r="B1250" s="106" t="s">
        <v>1210</v>
      </c>
      <c r="C1250" s="106" t="s">
        <v>1204</v>
      </c>
      <c r="D1250" s="106" t="s">
        <v>592</v>
      </c>
      <c r="E1250" s="106" t="s">
        <v>1209</v>
      </c>
      <c r="F1250" s="106" t="s">
        <v>590</v>
      </c>
      <c r="G1250" s="106" t="s">
        <v>1208</v>
      </c>
      <c r="H1250" s="105" t="s">
        <v>1207</v>
      </c>
      <c r="I1250" s="105" t="s">
        <v>1201</v>
      </c>
      <c r="J1250" s="104">
        <v>1.29</v>
      </c>
      <c r="K1250" s="103" t="s">
        <v>423</v>
      </c>
      <c r="L1250" s="102" t="s">
        <v>507</v>
      </c>
      <c r="M1250" s="95"/>
      <c r="N1250" s="14"/>
      <c r="O1250" s="94">
        <v>35</v>
      </c>
      <c r="P1250" s="14" t="s">
        <v>586</v>
      </c>
      <c r="Q1250" s="14" t="s">
        <v>497</v>
      </c>
      <c r="R1250" s="14" t="s">
        <v>496</v>
      </c>
      <c r="S1250" s="15">
        <v>14</v>
      </c>
      <c r="T1250" s="15">
        <v>0</v>
      </c>
      <c r="U1250" s="15">
        <v>0</v>
      </c>
      <c r="V1250" s="14">
        <v>787</v>
      </c>
      <c r="W1250" s="12">
        <v>0</v>
      </c>
      <c r="X1250" s="12">
        <v>0</v>
      </c>
      <c r="Y1250" s="12">
        <v>1.29</v>
      </c>
      <c r="Z1250" s="12">
        <v>0</v>
      </c>
      <c r="AA1250" s="12">
        <v>0</v>
      </c>
      <c r="AB1250" s="13">
        <f t="shared" si="78"/>
        <v>0</v>
      </c>
      <c r="AE1250" s="12">
        <v>0</v>
      </c>
      <c r="AF1250" s="12">
        <v>0</v>
      </c>
      <c r="AG1250" s="12">
        <v>1.29</v>
      </c>
      <c r="AH1250" s="12">
        <v>0</v>
      </c>
      <c r="AI1250" s="12">
        <v>0</v>
      </c>
      <c r="AJ1250" s="13">
        <f t="shared" si="79"/>
        <v>0</v>
      </c>
      <c r="AN1250" s="12">
        <f t="shared" si="80"/>
        <v>1016</v>
      </c>
      <c r="AQ1250" s="8" t="s">
        <v>417</v>
      </c>
      <c r="AR1250" t="str">
        <f t="shared" si="81"/>
        <v>Oeste - A03</v>
      </c>
    </row>
    <row r="1251" spans="1:44" x14ac:dyDescent="0.2">
      <c r="A1251" s="107" t="s">
        <v>1206</v>
      </c>
      <c r="B1251" s="106" t="s">
        <v>1205</v>
      </c>
      <c r="C1251" s="106" t="s">
        <v>1204</v>
      </c>
      <c r="D1251" s="106" t="s">
        <v>513</v>
      </c>
      <c r="E1251" s="106" t="s">
        <v>1203</v>
      </c>
      <c r="F1251" s="106" t="s">
        <v>490</v>
      </c>
      <c r="G1251" s="106" t="s">
        <v>1202</v>
      </c>
      <c r="H1251" s="105" t="s">
        <v>1201</v>
      </c>
      <c r="I1251" s="105" t="s">
        <v>1200</v>
      </c>
      <c r="J1251" s="104">
        <v>7.6</v>
      </c>
      <c r="K1251" s="103" t="s">
        <v>423</v>
      </c>
      <c r="L1251" s="102" t="s">
        <v>507</v>
      </c>
      <c r="M1251" s="95"/>
      <c r="N1251" s="14"/>
      <c r="O1251" s="94">
        <v>35</v>
      </c>
      <c r="P1251" s="14" t="s">
        <v>485</v>
      </c>
      <c r="Q1251" s="14" t="s">
        <v>497</v>
      </c>
      <c r="R1251" s="14" t="s">
        <v>496</v>
      </c>
      <c r="S1251" s="15">
        <v>6.6</v>
      </c>
      <c r="T1251" s="15">
        <v>0</v>
      </c>
      <c r="U1251" s="15">
        <v>0</v>
      </c>
      <c r="V1251" s="14">
        <v>260</v>
      </c>
      <c r="W1251" s="12">
        <v>0</v>
      </c>
      <c r="X1251" s="12">
        <v>0</v>
      </c>
      <c r="Y1251" s="12">
        <v>1</v>
      </c>
      <c r="Z1251" s="12">
        <v>6.6</v>
      </c>
      <c r="AA1251" s="12">
        <v>0</v>
      </c>
      <c r="AB1251" s="13">
        <f t="shared" si="78"/>
        <v>0</v>
      </c>
      <c r="AE1251" s="12">
        <v>0</v>
      </c>
      <c r="AF1251" s="12">
        <v>0</v>
      </c>
      <c r="AG1251" s="12">
        <v>1</v>
      </c>
      <c r="AH1251" s="12">
        <v>6.6</v>
      </c>
      <c r="AI1251" s="12">
        <v>0</v>
      </c>
      <c r="AJ1251" s="13">
        <f t="shared" si="79"/>
        <v>0</v>
      </c>
      <c r="AN1251" s="12">
        <f t="shared" si="80"/>
        <v>1976</v>
      </c>
      <c r="AQ1251" s="8" t="s">
        <v>417</v>
      </c>
      <c r="AR1251" t="str">
        <f t="shared" si="81"/>
        <v>Oeste - A03</v>
      </c>
    </row>
    <row r="1252" spans="1:44" x14ac:dyDescent="0.2">
      <c r="A1252" s="107" t="s">
        <v>1199</v>
      </c>
      <c r="B1252" s="106" t="s">
        <v>1198</v>
      </c>
      <c r="C1252" s="106" t="s">
        <v>1197</v>
      </c>
      <c r="D1252" s="106" t="s">
        <v>751</v>
      </c>
      <c r="E1252" s="106" t="s">
        <v>1196</v>
      </c>
      <c r="F1252" s="106" t="s">
        <v>490</v>
      </c>
      <c r="G1252" s="106" t="s">
        <v>1195</v>
      </c>
      <c r="H1252" s="105" t="s">
        <v>1194</v>
      </c>
      <c r="I1252" s="105" t="s">
        <v>1193</v>
      </c>
      <c r="J1252" s="104">
        <v>5.63</v>
      </c>
      <c r="K1252" s="103" t="s">
        <v>426</v>
      </c>
      <c r="L1252" s="102" t="s">
        <v>507</v>
      </c>
      <c r="M1252" s="95"/>
      <c r="N1252" s="14"/>
      <c r="O1252" s="94">
        <v>38</v>
      </c>
      <c r="P1252" s="14" t="s">
        <v>485</v>
      </c>
      <c r="Q1252" s="14" t="s">
        <v>497</v>
      </c>
      <c r="R1252" s="14" t="s">
        <v>496</v>
      </c>
      <c r="S1252" s="15">
        <v>7.4</v>
      </c>
      <c r="T1252" s="15">
        <v>4.0999999999999996</v>
      </c>
      <c r="U1252" s="15">
        <v>0</v>
      </c>
      <c r="V1252" s="14">
        <v>324</v>
      </c>
      <c r="W1252" s="12">
        <v>0</v>
      </c>
      <c r="X1252" s="12">
        <v>0</v>
      </c>
      <c r="Y1252" s="12">
        <v>0</v>
      </c>
      <c r="Z1252" s="12">
        <v>5.63</v>
      </c>
      <c r="AA1252" s="12">
        <v>0</v>
      </c>
      <c r="AB1252" s="13">
        <f t="shared" si="78"/>
        <v>0</v>
      </c>
      <c r="AE1252" s="12">
        <v>0</v>
      </c>
      <c r="AF1252" s="12">
        <v>0</v>
      </c>
      <c r="AG1252" s="12">
        <v>0</v>
      </c>
      <c r="AH1252" s="12">
        <v>5.63</v>
      </c>
      <c r="AI1252" s="12">
        <v>0</v>
      </c>
      <c r="AJ1252" s="13">
        <f t="shared" si="79"/>
        <v>0</v>
      </c>
      <c r="AN1252" s="12">
        <f t="shared" si="80"/>
        <v>1825</v>
      </c>
      <c r="AQ1252" s="8" t="s">
        <v>417</v>
      </c>
      <c r="AR1252" t="str">
        <f t="shared" si="81"/>
        <v>Oeste - A06</v>
      </c>
    </row>
    <row r="1253" spans="1:44" x14ac:dyDescent="0.2">
      <c r="A1253" s="107" t="s">
        <v>1192</v>
      </c>
      <c r="B1253" s="106" t="s">
        <v>1191</v>
      </c>
      <c r="C1253" s="106" t="s">
        <v>1183</v>
      </c>
      <c r="D1253" s="106" t="s">
        <v>751</v>
      </c>
      <c r="E1253" s="106" t="s">
        <v>1182</v>
      </c>
      <c r="F1253" s="106" t="s">
        <v>490</v>
      </c>
      <c r="G1253" s="106" t="s">
        <v>1190</v>
      </c>
      <c r="H1253" s="105" t="s">
        <v>526</v>
      </c>
      <c r="I1253" s="105" t="s">
        <v>1186</v>
      </c>
      <c r="J1253" s="104">
        <v>1.57</v>
      </c>
      <c r="K1253" s="103" t="s">
        <v>426</v>
      </c>
      <c r="L1253" s="102" t="s">
        <v>507</v>
      </c>
      <c r="M1253" s="95"/>
      <c r="N1253" s="14"/>
      <c r="O1253" s="94">
        <v>38</v>
      </c>
      <c r="P1253" s="14" t="s">
        <v>485</v>
      </c>
      <c r="Q1253" s="14" t="s">
        <v>497</v>
      </c>
      <c r="R1253" s="14" t="s">
        <v>496</v>
      </c>
      <c r="S1253" s="15">
        <v>7.2</v>
      </c>
      <c r="T1253" s="15">
        <v>1</v>
      </c>
      <c r="U1253" s="15">
        <v>0</v>
      </c>
      <c r="V1253" s="14">
        <v>2023</v>
      </c>
      <c r="W1253" s="12">
        <v>0</v>
      </c>
      <c r="X1253" s="12">
        <v>0</v>
      </c>
      <c r="Y1253" s="12">
        <v>1.57</v>
      </c>
      <c r="Z1253" s="12">
        <v>0</v>
      </c>
      <c r="AA1253" s="12">
        <v>0</v>
      </c>
      <c r="AB1253" s="13">
        <f t="shared" si="78"/>
        <v>0</v>
      </c>
      <c r="AE1253" s="12">
        <v>0</v>
      </c>
      <c r="AF1253" s="12">
        <v>0</v>
      </c>
      <c r="AG1253" s="12">
        <v>1.57</v>
      </c>
      <c r="AH1253" s="12">
        <v>0</v>
      </c>
      <c r="AI1253" s="12">
        <v>0</v>
      </c>
      <c r="AJ1253" s="13">
        <f t="shared" si="79"/>
        <v>0</v>
      </c>
      <c r="AN1253" s="12">
        <f t="shared" si="80"/>
        <v>3177</v>
      </c>
      <c r="AQ1253" s="8" t="s">
        <v>417</v>
      </c>
      <c r="AR1253" t="str">
        <f t="shared" si="81"/>
        <v>Oeste - A06</v>
      </c>
    </row>
    <row r="1254" spans="1:44" x14ac:dyDescent="0.2">
      <c r="A1254" s="107" t="s">
        <v>1189</v>
      </c>
      <c r="B1254" s="106" t="s">
        <v>1188</v>
      </c>
      <c r="C1254" s="106" t="s">
        <v>1183</v>
      </c>
      <c r="D1254" s="106" t="s">
        <v>492</v>
      </c>
      <c r="E1254" s="106" t="s">
        <v>1182</v>
      </c>
      <c r="F1254" s="106" t="s">
        <v>490</v>
      </c>
      <c r="G1254" s="106" t="s">
        <v>1187</v>
      </c>
      <c r="H1254" s="105" t="s">
        <v>1186</v>
      </c>
      <c r="I1254" s="105" t="s">
        <v>1180</v>
      </c>
      <c r="J1254" s="104">
        <v>5.4</v>
      </c>
      <c r="K1254" s="103" t="s">
        <v>426</v>
      </c>
      <c r="L1254" s="102" t="s">
        <v>507</v>
      </c>
      <c r="M1254" s="95"/>
      <c r="N1254" s="14"/>
      <c r="O1254" s="94">
        <v>38</v>
      </c>
      <c r="P1254" s="14" t="s">
        <v>485</v>
      </c>
      <c r="Q1254" s="14" t="s">
        <v>497</v>
      </c>
      <c r="R1254" s="14" t="s">
        <v>496</v>
      </c>
      <c r="S1254" s="15">
        <v>6.8</v>
      </c>
      <c r="T1254" s="15">
        <v>1.2</v>
      </c>
      <c r="U1254" s="15">
        <v>1.1000000000000001</v>
      </c>
      <c r="V1254" s="14">
        <v>2047</v>
      </c>
      <c r="W1254" s="12">
        <v>0</v>
      </c>
      <c r="X1254" s="12">
        <v>0</v>
      </c>
      <c r="Y1254" s="12">
        <v>1</v>
      </c>
      <c r="Z1254" s="12">
        <v>4.4000000000000004</v>
      </c>
      <c r="AA1254" s="12">
        <v>0</v>
      </c>
      <c r="AB1254" s="13">
        <f t="shared" si="78"/>
        <v>0</v>
      </c>
      <c r="AE1254" s="12">
        <v>0</v>
      </c>
      <c r="AF1254" s="12">
        <v>0</v>
      </c>
      <c r="AG1254" s="12">
        <v>1</v>
      </c>
      <c r="AH1254" s="12">
        <v>4.4000000000000004</v>
      </c>
      <c r="AI1254" s="12">
        <v>0</v>
      </c>
      <c r="AJ1254" s="13">
        <f t="shared" si="79"/>
        <v>0</v>
      </c>
      <c r="AN1254" s="12">
        <f t="shared" si="80"/>
        <v>11054</v>
      </c>
      <c r="AQ1254" s="8" t="s">
        <v>417</v>
      </c>
      <c r="AR1254" t="str">
        <f t="shared" si="81"/>
        <v>Oeste - A06</v>
      </c>
    </row>
    <row r="1255" spans="1:44" x14ac:dyDescent="0.2">
      <c r="A1255" s="107" t="s">
        <v>1185</v>
      </c>
      <c r="B1255" s="106" t="s">
        <v>1184</v>
      </c>
      <c r="C1255" s="106" t="s">
        <v>1183</v>
      </c>
      <c r="D1255" s="106" t="s">
        <v>519</v>
      </c>
      <c r="E1255" s="106" t="s">
        <v>1182</v>
      </c>
      <c r="F1255" s="106" t="s">
        <v>490</v>
      </c>
      <c r="G1255" s="106" t="s">
        <v>1181</v>
      </c>
      <c r="H1255" s="105" t="s">
        <v>1180</v>
      </c>
      <c r="I1255" s="105" t="s">
        <v>1179</v>
      </c>
      <c r="J1255" s="104">
        <v>6.53</v>
      </c>
      <c r="K1255" s="103" t="s">
        <v>426</v>
      </c>
      <c r="L1255" s="102" t="s">
        <v>507</v>
      </c>
      <c r="M1255" s="95"/>
      <c r="N1255" s="14"/>
      <c r="O1255" s="94">
        <v>38</v>
      </c>
      <c r="P1255" s="14" t="s">
        <v>485</v>
      </c>
      <c r="Q1255" s="14" t="s">
        <v>497</v>
      </c>
      <c r="R1255" s="14" t="s">
        <v>496</v>
      </c>
      <c r="S1255" s="15">
        <v>6.7</v>
      </c>
      <c r="T1255" s="15">
        <v>1.2</v>
      </c>
      <c r="U1255" s="15">
        <v>0</v>
      </c>
      <c r="V1255" s="14">
        <v>1852</v>
      </c>
      <c r="W1255" s="12">
        <v>0</v>
      </c>
      <c r="X1255" s="12">
        <v>0.53000000000000025</v>
      </c>
      <c r="Y1255" s="12">
        <v>1</v>
      </c>
      <c r="Z1255" s="12">
        <v>5</v>
      </c>
      <c r="AA1255" s="12">
        <v>0</v>
      </c>
      <c r="AB1255" s="13">
        <f t="shared" si="78"/>
        <v>0</v>
      </c>
      <c r="AE1255" s="12">
        <v>0</v>
      </c>
      <c r="AF1255" s="12">
        <v>0.53000000000000025</v>
      </c>
      <c r="AG1255" s="12">
        <v>1</v>
      </c>
      <c r="AH1255" s="12">
        <v>5</v>
      </c>
      <c r="AI1255" s="12">
        <v>0</v>
      </c>
      <c r="AJ1255" s="13">
        <f t="shared" si="79"/>
        <v>0</v>
      </c>
      <c r="AN1255" s="12">
        <f t="shared" si="80"/>
        <v>12094</v>
      </c>
      <c r="AQ1255" s="8" t="s">
        <v>417</v>
      </c>
      <c r="AR1255" t="str">
        <f t="shared" si="81"/>
        <v>Oeste - A06</v>
      </c>
    </row>
    <row r="1256" spans="1:44" x14ac:dyDescent="0.2">
      <c r="A1256" s="107" t="s">
        <v>1178</v>
      </c>
      <c r="B1256" s="106" t="s">
        <v>1177</v>
      </c>
      <c r="C1256" s="106" t="s">
        <v>1163</v>
      </c>
      <c r="D1256" s="106" t="s">
        <v>751</v>
      </c>
      <c r="E1256" s="106" t="s">
        <v>1168</v>
      </c>
      <c r="F1256" s="106" t="s">
        <v>590</v>
      </c>
      <c r="G1256" s="106" t="s">
        <v>1176</v>
      </c>
      <c r="H1256" s="105" t="s">
        <v>1175</v>
      </c>
      <c r="I1256" s="105" t="s">
        <v>1171</v>
      </c>
      <c r="J1256" s="104">
        <v>1.54</v>
      </c>
      <c r="K1256" s="103" t="s">
        <v>421</v>
      </c>
      <c r="L1256" s="102" t="s">
        <v>507</v>
      </c>
      <c r="M1256" s="95"/>
      <c r="N1256" s="14"/>
      <c r="O1256" s="94">
        <v>33</v>
      </c>
      <c r="P1256" s="14" t="s">
        <v>586</v>
      </c>
      <c r="Q1256" s="14" t="s">
        <v>497</v>
      </c>
      <c r="R1256" s="14" t="s">
        <v>496</v>
      </c>
      <c r="S1256" s="15">
        <v>18</v>
      </c>
      <c r="T1256" s="15">
        <v>0</v>
      </c>
      <c r="U1256" s="15">
        <v>0</v>
      </c>
      <c r="V1256" s="14">
        <v>600</v>
      </c>
      <c r="W1256" s="12">
        <v>0</v>
      </c>
      <c r="X1256" s="12">
        <v>0</v>
      </c>
      <c r="Y1256" s="12">
        <v>0</v>
      </c>
      <c r="Z1256" s="12">
        <v>1.54</v>
      </c>
      <c r="AA1256" s="12">
        <v>0</v>
      </c>
      <c r="AB1256" s="13">
        <f t="shared" si="78"/>
        <v>0</v>
      </c>
      <c r="AE1256" s="12">
        <v>0</v>
      </c>
      <c r="AF1256" s="12">
        <v>0</v>
      </c>
      <c r="AG1256" s="12">
        <v>0</v>
      </c>
      <c r="AH1256" s="12">
        <v>1.54</v>
      </c>
      <c r="AI1256" s="12">
        <v>0</v>
      </c>
      <c r="AJ1256" s="13">
        <f t="shared" si="79"/>
        <v>0</v>
      </c>
      <c r="AN1256" s="12">
        <f t="shared" si="80"/>
        <v>924</v>
      </c>
      <c r="AQ1256" s="8" t="s">
        <v>417</v>
      </c>
      <c r="AR1256" t="str">
        <f t="shared" si="81"/>
        <v>Oeste - A01</v>
      </c>
    </row>
    <row r="1257" spans="1:44" x14ac:dyDescent="0.2">
      <c r="A1257" s="107" t="s">
        <v>1174</v>
      </c>
      <c r="B1257" s="106" t="s">
        <v>1173</v>
      </c>
      <c r="C1257" s="106" t="s">
        <v>1163</v>
      </c>
      <c r="D1257" s="106" t="s">
        <v>492</v>
      </c>
      <c r="E1257" s="106" t="s">
        <v>1162</v>
      </c>
      <c r="F1257" s="106" t="s">
        <v>490</v>
      </c>
      <c r="G1257" s="106" t="s">
        <v>1172</v>
      </c>
      <c r="H1257" s="105" t="s">
        <v>1171</v>
      </c>
      <c r="I1257" s="105" t="s">
        <v>1166</v>
      </c>
      <c r="J1257" s="104">
        <v>13.95</v>
      </c>
      <c r="K1257" s="103" t="s">
        <v>421</v>
      </c>
      <c r="L1257" s="102" t="s">
        <v>507</v>
      </c>
      <c r="M1257" s="95"/>
      <c r="N1257" s="17">
        <f>O1257</f>
        <v>33</v>
      </c>
      <c r="O1257" s="94">
        <v>33</v>
      </c>
      <c r="P1257" s="14" t="s">
        <v>485</v>
      </c>
      <c r="Q1257" s="14" t="s">
        <v>497</v>
      </c>
      <c r="R1257" s="14" t="s">
        <v>496</v>
      </c>
      <c r="S1257" s="15">
        <v>6.8</v>
      </c>
      <c r="T1257" s="15">
        <v>0</v>
      </c>
      <c r="U1257" s="15">
        <v>0</v>
      </c>
      <c r="V1257" s="14">
        <v>3114</v>
      </c>
      <c r="W1257" s="12">
        <v>0</v>
      </c>
      <c r="X1257" s="12">
        <v>0</v>
      </c>
      <c r="Y1257" s="12">
        <v>12</v>
      </c>
      <c r="Z1257" s="12">
        <v>1.9499999999999993</v>
      </c>
      <c r="AA1257" s="12">
        <v>0</v>
      </c>
      <c r="AB1257" s="13">
        <f t="shared" si="78"/>
        <v>0</v>
      </c>
      <c r="AE1257" s="12">
        <v>0</v>
      </c>
      <c r="AF1257" s="12">
        <v>0</v>
      </c>
      <c r="AG1257" s="12">
        <v>12</v>
      </c>
      <c r="AH1257" s="12">
        <v>1.9499999999999993</v>
      </c>
      <c r="AI1257" s="12">
        <v>0</v>
      </c>
      <c r="AJ1257" s="13">
        <f t="shared" si="79"/>
        <v>0</v>
      </c>
      <c r="AN1257" s="12">
        <f t="shared" si="80"/>
        <v>43441</v>
      </c>
      <c r="AQ1257" s="8" t="s">
        <v>417</v>
      </c>
      <c r="AR1257" t="str">
        <f t="shared" si="81"/>
        <v>Oeste - A01</v>
      </c>
    </row>
    <row r="1258" spans="1:44" x14ac:dyDescent="0.2">
      <c r="A1258" s="107" t="s">
        <v>1170</v>
      </c>
      <c r="B1258" s="106" t="s">
        <v>1169</v>
      </c>
      <c r="C1258" s="106" t="s">
        <v>1163</v>
      </c>
      <c r="D1258" s="106" t="s">
        <v>592</v>
      </c>
      <c r="E1258" s="106" t="s">
        <v>1168</v>
      </c>
      <c r="F1258" s="106" t="s">
        <v>590</v>
      </c>
      <c r="G1258" s="106" t="s">
        <v>1167</v>
      </c>
      <c r="H1258" s="105" t="s">
        <v>1166</v>
      </c>
      <c r="I1258" s="105" t="s">
        <v>1160</v>
      </c>
      <c r="J1258" s="104">
        <v>1.1000000000000001</v>
      </c>
      <c r="K1258" s="103" t="s">
        <v>421</v>
      </c>
      <c r="L1258" s="102" t="s">
        <v>507</v>
      </c>
      <c r="M1258" s="95"/>
      <c r="N1258" s="14"/>
      <c r="O1258" s="94">
        <v>33</v>
      </c>
      <c r="P1258" s="14" t="s">
        <v>586</v>
      </c>
      <c r="Q1258" s="14" t="s">
        <v>497</v>
      </c>
      <c r="R1258" s="14" t="s">
        <v>496</v>
      </c>
      <c r="S1258" s="15">
        <v>20</v>
      </c>
      <c r="T1258" s="15">
        <v>0</v>
      </c>
      <c r="U1258" s="15">
        <v>0</v>
      </c>
      <c r="V1258" s="14">
        <v>1891</v>
      </c>
      <c r="W1258" s="12">
        <v>0</v>
      </c>
      <c r="X1258" s="12">
        <v>0</v>
      </c>
      <c r="Y1258" s="12">
        <v>1.1000000000000001</v>
      </c>
      <c r="Z1258" s="12">
        <v>0</v>
      </c>
      <c r="AA1258" s="12">
        <v>0</v>
      </c>
      <c r="AB1258" s="13">
        <f t="shared" si="78"/>
        <v>0</v>
      </c>
      <c r="AE1258" s="12">
        <v>0</v>
      </c>
      <c r="AF1258" s="12">
        <v>0</v>
      </c>
      <c r="AG1258" s="12">
        <v>1.1000000000000001</v>
      </c>
      <c r="AH1258" s="12">
        <v>0</v>
      </c>
      <c r="AI1258" s="12">
        <v>0</v>
      </c>
      <c r="AJ1258" s="13">
        <f t="shared" si="79"/>
        <v>0</v>
      </c>
      <c r="AN1258" s="12">
        <f t="shared" si="80"/>
        <v>2081</v>
      </c>
      <c r="AQ1258" s="8" t="s">
        <v>417</v>
      </c>
      <c r="AR1258" t="str">
        <f t="shared" si="81"/>
        <v>Oeste - A01</v>
      </c>
    </row>
    <row r="1259" spans="1:44" x14ac:dyDescent="0.2">
      <c r="A1259" s="107" t="s">
        <v>1165</v>
      </c>
      <c r="B1259" s="106" t="s">
        <v>1164</v>
      </c>
      <c r="C1259" s="106" t="s">
        <v>1163</v>
      </c>
      <c r="D1259" s="106" t="s">
        <v>513</v>
      </c>
      <c r="E1259" s="106" t="s">
        <v>1162</v>
      </c>
      <c r="F1259" s="106" t="s">
        <v>490</v>
      </c>
      <c r="G1259" s="106" t="s">
        <v>1161</v>
      </c>
      <c r="H1259" s="105" t="s">
        <v>1160</v>
      </c>
      <c r="I1259" s="105" t="s">
        <v>1159</v>
      </c>
      <c r="J1259" s="104">
        <v>25.33</v>
      </c>
      <c r="K1259" s="103" t="s">
        <v>422</v>
      </c>
      <c r="L1259" s="102" t="s">
        <v>507</v>
      </c>
      <c r="M1259" s="95"/>
      <c r="N1259" s="14"/>
      <c r="O1259" s="94">
        <v>34</v>
      </c>
      <c r="P1259" s="14" t="s">
        <v>485</v>
      </c>
      <c r="Q1259" s="14" t="s">
        <v>497</v>
      </c>
      <c r="R1259" s="14" t="s">
        <v>496</v>
      </c>
      <c r="S1259" s="15">
        <v>7</v>
      </c>
      <c r="T1259" s="15">
        <v>1.4</v>
      </c>
      <c r="U1259" s="15">
        <v>0</v>
      </c>
      <c r="V1259" s="14">
        <v>3013</v>
      </c>
      <c r="W1259" s="12">
        <v>0</v>
      </c>
      <c r="X1259" s="12">
        <v>4.3299999999999983</v>
      </c>
      <c r="Y1259" s="12">
        <v>9</v>
      </c>
      <c r="Z1259" s="12">
        <v>12</v>
      </c>
      <c r="AA1259" s="12">
        <v>0</v>
      </c>
      <c r="AB1259" s="13">
        <f t="shared" si="78"/>
        <v>0</v>
      </c>
      <c r="AE1259" s="12">
        <v>0</v>
      </c>
      <c r="AF1259" s="12">
        <v>4.3299999999999983</v>
      </c>
      <c r="AG1259" s="12">
        <v>9</v>
      </c>
      <c r="AH1259" s="12">
        <v>12</v>
      </c>
      <c r="AI1259" s="12">
        <v>0</v>
      </c>
      <c r="AJ1259" s="13">
        <f t="shared" si="79"/>
        <v>0</v>
      </c>
      <c r="AN1259" s="12">
        <f t="shared" si="80"/>
        <v>76320</v>
      </c>
      <c r="AQ1259" s="8" t="s">
        <v>417</v>
      </c>
      <c r="AR1259" t="str">
        <f t="shared" si="81"/>
        <v>Oeste - A02</v>
      </c>
    </row>
    <row r="1260" spans="1:44" x14ac:dyDescent="0.2">
      <c r="A1260" s="107" t="s">
        <v>1158</v>
      </c>
      <c r="B1260" s="106" t="s">
        <v>1157</v>
      </c>
      <c r="C1260" s="106" t="s">
        <v>1156</v>
      </c>
      <c r="D1260" s="106" t="s">
        <v>492</v>
      </c>
      <c r="E1260" s="106" t="s">
        <v>1155</v>
      </c>
      <c r="F1260" s="106" t="s">
        <v>490</v>
      </c>
      <c r="G1260" s="106" t="s">
        <v>1154</v>
      </c>
      <c r="H1260" s="105" t="s">
        <v>526</v>
      </c>
      <c r="I1260" s="105" t="s">
        <v>1153</v>
      </c>
      <c r="J1260" s="104">
        <v>4.97</v>
      </c>
      <c r="K1260" s="103" t="s">
        <v>424</v>
      </c>
      <c r="L1260" s="102" t="s">
        <v>507</v>
      </c>
      <c r="M1260" s="95"/>
      <c r="N1260" s="14"/>
      <c r="O1260" s="94">
        <v>36</v>
      </c>
      <c r="P1260" s="14" t="s">
        <v>485</v>
      </c>
      <c r="Q1260" s="14" t="s">
        <v>497</v>
      </c>
      <c r="R1260" s="14" t="s">
        <v>496</v>
      </c>
      <c r="S1260" s="15">
        <v>6.6</v>
      </c>
      <c r="T1260" s="15">
        <v>0</v>
      </c>
      <c r="U1260" s="15">
        <v>0</v>
      </c>
      <c r="V1260" s="14">
        <v>2142</v>
      </c>
      <c r="W1260" s="12">
        <v>0</v>
      </c>
      <c r="X1260" s="12">
        <v>0</v>
      </c>
      <c r="Y1260" s="12">
        <v>1.9699999999999998</v>
      </c>
      <c r="Z1260" s="12">
        <v>3</v>
      </c>
      <c r="AA1260" s="12">
        <v>0</v>
      </c>
      <c r="AB1260" s="13">
        <f t="shared" si="78"/>
        <v>0</v>
      </c>
      <c r="AE1260" s="12">
        <v>0</v>
      </c>
      <c r="AF1260" s="12">
        <v>0</v>
      </c>
      <c r="AG1260" s="12">
        <v>1.9699999999999998</v>
      </c>
      <c r="AH1260" s="12">
        <v>3</v>
      </c>
      <c r="AI1260" s="12">
        <v>0</v>
      </c>
      <c r="AJ1260" s="13">
        <f t="shared" si="79"/>
        <v>0</v>
      </c>
      <c r="AN1260" s="12">
        <f t="shared" si="80"/>
        <v>10646</v>
      </c>
      <c r="AQ1260" s="8" t="s">
        <v>417</v>
      </c>
      <c r="AR1260" t="str">
        <f t="shared" si="81"/>
        <v>Oeste - A04</v>
      </c>
    </row>
    <row r="1261" spans="1:44" x14ac:dyDescent="0.2">
      <c r="A1261" s="107" t="s">
        <v>1152</v>
      </c>
      <c r="B1261" s="106" t="s">
        <v>1151</v>
      </c>
      <c r="C1261" s="106" t="s">
        <v>1141</v>
      </c>
      <c r="D1261" s="106" t="s">
        <v>492</v>
      </c>
      <c r="E1261" s="106" t="s">
        <v>1140</v>
      </c>
      <c r="F1261" s="106" t="s">
        <v>490</v>
      </c>
      <c r="G1261" s="106" t="s">
        <v>1150</v>
      </c>
      <c r="H1261" s="105" t="s">
        <v>1149</v>
      </c>
      <c r="I1261" s="105" t="s">
        <v>1144</v>
      </c>
      <c r="J1261" s="104">
        <v>11.12</v>
      </c>
      <c r="K1261" s="103" t="s">
        <v>428</v>
      </c>
      <c r="L1261" s="102" t="s">
        <v>533</v>
      </c>
      <c r="M1261" s="95"/>
      <c r="N1261" s="14"/>
      <c r="O1261" s="94">
        <v>30</v>
      </c>
      <c r="P1261" s="14" t="s">
        <v>485</v>
      </c>
      <c r="Q1261" s="14" t="s">
        <v>947</v>
      </c>
      <c r="R1261" s="14" t="s">
        <v>585</v>
      </c>
      <c r="S1261" s="15">
        <v>14</v>
      </c>
      <c r="T1261" s="15">
        <v>0</v>
      </c>
      <c r="U1261" s="15">
        <v>0</v>
      </c>
      <c r="V1261" s="14">
        <v>1122</v>
      </c>
      <c r="W1261" s="12">
        <v>0</v>
      </c>
      <c r="X1261" s="12">
        <v>0</v>
      </c>
      <c r="Y1261" s="12">
        <v>3</v>
      </c>
      <c r="Z1261" s="12">
        <v>8.1199999999999992</v>
      </c>
      <c r="AA1261" s="12">
        <v>0</v>
      </c>
      <c r="AB1261" s="13">
        <f t="shared" si="78"/>
        <v>0</v>
      </c>
      <c r="AE1261" s="12">
        <v>0</v>
      </c>
      <c r="AF1261" s="12">
        <v>0</v>
      </c>
      <c r="AG1261" s="12">
        <v>3</v>
      </c>
      <c r="AH1261" s="12">
        <v>8.1199999999999992</v>
      </c>
      <c r="AI1261" s="12">
        <v>0</v>
      </c>
      <c r="AJ1261" s="13">
        <f t="shared" si="79"/>
        <v>0</v>
      </c>
      <c r="AN1261" s="12">
        <f t="shared" si="80"/>
        <v>12477</v>
      </c>
      <c r="AQ1261" s="8" t="s">
        <v>418</v>
      </c>
      <c r="AR1261" t="str">
        <f t="shared" si="81"/>
        <v>Noroeste - A08</v>
      </c>
    </row>
    <row r="1262" spans="1:44" x14ac:dyDescent="0.2">
      <c r="A1262" s="107" t="s">
        <v>1148</v>
      </c>
      <c r="B1262" s="106" t="s">
        <v>1147</v>
      </c>
      <c r="C1262" s="106" t="s">
        <v>1141</v>
      </c>
      <c r="D1262" s="106" t="s">
        <v>592</v>
      </c>
      <c r="E1262" s="106" t="s">
        <v>1146</v>
      </c>
      <c r="F1262" s="106" t="s">
        <v>590</v>
      </c>
      <c r="G1262" s="106" t="s">
        <v>1145</v>
      </c>
      <c r="H1262" s="105" t="s">
        <v>1144</v>
      </c>
      <c r="I1262" s="105" t="s">
        <v>1138</v>
      </c>
      <c r="J1262" s="104">
        <v>0.94</v>
      </c>
      <c r="K1262" s="103" t="s">
        <v>428</v>
      </c>
      <c r="L1262" s="102" t="s">
        <v>533</v>
      </c>
      <c r="M1262" s="95"/>
      <c r="N1262" s="14"/>
      <c r="O1262" s="94">
        <v>30</v>
      </c>
      <c r="P1262" s="14" t="s">
        <v>586</v>
      </c>
      <c r="Q1262" s="14" t="s">
        <v>947</v>
      </c>
      <c r="R1262" s="14" t="s">
        <v>585</v>
      </c>
      <c r="S1262" s="15">
        <v>7</v>
      </c>
      <c r="T1262" s="15">
        <v>0</v>
      </c>
      <c r="U1262" s="15">
        <v>0</v>
      </c>
      <c r="V1262" s="14">
        <v>210</v>
      </c>
      <c r="W1262" s="12">
        <v>0</v>
      </c>
      <c r="X1262" s="12">
        <v>0</v>
      </c>
      <c r="Y1262" s="12">
        <v>0</v>
      </c>
      <c r="Z1262" s="12">
        <v>0.94</v>
      </c>
      <c r="AA1262" s="12">
        <v>0</v>
      </c>
      <c r="AB1262" s="13">
        <f t="shared" si="78"/>
        <v>0</v>
      </c>
      <c r="AE1262" s="12">
        <v>0</v>
      </c>
      <c r="AF1262" s="12">
        <v>0</v>
      </c>
      <c r="AG1262" s="12">
        <v>0</v>
      </c>
      <c r="AH1262" s="12">
        <v>0.94</v>
      </c>
      <c r="AI1262" s="12">
        <v>0</v>
      </c>
      <c r="AJ1262" s="13">
        <f t="shared" si="79"/>
        <v>0</v>
      </c>
      <c r="AN1262" s="12">
        <f t="shared" si="80"/>
        <v>198</v>
      </c>
      <c r="AQ1262" s="8" t="s">
        <v>418</v>
      </c>
      <c r="AR1262" t="str">
        <f t="shared" si="81"/>
        <v>Noroeste - A08</v>
      </c>
    </row>
    <row r="1263" spans="1:44" x14ac:dyDescent="0.2">
      <c r="A1263" s="107" t="s">
        <v>1143</v>
      </c>
      <c r="B1263" s="106" t="s">
        <v>1142</v>
      </c>
      <c r="C1263" s="106" t="s">
        <v>1141</v>
      </c>
      <c r="D1263" s="106" t="s">
        <v>513</v>
      </c>
      <c r="E1263" s="106" t="s">
        <v>1140</v>
      </c>
      <c r="F1263" s="106" t="s">
        <v>490</v>
      </c>
      <c r="G1263" s="106" t="s">
        <v>1139</v>
      </c>
      <c r="H1263" s="105" t="s">
        <v>1138</v>
      </c>
      <c r="I1263" s="105" t="s">
        <v>1137</v>
      </c>
      <c r="J1263" s="104">
        <v>8.6300000000000008</v>
      </c>
      <c r="K1263" s="103" t="s">
        <v>428</v>
      </c>
      <c r="L1263" s="102" t="s">
        <v>533</v>
      </c>
      <c r="M1263" s="95"/>
      <c r="N1263" s="14"/>
      <c r="O1263" s="94">
        <v>30</v>
      </c>
      <c r="P1263" s="14" t="s">
        <v>485</v>
      </c>
      <c r="Q1263" s="14" t="s">
        <v>947</v>
      </c>
      <c r="R1263" s="14" t="s">
        <v>585</v>
      </c>
      <c r="S1263" s="15">
        <v>7</v>
      </c>
      <c r="T1263" s="15">
        <v>0.5</v>
      </c>
      <c r="U1263" s="15">
        <v>0</v>
      </c>
      <c r="V1263" s="14">
        <v>1122</v>
      </c>
      <c r="W1263" s="12">
        <v>0</v>
      </c>
      <c r="X1263" s="12">
        <v>0</v>
      </c>
      <c r="Y1263" s="12">
        <v>1</v>
      </c>
      <c r="Z1263" s="12">
        <v>7.6300000000000008</v>
      </c>
      <c r="AA1263" s="12">
        <v>0</v>
      </c>
      <c r="AB1263" s="13">
        <f t="shared" si="78"/>
        <v>0</v>
      </c>
      <c r="AE1263" s="12">
        <v>0</v>
      </c>
      <c r="AF1263" s="12">
        <v>0</v>
      </c>
      <c r="AG1263" s="12">
        <v>1</v>
      </c>
      <c r="AH1263" s="12">
        <v>7.6300000000000008</v>
      </c>
      <c r="AI1263" s="12">
        <v>0</v>
      </c>
      <c r="AJ1263" s="13">
        <f t="shared" si="79"/>
        <v>0</v>
      </c>
      <c r="AN1263" s="12">
        <f t="shared" si="80"/>
        <v>9683</v>
      </c>
      <c r="AQ1263" s="8" t="s">
        <v>418</v>
      </c>
      <c r="AR1263" t="str">
        <f t="shared" si="81"/>
        <v>Noroeste - A08</v>
      </c>
    </row>
    <row r="1264" spans="1:44" x14ac:dyDescent="0.2">
      <c r="A1264" s="107" t="s">
        <v>1136</v>
      </c>
      <c r="B1264" s="106" t="s">
        <v>1135</v>
      </c>
      <c r="C1264" s="106" t="s">
        <v>1121</v>
      </c>
      <c r="D1264" s="106" t="s">
        <v>492</v>
      </c>
      <c r="E1264" s="106" t="s">
        <v>1134</v>
      </c>
      <c r="F1264" s="106" t="s">
        <v>490</v>
      </c>
      <c r="G1264" s="106" t="s">
        <v>1133</v>
      </c>
      <c r="H1264" s="105" t="s">
        <v>1132</v>
      </c>
      <c r="I1264" s="105" t="s">
        <v>1131</v>
      </c>
      <c r="J1264" s="104">
        <v>10.32</v>
      </c>
      <c r="K1264" s="103" t="s">
        <v>422</v>
      </c>
      <c r="L1264" s="102" t="s">
        <v>507</v>
      </c>
      <c r="M1264" s="95"/>
      <c r="N1264" s="14"/>
      <c r="O1264" s="94">
        <v>34</v>
      </c>
      <c r="P1264" s="14" t="s">
        <v>485</v>
      </c>
      <c r="Q1264" s="14" t="s">
        <v>497</v>
      </c>
      <c r="R1264" s="14" t="s">
        <v>496</v>
      </c>
      <c r="S1264" s="15">
        <v>7</v>
      </c>
      <c r="T1264" s="15">
        <v>0</v>
      </c>
      <c r="U1264" s="15">
        <v>0</v>
      </c>
      <c r="V1264" s="14">
        <v>1130</v>
      </c>
      <c r="W1264" s="12">
        <v>0</v>
      </c>
      <c r="X1264" s="12">
        <v>0</v>
      </c>
      <c r="Y1264" s="12">
        <v>8.32</v>
      </c>
      <c r="Z1264" s="12">
        <v>2</v>
      </c>
      <c r="AA1264" s="12">
        <v>0</v>
      </c>
      <c r="AB1264" s="13">
        <f t="shared" si="78"/>
        <v>0</v>
      </c>
      <c r="AE1264" s="12">
        <v>0</v>
      </c>
      <c r="AF1264" s="12">
        <v>0</v>
      </c>
      <c r="AG1264" s="12">
        <v>8.32</v>
      </c>
      <c r="AH1264" s="12">
        <v>2</v>
      </c>
      <c r="AI1264" s="12">
        <v>0</v>
      </c>
      <c r="AJ1264" s="13">
        <f t="shared" si="79"/>
        <v>0</v>
      </c>
      <c r="AN1264" s="12">
        <f t="shared" si="80"/>
        <v>11662</v>
      </c>
      <c r="AQ1264" s="8" t="s">
        <v>417</v>
      </c>
      <c r="AR1264" t="str">
        <f t="shared" si="81"/>
        <v>Oeste - A02</v>
      </c>
    </row>
    <row r="1265" spans="1:44" x14ac:dyDescent="0.2">
      <c r="A1265" s="107" t="s">
        <v>1130</v>
      </c>
      <c r="B1265" s="106" t="s">
        <v>1129</v>
      </c>
      <c r="C1265" s="106" t="s">
        <v>1121</v>
      </c>
      <c r="D1265" s="106" t="s">
        <v>1128</v>
      </c>
      <c r="E1265" s="106" t="s">
        <v>1120</v>
      </c>
      <c r="F1265" s="106" t="s">
        <v>590</v>
      </c>
      <c r="G1265" s="106" t="s">
        <v>1127</v>
      </c>
      <c r="H1265" s="105" t="s">
        <v>1126</v>
      </c>
      <c r="I1265" s="105" t="s">
        <v>1117</v>
      </c>
      <c r="J1265" s="104">
        <v>0.96</v>
      </c>
      <c r="K1265" s="103" t="s">
        <v>422</v>
      </c>
      <c r="L1265" s="102" t="s">
        <v>507</v>
      </c>
      <c r="M1265" s="95"/>
      <c r="N1265" s="14"/>
      <c r="O1265" s="94">
        <v>34</v>
      </c>
      <c r="P1265" s="14" t="s">
        <v>586</v>
      </c>
      <c r="Q1265" s="14" t="s">
        <v>497</v>
      </c>
      <c r="R1265" s="14" t="s">
        <v>496</v>
      </c>
      <c r="S1265" s="15">
        <v>7.1</v>
      </c>
      <c r="T1265" s="15">
        <v>3.3</v>
      </c>
      <c r="U1265" s="15">
        <v>0</v>
      </c>
      <c r="V1265" s="14">
        <v>787</v>
      </c>
      <c r="W1265" s="12">
        <v>0</v>
      </c>
      <c r="X1265" s="12">
        <v>0</v>
      </c>
      <c r="Y1265" s="12">
        <v>0</v>
      </c>
      <c r="Z1265" s="12">
        <v>1.19</v>
      </c>
      <c r="AA1265" s="12">
        <v>0</v>
      </c>
      <c r="AB1265" s="13">
        <f t="shared" si="78"/>
        <v>0.22999999999999998</v>
      </c>
      <c r="AE1265" s="12">
        <f t="shared" ref="AE1265:AI1266" si="82">IF(W1265=0,0,W1265-$AB1265)</f>
        <v>0</v>
      </c>
      <c r="AF1265" s="12">
        <f t="shared" si="82"/>
        <v>0</v>
      </c>
      <c r="AG1265" s="12">
        <f t="shared" si="82"/>
        <v>0</v>
      </c>
      <c r="AH1265" s="12">
        <f t="shared" si="82"/>
        <v>0.96</v>
      </c>
      <c r="AI1265" s="12">
        <f t="shared" si="82"/>
        <v>0</v>
      </c>
      <c r="AJ1265" s="13">
        <f t="shared" si="79"/>
        <v>0</v>
      </c>
      <c r="AN1265" s="12">
        <f t="shared" si="80"/>
        <v>756</v>
      </c>
      <c r="AQ1265" s="8" t="s">
        <v>417</v>
      </c>
      <c r="AR1265" t="str">
        <f t="shared" si="81"/>
        <v>Oeste - A02</v>
      </c>
    </row>
    <row r="1266" spans="1:44" x14ac:dyDescent="0.2">
      <c r="A1266" s="107" t="s">
        <v>1125</v>
      </c>
      <c r="B1266" s="106" t="s">
        <v>1122</v>
      </c>
      <c r="C1266" s="106" t="s">
        <v>1121</v>
      </c>
      <c r="D1266" s="106" t="s">
        <v>592</v>
      </c>
      <c r="E1266" s="106" t="s">
        <v>1120</v>
      </c>
      <c r="F1266" s="106" t="s">
        <v>590</v>
      </c>
      <c r="G1266" s="106" t="s">
        <v>1124</v>
      </c>
      <c r="H1266" s="105" t="s">
        <v>1117</v>
      </c>
      <c r="I1266" s="105" t="s">
        <v>1118</v>
      </c>
      <c r="J1266" s="104">
        <v>1.38</v>
      </c>
      <c r="K1266" s="103" t="s">
        <v>422</v>
      </c>
      <c r="L1266" s="102" t="s">
        <v>507</v>
      </c>
      <c r="M1266" s="95"/>
      <c r="N1266" s="14"/>
      <c r="O1266" s="94">
        <v>34</v>
      </c>
      <c r="P1266" s="14" t="s">
        <v>586</v>
      </c>
      <c r="Q1266" s="14" t="s">
        <v>497</v>
      </c>
      <c r="R1266" s="14" t="s">
        <v>496</v>
      </c>
      <c r="S1266" s="15">
        <v>7</v>
      </c>
      <c r="T1266" s="15">
        <v>3.3</v>
      </c>
      <c r="U1266" s="15">
        <v>0</v>
      </c>
      <c r="V1266" s="14">
        <v>787</v>
      </c>
      <c r="W1266" s="12">
        <v>0</v>
      </c>
      <c r="X1266" s="12">
        <v>0</v>
      </c>
      <c r="Y1266" s="12">
        <v>0</v>
      </c>
      <c r="Z1266" s="12">
        <v>2.15</v>
      </c>
      <c r="AA1266" s="12">
        <v>0</v>
      </c>
      <c r="AB1266" s="13">
        <f t="shared" si="78"/>
        <v>0.77</v>
      </c>
      <c r="AE1266" s="12">
        <f t="shared" si="82"/>
        <v>0</v>
      </c>
      <c r="AF1266" s="12">
        <f t="shared" si="82"/>
        <v>0</v>
      </c>
      <c r="AG1266" s="12">
        <f t="shared" si="82"/>
        <v>0</v>
      </c>
      <c r="AH1266" s="12">
        <f t="shared" si="82"/>
        <v>1.38</v>
      </c>
      <c r="AI1266" s="12">
        <f t="shared" si="82"/>
        <v>0</v>
      </c>
      <c r="AJ1266" s="13">
        <f t="shared" si="79"/>
        <v>0</v>
      </c>
      <c r="AN1266" s="12">
        <f t="shared" si="80"/>
        <v>1087</v>
      </c>
      <c r="AQ1266" s="8" t="s">
        <v>417</v>
      </c>
      <c r="AR1266" t="str">
        <f t="shared" si="81"/>
        <v>Oeste - A02</v>
      </c>
    </row>
    <row r="1267" spans="1:44" x14ac:dyDescent="0.2">
      <c r="A1267" s="107" t="s">
        <v>1123</v>
      </c>
      <c r="B1267" s="106" t="s">
        <v>1122</v>
      </c>
      <c r="C1267" s="106" t="s">
        <v>1121</v>
      </c>
      <c r="D1267" s="106" t="s">
        <v>592</v>
      </c>
      <c r="E1267" s="106" t="s">
        <v>1120</v>
      </c>
      <c r="F1267" s="106" t="s">
        <v>590</v>
      </c>
      <c r="G1267" s="106" t="s">
        <v>1119</v>
      </c>
      <c r="H1267" s="105" t="s">
        <v>1118</v>
      </c>
      <c r="I1267" s="105" t="s">
        <v>1117</v>
      </c>
      <c r="J1267" s="104">
        <v>1.19</v>
      </c>
      <c r="K1267" s="103" t="s">
        <v>422</v>
      </c>
      <c r="L1267" s="102" t="s">
        <v>507</v>
      </c>
      <c r="M1267" s="95"/>
      <c r="N1267" s="14"/>
      <c r="O1267" s="94">
        <v>34</v>
      </c>
      <c r="P1267" s="14" t="s">
        <v>586</v>
      </c>
      <c r="Q1267" s="14" t="s">
        <v>497</v>
      </c>
      <c r="R1267" s="14" t="s">
        <v>496</v>
      </c>
      <c r="S1267" s="15">
        <v>7</v>
      </c>
      <c r="T1267" s="15">
        <v>3.3</v>
      </c>
      <c r="U1267" s="15">
        <v>0</v>
      </c>
      <c r="V1267" s="14">
        <v>787</v>
      </c>
      <c r="W1267" s="12">
        <v>0</v>
      </c>
      <c r="X1267" s="12">
        <v>0</v>
      </c>
      <c r="Y1267" s="12">
        <v>0</v>
      </c>
      <c r="Z1267" s="12">
        <v>1.19</v>
      </c>
      <c r="AA1267" s="12">
        <v>0</v>
      </c>
      <c r="AB1267" s="13">
        <f t="shared" si="78"/>
        <v>0</v>
      </c>
      <c r="AE1267" s="12">
        <v>0</v>
      </c>
      <c r="AF1267" s="12">
        <v>0</v>
      </c>
      <c r="AG1267" s="12">
        <v>0</v>
      </c>
      <c r="AH1267" s="12">
        <v>1.19</v>
      </c>
      <c r="AI1267" s="12">
        <v>0</v>
      </c>
      <c r="AJ1267" s="13">
        <f t="shared" si="79"/>
        <v>0</v>
      </c>
      <c r="AN1267" s="12">
        <f t="shared" si="80"/>
        <v>937</v>
      </c>
      <c r="AQ1267" s="8" t="s">
        <v>417</v>
      </c>
      <c r="AR1267" t="str">
        <f t="shared" si="81"/>
        <v>Oeste - A02</v>
      </c>
    </row>
    <row r="1268" spans="1:44" x14ac:dyDescent="0.2">
      <c r="A1268" s="107" t="s">
        <v>1116</v>
      </c>
      <c r="B1268" s="106" t="s">
        <v>1115</v>
      </c>
      <c r="C1268" s="106" t="s">
        <v>1101</v>
      </c>
      <c r="D1268" s="106" t="s">
        <v>492</v>
      </c>
      <c r="E1268" s="106" t="s">
        <v>1099</v>
      </c>
      <c r="F1268" s="106" t="s">
        <v>490</v>
      </c>
      <c r="G1268" s="106" t="s">
        <v>1114</v>
      </c>
      <c r="H1268" s="105" t="s">
        <v>579</v>
      </c>
      <c r="I1268" s="105" t="s">
        <v>1113</v>
      </c>
      <c r="J1268" s="104">
        <v>7.02</v>
      </c>
      <c r="K1268" s="103" t="s">
        <v>421</v>
      </c>
      <c r="L1268" s="102" t="s">
        <v>507</v>
      </c>
      <c r="M1268" s="95"/>
      <c r="N1268" s="14"/>
      <c r="O1268" s="94">
        <v>33</v>
      </c>
      <c r="P1268" s="14" t="s">
        <v>485</v>
      </c>
      <c r="Q1268" s="14" t="s">
        <v>497</v>
      </c>
      <c r="R1268" s="14" t="s">
        <v>496</v>
      </c>
      <c r="S1268" s="15">
        <v>6</v>
      </c>
      <c r="T1268" s="15">
        <v>0</v>
      </c>
      <c r="U1268" s="15">
        <v>0</v>
      </c>
      <c r="V1268" s="14">
        <v>1376</v>
      </c>
      <c r="W1268" s="12">
        <v>0</v>
      </c>
      <c r="X1268" s="12">
        <v>0</v>
      </c>
      <c r="Y1268" s="12">
        <v>0</v>
      </c>
      <c r="Z1268" s="12">
        <v>7.02</v>
      </c>
      <c r="AA1268" s="12">
        <v>0</v>
      </c>
      <c r="AB1268" s="13">
        <f t="shared" si="78"/>
        <v>0</v>
      </c>
      <c r="AE1268" s="12">
        <v>0</v>
      </c>
      <c r="AF1268" s="12">
        <v>0</v>
      </c>
      <c r="AG1268" s="12">
        <v>0</v>
      </c>
      <c r="AH1268" s="12">
        <v>7.02</v>
      </c>
      <c r="AI1268" s="12">
        <v>0</v>
      </c>
      <c r="AJ1268" s="13">
        <f t="shared" si="79"/>
        <v>0</v>
      </c>
      <c r="AN1268" s="12">
        <f t="shared" si="80"/>
        <v>9660</v>
      </c>
      <c r="AQ1268" s="8" t="s">
        <v>417</v>
      </c>
      <c r="AR1268" t="str">
        <f t="shared" si="81"/>
        <v>Oeste - A01</v>
      </c>
    </row>
    <row r="1269" spans="1:44" x14ac:dyDescent="0.2">
      <c r="A1269" s="107" t="s">
        <v>1112</v>
      </c>
      <c r="B1269" s="106" t="s">
        <v>1111</v>
      </c>
      <c r="C1269" s="106" t="s">
        <v>1101</v>
      </c>
      <c r="D1269" s="106" t="s">
        <v>1106</v>
      </c>
      <c r="E1269" s="106" t="s">
        <v>1110</v>
      </c>
      <c r="F1269" s="106" t="s">
        <v>606</v>
      </c>
      <c r="G1269" s="106" t="s">
        <v>1109</v>
      </c>
      <c r="H1269" s="105" t="s">
        <v>979</v>
      </c>
      <c r="I1269" s="105" t="s">
        <v>1097</v>
      </c>
      <c r="J1269" s="104">
        <v>0.71</v>
      </c>
      <c r="K1269" s="103" t="s">
        <v>421</v>
      </c>
      <c r="L1269" s="102" t="s">
        <v>507</v>
      </c>
      <c r="M1269" s="95"/>
      <c r="N1269" s="14"/>
      <c r="O1269" s="94">
        <v>33</v>
      </c>
      <c r="P1269" s="14" t="s">
        <v>596</v>
      </c>
      <c r="Q1269" s="14" t="s">
        <v>497</v>
      </c>
      <c r="R1269" s="14" t="s">
        <v>496</v>
      </c>
      <c r="S1269" s="15">
        <v>7.6</v>
      </c>
      <c r="T1269" s="15">
        <v>0</v>
      </c>
      <c r="U1269" s="15">
        <v>0</v>
      </c>
      <c r="V1269" s="14">
        <v>370</v>
      </c>
      <c r="W1269" s="12">
        <v>0</v>
      </c>
      <c r="X1269" s="12">
        <v>0</v>
      </c>
      <c r="Y1269" s="12">
        <v>0</v>
      </c>
      <c r="Z1269" s="12">
        <v>0.71</v>
      </c>
      <c r="AA1269" s="12">
        <v>0</v>
      </c>
      <c r="AB1269" s="13">
        <f t="shared" si="78"/>
        <v>0</v>
      </c>
      <c r="AE1269" s="12">
        <v>0</v>
      </c>
      <c r="AF1269" s="12">
        <v>0</v>
      </c>
      <c r="AG1269" s="12">
        <v>0</v>
      </c>
      <c r="AH1269" s="12">
        <v>0.71</v>
      </c>
      <c r="AI1269" s="12">
        <v>0</v>
      </c>
      <c r="AJ1269" s="13">
        <f t="shared" si="79"/>
        <v>0</v>
      </c>
      <c r="AN1269" s="12">
        <f t="shared" si="80"/>
        <v>263</v>
      </c>
      <c r="AQ1269" s="8" t="s">
        <v>417</v>
      </c>
      <c r="AR1269" t="str">
        <f t="shared" si="81"/>
        <v>Oeste - A01</v>
      </c>
    </row>
    <row r="1270" spans="1:44" x14ac:dyDescent="0.2">
      <c r="A1270" s="107" t="s">
        <v>1108</v>
      </c>
      <c r="B1270" s="106" t="s">
        <v>1107</v>
      </c>
      <c r="C1270" s="106" t="s">
        <v>1101</v>
      </c>
      <c r="D1270" s="106" t="s">
        <v>1106</v>
      </c>
      <c r="E1270" s="106" t="s">
        <v>1105</v>
      </c>
      <c r="F1270" s="106" t="s">
        <v>600</v>
      </c>
      <c r="G1270" s="106" t="s">
        <v>1104</v>
      </c>
      <c r="H1270" s="105" t="s">
        <v>979</v>
      </c>
      <c r="I1270" s="105" t="s">
        <v>1097</v>
      </c>
      <c r="J1270" s="104">
        <v>0.71</v>
      </c>
      <c r="K1270" s="103" t="s">
        <v>421</v>
      </c>
      <c r="L1270" s="102" t="s">
        <v>507</v>
      </c>
      <c r="M1270" s="95"/>
      <c r="N1270" s="14"/>
      <c r="O1270" s="94">
        <v>33</v>
      </c>
      <c r="P1270" s="14" t="s">
        <v>596</v>
      </c>
      <c r="Q1270" s="14" t="s">
        <v>497</v>
      </c>
      <c r="R1270" s="14" t="s">
        <v>496</v>
      </c>
      <c r="S1270" s="15">
        <v>7.6</v>
      </c>
      <c r="T1270" s="15">
        <v>0</v>
      </c>
      <c r="U1270" s="15">
        <v>0</v>
      </c>
      <c r="V1270" s="14">
        <v>373</v>
      </c>
      <c r="W1270" s="12">
        <v>0</v>
      </c>
      <c r="X1270" s="12">
        <v>0</v>
      </c>
      <c r="Y1270" s="12">
        <v>0</v>
      </c>
      <c r="Z1270" s="12">
        <v>0.71</v>
      </c>
      <c r="AA1270" s="12">
        <v>0</v>
      </c>
      <c r="AB1270" s="13">
        <f t="shared" si="78"/>
        <v>0</v>
      </c>
      <c r="AE1270" s="12">
        <v>0</v>
      </c>
      <c r="AF1270" s="12">
        <v>0</v>
      </c>
      <c r="AG1270" s="12">
        <v>0</v>
      </c>
      <c r="AH1270" s="12">
        <v>0.71</v>
      </c>
      <c r="AI1270" s="12">
        <v>0</v>
      </c>
      <c r="AJ1270" s="13">
        <f t="shared" si="79"/>
        <v>0</v>
      </c>
      <c r="AN1270" s="12">
        <f t="shared" si="80"/>
        <v>265</v>
      </c>
      <c r="AQ1270" s="8" t="s">
        <v>417</v>
      </c>
      <c r="AR1270" t="str">
        <f t="shared" si="81"/>
        <v>Oeste - A01</v>
      </c>
    </row>
    <row r="1271" spans="1:44" x14ac:dyDescent="0.2">
      <c r="A1271" s="107" t="s">
        <v>1103</v>
      </c>
      <c r="B1271" s="106" t="s">
        <v>1102</v>
      </c>
      <c r="C1271" s="106" t="s">
        <v>1101</v>
      </c>
      <c r="D1271" s="106" t="s">
        <v>1100</v>
      </c>
      <c r="E1271" s="106" t="s">
        <v>1099</v>
      </c>
      <c r="F1271" s="106" t="s">
        <v>490</v>
      </c>
      <c r="G1271" s="106" t="s">
        <v>1098</v>
      </c>
      <c r="H1271" s="105" t="s">
        <v>1097</v>
      </c>
      <c r="I1271" s="105" t="s">
        <v>1096</v>
      </c>
      <c r="J1271" s="104">
        <v>6</v>
      </c>
      <c r="K1271" s="103" t="s">
        <v>421</v>
      </c>
      <c r="L1271" s="102" t="s">
        <v>507</v>
      </c>
      <c r="M1271" s="95"/>
      <c r="N1271" s="14"/>
      <c r="O1271" s="94">
        <v>33</v>
      </c>
      <c r="P1271" s="14" t="s">
        <v>485</v>
      </c>
      <c r="Q1271" s="14" t="s">
        <v>497</v>
      </c>
      <c r="R1271" s="14" t="s">
        <v>496</v>
      </c>
      <c r="S1271" s="15">
        <v>6</v>
      </c>
      <c r="T1271" s="15">
        <v>0</v>
      </c>
      <c r="U1271" s="15">
        <v>0</v>
      </c>
      <c r="V1271" s="14">
        <v>674</v>
      </c>
      <c r="W1271" s="12">
        <v>0</v>
      </c>
      <c r="X1271" s="12">
        <v>0</v>
      </c>
      <c r="Y1271" s="12">
        <v>0</v>
      </c>
      <c r="Z1271" s="12">
        <v>6</v>
      </c>
      <c r="AA1271" s="12">
        <v>0</v>
      </c>
      <c r="AB1271" s="13">
        <f t="shared" si="78"/>
        <v>0</v>
      </c>
      <c r="AE1271" s="12">
        <v>0</v>
      </c>
      <c r="AF1271" s="12">
        <v>0</v>
      </c>
      <c r="AG1271" s="12">
        <v>0</v>
      </c>
      <c r="AH1271" s="12">
        <v>6</v>
      </c>
      <c r="AI1271" s="12">
        <v>0</v>
      </c>
      <c r="AJ1271" s="13">
        <f t="shared" si="79"/>
        <v>0</v>
      </c>
      <c r="AN1271" s="12">
        <f t="shared" si="80"/>
        <v>4044</v>
      </c>
      <c r="AQ1271" s="8" t="s">
        <v>417</v>
      </c>
      <c r="AR1271" t="str">
        <f t="shared" si="81"/>
        <v>Oeste - A01</v>
      </c>
    </row>
    <row r="1272" spans="1:44" x14ac:dyDescent="0.2">
      <c r="A1272" s="107" t="s">
        <v>1095</v>
      </c>
      <c r="B1272" s="106" t="s">
        <v>1094</v>
      </c>
      <c r="C1272" s="106" t="s">
        <v>1083</v>
      </c>
      <c r="D1272" s="106" t="s">
        <v>751</v>
      </c>
      <c r="E1272" s="106" t="s">
        <v>1093</v>
      </c>
      <c r="F1272" s="106" t="s">
        <v>590</v>
      </c>
      <c r="G1272" s="106" t="s">
        <v>1092</v>
      </c>
      <c r="H1272" s="105" t="s">
        <v>1091</v>
      </c>
      <c r="I1272" s="105" t="s">
        <v>1087</v>
      </c>
      <c r="J1272" s="104">
        <v>0.16</v>
      </c>
      <c r="K1272" s="103" t="s">
        <v>426</v>
      </c>
      <c r="L1272" s="102" t="s">
        <v>507</v>
      </c>
      <c r="M1272" s="95"/>
      <c r="N1272" s="14"/>
      <c r="O1272" s="94">
        <v>38</v>
      </c>
      <c r="P1272" s="14" t="s">
        <v>586</v>
      </c>
      <c r="Q1272" s="14" t="s">
        <v>497</v>
      </c>
      <c r="R1272" s="14" t="s">
        <v>496</v>
      </c>
      <c r="S1272" s="15">
        <v>14.4</v>
      </c>
      <c r="T1272" s="15">
        <v>0</v>
      </c>
      <c r="U1272" s="15">
        <v>0</v>
      </c>
      <c r="V1272" s="14">
        <v>242</v>
      </c>
      <c r="W1272" s="12">
        <v>0</v>
      </c>
      <c r="X1272" s="12">
        <v>0</v>
      </c>
      <c r="Y1272" s="12">
        <v>0</v>
      </c>
      <c r="Z1272" s="12">
        <v>0.16</v>
      </c>
      <c r="AA1272" s="12">
        <v>0</v>
      </c>
      <c r="AB1272" s="13">
        <f t="shared" si="78"/>
        <v>0</v>
      </c>
      <c r="AE1272" s="12">
        <v>0</v>
      </c>
      <c r="AF1272" s="12">
        <v>0</v>
      </c>
      <c r="AG1272" s="12">
        <v>0</v>
      </c>
      <c r="AH1272" s="12">
        <v>0.16</v>
      </c>
      <c r="AI1272" s="12">
        <v>0</v>
      </c>
      <c r="AJ1272" s="13">
        <f t="shared" si="79"/>
        <v>0</v>
      </c>
      <c r="AN1272" s="12">
        <f t="shared" si="80"/>
        <v>39</v>
      </c>
      <c r="AQ1272" s="8" t="s">
        <v>417</v>
      </c>
      <c r="AR1272" t="str">
        <f t="shared" si="81"/>
        <v>Oeste - A06</v>
      </c>
    </row>
    <row r="1273" spans="1:44" x14ac:dyDescent="0.2">
      <c r="A1273" s="107" t="s">
        <v>1090</v>
      </c>
      <c r="B1273" s="106" t="s">
        <v>1089</v>
      </c>
      <c r="C1273" s="106" t="s">
        <v>1083</v>
      </c>
      <c r="D1273" s="106" t="s">
        <v>492</v>
      </c>
      <c r="E1273" s="106" t="s">
        <v>1082</v>
      </c>
      <c r="F1273" s="106" t="s">
        <v>490</v>
      </c>
      <c r="G1273" s="106" t="s">
        <v>1088</v>
      </c>
      <c r="H1273" s="105" t="s">
        <v>1087</v>
      </c>
      <c r="I1273" s="105" t="s">
        <v>1086</v>
      </c>
      <c r="J1273" s="104">
        <v>20.100000000000001</v>
      </c>
      <c r="K1273" s="103" t="s">
        <v>426</v>
      </c>
      <c r="L1273" s="102" t="s">
        <v>507</v>
      </c>
      <c r="M1273" s="95"/>
      <c r="N1273" s="14"/>
      <c r="O1273" s="94">
        <v>38</v>
      </c>
      <c r="P1273" s="14" t="s">
        <v>485</v>
      </c>
      <c r="Q1273" s="14" t="s">
        <v>497</v>
      </c>
      <c r="R1273" s="14" t="s">
        <v>496</v>
      </c>
      <c r="S1273" s="15">
        <v>7</v>
      </c>
      <c r="T1273" s="15">
        <v>0</v>
      </c>
      <c r="U1273" s="15">
        <v>0</v>
      </c>
      <c r="V1273" s="14">
        <v>310</v>
      </c>
      <c r="W1273" s="12">
        <v>0</v>
      </c>
      <c r="X1273" s="12">
        <v>0</v>
      </c>
      <c r="Y1273" s="12">
        <v>0</v>
      </c>
      <c r="Z1273" s="12">
        <v>20.100000000000001</v>
      </c>
      <c r="AA1273" s="12">
        <v>0</v>
      </c>
      <c r="AB1273" s="13">
        <f t="shared" si="78"/>
        <v>0</v>
      </c>
      <c r="AE1273" s="12">
        <v>0</v>
      </c>
      <c r="AF1273" s="12">
        <v>0</v>
      </c>
      <c r="AG1273" s="12">
        <v>0</v>
      </c>
      <c r="AH1273" s="12">
        <v>20.100000000000001</v>
      </c>
      <c r="AI1273" s="12">
        <v>0</v>
      </c>
      <c r="AJ1273" s="13">
        <f t="shared" si="79"/>
        <v>0</v>
      </c>
      <c r="AN1273" s="12">
        <f t="shared" si="80"/>
        <v>6231</v>
      </c>
      <c r="AQ1273" s="8" t="s">
        <v>417</v>
      </c>
      <c r="AR1273" t="str">
        <f t="shared" si="81"/>
        <v>Oeste - A06</v>
      </c>
    </row>
    <row r="1274" spans="1:44" x14ac:dyDescent="0.2">
      <c r="A1274" s="107" t="s">
        <v>1085</v>
      </c>
      <c r="B1274" s="106" t="s">
        <v>1084</v>
      </c>
      <c r="C1274" s="106" t="s">
        <v>1083</v>
      </c>
      <c r="D1274" s="106" t="s">
        <v>519</v>
      </c>
      <c r="E1274" s="106" t="s">
        <v>1082</v>
      </c>
      <c r="F1274" s="106" t="s">
        <v>490</v>
      </c>
      <c r="G1274" s="106" t="s">
        <v>1081</v>
      </c>
      <c r="H1274" s="105" t="s">
        <v>1080</v>
      </c>
      <c r="I1274" s="105" t="s">
        <v>1079</v>
      </c>
      <c r="J1274" s="104">
        <v>6.91</v>
      </c>
      <c r="K1274" s="103" t="s">
        <v>424</v>
      </c>
      <c r="L1274" s="102" t="s">
        <v>507</v>
      </c>
      <c r="M1274" s="95"/>
      <c r="N1274" s="14"/>
      <c r="O1274" s="94">
        <v>36</v>
      </c>
      <c r="P1274" s="14" t="s">
        <v>485</v>
      </c>
      <c r="Q1274" s="14" t="s">
        <v>497</v>
      </c>
      <c r="R1274" s="14" t="s">
        <v>496</v>
      </c>
      <c r="S1274" s="15">
        <v>7</v>
      </c>
      <c r="T1274" s="15">
        <v>0</v>
      </c>
      <c r="U1274" s="15">
        <v>0</v>
      </c>
      <c r="V1274" s="14">
        <v>310</v>
      </c>
      <c r="W1274" s="12">
        <v>0</v>
      </c>
      <c r="X1274" s="12">
        <v>0</v>
      </c>
      <c r="Y1274" s="12">
        <v>5.91</v>
      </c>
      <c r="Z1274" s="12">
        <v>1</v>
      </c>
      <c r="AA1274" s="12">
        <v>0</v>
      </c>
      <c r="AB1274" s="13">
        <f t="shared" si="78"/>
        <v>0</v>
      </c>
      <c r="AE1274" s="12">
        <v>0</v>
      </c>
      <c r="AF1274" s="12">
        <v>0</v>
      </c>
      <c r="AG1274" s="12">
        <v>5.91</v>
      </c>
      <c r="AH1274" s="12">
        <v>1</v>
      </c>
      <c r="AI1274" s="12">
        <v>0</v>
      </c>
      <c r="AJ1274" s="13">
        <f t="shared" si="79"/>
        <v>0</v>
      </c>
      <c r="AN1274" s="12">
        <f t="shared" si="80"/>
        <v>2143</v>
      </c>
      <c r="AQ1274" s="8" t="s">
        <v>417</v>
      </c>
      <c r="AR1274" t="str">
        <f t="shared" si="81"/>
        <v>Oeste - A04</v>
      </c>
    </row>
    <row r="1275" spans="1:44" x14ac:dyDescent="0.2">
      <c r="A1275" s="107" t="s">
        <v>1078</v>
      </c>
      <c r="B1275" s="106" t="s">
        <v>1077</v>
      </c>
      <c r="C1275" s="106" t="s">
        <v>1072</v>
      </c>
      <c r="D1275" s="106" t="s">
        <v>492</v>
      </c>
      <c r="E1275" s="106" t="s">
        <v>1071</v>
      </c>
      <c r="F1275" s="106" t="s">
        <v>490</v>
      </c>
      <c r="G1275" s="106" t="s">
        <v>1076</v>
      </c>
      <c r="H1275" s="105" t="s">
        <v>1075</v>
      </c>
      <c r="I1275" s="105" t="s">
        <v>1069</v>
      </c>
      <c r="J1275" s="104">
        <v>10.45</v>
      </c>
      <c r="K1275" s="103" t="s">
        <v>427</v>
      </c>
      <c r="L1275" s="102" t="s">
        <v>486</v>
      </c>
      <c r="M1275" s="95"/>
      <c r="N1275" s="14"/>
      <c r="O1275" s="94">
        <v>19</v>
      </c>
      <c r="P1275" s="14" t="s">
        <v>485</v>
      </c>
      <c r="Q1275" s="14" t="s">
        <v>865</v>
      </c>
      <c r="R1275" s="14" t="s">
        <v>576</v>
      </c>
      <c r="S1275" s="15">
        <v>6.6</v>
      </c>
      <c r="T1275" s="15">
        <v>0</v>
      </c>
      <c r="U1275" s="15">
        <v>0</v>
      </c>
      <c r="V1275" s="14">
        <v>1219</v>
      </c>
      <c r="W1275" s="12">
        <v>0</v>
      </c>
      <c r="X1275" s="12">
        <v>0</v>
      </c>
      <c r="Y1275" s="12">
        <v>4</v>
      </c>
      <c r="Z1275" s="12">
        <v>6.4499999999999993</v>
      </c>
      <c r="AA1275" s="12">
        <v>0</v>
      </c>
      <c r="AB1275" s="13">
        <f t="shared" si="78"/>
        <v>0</v>
      </c>
      <c r="AE1275" s="12">
        <v>0</v>
      </c>
      <c r="AF1275" s="12">
        <v>0</v>
      </c>
      <c r="AG1275" s="12">
        <v>4</v>
      </c>
      <c r="AH1275" s="12">
        <v>6.4499999999999993</v>
      </c>
      <c r="AI1275" s="12">
        <v>0</v>
      </c>
      <c r="AJ1275" s="13">
        <f t="shared" si="79"/>
        <v>0</v>
      </c>
      <c r="AN1275" s="12">
        <f t="shared" si="80"/>
        <v>12739</v>
      </c>
      <c r="AQ1275" s="8" t="s">
        <v>419</v>
      </c>
      <c r="AR1275" t="str">
        <f t="shared" si="81"/>
        <v>Norte - A07</v>
      </c>
    </row>
    <row r="1276" spans="1:44" x14ac:dyDescent="0.2">
      <c r="A1276" s="107" t="s">
        <v>1074</v>
      </c>
      <c r="B1276" s="106" t="s">
        <v>1073</v>
      </c>
      <c r="C1276" s="106" t="s">
        <v>1072</v>
      </c>
      <c r="D1276" s="106" t="s">
        <v>519</v>
      </c>
      <c r="E1276" s="106" t="s">
        <v>1071</v>
      </c>
      <c r="F1276" s="106" t="s">
        <v>490</v>
      </c>
      <c r="G1276" s="106" t="s">
        <v>1070</v>
      </c>
      <c r="H1276" s="105" t="s">
        <v>1069</v>
      </c>
      <c r="I1276" s="105" t="s">
        <v>1068</v>
      </c>
      <c r="J1276" s="104">
        <v>22.71</v>
      </c>
      <c r="K1276" s="103" t="s">
        <v>427</v>
      </c>
      <c r="L1276" s="102" t="s">
        <v>486</v>
      </c>
      <c r="M1276" s="95"/>
      <c r="N1276" s="14"/>
      <c r="O1276" s="94">
        <v>19</v>
      </c>
      <c r="P1276" s="14" t="s">
        <v>485</v>
      </c>
      <c r="Q1276" s="14" t="s">
        <v>865</v>
      </c>
      <c r="R1276" s="14" t="s">
        <v>576</v>
      </c>
      <c r="S1276" s="15">
        <v>6</v>
      </c>
      <c r="T1276" s="15">
        <v>0</v>
      </c>
      <c r="U1276" s="15">
        <v>0</v>
      </c>
      <c r="V1276" s="14">
        <v>1219</v>
      </c>
      <c r="W1276" s="12">
        <v>0</v>
      </c>
      <c r="X1276" s="12">
        <v>1</v>
      </c>
      <c r="Y1276" s="12">
        <v>14.71</v>
      </c>
      <c r="Z1276" s="12">
        <v>7</v>
      </c>
      <c r="AA1276" s="12">
        <v>0</v>
      </c>
      <c r="AB1276" s="13">
        <f t="shared" si="78"/>
        <v>0</v>
      </c>
      <c r="AE1276" s="12">
        <v>0</v>
      </c>
      <c r="AF1276" s="12">
        <v>1</v>
      </c>
      <c r="AG1276" s="12">
        <v>14.71</v>
      </c>
      <c r="AH1276" s="12">
        <v>7</v>
      </c>
      <c r="AI1276" s="12">
        <v>0</v>
      </c>
      <c r="AJ1276" s="13">
        <f t="shared" si="79"/>
        <v>0</v>
      </c>
      <c r="AN1276" s="12">
        <f t="shared" si="80"/>
        <v>27684</v>
      </c>
      <c r="AQ1276" s="8" t="s">
        <v>419</v>
      </c>
      <c r="AR1276" t="str">
        <f t="shared" si="81"/>
        <v>Norte - A07</v>
      </c>
    </row>
    <row r="1277" spans="1:44" x14ac:dyDescent="0.2">
      <c r="A1277" s="107" t="s">
        <v>1067</v>
      </c>
      <c r="B1277" s="106" t="s">
        <v>1066</v>
      </c>
      <c r="C1277" s="106" t="s">
        <v>1055</v>
      </c>
      <c r="D1277" s="106" t="s">
        <v>1065</v>
      </c>
      <c r="E1277" s="106" t="s">
        <v>1064</v>
      </c>
      <c r="F1277" s="106" t="s">
        <v>590</v>
      </c>
      <c r="G1277" s="106" t="s">
        <v>1063</v>
      </c>
      <c r="H1277" s="105" t="s">
        <v>1058</v>
      </c>
      <c r="I1277" s="105" t="s">
        <v>1052</v>
      </c>
      <c r="J1277" s="104">
        <v>2.78</v>
      </c>
      <c r="K1277" s="103" t="s">
        <v>427</v>
      </c>
      <c r="L1277" s="102" t="s">
        <v>577</v>
      </c>
      <c r="M1277" s="95"/>
      <c r="N1277" s="14"/>
      <c r="O1277" s="94">
        <v>12</v>
      </c>
      <c r="P1277" s="14" t="s">
        <v>586</v>
      </c>
      <c r="Q1277" s="14" t="s">
        <v>497</v>
      </c>
      <c r="R1277" s="14" t="s">
        <v>496</v>
      </c>
      <c r="S1277" s="15">
        <v>8</v>
      </c>
      <c r="T1277" s="15">
        <v>0</v>
      </c>
      <c r="U1277" s="15">
        <v>0</v>
      </c>
      <c r="V1277" s="14">
        <v>255</v>
      </c>
      <c r="W1277" s="12">
        <v>0</v>
      </c>
      <c r="X1277" s="12">
        <v>0</v>
      </c>
      <c r="Y1277" s="12">
        <v>2.78</v>
      </c>
      <c r="Z1277" s="12">
        <v>0</v>
      </c>
      <c r="AA1277" s="12">
        <v>0</v>
      </c>
      <c r="AB1277" s="13">
        <f t="shared" si="78"/>
        <v>0</v>
      </c>
      <c r="AE1277" s="12">
        <v>0</v>
      </c>
      <c r="AF1277" s="12">
        <v>0</v>
      </c>
      <c r="AG1277" s="12">
        <v>2.78</v>
      </c>
      <c r="AH1277" s="12">
        <v>0</v>
      </c>
      <c r="AI1277" s="12">
        <v>0</v>
      </c>
      <c r="AJ1277" s="13">
        <f t="shared" si="79"/>
        <v>0</v>
      </c>
      <c r="AN1277" s="12">
        <f t="shared" si="80"/>
        <v>709</v>
      </c>
      <c r="AQ1277" s="8" t="s">
        <v>420</v>
      </c>
      <c r="AR1277" t="str">
        <f t="shared" si="81"/>
        <v>Campos Gerais - A07</v>
      </c>
    </row>
    <row r="1278" spans="1:44" x14ac:dyDescent="0.2">
      <c r="A1278" s="107" t="s">
        <v>1062</v>
      </c>
      <c r="B1278" s="106" t="s">
        <v>1061</v>
      </c>
      <c r="C1278" s="106" t="s">
        <v>1055</v>
      </c>
      <c r="D1278" s="106" t="s">
        <v>492</v>
      </c>
      <c r="E1278" s="106" t="s">
        <v>1054</v>
      </c>
      <c r="F1278" s="106" t="s">
        <v>490</v>
      </c>
      <c r="G1278" s="106" t="s">
        <v>1060</v>
      </c>
      <c r="H1278" s="105" t="s">
        <v>1059</v>
      </c>
      <c r="I1278" s="105" t="s">
        <v>1058</v>
      </c>
      <c r="J1278" s="104">
        <v>6.57</v>
      </c>
      <c r="K1278" s="103" t="s">
        <v>427</v>
      </c>
      <c r="L1278" s="102" t="s">
        <v>577</v>
      </c>
      <c r="M1278" s="95"/>
      <c r="N1278" s="14"/>
      <c r="O1278" s="94">
        <v>12</v>
      </c>
      <c r="P1278" s="14" t="s">
        <v>485</v>
      </c>
      <c r="Q1278" s="14" t="s">
        <v>497</v>
      </c>
      <c r="R1278" s="14" t="s">
        <v>496</v>
      </c>
      <c r="S1278" s="15">
        <v>7</v>
      </c>
      <c r="T1278" s="15">
        <v>0</v>
      </c>
      <c r="U1278" s="15">
        <v>0</v>
      </c>
      <c r="V1278" s="14">
        <v>255</v>
      </c>
      <c r="W1278" s="12">
        <v>0</v>
      </c>
      <c r="X1278" s="12">
        <v>0</v>
      </c>
      <c r="Y1278" s="12">
        <v>3</v>
      </c>
      <c r="Z1278" s="12">
        <v>3.5700000000000003</v>
      </c>
      <c r="AA1278" s="12">
        <v>0</v>
      </c>
      <c r="AB1278" s="13">
        <f t="shared" si="78"/>
        <v>0</v>
      </c>
      <c r="AE1278" s="12">
        <v>0</v>
      </c>
      <c r="AF1278" s="12">
        <v>0</v>
      </c>
      <c r="AG1278" s="12">
        <v>3</v>
      </c>
      <c r="AH1278" s="12">
        <v>3.5700000000000003</v>
      </c>
      <c r="AI1278" s="12">
        <v>0</v>
      </c>
      <c r="AJ1278" s="13">
        <f t="shared" si="79"/>
        <v>0</v>
      </c>
      <c r="AN1278" s="12">
        <f t="shared" si="80"/>
        <v>1676</v>
      </c>
      <c r="AQ1278" s="8" t="s">
        <v>420</v>
      </c>
      <c r="AR1278" t="str">
        <f t="shared" si="81"/>
        <v>Campos Gerais - A07</v>
      </c>
    </row>
    <row r="1279" spans="1:44" x14ac:dyDescent="0.2">
      <c r="A1279" s="107" t="s">
        <v>1057</v>
      </c>
      <c r="B1279" s="106" t="s">
        <v>1056</v>
      </c>
      <c r="C1279" s="106" t="s">
        <v>1055</v>
      </c>
      <c r="D1279" s="106" t="s">
        <v>513</v>
      </c>
      <c r="E1279" s="106" t="s">
        <v>1054</v>
      </c>
      <c r="F1279" s="106" t="s">
        <v>490</v>
      </c>
      <c r="G1279" s="106" t="s">
        <v>1053</v>
      </c>
      <c r="H1279" s="105" t="s">
        <v>1052</v>
      </c>
      <c r="I1279" s="105" t="s">
        <v>1051</v>
      </c>
      <c r="J1279" s="104">
        <v>3.65</v>
      </c>
      <c r="K1279" s="103" t="s">
        <v>427</v>
      </c>
      <c r="L1279" s="102" t="s">
        <v>577</v>
      </c>
      <c r="M1279" s="95"/>
      <c r="N1279" s="14"/>
      <c r="O1279" s="94">
        <v>12</v>
      </c>
      <c r="P1279" s="14" t="s">
        <v>485</v>
      </c>
      <c r="Q1279" s="14" t="s">
        <v>497</v>
      </c>
      <c r="R1279" s="14" t="s">
        <v>496</v>
      </c>
      <c r="S1279" s="15">
        <v>7</v>
      </c>
      <c r="T1279" s="15">
        <v>0</v>
      </c>
      <c r="U1279" s="15">
        <v>0</v>
      </c>
      <c r="V1279" s="14">
        <v>6426</v>
      </c>
      <c r="W1279" s="12">
        <v>0</v>
      </c>
      <c r="X1279" s="12">
        <v>0</v>
      </c>
      <c r="Y1279" s="12">
        <v>0</v>
      </c>
      <c r="Z1279" s="12">
        <v>3.65</v>
      </c>
      <c r="AA1279" s="12">
        <v>0</v>
      </c>
      <c r="AB1279" s="13">
        <f t="shared" si="78"/>
        <v>0</v>
      </c>
      <c r="AE1279" s="12">
        <v>0</v>
      </c>
      <c r="AF1279" s="12">
        <v>0</v>
      </c>
      <c r="AG1279" s="12">
        <v>0</v>
      </c>
      <c r="AH1279" s="12">
        <v>3.65</v>
      </c>
      <c r="AI1279" s="12">
        <v>0</v>
      </c>
      <c r="AJ1279" s="13">
        <f t="shared" si="79"/>
        <v>0</v>
      </c>
      <c r="AN1279" s="12">
        <f t="shared" si="80"/>
        <v>23455</v>
      </c>
      <c r="AQ1279" s="8" t="s">
        <v>420</v>
      </c>
      <c r="AR1279" t="str">
        <f t="shared" si="81"/>
        <v>Campos Gerais - A07</v>
      </c>
    </row>
    <row r="1280" spans="1:44" x14ac:dyDescent="0.2">
      <c r="A1280" s="107" t="s">
        <v>1050</v>
      </c>
      <c r="B1280" s="106" t="s">
        <v>1049</v>
      </c>
      <c r="C1280" s="106" t="s">
        <v>1048</v>
      </c>
      <c r="D1280" s="106" t="s">
        <v>513</v>
      </c>
      <c r="E1280" s="106" t="s">
        <v>1047</v>
      </c>
      <c r="F1280" s="106" t="s">
        <v>490</v>
      </c>
      <c r="G1280" s="106" t="s">
        <v>1046</v>
      </c>
      <c r="H1280" s="105" t="s">
        <v>1045</v>
      </c>
      <c r="I1280" s="105" t="s">
        <v>579</v>
      </c>
      <c r="J1280" s="104">
        <v>12.47</v>
      </c>
      <c r="K1280" s="103" t="s">
        <v>424</v>
      </c>
      <c r="L1280" s="102" t="s">
        <v>507</v>
      </c>
      <c r="M1280" s="95"/>
      <c r="N1280" s="14"/>
      <c r="O1280" s="94">
        <v>36</v>
      </c>
      <c r="P1280" s="14" t="s">
        <v>485</v>
      </c>
      <c r="Q1280" s="14" t="s">
        <v>497</v>
      </c>
      <c r="R1280" s="14" t="s">
        <v>496</v>
      </c>
      <c r="S1280" s="15">
        <v>7</v>
      </c>
      <c r="T1280" s="15">
        <v>0</v>
      </c>
      <c r="U1280" s="15">
        <v>0</v>
      </c>
      <c r="V1280" s="14">
        <v>386</v>
      </c>
      <c r="W1280" s="12">
        <v>0</v>
      </c>
      <c r="X1280" s="12">
        <v>0</v>
      </c>
      <c r="Y1280" s="12">
        <v>2</v>
      </c>
      <c r="Z1280" s="12">
        <v>10.47</v>
      </c>
      <c r="AA1280" s="12">
        <v>0</v>
      </c>
      <c r="AB1280" s="13">
        <f t="shared" si="78"/>
        <v>0</v>
      </c>
      <c r="AE1280" s="12">
        <v>0</v>
      </c>
      <c r="AF1280" s="12">
        <v>0</v>
      </c>
      <c r="AG1280" s="12">
        <v>2</v>
      </c>
      <c r="AH1280" s="12">
        <v>10.47</v>
      </c>
      <c r="AI1280" s="12">
        <v>0</v>
      </c>
      <c r="AJ1280" s="13">
        <f t="shared" si="79"/>
        <v>0</v>
      </c>
      <c r="AN1280" s="12">
        <f t="shared" si="80"/>
        <v>4814</v>
      </c>
      <c r="AQ1280" s="8" t="s">
        <v>417</v>
      </c>
      <c r="AR1280" t="str">
        <f t="shared" si="81"/>
        <v>Oeste - A04</v>
      </c>
    </row>
    <row r="1281" spans="1:44" x14ac:dyDescent="0.2">
      <c r="A1281" s="107" t="s">
        <v>1044</v>
      </c>
      <c r="B1281" s="106" t="s">
        <v>1043</v>
      </c>
      <c r="C1281" s="106" t="s">
        <v>1033</v>
      </c>
      <c r="D1281" s="106" t="s">
        <v>492</v>
      </c>
      <c r="E1281" s="106" t="s">
        <v>1038</v>
      </c>
      <c r="F1281" s="106" t="s">
        <v>490</v>
      </c>
      <c r="G1281" s="106" t="s">
        <v>1042</v>
      </c>
      <c r="H1281" s="105" t="s">
        <v>1041</v>
      </c>
      <c r="I1281" s="105" t="s">
        <v>1036</v>
      </c>
      <c r="J1281" s="104">
        <v>20.3</v>
      </c>
      <c r="K1281" s="103" t="s">
        <v>430</v>
      </c>
      <c r="L1281" s="102" t="s">
        <v>533</v>
      </c>
      <c r="M1281" s="95"/>
      <c r="N1281" s="14"/>
      <c r="O1281" s="94">
        <v>32</v>
      </c>
      <c r="P1281" s="14" t="s">
        <v>485</v>
      </c>
      <c r="Q1281" s="14" t="s">
        <v>505</v>
      </c>
      <c r="R1281" s="14" t="s">
        <v>496</v>
      </c>
      <c r="S1281" s="15">
        <v>6.6</v>
      </c>
      <c r="T1281" s="15">
        <v>0</v>
      </c>
      <c r="U1281" s="15">
        <v>0</v>
      </c>
      <c r="V1281" s="14">
        <v>572</v>
      </c>
      <c r="W1281" s="12">
        <v>0</v>
      </c>
      <c r="X1281" s="12">
        <v>1</v>
      </c>
      <c r="Y1281" s="12">
        <v>6</v>
      </c>
      <c r="Z1281" s="12">
        <v>13.3</v>
      </c>
      <c r="AA1281" s="12">
        <v>0</v>
      </c>
      <c r="AB1281" s="13">
        <f t="shared" si="78"/>
        <v>0</v>
      </c>
      <c r="AE1281" s="12">
        <v>0</v>
      </c>
      <c r="AF1281" s="12">
        <v>1</v>
      </c>
      <c r="AG1281" s="12">
        <v>6</v>
      </c>
      <c r="AH1281" s="12">
        <v>13.3</v>
      </c>
      <c r="AI1281" s="12">
        <v>0</v>
      </c>
      <c r="AJ1281" s="13">
        <f t="shared" si="79"/>
        <v>0</v>
      </c>
      <c r="AN1281" s="12">
        <f t="shared" si="80"/>
        <v>11612</v>
      </c>
      <c r="AQ1281" s="8" t="s">
        <v>418</v>
      </c>
      <c r="AR1281" t="str">
        <f t="shared" si="81"/>
        <v>Noroeste - A10</v>
      </c>
    </row>
    <row r="1282" spans="1:44" x14ac:dyDescent="0.2">
      <c r="A1282" s="107" t="s">
        <v>1040</v>
      </c>
      <c r="B1282" s="106" t="s">
        <v>1039</v>
      </c>
      <c r="C1282" s="106" t="s">
        <v>1033</v>
      </c>
      <c r="D1282" s="106" t="s">
        <v>519</v>
      </c>
      <c r="E1282" s="106" t="s">
        <v>1038</v>
      </c>
      <c r="F1282" s="106" t="s">
        <v>490</v>
      </c>
      <c r="G1282" s="106" t="s">
        <v>1037</v>
      </c>
      <c r="H1282" s="105" t="s">
        <v>1036</v>
      </c>
      <c r="I1282" s="105" t="s">
        <v>1029</v>
      </c>
      <c r="J1282" s="104">
        <v>9.8699999999999992</v>
      </c>
      <c r="K1282" s="103" t="s">
        <v>430</v>
      </c>
      <c r="L1282" s="102" t="s">
        <v>533</v>
      </c>
      <c r="M1282" s="95"/>
      <c r="N1282" s="14"/>
      <c r="O1282" s="94">
        <v>32</v>
      </c>
      <c r="P1282" s="14" t="s">
        <v>485</v>
      </c>
      <c r="Q1282" s="14" t="s">
        <v>505</v>
      </c>
      <c r="R1282" s="14" t="s">
        <v>496</v>
      </c>
      <c r="S1282" s="15">
        <v>6.6</v>
      </c>
      <c r="T1282" s="15">
        <v>0</v>
      </c>
      <c r="U1282" s="15">
        <v>0</v>
      </c>
      <c r="V1282" s="14">
        <v>572</v>
      </c>
      <c r="W1282" s="12">
        <v>0</v>
      </c>
      <c r="X1282" s="12">
        <v>0</v>
      </c>
      <c r="Y1282" s="12">
        <v>2</v>
      </c>
      <c r="Z1282" s="12">
        <v>7.8699999999999992</v>
      </c>
      <c r="AA1282" s="12">
        <v>0</v>
      </c>
      <c r="AB1282" s="13">
        <f t="shared" si="78"/>
        <v>0</v>
      </c>
      <c r="AE1282" s="12">
        <v>0</v>
      </c>
      <c r="AF1282" s="12">
        <v>0</v>
      </c>
      <c r="AG1282" s="12">
        <v>2</v>
      </c>
      <c r="AH1282" s="12">
        <v>7.8699999999999992</v>
      </c>
      <c r="AI1282" s="12">
        <v>0</v>
      </c>
      <c r="AJ1282" s="13">
        <f t="shared" si="79"/>
        <v>0</v>
      </c>
      <c r="AN1282" s="12">
        <f t="shared" si="80"/>
        <v>5646</v>
      </c>
      <c r="AQ1282" s="8" t="s">
        <v>418</v>
      </c>
      <c r="AR1282" t="str">
        <f t="shared" si="81"/>
        <v>Noroeste - A10</v>
      </c>
    </row>
    <row r="1283" spans="1:44" x14ac:dyDescent="0.2">
      <c r="A1283" s="107" t="s">
        <v>1035</v>
      </c>
      <c r="B1283" s="106" t="s">
        <v>1034</v>
      </c>
      <c r="C1283" s="106" t="s">
        <v>1033</v>
      </c>
      <c r="D1283" s="106" t="s">
        <v>1032</v>
      </c>
      <c r="E1283" s="106" t="s">
        <v>1031</v>
      </c>
      <c r="F1283" s="106" t="s">
        <v>590</v>
      </c>
      <c r="G1283" s="106" t="s">
        <v>1030</v>
      </c>
      <c r="H1283" s="105" t="s">
        <v>1029</v>
      </c>
      <c r="I1283" s="105" t="s">
        <v>1028</v>
      </c>
      <c r="J1283" s="104">
        <v>0.43</v>
      </c>
      <c r="K1283" s="103" t="s">
        <v>430</v>
      </c>
      <c r="L1283" s="102" t="s">
        <v>533</v>
      </c>
      <c r="M1283" s="95"/>
      <c r="N1283" s="14"/>
      <c r="O1283" s="94">
        <v>32</v>
      </c>
      <c r="P1283" s="14" t="s">
        <v>586</v>
      </c>
      <c r="Q1283" s="14" t="s">
        <v>561</v>
      </c>
      <c r="R1283" s="14" t="s">
        <v>496</v>
      </c>
      <c r="S1283" s="15">
        <v>12.8</v>
      </c>
      <c r="T1283" s="15">
        <v>0</v>
      </c>
      <c r="U1283" s="15">
        <v>0</v>
      </c>
      <c r="V1283" s="14">
        <v>21</v>
      </c>
      <c r="W1283" s="12">
        <v>0</v>
      </c>
      <c r="X1283" s="12">
        <v>0</v>
      </c>
      <c r="Y1283" s="12">
        <v>0</v>
      </c>
      <c r="Z1283" s="12">
        <v>0.43</v>
      </c>
      <c r="AA1283" s="12">
        <v>0</v>
      </c>
      <c r="AB1283" s="13">
        <f t="shared" si="78"/>
        <v>0</v>
      </c>
      <c r="AE1283" s="12">
        <v>0</v>
      </c>
      <c r="AF1283" s="12">
        <v>0</v>
      </c>
      <c r="AG1283" s="12">
        <v>0</v>
      </c>
      <c r="AH1283" s="12">
        <v>0.43</v>
      </c>
      <c r="AI1283" s="12">
        <v>0</v>
      </c>
      <c r="AJ1283" s="13">
        <f t="shared" si="79"/>
        <v>0</v>
      </c>
      <c r="AN1283" s="12">
        <f t="shared" si="80"/>
        <v>10</v>
      </c>
      <c r="AQ1283" s="8" t="s">
        <v>418</v>
      </c>
      <c r="AR1283" t="str">
        <f t="shared" si="81"/>
        <v>Noroeste - A10</v>
      </c>
    </row>
    <row r="1284" spans="1:44" x14ac:dyDescent="0.2">
      <c r="A1284" s="107" t="s">
        <v>1027</v>
      </c>
      <c r="B1284" s="106" t="s">
        <v>1026</v>
      </c>
      <c r="C1284" s="106" t="s">
        <v>1003</v>
      </c>
      <c r="D1284" s="106" t="s">
        <v>492</v>
      </c>
      <c r="E1284" s="106" t="s">
        <v>1001</v>
      </c>
      <c r="F1284" s="106" t="s">
        <v>490</v>
      </c>
      <c r="G1284" s="106" t="s">
        <v>1025</v>
      </c>
      <c r="H1284" s="105" t="s">
        <v>1024</v>
      </c>
      <c r="I1284" s="105" t="s">
        <v>1019</v>
      </c>
      <c r="J1284" s="104">
        <v>3.42</v>
      </c>
      <c r="K1284" s="103" t="s">
        <v>428</v>
      </c>
      <c r="L1284" s="102" t="s">
        <v>533</v>
      </c>
      <c r="M1284" s="95"/>
      <c r="N1284" s="14"/>
      <c r="O1284" s="94">
        <v>30</v>
      </c>
      <c r="P1284" s="14" t="s">
        <v>485</v>
      </c>
      <c r="Q1284" s="14" t="s">
        <v>505</v>
      </c>
      <c r="R1284" s="14" t="s">
        <v>496</v>
      </c>
      <c r="S1284" s="15">
        <v>7</v>
      </c>
      <c r="T1284" s="15">
        <v>0</v>
      </c>
      <c r="U1284" s="15">
        <v>0</v>
      </c>
      <c r="V1284" s="14">
        <v>308</v>
      </c>
      <c r="W1284" s="12">
        <v>0</v>
      </c>
      <c r="X1284" s="12">
        <v>0</v>
      </c>
      <c r="Y1284" s="12">
        <v>1</v>
      </c>
      <c r="Z1284" s="12">
        <v>2.42</v>
      </c>
      <c r="AA1284" s="12">
        <v>0</v>
      </c>
      <c r="AB1284" s="13">
        <f t="shared" si="78"/>
        <v>0</v>
      </c>
      <c r="AE1284" s="12">
        <v>0</v>
      </c>
      <c r="AF1284" s="12">
        <v>0</v>
      </c>
      <c r="AG1284" s="12">
        <v>1</v>
      </c>
      <c r="AH1284" s="12">
        <v>2.42</v>
      </c>
      <c r="AI1284" s="12">
        <v>0</v>
      </c>
      <c r="AJ1284" s="13">
        <f t="shared" si="79"/>
        <v>0</v>
      </c>
      <c r="AN1284" s="12">
        <f t="shared" si="80"/>
        <v>1054</v>
      </c>
      <c r="AQ1284" s="8" t="s">
        <v>418</v>
      </c>
      <c r="AR1284" t="str">
        <f t="shared" si="81"/>
        <v>Noroeste - A08</v>
      </c>
    </row>
    <row r="1285" spans="1:44" x14ac:dyDescent="0.2">
      <c r="A1285" s="107" t="s">
        <v>1023</v>
      </c>
      <c r="B1285" s="106" t="s">
        <v>1022</v>
      </c>
      <c r="C1285" s="106" t="s">
        <v>1003</v>
      </c>
      <c r="D1285" s="106" t="s">
        <v>519</v>
      </c>
      <c r="E1285" s="106" t="s">
        <v>1021</v>
      </c>
      <c r="F1285" s="106" t="s">
        <v>590</v>
      </c>
      <c r="G1285" s="106" t="s">
        <v>1020</v>
      </c>
      <c r="H1285" s="105" t="s">
        <v>1019</v>
      </c>
      <c r="I1285" s="105" t="s">
        <v>1015</v>
      </c>
      <c r="J1285" s="104">
        <v>2.14</v>
      </c>
      <c r="K1285" s="103" t="s">
        <v>428</v>
      </c>
      <c r="L1285" s="102" t="s">
        <v>533</v>
      </c>
      <c r="M1285" s="95"/>
      <c r="N1285" s="14"/>
      <c r="O1285" s="94">
        <v>30</v>
      </c>
      <c r="P1285" s="14" t="s">
        <v>586</v>
      </c>
      <c r="Q1285" s="14" t="s">
        <v>505</v>
      </c>
      <c r="R1285" s="14" t="s">
        <v>496</v>
      </c>
      <c r="S1285" s="15">
        <v>14</v>
      </c>
      <c r="T1285" s="15">
        <v>0</v>
      </c>
      <c r="U1285" s="15">
        <v>0</v>
      </c>
      <c r="V1285" s="14">
        <v>210</v>
      </c>
      <c r="W1285" s="12">
        <v>0</v>
      </c>
      <c r="X1285" s="12">
        <v>0</v>
      </c>
      <c r="Y1285" s="12">
        <v>0</v>
      </c>
      <c r="Z1285" s="12">
        <v>2.13</v>
      </c>
      <c r="AA1285" s="12">
        <v>0</v>
      </c>
      <c r="AB1285" s="13">
        <f t="shared" si="78"/>
        <v>-1.0000000000000231E-2</v>
      </c>
      <c r="AE1285" s="12">
        <f>IF(W1285=0,0,W1285-$AB1285)</f>
        <v>0</v>
      </c>
      <c r="AF1285" s="12">
        <f>IF(X1285=0,0,X1285-$AB1285)</f>
        <v>0</v>
      </c>
      <c r="AG1285" s="12">
        <f>IF(Y1285=0,0,Y1285-$AB1285)</f>
        <v>0</v>
      </c>
      <c r="AH1285" s="12">
        <f>IF(Z1285=0,0,Z1285-$AB1285)</f>
        <v>2.14</v>
      </c>
      <c r="AI1285" s="12">
        <f>IF(AA1285=0,0,AA1285-$AB1285)</f>
        <v>0</v>
      </c>
      <c r="AJ1285" s="13">
        <f t="shared" si="79"/>
        <v>0</v>
      </c>
      <c r="AN1285" s="12">
        <f t="shared" si="80"/>
        <v>450</v>
      </c>
      <c r="AQ1285" s="8" t="s">
        <v>418</v>
      </c>
      <c r="AR1285" t="str">
        <f t="shared" si="81"/>
        <v>Noroeste - A08</v>
      </c>
    </row>
    <row r="1286" spans="1:44" x14ac:dyDescent="0.2">
      <c r="A1286" s="107" t="s">
        <v>1018</v>
      </c>
      <c r="B1286" s="106" t="s">
        <v>1017</v>
      </c>
      <c r="C1286" s="106" t="s">
        <v>1003</v>
      </c>
      <c r="D1286" s="106" t="s">
        <v>513</v>
      </c>
      <c r="E1286" s="106" t="s">
        <v>1001</v>
      </c>
      <c r="F1286" s="106" t="s">
        <v>490</v>
      </c>
      <c r="G1286" s="106" t="s">
        <v>1016</v>
      </c>
      <c r="H1286" s="105" t="s">
        <v>1015</v>
      </c>
      <c r="I1286" s="105" t="s">
        <v>1006</v>
      </c>
      <c r="J1286" s="104">
        <v>18.84</v>
      </c>
      <c r="K1286" s="103" t="s">
        <v>428</v>
      </c>
      <c r="L1286" s="102" t="s">
        <v>533</v>
      </c>
      <c r="M1286" s="95"/>
      <c r="N1286" s="14"/>
      <c r="O1286" s="94">
        <v>30</v>
      </c>
      <c r="P1286" s="14" t="s">
        <v>485</v>
      </c>
      <c r="Q1286" s="14" t="s">
        <v>505</v>
      </c>
      <c r="R1286" s="14" t="s">
        <v>496</v>
      </c>
      <c r="S1286" s="15">
        <v>6.2</v>
      </c>
      <c r="T1286" s="15">
        <v>0</v>
      </c>
      <c r="U1286" s="15">
        <v>0</v>
      </c>
      <c r="V1286" s="14">
        <v>562</v>
      </c>
      <c r="W1286" s="12">
        <v>0</v>
      </c>
      <c r="X1286" s="12">
        <v>0</v>
      </c>
      <c r="Y1286" s="12">
        <v>7</v>
      </c>
      <c r="Z1286" s="12">
        <v>11.84</v>
      </c>
      <c r="AA1286" s="12">
        <v>0</v>
      </c>
      <c r="AB1286" s="13">
        <f t="shared" ref="AB1286:AB1349" si="83">SUM(W1286:AA1286)-J1286</f>
        <v>0</v>
      </c>
      <c r="AE1286" s="12">
        <v>0</v>
      </c>
      <c r="AF1286" s="12">
        <v>0</v>
      </c>
      <c r="AG1286" s="12">
        <v>7</v>
      </c>
      <c r="AH1286" s="12">
        <v>11.84</v>
      </c>
      <c r="AI1286" s="12">
        <v>0</v>
      </c>
      <c r="AJ1286" s="13">
        <f t="shared" ref="AJ1286:AJ1349" si="84">SUM(AE1286:AI1286)-J1286</f>
        <v>0</v>
      </c>
      <c r="AN1286" s="12">
        <f t="shared" ref="AN1286:AN1349" si="85">ROUNDUP(V1286*J1286,0)</f>
        <v>10589</v>
      </c>
      <c r="AQ1286" s="8" t="s">
        <v>418</v>
      </c>
      <c r="AR1286" t="str">
        <f t="shared" ref="AR1286:AR1349" si="86">AQ1286&amp;" - "&amp;K1286</f>
        <v>Noroeste - A08</v>
      </c>
    </row>
    <row r="1287" spans="1:44" x14ac:dyDescent="0.2">
      <c r="A1287" s="107" t="s">
        <v>1014</v>
      </c>
      <c r="B1287" s="106" t="s">
        <v>1013</v>
      </c>
      <c r="C1287" s="106" t="s">
        <v>1003</v>
      </c>
      <c r="D1287" s="106" t="s">
        <v>989</v>
      </c>
      <c r="E1287" s="106" t="s">
        <v>1012</v>
      </c>
      <c r="F1287" s="106" t="s">
        <v>606</v>
      </c>
      <c r="G1287" s="106" t="s">
        <v>1011</v>
      </c>
      <c r="H1287" s="105" t="s">
        <v>1006</v>
      </c>
      <c r="I1287" s="105" t="s">
        <v>999</v>
      </c>
      <c r="J1287" s="104">
        <v>0.45</v>
      </c>
      <c r="K1287" s="103" t="s">
        <v>428</v>
      </c>
      <c r="L1287" s="102" t="s">
        <v>533</v>
      </c>
      <c r="M1287" s="95"/>
      <c r="N1287" s="14"/>
      <c r="O1287" s="94">
        <v>30</v>
      </c>
      <c r="P1287" s="14" t="s">
        <v>596</v>
      </c>
      <c r="Q1287" s="14" t="s">
        <v>505</v>
      </c>
      <c r="R1287" s="14" t="s">
        <v>496</v>
      </c>
      <c r="S1287" s="15">
        <v>6.2</v>
      </c>
      <c r="T1287" s="15">
        <v>0</v>
      </c>
      <c r="U1287" s="15">
        <v>0</v>
      </c>
      <c r="V1287" s="14">
        <v>410</v>
      </c>
      <c r="W1287" s="12">
        <v>0</v>
      </c>
      <c r="X1287" s="12">
        <v>0</v>
      </c>
      <c r="Y1287" s="12">
        <v>0</v>
      </c>
      <c r="Z1287" s="12">
        <v>0.45</v>
      </c>
      <c r="AA1287" s="12">
        <v>0</v>
      </c>
      <c r="AB1287" s="13">
        <f t="shared" si="83"/>
        <v>0</v>
      </c>
      <c r="AE1287" s="12">
        <v>0</v>
      </c>
      <c r="AF1287" s="12">
        <v>0</v>
      </c>
      <c r="AG1287" s="12">
        <v>0</v>
      </c>
      <c r="AH1287" s="12">
        <v>0.45</v>
      </c>
      <c r="AI1287" s="12">
        <v>0</v>
      </c>
      <c r="AJ1287" s="13">
        <f t="shared" si="84"/>
        <v>0</v>
      </c>
      <c r="AN1287" s="12">
        <f t="shared" si="85"/>
        <v>185</v>
      </c>
      <c r="AQ1287" s="8" t="s">
        <v>418</v>
      </c>
      <c r="AR1287" t="str">
        <f t="shared" si="86"/>
        <v>Noroeste - A08</v>
      </c>
    </row>
    <row r="1288" spans="1:44" x14ac:dyDescent="0.2">
      <c r="A1288" s="107" t="s">
        <v>1010</v>
      </c>
      <c r="B1288" s="106" t="s">
        <v>1009</v>
      </c>
      <c r="C1288" s="106" t="s">
        <v>1003</v>
      </c>
      <c r="D1288" s="106" t="s">
        <v>989</v>
      </c>
      <c r="E1288" s="106" t="s">
        <v>1008</v>
      </c>
      <c r="F1288" s="106" t="s">
        <v>600</v>
      </c>
      <c r="G1288" s="106" t="s">
        <v>1007</v>
      </c>
      <c r="H1288" s="105" t="s">
        <v>1006</v>
      </c>
      <c r="I1288" s="105" t="s">
        <v>999</v>
      </c>
      <c r="J1288" s="104">
        <v>0.45</v>
      </c>
      <c r="K1288" s="103" t="s">
        <v>428</v>
      </c>
      <c r="L1288" s="102" t="s">
        <v>533</v>
      </c>
      <c r="M1288" s="95"/>
      <c r="N1288" s="14"/>
      <c r="O1288" s="94">
        <v>30</v>
      </c>
      <c r="P1288" s="14" t="s">
        <v>596</v>
      </c>
      <c r="Q1288" s="14" t="s">
        <v>505</v>
      </c>
      <c r="R1288" s="14" t="s">
        <v>496</v>
      </c>
      <c r="S1288" s="15">
        <v>6.2</v>
      </c>
      <c r="T1288" s="15">
        <v>0</v>
      </c>
      <c r="U1288" s="15">
        <v>0</v>
      </c>
      <c r="V1288" s="14">
        <v>410</v>
      </c>
      <c r="W1288" s="12">
        <v>0</v>
      </c>
      <c r="X1288" s="12">
        <v>0</v>
      </c>
      <c r="Y1288" s="12">
        <v>0</v>
      </c>
      <c r="Z1288" s="12">
        <v>0.45</v>
      </c>
      <c r="AA1288" s="12">
        <v>0</v>
      </c>
      <c r="AB1288" s="13">
        <f t="shared" si="83"/>
        <v>0</v>
      </c>
      <c r="AE1288" s="12">
        <v>0</v>
      </c>
      <c r="AF1288" s="12">
        <v>0</v>
      </c>
      <c r="AG1288" s="12">
        <v>0</v>
      </c>
      <c r="AH1288" s="12">
        <v>0.45</v>
      </c>
      <c r="AI1288" s="12">
        <v>0</v>
      </c>
      <c r="AJ1288" s="13">
        <f t="shared" si="84"/>
        <v>0</v>
      </c>
      <c r="AN1288" s="12">
        <f t="shared" si="85"/>
        <v>185</v>
      </c>
      <c r="AQ1288" s="8" t="s">
        <v>418</v>
      </c>
      <c r="AR1288" t="str">
        <f t="shared" si="86"/>
        <v>Noroeste - A08</v>
      </c>
    </row>
    <row r="1289" spans="1:44" x14ac:dyDescent="0.2">
      <c r="A1289" s="107" t="s">
        <v>1005</v>
      </c>
      <c r="B1289" s="106" t="s">
        <v>1004</v>
      </c>
      <c r="C1289" s="106" t="s">
        <v>1003</v>
      </c>
      <c r="D1289" s="106" t="s">
        <v>1002</v>
      </c>
      <c r="E1289" s="106" t="s">
        <v>1001</v>
      </c>
      <c r="F1289" s="106" t="s">
        <v>490</v>
      </c>
      <c r="G1289" s="106" t="s">
        <v>1000</v>
      </c>
      <c r="H1289" s="105" t="s">
        <v>999</v>
      </c>
      <c r="I1289" s="105" t="s">
        <v>998</v>
      </c>
      <c r="J1289" s="104">
        <v>5.14</v>
      </c>
      <c r="K1289" s="103" t="s">
        <v>428</v>
      </c>
      <c r="L1289" s="102" t="s">
        <v>533</v>
      </c>
      <c r="M1289" s="95"/>
      <c r="N1289" s="14"/>
      <c r="O1289" s="94">
        <v>30</v>
      </c>
      <c r="P1289" s="14" t="s">
        <v>485</v>
      </c>
      <c r="Q1289" s="14" t="s">
        <v>872</v>
      </c>
      <c r="R1289" s="14" t="s">
        <v>496</v>
      </c>
      <c r="S1289" s="15">
        <v>6.2</v>
      </c>
      <c r="T1289" s="15">
        <v>0</v>
      </c>
      <c r="U1289" s="15">
        <v>0</v>
      </c>
      <c r="V1289" s="14">
        <v>420</v>
      </c>
      <c r="W1289" s="12">
        <v>0</v>
      </c>
      <c r="X1289" s="12">
        <v>0</v>
      </c>
      <c r="Y1289" s="12">
        <v>3</v>
      </c>
      <c r="Z1289" s="12">
        <v>2.1399999999999997</v>
      </c>
      <c r="AA1289" s="12">
        <v>0</v>
      </c>
      <c r="AB1289" s="13">
        <f t="shared" si="83"/>
        <v>0</v>
      </c>
      <c r="AE1289" s="12">
        <v>0</v>
      </c>
      <c r="AF1289" s="12">
        <v>0</v>
      </c>
      <c r="AG1289" s="12">
        <v>3</v>
      </c>
      <c r="AH1289" s="12">
        <v>2.1399999999999997</v>
      </c>
      <c r="AI1289" s="12">
        <v>0</v>
      </c>
      <c r="AJ1289" s="13">
        <f t="shared" si="84"/>
        <v>0</v>
      </c>
      <c r="AN1289" s="12">
        <f t="shared" si="85"/>
        <v>2159</v>
      </c>
      <c r="AQ1289" s="8" t="s">
        <v>418</v>
      </c>
      <c r="AR1289" t="str">
        <f t="shared" si="86"/>
        <v>Noroeste - A08</v>
      </c>
    </row>
    <row r="1290" spans="1:44" x14ac:dyDescent="0.2">
      <c r="A1290" s="107" t="s">
        <v>997</v>
      </c>
      <c r="B1290" s="106" t="s">
        <v>996</v>
      </c>
      <c r="C1290" s="106" t="s">
        <v>959</v>
      </c>
      <c r="D1290" s="106" t="s">
        <v>592</v>
      </c>
      <c r="E1290" s="106" t="s">
        <v>995</v>
      </c>
      <c r="F1290" s="106" t="s">
        <v>590</v>
      </c>
      <c r="G1290" s="106" t="s">
        <v>994</v>
      </c>
      <c r="H1290" s="105" t="s">
        <v>993</v>
      </c>
      <c r="I1290" s="105" t="s">
        <v>992</v>
      </c>
      <c r="J1290" s="104">
        <v>1.05</v>
      </c>
      <c r="K1290" s="103" t="s">
        <v>430</v>
      </c>
      <c r="L1290" s="102" t="s">
        <v>533</v>
      </c>
      <c r="M1290" s="95"/>
      <c r="N1290" s="14"/>
      <c r="O1290" s="94">
        <v>32</v>
      </c>
      <c r="P1290" s="14" t="s">
        <v>586</v>
      </c>
      <c r="Q1290" s="14" t="s">
        <v>505</v>
      </c>
      <c r="R1290" s="14" t="s">
        <v>496</v>
      </c>
      <c r="S1290" s="15">
        <v>6.7</v>
      </c>
      <c r="T1290" s="15">
        <v>0</v>
      </c>
      <c r="U1290" s="15">
        <v>0</v>
      </c>
      <c r="V1290" s="14">
        <v>50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3">
        <f t="shared" si="83"/>
        <v>-1.05</v>
      </c>
      <c r="AE1290" s="12">
        <f>IF(W1290=0,0,W1290-$AB1290)</f>
        <v>0</v>
      </c>
      <c r="AF1290" s="12">
        <f>IF(X1290=0,0,X1290-$AB1290)</f>
        <v>0</v>
      </c>
      <c r="AG1290" s="12">
        <v>1.05</v>
      </c>
      <c r="AH1290" s="12">
        <f>IF(Z1290=0,0,Z1290-$AB1290)</f>
        <v>0</v>
      </c>
      <c r="AI1290" s="12">
        <f>IF(AA1290=0,0,AA1290-$AB1290)</f>
        <v>0</v>
      </c>
      <c r="AJ1290" s="13">
        <f t="shared" si="84"/>
        <v>0</v>
      </c>
      <c r="AN1290" s="12">
        <f t="shared" si="85"/>
        <v>53</v>
      </c>
      <c r="AQ1290" s="8" t="s">
        <v>418</v>
      </c>
      <c r="AR1290" t="str">
        <f t="shared" si="86"/>
        <v>Noroeste - A10</v>
      </c>
    </row>
    <row r="1291" spans="1:44" x14ac:dyDescent="0.2">
      <c r="A1291" s="107" t="s">
        <v>991</v>
      </c>
      <c r="B1291" s="106" t="s">
        <v>990</v>
      </c>
      <c r="C1291" s="106" t="s">
        <v>959</v>
      </c>
      <c r="D1291" s="106" t="s">
        <v>989</v>
      </c>
      <c r="E1291" s="106" t="s">
        <v>958</v>
      </c>
      <c r="F1291" s="106" t="s">
        <v>490</v>
      </c>
      <c r="G1291" s="106" t="s">
        <v>988</v>
      </c>
      <c r="H1291" s="105" t="s">
        <v>987</v>
      </c>
      <c r="I1291" s="105" t="s">
        <v>979</v>
      </c>
      <c r="J1291" s="104">
        <v>0.23</v>
      </c>
      <c r="K1291" s="103" t="s">
        <v>430</v>
      </c>
      <c r="L1291" s="102" t="s">
        <v>533</v>
      </c>
      <c r="M1291" s="95"/>
      <c r="N1291" s="14"/>
      <c r="O1291" s="94">
        <v>32</v>
      </c>
      <c r="P1291" s="14" t="s">
        <v>485</v>
      </c>
      <c r="Q1291" s="14" t="s">
        <v>505</v>
      </c>
      <c r="R1291" s="14" t="s">
        <v>496</v>
      </c>
      <c r="S1291" s="15">
        <v>7</v>
      </c>
      <c r="T1291" s="15">
        <v>0</v>
      </c>
      <c r="U1291" s="15">
        <v>0</v>
      </c>
      <c r="V1291" s="14">
        <v>420</v>
      </c>
      <c r="W1291" s="12">
        <v>0</v>
      </c>
      <c r="X1291" s="12">
        <v>0</v>
      </c>
      <c r="Y1291" s="12">
        <v>0.23</v>
      </c>
      <c r="Z1291" s="12">
        <v>0</v>
      </c>
      <c r="AA1291" s="12">
        <v>0</v>
      </c>
      <c r="AB1291" s="13">
        <f t="shared" si="83"/>
        <v>0</v>
      </c>
      <c r="AE1291" s="12">
        <v>0</v>
      </c>
      <c r="AF1291" s="12">
        <v>0</v>
      </c>
      <c r="AG1291" s="12">
        <v>0.23</v>
      </c>
      <c r="AH1291" s="12">
        <v>0</v>
      </c>
      <c r="AI1291" s="12">
        <v>0</v>
      </c>
      <c r="AJ1291" s="13">
        <f t="shared" si="84"/>
        <v>0</v>
      </c>
      <c r="AN1291" s="12">
        <f t="shared" si="85"/>
        <v>97</v>
      </c>
      <c r="AQ1291" s="8" t="s">
        <v>418</v>
      </c>
      <c r="AR1291" t="str">
        <f t="shared" si="86"/>
        <v>Noroeste - A10</v>
      </c>
    </row>
    <row r="1292" spans="1:44" x14ac:dyDescent="0.2">
      <c r="A1292" s="107" t="s">
        <v>986</v>
      </c>
      <c r="B1292" s="106" t="s">
        <v>985</v>
      </c>
      <c r="C1292" s="106" t="s">
        <v>959</v>
      </c>
      <c r="D1292" s="106" t="s">
        <v>981</v>
      </c>
      <c r="E1292" s="106" t="s">
        <v>969</v>
      </c>
      <c r="F1292" s="106" t="s">
        <v>606</v>
      </c>
      <c r="G1292" s="106" t="s">
        <v>984</v>
      </c>
      <c r="H1292" s="105" t="s">
        <v>979</v>
      </c>
      <c r="I1292" s="105" t="s">
        <v>978</v>
      </c>
      <c r="J1292" s="104">
        <v>0.78</v>
      </c>
      <c r="K1292" s="103" t="s">
        <v>430</v>
      </c>
      <c r="L1292" s="102" t="s">
        <v>533</v>
      </c>
      <c r="M1292" s="95"/>
      <c r="N1292" s="14"/>
      <c r="O1292" s="94">
        <v>32</v>
      </c>
      <c r="P1292" s="14" t="s">
        <v>596</v>
      </c>
      <c r="Q1292" s="14" t="s">
        <v>505</v>
      </c>
      <c r="R1292" s="14" t="s">
        <v>496</v>
      </c>
      <c r="S1292" s="15">
        <v>14</v>
      </c>
      <c r="T1292" s="15">
        <v>0</v>
      </c>
      <c r="U1292" s="15">
        <v>0</v>
      </c>
      <c r="V1292" s="14">
        <v>300</v>
      </c>
      <c r="W1292" s="12">
        <v>0</v>
      </c>
      <c r="X1292" s="12">
        <v>0</v>
      </c>
      <c r="Y1292" s="12">
        <v>0</v>
      </c>
      <c r="Z1292" s="12">
        <v>0.78</v>
      </c>
      <c r="AA1292" s="12">
        <v>0</v>
      </c>
      <c r="AB1292" s="13">
        <f t="shared" si="83"/>
        <v>0</v>
      </c>
      <c r="AE1292" s="12">
        <v>0</v>
      </c>
      <c r="AF1292" s="12">
        <v>0</v>
      </c>
      <c r="AG1292" s="12">
        <v>0</v>
      </c>
      <c r="AH1292" s="12">
        <v>0.78</v>
      </c>
      <c r="AI1292" s="12">
        <v>0</v>
      </c>
      <c r="AJ1292" s="13">
        <f t="shared" si="84"/>
        <v>0</v>
      </c>
      <c r="AN1292" s="12">
        <f t="shared" si="85"/>
        <v>234</v>
      </c>
      <c r="AQ1292" s="8" t="s">
        <v>418</v>
      </c>
      <c r="AR1292" t="str">
        <f t="shared" si="86"/>
        <v>Noroeste - A10</v>
      </c>
    </row>
    <row r="1293" spans="1:44" x14ac:dyDescent="0.2">
      <c r="A1293" s="107" t="s">
        <v>983</v>
      </c>
      <c r="B1293" s="106" t="s">
        <v>982</v>
      </c>
      <c r="C1293" s="106" t="s">
        <v>959</v>
      </c>
      <c r="D1293" s="106" t="s">
        <v>981</v>
      </c>
      <c r="E1293" s="106" t="s">
        <v>964</v>
      </c>
      <c r="F1293" s="106" t="s">
        <v>600</v>
      </c>
      <c r="G1293" s="106" t="s">
        <v>980</v>
      </c>
      <c r="H1293" s="105" t="s">
        <v>979</v>
      </c>
      <c r="I1293" s="105" t="s">
        <v>978</v>
      </c>
      <c r="J1293" s="104">
        <v>0.78</v>
      </c>
      <c r="K1293" s="103" t="s">
        <v>430</v>
      </c>
      <c r="L1293" s="102" t="s">
        <v>533</v>
      </c>
      <c r="M1293" s="95"/>
      <c r="N1293" s="14"/>
      <c r="O1293" s="94">
        <v>32</v>
      </c>
      <c r="P1293" s="14" t="s">
        <v>596</v>
      </c>
      <c r="Q1293" s="14" t="s">
        <v>505</v>
      </c>
      <c r="R1293" s="14" t="s">
        <v>496</v>
      </c>
      <c r="S1293" s="15">
        <v>14</v>
      </c>
      <c r="T1293" s="15">
        <v>0</v>
      </c>
      <c r="U1293" s="15">
        <v>0</v>
      </c>
      <c r="V1293" s="14">
        <v>300</v>
      </c>
      <c r="W1293" s="12">
        <v>0</v>
      </c>
      <c r="X1293" s="12">
        <v>0</v>
      </c>
      <c r="Y1293" s="12">
        <v>0</v>
      </c>
      <c r="Z1293" s="12">
        <v>0.78</v>
      </c>
      <c r="AA1293" s="12">
        <v>0</v>
      </c>
      <c r="AB1293" s="13">
        <f t="shared" si="83"/>
        <v>0</v>
      </c>
      <c r="AE1293" s="12">
        <v>0</v>
      </c>
      <c r="AF1293" s="12">
        <v>0</v>
      </c>
      <c r="AG1293" s="12">
        <v>0</v>
      </c>
      <c r="AH1293" s="12">
        <v>0.78</v>
      </c>
      <c r="AI1293" s="12">
        <v>0</v>
      </c>
      <c r="AJ1293" s="13">
        <f t="shared" si="84"/>
        <v>0</v>
      </c>
      <c r="AN1293" s="12">
        <f t="shared" si="85"/>
        <v>234</v>
      </c>
      <c r="AQ1293" s="8" t="s">
        <v>418</v>
      </c>
      <c r="AR1293" t="str">
        <f t="shared" si="86"/>
        <v>Noroeste - A10</v>
      </c>
    </row>
    <row r="1294" spans="1:44" x14ac:dyDescent="0.2">
      <c r="A1294" s="107" t="s">
        <v>977</v>
      </c>
      <c r="B1294" s="106" t="s">
        <v>976</v>
      </c>
      <c r="C1294" s="106" t="s">
        <v>959</v>
      </c>
      <c r="D1294" s="106" t="s">
        <v>975</v>
      </c>
      <c r="E1294" s="106" t="s">
        <v>958</v>
      </c>
      <c r="F1294" s="106" t="s">
        <v>490</v>
      </c>
      <c r="G1294" s="106" t="s">
        <v>974</v>
      </c>
      <c r="H1294" s="105" t="s">
        <v>973</v>
      </c>
      <c r="I1294" s="105" t="s">
        <v>972</v>
      </c>
      <c r="J1294" s="104">
        <v>1.36</v>
      </c>
      <c r="K1294" s="103" t="s">
        <v>430</v>
      </c>
      <c r="L1294" s="102" t="s">
        <v>533</v>
      </c>
      <c r="M1294" s="95"/>
      <c r="N1294" s="14"/>
      <c r="O1294" s="94">
        <v>32</v>
      </c>
      <c r="P1294" s="14" t="s">
        <v>485</v>
      </c>
      <c r="Q1294" s="14" t="s">
        <v>505</v>
      </c>
      <c r="R1294" s="14" t="s">
        <v>496</v>
      </c>
      <c r="S1294" s="15">
        <v>6</v>
      </c>
      <c r="T1294" s="15">
        <v>0</v>
      </c>
      <c r="U1294" s="15">
        <v>0</v>
      </c>
      <c r="V1294" s="14">
        <v>420</v>
      </c>
      <c r="W1294" s="12">
        <v>0</v>
      </c>
      <c r="X1294" s="12">
        <v>0</v>
      </c>
      <c r="Y1294" s="12">
        <v>0</v>
      </c>
      <c r="Z1294" s="12">
        <v>1.36</v>
      </c>
      <c r="AA1294" s="12">
        <v>0</v>
      </c>
      <c r="AB1294" s="13">
        <f t="shared" si="83"/>
        <v>0</v>
      </c>
      <c r="AE1294" s="12">
        <v>0</v>
      </c>
      <c r="AF1294" s="12">
        <v>0</v>
      </c>
      <c r="AG1294" s="12">
        <v>0</v>
      </c>
      <c r="AH1294" s="12">
        <v>1.36</v>
      </c>
      <c r="AI1294" s="12">
        <v>0</v>
      </c>
      <c r="AJ1294" s="13">
        <f t="shared" si="84"/>
        <v>0</v>
      </c>
      <c r="AN1294" s="12">
        <f t="shared" si="85"/>
        <v>572</v>
      </c>
      <c r="AQ1294" s="8" t="s">
        <v>418</v>
      </c>
      <c r="AR1294" t="str">
        <f t="shared" si="86"/>
        <v>Noroeste - A10</v>
      </c>
    </row>
    <row r="1295" spans="1:44" x14ac:dyDescent="0.2">
      <c r="A1295" s="107" t="s">
        <v>971</v>
      </c>
      <c r="B1295" s="106" t="s">
        <v>970</v>
      </c>
      <c r="C1295" s="106" t="s">
        <v>959</v>
      </c>
      <c r="D1295" s="106" t="s">
        <v>965</v>
      </c>
      <c r="E1295" s="106" t="s">
        <v>969</v>
      </c>
      <c r="F1295" s="106" t="s">
        <v>606</v>
      </c>
      <c r="G1295" s="106" t="s">
        <v>968</v>
      </c>
      <c r="H1295" s="105" t="s">
        <v>962</v>
      </c>
      <c r="I1295" s="105" t="s">
        <v>956</v>
      </c>
      <c r="J1295" s="104">
        <v>1.1000000000000001</v>
      </c>
      <c r="K1295" s="103" t="s">
        <v>430</v>
      </c>
      <c r="L1295" s="102" t="s">
        <v>533</v>
      </c>
      <c r="M1295" s="95"/>
      <c r="N1295" s="14"/>
      <c r="O1295" s="94">
        <v>32</v>
      </c>
      <c r="P1295" s="14" t="s">
        <v>596</v>
      </c>
      <c r="Q1295" s="14" t="s">
        <v>947</v>
      </c>
      <c r="R1295" s="14" t="s">
        <v>496</v>
      </c>
      <c r="S1295" s="15">
        <v>14</v>
      </c>
      <c r="T1295" s="15">
        <v>0</v>
      </c>
      <c r="U1295" s="15">
        <v>0</v>
      </c>
      <c r="V1295" s="14">
        <v>300</v>
      </c>
      <c r="W1295" s="12">
        <v>0</v>
      </c>
      <c r="X1295" s="12">
        <v>0</v>
      </c>
      <c r="Y1295" s="12">
        <v>0</v>
      </c>
      <c r="Z1295" s="12">
        <v>1.1000000000000001</v>
      </c>
      <c r="AA1295" s="12">
        <v>0</v>
      </c>
      <c r="AB1295" s="13">
        <f t="shared" si="83"/>
        <v>0</v>
      </c>
      <c r="AE1295" s="12">
        <v>0</v>
      </c>
      <c r="AF1295" s="12">
        <v>0</v>
      </c>
      <c r="AG1295" s="12">
        <v>0</v>
      </c>
      <c r="AH1295" s="12">
        <v>1.1000000000000001</v>
      </c>
      <c r="AI1295" s="12">
        <v>0</v>
      </c>
      <c r="AJ1295" s="13">
        <f t="shared" si="84"/>
        <v>0</v>
      </c>
      <c r="AN1295" s="12">
        <f t="shared" si="85"/>
        <v>330</v>
      </c>
      <c r="AQ1295" s="8" t="s">
        <v>418</v>
      </c>
      <c r="AR1295" t="str">
        <f t="shared" si="86"/>
        <v>Noroeste - A10</v>
      </c>
    </row>
    <row r="1296" spans="1:44" x14ac:dyDescent="0.2">
      <c r="A1296" s="107" t="s">
        <v>967</v>
      </c>
      <c r="B1296" s="106" t="s">
        <v>966</v>
      </c>
      <c r="C1296" s="106" t="s">
        <v>959</v>
      </c>
      <c r="D1296" s="106" t="s">
        <v>965</v>
      </c>
      <c r="E1296" s="106" t="s">
        <v>964</v>
      </c>
      <c r="F1296" s="106" t="s">
        <v>600</v>
      </c>
      <c r="G1296" s="106" t="s">
        <v>963</v>
      </c>
      <c r="H1296" s="105" t="s">
        <v>962</v>
      </c>
      <c r="I1296" s="105" t="s">
        <v>956</v>
      </c>
      <c r="J1296" s="104">
        <v>1.1000000000000001</v>
      </c>
      <c r="K1296" s="103" t="s">
        <v>430</v>
      </c>
      <c r="L1296" s="102" t="s">
        <v>533</v>
      </c>
      <c r="M1296" s="95"/>
      <c r="N1296" s="14"/>
      <c r="O1296" s="94">
        <v>32</v>
      </c>
      <c r="P1296" s="14" t="s">
        <v>596</v>
      </c>
      <c r="Q1296" s="14" t="s">
        <v>947</v>
      </c>
      <c r="R1296" s="14" t="s">
        <v>496</v>
      </c>
      <c r="S1296" s="15">
        <v>14</v>
      </c>
      <c r="T1296" s="15">
        <v>0</v>
      </c>
      <c r="U1296" s="15">
        <v>0</v>
      </c>
      <c r="V1296" s="14">
        <v>300</v>
      </c>
      <c r="W1296" s="12">
        <v>0</v>
      </c>
      <c r="X1296" s="12">
        <v>0</v>
      </c>
      <c r="Y1296" s="12">
        <v>0</v>
      </c>
      <c r="Z1296" s="12">
        <v>1.1000000000000001</v>
      </c>
      <c r="AA1296" s="12">
        <v>0</v>
      </c>
      <c r="AB1296" s="13">
        <f t="shared" si="83"/>
        <v>0</v>
      </c>
      <c r="AE1296" s="12">
        <v>0</v>
      </c>
      <c r="AF1296" s="12">
        <v>0</v>
      </c>
      <c r="AG1296" s="12">
        <v>0</v>
      </c>
      <c r="AH1296" s="12">
        <v>1.1000000000000001</v>
      </c>
      <c r="AI1296" s="12">
        <v>0</v>
      </c>
      <c r="AJ1296" s="13">
        <f t="shared" si="84"/>
        <v>0</v>
      </c>
      <c r="AN1296" s="12">
        <f t="shared" si="85"/>
        <v>330</v>
      </c>
      <c r="AQ1296" s="8" t="s">
        <v>418</v>
      </c>
      <c r="AR1296" t="str">
        <f t="shared" si="86"/>
        <v>Noroeste - A10</v>
      </c>
    </row>
    <row r="1297" spans="1:44" x14ac:dyDescent="0.2">
      <c r="A1297" s="107" t="s">
        <v>961</v>
      </c>
      <c r="B1297" s="106" t="s">
        <v>960</v>
      </c>
      <c r="C1297" s="106" t="s">
        <v>959</v>
      </c>
      <c r="D1297" s="106" t="s">
        <v>633</v>
      </c>
      <c r="E1297" s="106" t="s">
        <v>958</v>
      </c>
      <c r="F1297" s="106" t="s">
        <v>490</v>
      </c>
      <c r="G1297" s="106" t="s">
        <v>957</v>
      </c>
      <c r="H1297" s="105" t="s">
        <v>956</v>
      </c>
      <c r="I1297" s="105" t="s">
        <v>955</v>
      </c>
      <c r="J1297" s="104">
        <v>2.06</v>
      </c>
      <c r="K1297" s="103" t="s">
        <v>430</v>
      </c>
      <c r="L1297" s="102" t="s">
        <v>533</v>
      </c>
      <c r="M1297" s="95"/>
      <c r="N1297" s="14"/>
      <c r="O1297" s="94">
        <v>32</v>
      </c>
      <c r="P1297" s="14" t="s">
        <v>485</v>
      </c>
      <c r="Q1297" s="14" t="s">
        <v>947</v>
      </c>
      <c r="R1297" s="14" t="s">
        <v>496</v>
      </c>
      <c r="S1297" s="15">
        <v>7</v>
      </c>
      <c r="T1297" s="15">
        <v>0.5</v>
      </c>
      <c r="U1297" s="15">
        <v>0</v>
      </c>
      <c r="V1297" s="14">
        <v>420</v>
      </c>
      <c r="W1297" s="12">
        <v>0</v>
      </c>
      <c r="X1297" s="12">
        <v>0</v>
      </c>
      <c r="Y1297" s="12">
        <v>0</v>
      </c>
      <c r="Z1297" s="12">
        <v>2.06</v>
      </c>
      <c r="AA1297" s="12">
        <v>0</v>
      </c>
      <c r="AB1297" s="13">
        <f t="shared" si="83"/>
        <v>0</v>
      </c>
      <c r="AE1297" s="12">
        <v>0</v>
      </c>
      <c r="AF1297" s="12">
        <v>0</v>
      </c>
      <c r="AG1297" s="12">
        <v>0</v>
      </c>
      <c r="AH1297" s="12">
        <v>2.06</v>
      </c>
      <c r="AI1297" s="12">
        <v>0</v>
      </c>
      <c r="AJ1297" s="13">
        <f t="shared" si="84"/>
        <v>0</v>
      </c>
      <c r="AN1297" s="12">
        <f t="shared" si="85"/>
        <v>866</v>
      </c>
      <c r="AQ1297" s="8" t="s">
        <v>418</v>
      </c>
      <c r="AR1297" t="str">
        <f t="shared" si="86"/>
        <v>Noroeste - A10</v>
      </c>
    </row>
    <row r="1298" spans="1:44" x14ac:dyDescent="0.2">
      <c r="A1298" s="107" t="s">
        <v>954</v>
      </c>
      <c r="B1298" s="106" t="s">
        <v>953</v>
      </c>
      <c r="C1298" s="106" t="s">
        <v>952</v>
      </c>
      <c r="D1298" s="106" t="s">
        <v>492</v>
      </c>
      <c r="E1298" s="106" t="s">
        <v>951</v>
      </c>
      <c r="F1298" s="106" t="s">
        <v>490</v>
      </c>
      <c r="G1298" s="106" t="s">
        <v>950</v>
      </c>
      <c r="H1298" s="105" t="s">
        <v>949</v>
      </c>
      <c r="I1298" s="105" t="s">
        <v>948</v>
      </c>
      <c r="J1298" s="104">
        <v>6.06</v>
      </c>
      <c r="K1298" s="103" t="s">
        <v>430</v>
      </c>
      <c r="L1298" s="102" t="s">
        <v>533</v>
      </c>
      <c r="M1298" s="95"/>
      <c r="N1298" s="14"/>
      <c r="O1298" s="94">
        <v>32</v>
      </c>
      <c r="P1298" s="14" t="s">
        <v>485</v>
      </c>
      <c r="Q1298" s="14" t="s">
        <v>947</v>
      </c>
      <c r="R1298" s="14" t="s">
        <v>496</v>
      </c>
      <c r="S1298" s="15">
        <v>7</v>
      </c>
      <c r="T1298" s="15">
        <v>0.5</v>
      </c>
      <c r="U1298" s="15">
        <v>0</v>
      </c>
      <c r="V1298" s="14">
        <v>174</v>
      </c>
      <c r="W1298" s="12">
        <v>0</v>
      </c>
      <c r="X1298" s="12">
        <v>0</v>
      </c>
      <c r="Y1298" s="12">
        <v>0</v>
      </c>
      <c r="Z1298" s="12">
        <v>6.06</v>
      </c>
      <c r="AA1298" s="12">
        <v>0</v>
      </c>
      <c r="AB1298" s="13">
        <f t="shared" si="83"/>
        <v>0</v>
      </c>
      <c r="AE1298" s="12">
        <v>0</v>
      </c>
      <c r="AF1298" s="12">
        <v>0</v>
      </c>
      <c r="AG1298" s="12">
        <v>0</v>
      </c>
      <c r="AH1298" s="12">
        <v>6.06</v>
      </c>
      <c r="AI1298" s="12">
        <v>0</v>
      </c>
      <c r="AJ1298" s="13">
        <f t="shared" si="84"/>
        <v>0</v>
      </c>
      <c r="AN1298" s="12">
        <f t="shared" si="85"/>
        <v>1055</v>
      </c>
      <c r="AQ1298" s="8" t="s">
        <v>418</v>
      </c>
      <c r="AR1298" t="str">
        <f t="shared" si="86"/>
        <v>Noroeste - A10</v>
      </c>
    </row>
    <row r="1299" spans="1:44" x14ac:dyDescent="0.2">
      <c r="A1299" s="107" t="s">
        <v>946</v>
      </c>
      <c r="B1299" s="106" t="s">
        <v>945</v>
      </c>
      <c r="C1299" s="106" t="s">
        <v>944</v>
      </c>
      <c r="D1299" s="106" t="s">
        <v>492</v>
      </c>
      <c r="E1299" s="106" t="s">
        <v>943</v>
      </c>
      <c r="F1299" s="106" t="s">
        <v>490</v>
      </c>
      <c r="G1299" s="106" t="s">
        <v>942</v>
      </c>
      <c r="H1299" s="105" t="s">
        <v>941</v>
      </c>
      <c r="I1299" s="105" t="s">
        <v>940</v>
      </c>
      <c r="J1299" s="104">
        <v>5.13</v>
      </c>
      <c r="K1299" s="103" t="s">
        <v>427</v>
      </c>
      <c r="L1299" s="102" t="s">
        <v>533</v>
      </c>
      <c r="M1299" s="95"/>
      <c r="N1299" s="14"/>
      <c r="O1299" s="94">
        <v>29</v>
      </c>
      <c r="P1299" s="14" t="s">
        <v>485</v>
      </c>
      <c r="Q1299" s="14" t="s">
        <v>887</v>
      </c>
      <c r="R1299" s="14" t="s">
        <v>496</v>
      </c>
      <c r="S1299" s="15">
        <v>7</v>
      </c>
      <c r="T1299" s="15">
        <v>0.5</v>
      </c>
      <c r="U1299" s="15">
        <v>4</v>
      </c>
      <c r="V1299" s="14">
        <v>1362</v>
      </c>
      <c r="W1299" s="12">
        <v>0</v>
      </c>
      <c r="X1299" s="12">
        <v>0</v>
      </c>
      <c r="Y1299" s="12">
        <v>0</v>
      </c>
      <c r="Z1299" s="12">
        <v>5.13</v>
      </c>
      <c r="AA1299" s="12">
        <v>0</v>
      </c>
      <c r="AB1299" s="13">
        <f t="shared" si="83"/>
        <v>0</v>
      </c>
      <c r="AE1299" s="12">
        <v>0</v>
      </c>
      <c r="AF1299" s="12">
        <v>0</v>
      </c>
      <c r="AG1299" s="12">
        <v>0</v>
      </c>
      <c r="AH1299" s="12">
        <v>5.13</v>
      </c>
      <c r="AI1299" s="12">
        <v>0</v>
      </c>
      <c r="AJ1299" s="13">
        <f t="shared" si="84"/>
        <v>0</v>
      </c>
      <c r="AN1299" s="12">
        <f t="shared" si="85"/>
        <v>6988</v>
      </c>
      <c r="AQ1299" s="8" t="s">
        <v>418</v>
      </c>
      <c r="AR1299" t="str">
        <f t="shared" si="86"/>
        <v>Noroeste - A07</v>
      </c>
    </row>
    <row r="1300" spans="1:44" x14ac:dyDescent="0.2">
      <c r="A1300" s="107" t="s">
        <v>939</v>
      </c>
      <c r="B1300" s="106" t="s">
        <v>938</v>
      </c>
      <c r="C1300" s="106" t="s">
        <v>932</v>
      </c>
      <c r="D1300" s="106" t="s">
        <v>751</v>
      </c>
      <c r="E1300" s="106" t="s">
        <v>937</v>
      </c>
      <c r="F1300" s="106" t="s">
        <v>590</v>
      </c>
      <c r="G1300" s="106" t="s">
        <v>936</v>
      </c>
      <c r="H1300" s="105" t="s">
        <v>935</v>
      </c>
      <c r="I1300" s="105" t="s">
        <v>929</v>
      </c>
      <c r="J1300" s="104">
        <v>1.1399999999999999</v>
      </c>
      <c r="K1300" s="103" t="s">
        <v>426</v>
      </c>
      <c r="L1300" s="102" t="s">
        <v>507</v>
      </c>
      <c r="M1300" s="95"/>
      <c r="N1300" s="14"/>
      <c r="O1300" s="94">
        <v>38</v>
      </c>
      <c r="P1300" s="14" t="s">
        <v>586</v>
      </c>
      <c r="Q1300" s="14" t="s">
        <v>691</v>
      </c>
      <c r="R1300" s="14" t="s">
        <v>496</v>
      </c>
      <c r="S1300" s="15">
        <v>14</v>
      </c>
      <c r="T1300" s="15">
        <v>0</v>
      </c>
      <c r="U1300" s="15">
        <v>0</v>
      </c>
      <c r="V1300" s="14">
        <v>50</v>
      </c>
      <c r="W1300" s="12">
        <v>0</v>
      </c>
      <c r="X1300" s="12">
        <v>0</v>
      </c>
      <c r="Y1300" s="12">
        <v>1.1399999999999999</v>
      </c>
      <c r="Z1300" s="12">
        <v>0</v>
      </c>
      <c r="AA1300" s="12">
        <v>0</v>
      </c>
      <c r="AB1300" s="13">
        <f t="shared" si="83"/>
        <v>0</v>
      </c>
      <c r="AE1300" s="12">
        <v>0</v>
      </c>
      <c r="AF1300" s="12">
        <v>0</v>
      </c>
      <c r="AG1300" s="12">
        <v>1.1399999999999999</v>
      </c>
      <c r="AH1300" s="12">
        <v>0</v>
      </c>
      <c r="AI1300" s="12">
        <v>0</v>
      </c>
      <c r="AJ1300" s="13">
        <f t="shared" si="84"/>
        <v>0</v>
      </c>
      <c r="AN1300" s="12">
        <f t="shared" si="85"/>
        <v>57</v>
      </c>
      <c r="AQ1300" s="8" t="s">
        <v>417</v>
      </c>
      <c r="AR1300" t="str">
        <f t="shared" si="86"/>
        <v>Oeste - A06</v>
      </c>
    </row>
    <row r="1301" spans="1:44" x14ac:dyDescent="0.2">
      <c r="A1301" s="107" t="s">
        <v>934</v>
      </c>
      <c r="B1301" s="106" t="s">
        <v>933</v>
      </c>
      <c r="C1301" s="106" t="s">
        <v>932</v>
      </c>
      <c r="D1301" s="106" t="s">
        <v>492</v>
      </c>
      <c r="E1301" s="106" t="s">
        <v>931</v>
      </c>
      <c r="F1301" s="106" t="s">
        <v>490</v>
      </c>
      <c r="G1301" s="106" t="s">
        <v>930</v>
      </c>
      <c r="H1301" s="105" t="s">
        <v>929</v>
      </c>
      <c r="I1301" s="105" t="s">
        <v>928</v>
      </c>
      <c r="J1301" s="104">
        <v>16.18</v>
      </c>
      <c r="K1301" s="103" t="s">
        <v>426</v>
      </c>
      <c r="L1301" s="102" t="s">
        <v>507</v>
      </c>
      <c r="M1301" s="95"/>
      <c r="N1301" s="14"/>
      <c r="O1301" s="94">
        <v>38</v>
      </c>
      <c r="P1301" s="14" t="s">
        <v>485</v>
      </c>
      <c r="Q1301" s="14" t="s">
        <v>691</v>
      </c>
      <c r="R1301" s="14" t="s">
        <v>496</v>
      </c>
      <c r="S1301" s="15">
        <v>6.2</v>
      </c>
      <c r="T1301" s="15">
        <v>0</v>
      </c>
      <c r="U1301" s="15">
        <v>0</v>
      </c>
      <c r="V1301" s="14">
        <v>66</v>
      </c>
      <c r="W1301" s="12">
        <v>0</v>
      </c>
      <c r="X1301" s="12">
        <v>0</v>
      </c>
      <c r="Y1301" s="12">
        <v>3</v>
      </c>
      <c r="Z1301" s="12">
        <v>13.18</v>
      </c>
      <c r="AA1301" s="12">
        <v>0</v>
      </c>
      <c r="AB1301" s="13">
        <f t="shared" si="83"/>
        <v>0</v>
      </c>
      <c r="AE1301" s="12">
        <v>0</v>
      </c>
      <c r="AF1301" s="12">
        <v>0</v>
      </c>
      <c r="AG1301" s="12">
        <v>3</v>
      </c>
      <c r="AH1301" s="12">
        <v>13.18</v>
      </c>
      <c r="AI1301" s="12">
        <v>0</v>
      </c>
      <c r="AJ1301" s="13">
        <f t="shared" si="84"/>
        <v>0</v>
      </c>
      <c r="AN1301" s="12">
        <f t="shared" si="85"/>
        <v>1068</v>
      </c>
      <c r="AQ1301" s="8" t="s">
        <v>417</v>
      </c>
      <c r="AR1301" t="str">
        <f t="shared" si="86"/>
        <v>Oeste - A06</v>
      </c>
    </row>
    <row r="1302" spans="1:44" x14ac:dyDescent="0.2">
      <c r="A1302" s="107" t="s">
        <v>927</v>
      </c>
      <c r="B1302" s="106" t="s">
        <v>926</v>
      </c>
      <c r="C1302" s="106" t="s">
        <v>919</v>
      </c>
      <c r="D1302" s="106" t="s">
        <v>751</v>
      </c>
      <c r="E1302" s="106" t="s">
        <v>925</v>
      </c>
      <c r="F1302" s="106" t="s">
        <v>590</v>
      </c>
      <c r="G1302" s="106" t="s">
        <v>924</v>
      </c>
      <c r="H1302" s="105" t="s">
        <v>923</v>
      </c>
      <c r="I1302" s="105" t="s">
        <v>922</v>
      </c>
      <c r="J1302" s="104">
        <v>0.48</v>
      </c>
      <c r="K1302" s="103" t="s">
        <v>429</v>
      </c>
      <c r="L1302" s="102" t="s">
        <v>533</v>
      </c>
      <c r="M1302" s="95"/>
      <c r="N1302" s="14"/>
      <c r="O1302" s="94">
        <v>31</v>
      </c>
      <c r="P1302" s="14" t="s">
        <v>586</v>
      </c>
      <c r="Q1302" s="14" t="s">
        <v>887</v>
      </c>
      <c r="R1302" s="14" t="s">
        <v>585</v>
      </c>
      <c r="S1302" s="15">
        <v>9</v>
      </c>
      <c r="T1302" s="15">
        <v>0</v>
      </c>
      <c r="U1302" s="15">
        <v>0</v>
      </c>
      <c r="V1302" s="14">
        <v>114</v>
      </c>
      <c r="W1302" s="12">
        <v>0</v>
      </c>
      <c r="X1302" s="12">
        <v>0</v>
      </c>
      <c r="Y1302" s="12">
        <v>0</v>
      </c>
      <c r="Z1302" s="12">
        <v>0.48</v>
      </c>
      <c r="AA1302" s="12">
        <v>0</v>
      </c>
      <c r="AB1302" s="13">
        <f t="shared" si="83"/>
        <v>0</v>
      </c>
      <c r="AE1302" s="12">
        <v>0</v>
      </c>
      <c r="AF1302" s="12">
        <v>0</v>
      </c>
      <c r="AG1302" s="12">
        <v>0</v>
      </c>
      <c r="AH1302" s="12">
        <v>0.48</v>
      </c>
      <c r="AI1302" s="12">
        <v>0</v>
      </c>
      <c r="AJ1302" s="13">
        <f t="shared" si="84"/>
        <v>0</v>
      </c>
      <c r="AN1302" s="12">
        <f t="shared" si="85"/>
        <v>55</v>
      </c>
      <c r="AQ1302" s="8" t="s">
        <v>418</v>
      </c>
      <c r="AR1302" t="str">
        <f t="shared" si="86"/>
        <v>Noroeste - A09</v>
      </c>
    </row>
    <row r="1303" spans="1:44" x14ac:dyDescent="0.2">
      <c r="A1303" s="107" t="s">
        <v>921</v>
      </c>
      <c r="B1303" s="106" t="s">
        <v>920</v>
      </c>
      <c r="C1303" s="106" t="s">
        <v>919</v>
      </c>
      <c r="D1303" s="106" t="s">
        <v>492</v>
      </c>
      <c r="E1303" s="106" t="s">
        <v>918</v>
      </c>
      <c r="F1303" s="106" t="s">
        <v>490</v>
      </c>
      <c r="G1303" s="106" t="s">
        <v>917</v>
      </c>
      <c r="H1303" s="105" t="s">
        <v>916</v>
      </c>
      <c r="I1303" s="105" t="s">
        <v>915</v>
      </c>
      <c r="J1303" s="104">
        <v>10.95</v>
      </c>
      <c r="K1303" s="103" t="s">
        <v>429</v>
      </c>
      <c r="L1303" s="102" t="s">
        <v>533</v>
      </c>
      <c r="M1303" s="95"/>
      <c r="N1303" s="14"/>
      <c r="O1303" s="94">
        <v>31</v>
      </c>
      <c r="P1303" s="14" t="s">
        <v>485</v>
      </c>
      <c r="Q1303" s="14" t="s">
        <v>561</v>
      </c>
      <c r="R1303" s="14" t="s">
        <v>496</v>
      </c>
      <c r="S1303" s="15">
        <v>6.2</v>
      </c>
      <c r="T1303" s="15">
        <v>0</v>
      </c>
      <c r="U1303" s="15">
        <v>0</v>
      </c>
      <c r="V1303" s="14">
        <v>114</v>
      </c>
      <c r="W1303" s="12">
        <v>0</v>
      </c>
      <c r="X1303" s="12">
        <v>0</v>
      </c>
      <c r="Y1303" s="12">
        <v>0</v>
      </c>
      <c r="Z1303" s="12">
        <v>10.95</v>
      </c>
      <c r="AA1303" s="12">
        <v>0</v>
      </c>
      <c r="AB1303" s="13">
        <f t="shared" si="83"/>
        <v>0</v>
      </c>
      <c r="AE1303" s="12">
        <v>0</v>
      </c>
      <c r="AF1303" s="12">
        <v>0</v>
      </c>
      <c r="AG1303" s="12">
        <v>0</v>
      </c>
      <c r="AH1303" s="12">
        <v>10.95</v>
      </c>
      <c r="AI1303" s="12">
        <v>0</v>
      </c>
      <c r="AJ1303" s="13">
        <f t="shared" si="84"/>
        <v>0</v>
      </c>
      <c r="AN1303" s="12">
        <f t="shared" si="85"/>
        <v>1249</v>
      </c>
      <c r="AQ1303" s="8" t="s">
        <v>418</v>
      </c>
      <c r="AR1303" t="str">
        <f t="shared" si="86"/>
        <v>Noroeste - A09</v>
      </c>
    </row>
    <row r="1304" spans="1:44" x14ac:dyDescent="0.2">
      <c r="A1304" s="107" t="s">
        <v>914</v>
      </c>
      <c r="B1304" s="106" t="s">
        <v>913</v>
      </c>
      <c r="C1304" s="106" t="s">
        <v>912</v>
      </c>
      <c r="D1304" s="106" t="s">
        <v>492</v>
      </c>
      <c r="E1304" s="106" t="s">
        <v>911</v>
      </c>
      <c r="F1304" s="106" t="s">
        <v>490</v>
      </c>
      <c r="G1304" s="106" t="s">
        <v>910</v>
      </c>
      <c r="H1304" s="105" t="s">
        <v>761</v>
      </c>
      <c r="I1304" s="105" t="s">
        <v>909</v>
      </c>
      <c r="J1304" s="104">
        <v>4.24</v>
      </c>
      <c r="K1304" s="103" t="s">
        <v>422</v>
      </c>
      <c r="L1304" s="102" t="s">
        <v>801</v>
      </c>
      <c r="M1304" s="95"/>
      <c r="N1304" s="14"/>
      <c r="O1304" s="94">
        <v>2</v>
      </c>
      <c r="P1304" s="14" t="s">
        <v>485</v>
      </c>
      <c r="Q1304" s="14" t="s">
        <v>561</v>
      </c>
      <c r="R1304" s="14" t="s">
        <v>496</v>
      </c>
      <c r="S1304" s="15">
        <v>7.3766509433962275</v>
      </c>
      <c r="T1304" s="15">
        <v>0</v>
      </c>
      <c r="U1304" s="15">
        <v>0</v>
      </c>
      <c r="V1304" s="14">
        <v>4684</v>
      </c>
      <c r="W1304" s="12">
        <v>0</v>
      </c>
      <c r="X1304" s="12">
        <v>0</v>
      </c>
      <c r="Y1304" s="12">
        <v>0</v>
      </c>
      <c r="Z1304" s="12">
        <v>4.24</v>
      </c>
      <c r="AA1304" s="12">
        <v>0</v>
      </c>
      <c r="AB1304" s="13">
        <f t="shared" si="83"/>
        <v>0</v>
      </c>
      <c r="AE1304" s="12">
        <v>0</v>
      </c>
      <c r="AF1304" s="12">
        <v>0</v>
      </c>
      <c r="AG1304" s="12">
        <v>0</v>
      </c>
      <c r="AH1304" s="12">
        <v>4.24</v>
      </c>
      <c r="AI1304" s="12">
        <v>0</v>
      </c>
      <c r="AJ1304" s="13">
        <f t="shared" si="84"/>
        <v>0</v>
      </c>
      <c r="AN1304" s="12">
        <f t="shared" si="85"/>
        <v>19861</v>
      </c>
      <c r="AQ1304" s="8" t="s">
        <v>416</v>
      </c>
      <c r="AR1304" t="str">
        <f t="shared" si="86"/>
        <v>Leste - A02</v>
      </c>
    </row>
    <row r="1305" spans="1:44" x14ac:dyDescent="0.2">
      <c r="A1305" s="107" t="s">
        <v>908</v>
      </c>
      <c r="B1305" s="106" t="s">
        <v>907</v>
      </c>
      <c r="C1305" s="106" t="s">
        <v>906</v>
      </c>
      <c r="D1305" s="106" t="s">
        <v>492</v>
      </c>
      <c r="E1305" s="106" t="s">
        <v>905</v>
      </c>
      <c r="F1305" s="106" t="s">
        <v>490</v>
      </c>
      <c r="G1305" s="106" t="s">
        <v>904</v>
      </c>
      <c r="H1305" s="105" t="s">
        <v>903</v>
      </c>
      <c r="I1305" s="105" t="s">
        <v>902</v>
      </c>
      <c r="J1305" s="104">
        <v>2.2000000000000002</v>
      </c>
      <c r="K1305" s="103" t="s">
        <v>422</v>
      </c>
      <c r="L1305" s="102" t="s">
        <v>801</v>
      </c>
      <c r="M1305" s="95"/>
      <c r="N1305" s="14"/>
      <c r="O1305" s="94">
        <v>2</v>
      </c>
      <c r="P1305" s="14" t="s">
        <v>485</v>
      </c>
      <c r="Q1305" s="14" t="s">
        <v>497</v>
      </c>
      <c r="R1305" s="14" t="s">
        <v>496</v>
      </c>
      <c r="S1305" s="15">
        <v>6.7168181818181818</v>
      </c>
      <c r="T1305" s="15">
        <v>1</v>
      </c>
      <c r="U1305" s="15">
        <v>0</v>
      </c>
      <c r="V1305" s="14">
        <v>2552</v>
      </c>
      <c r="W1305" s="12">
        <v>0</v>
      </c>
      <c r="X1305" s="12">
        <v>0</v>
      </c>
      <c r="Y1305" s="12">
        <v>0</v>
      </c>
      <c r="Z1305" s="12">
        <v>2.2000000000000002</v>
      </c>
      <c r="AA1305" s="12">
        <v>0</v>
      </c>
      <c r="AB1305" s="13">
        <f t="shared" si="83"/>
        <v>0</v>
      </c>
      <c r="AE1305" s="12">
        <v>0</v>
      </c>
      <c r="AF1305" s="12">
        <v>0</v>
      </c>
      <c r="AG1305" s="12">
        <v>0</v>
      </c>
      <c r="AH1305" s="12">
        <v>2.2000000000000002</v>
      </c>
      <c r="AI1305" s="12">
        <v>0</v>
      </c>
      <c r="AJ1305" s="13">
        <f t="shared" si="84"/>
        <v>0</v>
      </c>
      <c r="AN1305" s="12">
        <f t="shared" si="85"/>
        <v>5615</v>
      </c>
      <c r="AQ1305" s="8" t="s">
        <v>416</v>
      </c>
      <c r="AR1305" t="str">
        <f t="shared" si="86"/>
        <v>Leste - A02</v>
      </c>
    </row>
    <row r="1306" spans="1:44" x14ac:dyDescent="0.2">
      <c r="A1306" s="107" t="s">
        <v>901</v>
      </c>
      <c r="B1306" s="106" t="s">
        <v>900</v>
      </c>
      <c r="C1306" s="106" t="s">
        <v>899</v>
      </c>
      <c r="D1306" s="106" t="s">
        <v>492</v>
      </c>
      <c r="E1306" s="106" t="s">
        <v>898</v>
      </c>
      <c r="F1306" s="106" t="s">
        <v>590</v>
      </c>
      <c r="G1306" s="106" t="s">
        <v>897</v>
      </c>
      <c r="H1306" s="105" t="s">
        <v>896</v>
      </c>
      <c r="I1306" s="105" t="s">
        <v>895</v>
      </c>
      <c r="J1306" s="104">
        <v>0.33</v>
      </c>
      <c r="K1306" s="103" t="s">
        <v>427</v>
      </c>
      <c r="L1306" s="102" t="s">
        <v>533</v>
      </c>
      <c r="M1306" s="95"/>
      <c r="N1306" s="14"/>
      <c r="O1306" s="94">
        <v>29</v>
      </c>
      <c r="P1306" s="14" t="s">
        <v>586</v>
      </c>
      <c r="Q1306" s="14" t="s">
        <v>887</v>
      </c>
      <c r="R1306" s="14" t="s">
        <v>585</v>
      </c>
      <c r="S1306" s="15">
        <v>15</v>
      </c>
      <c r="T1306" s="15">
        <v>0</v>
      </c>
      <c r="U1306" s="15">
        <v>0</v>
      </c>
      <c r="V1306" s="14">
        <v>210</v>
      </c>
      <c r="W1306" s="12">
        <v>0</v>
      </c>
      <c r="X1306" s="12">
        <v>0</v>
      </c>
      <c r="Y1306" s="12">
        <v>0</v>
      </c>
      <c r="Z1306" s="12">
        <v>0.33</v>
      </c>
      <c r="AA1306" s="12">
        <v>0</v>
      </c>
      <c r="AB1306" s="13">
        <f t="shared" si="83"/>
        <v>0</v>
      </c>
      <c r="AE1306" s="12">
        <v>0</v>
      </c>
      <c r="AF1306" s="12">
        <v>0</v>
      </c>
      <c r="AG1306" s="12">
        <v>0</v>
      </c>
      <c r="AH1306" s="12">
        <v>0.33</v>
      </c>
      <c r="AI1306" s="12">
        <v>0</v>
      </c>
      <c r="AJ1306" s="13">
        <f t="shared" si="84"/>
        <v>0</v>
      </c>
      <c r="AN1306" s="12">
        <f t="shared" si="85"/>
        <v>70</v>
      </c>
      <c r="AQ1306" s="8" t="s">
        <v>418</v>
      </c>
      <c r="AR1306" t="str">
        <f t="shared" si="86"/>
        <v>Noroeste - A07</v>
      </c>
    </row>
    <row r="1307" spans="1:44" x14ac:dyDescent="0.2">
      <c r="A1307" s="107" t="s">
        <v>894</v>
      </c>
      <c r="B1307" s="106" t="s">
        <v>893</v>
      </c>
      <c r="C1307" s="106" t="s">
        <v>892</v>
      </c>
      <c r="D1307" s="106" t="s">
        <v>492</v>
      </c>
      <c r="E1307" s="106" t="s">
        <v>891</v>
      </c>
      <c r="F1307" s="106" t="s">
        <v>590</v>
      </c>
      <c r="G1307" s="106" t="s">
        <v>890</v>
      </c>
      <c r="H1307" s="105" t="s">
        <v>889</v>
      </c>
      <c r="I1307" s="105" t="s">
        <v>888</v>
      </c>
      <c r="J1307" s="104">
        <v>0.23</v>
      </c>
      <c r="K1307" s="103" t="s">
        <v>427</v>
      </c>
      <c r="L1307" s="102" t="s">
        <v>533</v>
      </c>
      <c r="M1307" s="95"/>
      <c r="N1307" s="14"/>
      <c r="O1307" s="94">
        <v>29</v>
      </c>
      <c r="P1307" s="14" t="s">
        <v>586</v>
      </c>
      <c r="Q1307" s="14" t="s">
        <v>887</v>
      </c>
      <c r="R1307" s="14" t="s">
        <v>585</v>
      </c>
      <c r="S1307" s="15">
        <v>15</v>
      </c>
      <c r="T1307" s="15">
        <v>0</v>
      </c>
      <c r="U1307" s="15">
        <v>0</v>
      </c>
      <c r="V1307" s="14">
        <v>210</v>
      </c>
      <c r="W1307" s="12">
        <v>0</v>
      </c>
      <c r="X1307" s="12">
        <v>0</v>
      </c>
      <c r="Y1307" s="12">
        <v>0</v>
      </c>
      <c r="Z1307" s="12">
        <v>0.23</v>
      </c>
      <c r="AA1307" s="12">
        <v>0</v>
      </c>
      <c r="AB1307" s="13">
        <f t="shared" si="83"/>
        <v>0</v>
      </c>
      <c r="AE1307" s="12">
        <v>0</v>
      </c>
      <c r="AF1307" s="12">
        <v>0</v>
      </c>
      <c r="AG1307" s="12">
        <v>0</v>
      </c>
      <c r="AH1307" s="12">
        <v>0.23</v>
      </c>
      <c r="AI1307" s="12">
        <v>0</v>
      </c>
      <c r="AJ1307" s="13">
        <f t="shared" si="84"/>
        <v>0</v>
      </c>
      <c r="AN1307" s="12">
        <f t="shared" si="85"/>
        <v>49</v>
      </c>
      <c r="AQ1307" s="8" t="s">
        <v>418</v>
      </c>
      <c r="AR1307" t="str">
        <f t="shared" si="86"/>
        <v>Noroeste - A07</v>
      </c>
    </row>
    <row r="1308" spans="1:44" x14ac:dyDescent="0.2">
      <c r="A1308" s="107" t="s">
        <v>886</v>
      </c>
      <c r="B1308" s="106" t="s">
        <v>885</v>
      </c>
      <c r="C1308" s="106" t="s">
        <v>884</v>
      </c>
      <c r="D1308" s="106" t="s">
        <v>492</v>
      </c>
      <c r="E1308" s="106" t="s">
        <v>883</v>
      </c>
      <c r="F1308" s="106" t="s">
        <v>490</v>
      </c>
      <c r="G1308" s="106" t="s">
        <v>882</v>
      </c>
      <c r="H1308" s="105" t="s">
        <v>881</v>
      </c>
      <c r="I1308" s="105" t="s">
        <v>880</v>
      </c>
      <c r="J1308" s="104">
        <v>1.02</v>
      </c>
      <c r="K1308" s="103" t="s">
        <v>421</v>
      </c>
      <c r="L1308" s="102" t="s">
        <v>801</v>
      </c>
      <c r="M1308" s="95"/>
      <c r="N1308" s="14"/>
      <c r="O1308" s="94">
        <v>1</v>
      </c>
      <c r="P1308" s="14" t="s">
        <v>485</v>
      </c>
      <c r="Q1308" s="14" t="s">
        <v>872</v>
      </c>
      <c r="R1308" s="14" t="s">
        <v>496</v>
      </c>
      <c r="S1308" s="15">
        <v>8.6933333333333334</v>
      </c>
      <c r="T1308" s="15">
        <v>0</v>
      </c>
      <c r="U1308" s="15">
        <v>0</v>
      </c>
      <c r="V1308" s="14">
        <v>2798</v>
      </c>
      <c r="W1308" s="12">
        <v>0</v>
      </c>
      <c r="X1308" s="12">
        <v>0</v>
      </c>
      <c r="Y1308" s="12">
        <v>0</v>
      </c>
      <c r="Z1308" s="12">
        <v>1.02</v>
      </c>
      <c r="AA1308" s="12">
        <v>0</v>
      </c>
      <c r="AB1308" s="13">
        <f t="shared" si="83"/>
        <v>0</v>
      </c>
      <c r="AE1308" s="12">
        <v>0</v>
      </c>
      <c r="AF1308" s="12">
        <v>0</v>
      </c>
      <c r="AG1308" s="12">
        <v>0</v>
      </c>
      <c r="AH1308" s="12">
        <v>1.02</v>
      </c>
      <c r="AI1308" s="12">
        <v>0</v>
      </c>
      <c r="AJ1308" s="13">
        <f t="shared" si="84"/>
        <v>0</v>
      </c>
      <c r="AN1308" s="12">
        <f t="shared" si="85"/>
        <v>2854</v>
      </c>
      <c r="AQ1308" s="8" t="s">
        <v>416</v>
      </c>
      <c r="AR1308" t="str">
        <f t="shared" si="86"/>
        <v>Leste - A01</v>
      </c>
    </row>
    <row r="1309" spans="1:44" x14ac:dyDescent="0.2">
      <c r="A1309" s="107" t="s">
        <v>879</v>
      </c>
      <c r="B1309" s="106" t="s">
        <v>878</v>
      </c>
      <c r="C1309" s="106" t="s">
        <v>877</v>
      </c>
      <c r="D1309" s="106" t="s">
        <v>492</v>
      </c>
      <c r="E1309" s="106" t="s">
        <v>876</v>
      </c>
      <c r="F1309" s="106" t="s">
        <v>490</v>
      </c>
      <c r="G1309" s="106" t="s">
        <v>875</v>
      </c>
      <c r="H1309" s="105" t="s">
        <v>874</v>
      </c>
      <c r="I1309" s="105" t="s">
        <v>873</v>
      </c>
      <c r="J1309" s="104">
        <v>1.89</v>
      </c>
      <c r="K1309" s="103" t="s">
        <v>421</v>
      </c>
      <c r="L1309" s="102" t="s">
        <v>801</v>
      </c>
      <c r="M1309" s="95"/>
      <c r="N1309" s="14"/>
      <c r="O1309" s="94">
        <v>1</v>
      </c>
      <c r="P1309" s="14" t="s">
        <v>485</v>
      </c>
      <c r="Q1309" s="14" t="s">
        <v>872</v>
      </c>
      <c r="R1309" s="14" t="s">
        <v>496</v>
      </c>
      <c r="S1309" s="15">
        <v>6.1185185185185187</v>
      </c>
      <c r="T1309" s="15">
        <v>0</v>
      </c>
      <c r="U1309" s="15">
        <v>0</v>
      </c>
      <c r="V1309" s="14">
        <v>1743</v>
      </c>
      <c r="W1309" s="12">
        <v>0</v>
      </c>
      <c r="X1309" s="12">
        <v>0</v>
      </c>
      <c r="Y1309" s="12">
        <v>0.8899999999999999</v>
      </c>
      <c r="Z1309" s="12">
        <v>1</v>
      </c>
      <c r="AA1309" s="12">
        <v>0</v>
      </c>
      <c r="AB1309" s="13">
        <f t="shared" si="83"/>
        <v>0</v>
      </c>
      <c r="AE1309" s="12">
        <v>0</v>
      </c>
      <c r="AF1309" s="12">
        <v>0</v>
      </c>
      <c r="AG1309" s="12">
        <v>0.8899999999999999</v>
      </c>
      <c r="AH1309" s="12">
        <v>1</v>
      </c>
      <c r="AI1309" s="12">
        <v>0</v>
      </c>
      <c r="AJ1309" s="13">
        <f t="shared" si="84"/>
        <v>0</v>
      </c>
      <c r="AN1309" s="12">
        <f t="shared" si="85"/>
        <v>3295</v>
      </c>
      <c r="AQ1309" s="8" t="s">
        <v>416</v>
      </c>
      <c r="AR1309" t="str">
        <f t="shared" si="86"/>
        <v>Leste - A01</v>
      </c>
    </row>
    <row r="1310" spans="1:44" x14ac:dyDescent="0.2">
      <c r="A1310" s="107" t="s">
        <v>871</v>
      </c>
      <c r="B1310" s="106" t="s">
        <v>870</v>
      </c>
      <c r="C1310" s="106" t="s">
        <v>869</v>
      </c>
      <c r="D1310" s="106" t="s">
        <v>492</v>
      </c>
      <c r="E1310" s="106" t="s">
        <v>868</v>
      </c>
      <c r="F1310" s="106" t="s">
        <v>490</v>
      </c>
      <c r="G1310" s="106" t="s">
        <v>867</v>
      </c>
      <c r="H1310" s="105" t="s">
        <v>781</v>
      </c>
      <c r="I1310" s="105" t="s">
        <v>866</v>
      </c>
      <c r="J1310" s="104">
        <v>1.24</v>
      </c>
      <c r="K1310" s="103" t="s">
        <v>423</v>
      </c>
      <c r="L1310" s="102" t="s">
        <v>577</v>
      </c>
      <c r="M1310" s="95"/>
      <c r="N1310" s="14"/>
      <c r="O1310" s="94">
        <v>8</v>
      </c>
      <c r="P1310" s="14" t="s">
        <v>485</v>
      </c>
      <c r="Q1310" s="14" t="s">
        <v>865</v>
      </c>
      <c r="R1310" s="14" t="s">
        <v>576</v>
      </c>
      <c r="S1310" s="15">
        <v>6.6</v>
      </c>
      <c r="T1310" s="15">
        <v>0</v>
      </c>
      <c r="U1310" s="15">
        <v>0</v>
      </c>
      <c r="V1310" s="14">
        <v>384</v>
      </c>
      <c r="W1310" s="12">
        <v>0</v>
      </c>
      <c r="X1310" s="12">
        <v>0</v>
      </c>
      <c r="Y1310" s="12">
        <v>0</v>
      </c>
      <c r="Z1310" s="12">
        <v>1.24</v>
      </c>
      <c r="AA1310" s="12">
        <v>0</v>
      </c>
      <c r="AB1310" s="13">
        <f t="shared" si="83"/>
        <v>0</v>
      </c>
      <c r="AE1310" s="12">
        <v>0</v>
      </c>
      <c r="AF1310" s="12">
        <v>0</v>
      </c>
      <c r="AG1310" s="12">
        <v>0</v>
      </c>
      <c r="AH1310" s="12">
        <v>1.24</v>
      </c>
      <c r="AI1310" s="12">
        <v>0</v>
      </c>
      <c r="AJ1310" s="13">
        <f t="shared" si="84"/>
        <v>0</v>
      </c>
      <c r="AN1310" s="12">
        <f t="shared" si="85"/>
        <v>477</v>
      </c>
      <c r="AQ1310" s="8" t="s">
        <v>420</v>
      </c>
      <c r="AR1310" t="str">
        <f t="shared" si="86"/>
        <v>Campos Gerais - A03</v>
      </c>
    </row>
    <row r="1311" spans="1:44" x14ac:dyDescent="0.2">
      <c r="A1311" s="107" t="s">
        <v>864</v>
      </c>
      <c r="B1311" s="106" t="s">
        <v>863</v>
      </c>
      <c r="C1311" s="106" t="s">
        <v>862</v>
      </c>
      <c r="D1311" s="106" t="s">
        <v>492</v>
      </c>
      <c r="E1311" s="106" t="s">
        <v>861</v>
      </c>
      <c r="F1311" s="106" t="s">
        <v>490</v>
      </c>
      <c r="G1311" s="106" t="s">
        <v>860</v>
      </c>
      <c r="H1311" s="105" t="s">
        <v>768</v>
      </c>
      <c r="I1311" s="105" t="s">
        <v>859</v>
      </c>
      <c r="J1311" s="104">
        <v>10.7</v>
      </c>
      <c r="K1311" s="103" t="s">
        <v>425</v>
      </c>
      <c r="L1311" s="102" t="s">
        <v>577</v>
      </c>
      <c r="M1311" s="95"/>
      <c r="N1311" s="14"/>
      <c r="O1311" s="94">
        <v>10</v>
      </c>
      <c r="P1311" s="14" t="s">
        <v>485</v>
      </c>
      <c r="Q1311" s="14" t="s">
        <v>497</v>
      </c>
      <c r="R1311" s="14" t="s">
        <v>496</v>
      </c>
      <c r="S1311" s="15">
        <v>6.6</v>
      </c>
      <c r="T1311" s="15">
        <v>0</v>
      </c>
      <c r="U1311" s="15">
        <v>0</v>
      </c>
      <c r="V1311" s="14">
        <v>128</v>
      </c>
      <c r="W1311" s="12">
        <v>0</v>
      </c>
      <c r="X1311" s="12">
        <v>0</v>
      </c>
      <c r="Y1311" s="12">
        <v>1</v>
      </c>
      <c r="Z1311" s="12">
        <v>9.6999999999999993</v>
      </c>
      <c r="AA1311" s="12">
        <v>0</v>
      </c>
      <c r="AB1311" s="13">
        <f t="shared" si="83"/>
        <v>0</v>
      </c>
      <c r="AE1311" s="12">
        <v>0</v>
      </c>
      <c r="AF1311" s="12">
        <v>0</v>
      </c>
      <c r="AG1311" s="12">
        <v>1</v>
      </c>
      <c r="AH1311" s="12">
        <v>9.6999999999999993</v>
      </c>
      <c r="AI1311" s="12">
        <v>0</v>
      </c>
      <c r="AJ1311" s="13">
        <f t="shared" si="84"/>
        <v>0</v>
      </c>
      <c r="AN1311" s="12">
        <f t="shared" si="85"/>
        <v>1370</v>
      </c>
      <c r="AQ1311" s="8" t="s">
        <v>420</v>
      </c>
      <c r="AR1311" t="str">
        <f t="shared" si="86"/>
        <v>Campos Gerais - A05</v>
      </c>
    </row>
    <row r="1312" spans="1:44" x14ac:dyDescent="0.2">
      <c r="A1312" s="107" t="s">
        <v>858</v>
      </c>
      <c r="B1312" s="106" t="s">
        <v>857</v>
      </c>
      <c r="C1312" s="106" t="s">
        <v>856</v>
      </c>
      <c r="D1312" s="106" t="s">
        <v>492</v>
      </c>
      <c r="E1312" s="106" t="s">
        <v>855</v>
      </c>
      <c r="F1312" s="106" t="s">
        <v>490</v>
      </c>
      <c r="G1312" s="106" t="s">
        <v>854</v>
      </c>
      <c r="H1312" s="105" t="s">
        <v>853</v>
      </c>
      <c r="I1312" s="105" t="s">
        <v>852</v>
      </c>
      <c r="J1312" s="104">
        <v>27.18</v>
      </c>
      <c r="K1312" s="103" t="s">
        <v>425</v>
      </c>
      <c r="L1312" s="102" t="s">
        <v>577</v>
      </c>
      <c r="M1312" s="95"/>
      <c r="N1312" s="14"/>
      <c r="O1312" s="94">
        <v>10</v>
      </c>
      <c r="P1312" s="14" t="s">
        <v>485</v>
      </c>
      <c r="Q1312" s="14" t="s">
        <v>497</v>
      </c>
      <c r="R1312" s="14" t="s">
        <v>496</v>
      </c>
      <c r="S1312" s="15">
        <v>7</v>
      </c>
      <c r="T1312" s="15">
        <v>0</v>
      </c>
      <c r="U1312" s="15">
        <v>0</v>
      </c>
      <c r="V1312" s="14">
        <v>682</v>
      </c>
      <c r="W1312" s="12">
        <v>0</v>
      </c>
      <c r="X1312" s="12">
        <v>0</v>
      </c>
      <c r="Y1312" s="12">
        <v>0</v>
      </c>
      <c r="Z1312" s="12">
        <v>27.18</v>
      </c>
      <c r="AA1312" s="12">
        <v>0</v>
      </c>
      <c r="AB1312" s="13">
        <f t="shared" si="83"/>
        <v>0</v>
      </c>
      <c r="AE1312" s="12">
        <v>0</v>
      </c>
      <c r="AF1312" s="12">
        <v>0</v>
      </c>
      <c r="AG1312" s="12">
        <v>0</v>
      </c>
      <c r="AH1312" s="12">
        <v>27.18</v>
      </c>
      <c r="AI1312" s="12">
        <v>0</v>
      </c>
      <c r="AJ1312" s="13">
        <f t="shared" si="84"/>
        <v>0</v>
      </c>
      <c r="AN1312" s="12">
        <f t="shared" si="85"/>
        <v>18537</v>
      </c>
      <c r="AQ1312" s="8" t="s">
        <v>420</v>
      </c>
      <c r="AR1312" t="str">
        <f t="shared" si="86"/>
        <v>Campos Gerais - A05</v>
      </c>
    </row>
    <row r="1313" spans="1:44" x14ac:dyDescent="0.2">
      <c r="A1313" s="107" t="s">
        <v>851</v>
      </c>
      <c r="B1313" s="106" t="s">
        <v>850</v>
      </c>
      <c r="C1313" s="106" t="s">
        <v>849</v>
      </c>
      <c r="D1313" s="106" t="s">
        <v>492</v>
      </c>
      <c r="E1313" s="106" t="s">
        <v>848</v>
      </c>
      <c r="F1313" s="106" t="s">
        <v>490</v>
      </c>
      <c r="G1313" s="106" t="s">
        <v>847</v>
      </c>
      <c r="H1313" s="105" t="s">
        <v>563</v>
      </c>
      <c r="I1313" s="105" t="s">
        <v>846</v>
      </c>
      <c r="J1313" s="104">
        <v>3.33</v>
      </c>
      <c r="K1313" s="103" t="s">
        <v>425</v>
      </c>
      <c r="L1313" s="102" t="s">
        <v>801</v>
      </c>
      <c r="M1313" s="95"/>
      <c r="N1313" s="14"/>
      <c r="O1313" s="94">
        <v>5</v>
      </c>
      <c r="P1313" s="14" t="s">
        <v>485</v>
      </c>
      <c r="Q1313" s="14" t="s">
        <v>505</v>
      </c>
      <c r="R1313" s="14" t="s">
        <v>496</v>
      </c>
      <c r="S1313" s="15">
        <v>6.8</v>
      </c>
      <c r="T1313" s="15">
        <v>2</v>
      </c>
      <c r="U1313" s="15">
        <v>0</v>
      </c>
      <c r="V1313" s="14">
        <v>1213</v>
      </c>
      <c r="W1313" s="12">
        <v>0</v>
      </c>
      <c r="X1313" s="12">
        <v>0</v>
      </c>
      <c r="Y1313" s="12">
        <v>0</v>
      </c>
      <c r="Z1313" s="12">
        <v>3.33</v>
      </c>
      <c r="AA1313" s="12">
        <v>0</v>
      </c>
      <c r="AB1313" s="13">
        <f t="shared" si="83"/>
        <v>0</v>
      </c>
      <c r="AE1313" s="12">
        <v>0</v>
      </c>
      <c r="AF1313" s="12">
        <v>0</v>
      </c>
      <c r="AG1313" s="12">
        <v>0</v>
      </c>
      <c r="AH1313" s="12">
        <v>3.33</v>
      </c>
      <c r="AI1313" s="12">
        <v>0</v>
      </c>
      <c r="AJ1313" s="13">
        <f t="shared" si="84"/>
        <v>0</v>
      </c>
      <c r="AN1313" s="12">
        <f t="shared" si="85"/>
        <v>4040</v>
      </c>
      <c r="AQ1313" s="8" t="s">
        <v>416</v>
      </c>
      <c r="AR1313" t="str">
        <f t="shared" si="86"/>
        <v>Leste - A05</v>
      </c>
    </row>
    <row r="1314" spans="1:44" x14ac:dyDescent="0.2">
      <c r="A1314" s="107" t="s">
        <v>845</v>
      </c>
      <c r="B1314" s="106" t="s">
        <v>844</v>
      </c>
      <c r="C1314" s="106" t="s">
        <v>835</v>
      </c>
      <c r="D1314" s="106" t="s">
        <v>492</v>
      </c>
      <c r="E1314" s="106" t="s">
        <v>834</v>
      </c>
      <c r="F1314" s="106" t="s">
        <v>490</v>
      </c>
      <c r="G1314" s="106" t="s">
        <v>843</v>
      </c>
      <c r="H1314" s="105" t="s">
        <v>842</v>
      </c>
      <c r="I1314" s="105" t="s">
        <v>838</v>
      </c>
      <c r="J1314" s="104">
        <v>0.46</v>
      </c>
      <c r="K1314" s="103" t="s">
        <v>425</v>
      </c>
      <c r="L1314" s="102" t="s">
        <v>801</v>
      </c>
      <c r="M1314" s="95"/>
      <c r="N1314" s="14"/>
      <c r="O1314" s="94">
        <v>5</v>
      </c>
      <c r="P1314" s="14" t="s">
        <v>485</v>
      </c>
      <c r="Q1314" s="14" t="s">
        <v>497</v>
      </c>
      <c r="R1314" s="14" t="s">
        <v>496</v>
      </c>
      <c r="S1314" s="15">
        <v>7.46</v>
      </c>
      <c r="T1314" s="15">
        <v>0</v>
      </c>
      <c r="U1314" s="15">
        <v>0</v>
      </c>
      <c r="V1314" s="14">
        <v>5669</v>
      </c>
      <c r="W1314" s="12">
        <v>0</v>
      </c>
      <c r="X1314" s="12">
        <v>0</v>
      </c>
      <c r="Y1314" s="12">
        <v>0</v>
      </c>
      <c r="Z1314" s="12">
        <v>0.46</v>
      </c>
      <c r="AA1314" s="12">
        <v>0</v>
      </c>
      <c r="AB1314" s="13">
        <f t="shared" si="83"/>
        <v>0</v>
      </c>
      <c r="AE1314" s="12">
        <v>0</v>
      </c>
      <c r="AF1314" s="12">
        <v>0</v>
      </c>
      <c r="AG1314" s="12">
        <v>0</v>
      </c>
      <c r="AH1314" s="12">
        <v>0.46</v>
      </c>
      <c r="AI1314" s="12">
        <v>0</v>
      </c>
      <c r="AJ1314" s="13">
        <f t="shared" si="84"/>
        <v>0</v>
      </c>
      <c r="AN1314" s="12">
        <f t="shared" si="85"/>
        <v>2608</v>
      </c>
      <c r="AQ1314" s="8" t="s">
        <v>416</v>
      </c>
      <c r="AR1314" t="str">
        <f t="shared" si="86"/>
        <v>Leste - A05</v>
      </c>
    </row>
    <row r="1315" spans="1:44" x14ac:dyDescent="0.2">
      <c r="A1315" s="107" t="s">
        <v>841</v>
      </c>
      <c r="B1315" s="106" t="s">
        <v>840</v>
      </c>
      <c r="C1315" s="106" t="s">
        <v>835</v>
      </c>
      <c r="D1315" s="106" t="s">
        <v>592</v>
      </c>
      <c r="E1315" s="106" t="s">
        <v>834</v>
      </c>
      <c r="F1315" s="106" t="s">
        <v>490</v>
      </c>
      <c r="G1315" s="106" t="s">
        <v>839</v>
      </c>
      <c r="H1315" s="105" t="s">
        <v>838</v>
      </c>
      <c r="I1315" s="105" t="s">
        <v>832</v>
      </c>
      <c r="J1315" s="104">
        <v>0.22</v>
      </c>
      <c r="K1315" s="103" t="s">
        <v>425</v>
      </c>
      <c r="L1315" s="102" t="s">
        <v>801</v>
      </c>
      <c r="M1315" s="95"/>
      <c r="N1315" s="14"/>
      <c r="O1315" s="94">
        <v>5</v>
      </c>
      <c r="P1315" s="14" t="s">
        <v>485</v>
      </c>
      <c r="Q1315" s="14" t="s">
        <v>497</v>
      </c>
      <c r="R1315" s="14" t="s">
        <v>496</v>
      </c>
      <c r="S1315" s="15">
        <v>9.14</v>
      </c>
      <c r="T1315" s="15">
        <v>2.4700000000000002</v>
      </c>
      <c r="U1315" s="15">
        <v>0</v>
      </c>
      <c r="V1315" s="14">
        <v>5225</v>
      </c>
      <c r="W1315" s="12">
        <v>0</v>
      </c>
      <c r="X1315" s="12">
        <v>0</v>
      </c>
      <c r="Y1315" s="12">
        <v>0</v>
      </c>
      <c r="Z1315" s="12">
        <v>0.22</v>
      </c>
      <c r="AA1315" s="12">
        <v>0</v>
      </c>
      <c r="AB1315" s="13">
        <f t="shared" si="83"/>
        <v>0</v>
      </c>
      <c r="AE1315" s="12">
        <v>0</v>
      </c>
      <c r="AF1315" s="12">
        <v>0</v>
      </c>
      <c r="AG1315" s="12">
        <v>0</v>
      </c>
      <c r="AH1315" s="12">
        <v>0.22</v>
      </c>
      <c r="AI1315" s="12">
        <v>0</v>
      </c>
      <c r="AJ1315" s="13">
        <f t="shared" si="84"/>
        <v>0</v>
      </c>
      <c r="AN1315" s="12">
        <f t="shared" si="85"/>
        <v>1150</v>
      </c>
      <c r="AQ1315" s="8" t="s">
        <v>416</v>
      </c>
      <c r="AR1315" t="str">
        <f t="shared" si="86"/>
        <v>Leste - A05</v>
      </c>
    </row>
    <row r="1316" spans="1:44" x14ac:dyDescent="0.2">
      <c r="A1316" s="107" t="s">
        <v>837</v>
      </c>
      <c r="B1316" s="106" t="s">
        <v>836</v>
      </c>
      <c r="C1316" s="106" t="s">
        <v>835</v>
      </c>
      <c r="D1316" s="106" t="s">
        <v>519</v>
      </c>
      <c r="E1316" s="106" t="s">
        <v>834</v>
      </c>
      <c r="F1316" s="106" t="s">
        <v>490</v>
      </c>
      <c r="G1316" s="106" t="s">
        <v>833</v>
      </c>
      <c r="H1316" s="105" t="s">
        <v>832</v>
      </c>
      <c r="I1316" s="105" t="s">
        <v>813</v>
      </c>
      <c r="J1316" s="104">
        <v>0.66</v>
      </c>
      <c r="K1316" s="103" t="s">
        <v>425</v>
      </c>
      <c r="L1316" s="102" t="s">
        <v>801</v>
      </c>
      <c r="M1316" s="95"/>
      <c r="N1316" s="14"/>
      <c r="O1316" s="94">
        <v>5</v>
      </c>
      <c r="P1316" s="14" t="s">
        <v>485</v>
      </c>
      <c r="Q1316" s="14" t="s">
        <v>497</v>
      </c>
      <c r="R1316" s="14" t="s">
        <v>496</v>
      </c>
      <c r="S1316" s="15">
        <v>8.8000000000000007</v>
      </c>
      <c r="T1316" s="15">
        <v>0</v>
      </c>
      <c r="U1316" s="15">
        <v>0</v>
      </c>
      <c r="V1316" s="14">
        <v>7902</v>
      </c>
      <c r="W1316" s="12">
        <v>0</v>
      </c>
      <c r="X1316" s="12">
        <v>0</v>
      </c>
      <c r="Y1316" s="12">
        <v>0</v>
      </c>
      <c r="Z1316" s="12">
        <v>0.66</v>
      </c>
      <c r="AA1316" s="12">
        <v>0</v>
      </c>
      <c r="AB1316" s="13">
        <f t="shared" si="83"/>
        <v>0</v>
      </c>
      <c r="AE1316" s="12">
        <v>0</v>
      </c>
      <c r="AF1316" s="12">
        <v>0</v>
      </c>
      <c r="AG1316" s="12">
        <v>0</v>
      </c>
      <c r="AH1316" s="12">
        <v>0.66</v>
      </c>
      <c r="AI1316" s="12">
        <v>0</v>
      </c>
      <c r="AJ1316" s="13">
        <f t="shared" si="84"/>
        <v>0</v>
      </c>
      <c r="AN1316" s="12">
        <f t="shared" si="85"/>
        <v>5216</v>
      </c>
      <c r="AQ1316" s="8" t="s">
        <v>416</v>
      </c>
      <c r="AR1316" t="str">
        <f t="shared" si="86"/>
        <v>Leste - A05</v>
      </c>
    </row>
    <row r="1317" spans="1:44" x14ac:dyDescent="0.2">
      <c r="A1317" s="107" t="s">
        <v>831</v>
      </c>
      <c r="B1317" s="106" t="s">
        <v>830</v>
      </c>
      <c r="C1317" s="106" t="s">
        <v>821</v>
      </c>
      <c r="D1317" s="106" t="s">
        <v>492</v>
      </c>
      <c r="E1317" s="106" t="s">
        <v>829</v>
      </c>
      <c r="F1317" s="106" t="s">
        <v>490</v>
      </c>
      <c r="G1317" s="106" t="s">
        <v>828</v>
      </c>
      <c r="H1317" s="105" t="s">
        <v>827</v>
      </c>
      <c r="I1317" s="105" t="s">
        <v>824</v>
      </c>
      <c r="J1317" s="104">
        <v>1.68</v>
      </c>
      <c r="K1317" s="103" t="s">
        <v>425</v>
      </c>
      <c r="L1317" s="102" t="s">
        <v>801</v>
      </c>
      <c r="M1317" s="95"/>
      <c r="N1317" s="14"/>
      <c r="O1317" s="94">
        <v>5</v>
      </c>
      <c r="P1317" s="14" t="s">
        <v>485</v>
      </c>
      <c r="Q1317" s="14" t="s">
        <v>497</v>
      </c>
      <c r="R1317" s="14" t="s">
        <v>496</v>
      </c>
      <c r="S1317" s="15">
        <v>7.41</v>
      </c>
      <c r="T1317" s="15">
        <v>0</v>
      </c>
      <c r="U1317" s="15">
        <v>0</v>
      </c>
      <c r="V1317" s="14">
        <v>1341</v>
      </c>
      <c r="W1317" s="12">
        <v>0</v>
      </c>
      <c r="X1317" s="12">
        <v>0</v>
      </c>
      <c r="Y1317" s="12">
        <v>0.67999999999999994</v>
      </c>
      <c r="Z1317" s="12">
        <v>1</v>
      </c>
      <c r="AA1317" s="12">
        <v>0</v>
      </c>
      <c r="AB1317" s="13">
        <f t="shared" si="83"/>
        <v>0</v>
      </c>
      <c r="AE1317" s="12">
        <v>0</v>
      </c>
      <c r="AF1317" s="12">
        <v>0</v>
      </c>
      <c r="AG1317" s="12">
        <v>0.67999999999999994</v>
      </c>
      <c r="AH1317" s="12">
        <v>1</v>
      </c>
      <c r="AI1317" s="12">
        <v>0</v>
      </c>
      <c r="AJ1317" s="13">
        <f t="shared" si="84"/>
        <v>0</v>
      </c>
      <c r="AN1317" s="12">
        <f t="shared" si="85"/>
        <v>2253</v>
      </c>
      <c r="AQ1317" s="8" t="s">
        <v>416</v>
      </c>
      <c r="AR1317" t="str">
        <f t="shared" si="86"/>
        <v>Leste - A05</v>
      </c>
    </row>
    <row r="1318" spans="1:44" x14ac:dyDescent="0.2">
      <c r="A1318" s="107" t="s">
        <v>826</v>
      </c>
      <c r="B1318" s="106" t="s">
        <v>822</v>
      </c>
      <c r="C1318" s="106" t="s">
        <v>821</v>
      </c>
      <c r="D1318" s="106" t="s">
        <v>592</v>
      </c>
      <c r="E1318" s="106" t="s">
        <v>820</v>
      </c>
      <c r="F1318" s="106" t="s">
        <v>590</v>
      </c>
      <c r="G1318" s="106" t="s">
        <v>825</v>
      </c>
      <c r="H1318" s="105" t="s">
        <v>824</v>
      </c>
      <c r="I1318" s="105" t="s">
        <v>818</v>
      </c>
      <c r="J1318" s="104">
        <v>1.66</v>
      </c>
      <c r="K1318" s="103" t="s">
        <v>425</v>
      </c>
      <c r="L1318" s="102" t="s">
        <v>801</v>
      </c>
      <c r="M1318" s="95"/>
      <c r="N1318" s="14"/>
      <c r="O1318" s="94">
        <v>5</v>
      </c>
      <c r="P1318" s="14" t="s">
        <v>586</v>
      </c>
      <c r="Q1318" s="14" t="s">
        <v>497</v>
      </c>
      <c r="R1318" s="14" t="s">
        <v>496</v>
      </c>
      <c r="S1318" s="15">
        <v>6</v>
      </c>
      <c r="T1318" s="15">
        <v>0</v>
      </c>
      <c r="U1318" s="15">
        <v>0</v>
      </c>
      <c r="V1318" s="14">
        <v>211</v>
      </c>
      <c r="W1318" s="12">
        <v>0</v>
      </c>
      <c r="X1318" s="12">
        <v>0</v>
      </c>
      <c r="Y1318" s="12">
        <v>1</v>
      </c>
      <c r="Z1318" s="12">
        <v>0.65999999999999992</v>
      </c>
      <c r="AA1318" s="12">
        <v>0</v>
      </c>
      <c r="AB1318" s="13">
        <f t="shared" si="83"/>
        <v>0</v>
      </c>
      <c r="AE1318" s="12">
        <v>0</v>
      </c>
      <c r="AF1318" s="12">
        <v>0</v>
      </c>
      <c r="AG1318" s="12">
        <v>1</v>
      </c>
      <c r="AH1318" s="12">
        <v>0.65999999999999992</v>
      </c>
      <c r="AI1318" s="12">
        <v>0</v>
      </c>
      <c r="AJ1318" s="13">
        <f t="shared" si="84"/>
        <v>0</v>
      </c>
      <c r="AN1318" s="12">
        <f t="shared" si="85"/>
        <v>351</v>
      </c>
      <c r="AQ1318" s="8" t="s">
        <v>416</v>
      </c>
      <c r="AR1318" t="str">
        <f t="shared" si="86"/>
        <v>Leste - A05</v>
      </c>
    </row>
    <row r="1319" spans="1:44" x14ac:dyDescent="0.2">
      <c r="A1319" s="107" t="s">
        <v>823</v>
      </c>
      <c r="B1319" s="106" t="s">
        <v>822</v>
      </c>
      <c r="C1319" s="106" t="s">
        <v>821</v>
      </c>
      <c r="D1319" s="106" t="s">
        <v>592</v>
      </c>
      <c r="E1319" s="106" t="s">
        <v>820</v>
      </c>
      <c r="F1319" s="106" t="s">
        <v>590</v>
      </c>
      <c r="G1319" s="106" t="s">
        <v>819</v>
      </c>
      <c r="H1319" s="105" t="s">
        <v>818</v>
      </c>
      <c r="I1319" s="105" t="s">
        <v>817</v>
      </c>
      <c r="J1319" s="104">
        <v>1.81</v>
      </c>
      <c r="K1319" s="103" t="s">
        <v>425</v>
      </c>
      <c r="L1319" s="102" t="s">
        <v>801</v>
      </c>
      <c r="M1319" s="95"/>
      <c r="N1319" s="14"/>
      <c r="O1319" s="94">
        <v>5</v>
      </c>
      <c r="P1319" s="14" t="s">
        <v>586</v>
      </c>
      <c r="Q1319" s="14" t="s">
        <v>497</v>
      </c>
      <c r="R1319" s="14" t="s">
        <v>496</v>
      </c>
      <c r="S1319" s="15">
        <v>6</v>
      </c>
      <c r="T1319" s="15">
        <v>0</v>
      </c>
      <c r="U1319" s="15">
        <v>0</v>
      </c>
      <c r="V1319" s="14">
        <v>211</v>
      </c>
      <c r="W1319" s="12">
        <v>0</v>
      </c>
      <c r="X1319" s="12">
        <v>0</v>
      </c>
      <c r="Y1319" s="12">
        <v>0</v>
      </c>
      <c r="Z1319" s="12">
        <v>1.81</v>
      </c>
      <c r="AA1319" s="12">
        <v>0</v>
      </c>
      <c r="AB1319" s="13">
        <f t="shared" si="83"/>
        <v>0</v>
      </c>
      <c r="AE1319" s="12">
        <v>0</v>
      </c>
      <c r="AF1319" s="12">
        <v>0</v>
      </c>
      <c r="AG1319" s="12">
        <v>0</v>
      </c>
      <c r="AH1319" s="12">
        <v>1.81</v>
      </c>
      <c r="AI1319" s="12">
        <v>0</v>
      </c>
      <c r="AJ1319" s="13">
        <f t="shared" si="84"/>
        <v>0</v>
      </c>
      <c r="AN1319" s="12">
        <f t="shared" si="85"/>
        <v>382</v>
      </c>
      <c r="AQ1319" s="8" t="s">
        <v>416</v>
      </c>
      <c r="AR1319" t="str">
        <f t="shared" si="86"/>
        <v>Leste - A05</v>
      </c>
    </row>
    <row r="1320" spans="1:44" x14ac:dyDescent="0.2">
      <c r="A1320" s="107" t="s">
        <v>816</v>
      </c>
      <c r="B1320" s="106" t="s">
        <v>815</v>
      </c>
      <c r="C1320" s="106" t="s">
        <v>806</v>
      </c>
      <c r="D1320" s="106" t="s">
        <v>492</v>
      </c>
      <c r="E1320" s="106" t="s">
        <v>805</v>
      </c>
      <c r="F1320" s="106" t="s">
        <v>490</v>
      </c>
      <c r="G1320" s="106" t="s">
        <v>814</v>
      </c>
      <c r="H1320" s="105" t="s">
        <v>813</v>
      </c>
      <c r="I1320" s="105" t="s">
        <v>809</v>
      </c>
      <c r="J1320" s="104">
        <v>0.23</v>
      </c>
      <c r="K1320" s="103" t="s">
        <v>425</v>
      </c>
      <c r="L1320" s="102" t="s">
        <v>801</v>
      </c>
      <c r="M1320" s="95"/>
      <c r="N1320" s="14"/>
      <c r="O1320" s="94">
        <v>5</v>
      </c>
      <c r="P1320" s="14" t="s">
        <v>485</v>
      </c>
      <c r="Q1320" s="14" t="s">
        <v>497</v>
      </c>
      <c r="R1320" s="14" t="s">
        <v>496</v>
      </c>
      <c r="S1320" s="15">
        <v>7.52</v>
      </c>
      <c r="T1320" s="15">
        <v>0.94000000000000017</v>
      </c>
      <c r="U1320" s="15">
        <v>0</v>
      </c>
      <c r="V1320" s="14">
        <v>1301</v>
      </c>
      <c r="W1320" s="12">
        <v>0</v>
      </c>
      <c r="X1320" s="12">
        <v>0</v>
      </c>
      <c r="Y1320" s="12">
        <v>0.23</v>
      </c>
      <c r="Z1320" s="12">
        <v>0</v>
      </c>
      <c r="AA1320" s="12">
        <v>0</v>
      </c>
      <c r="AB1320" s="13">
        <f t="shared" si="83"/>
        <v>0</v>
      </c>
      <c r="AE1320" s="12">
        <v>0</v>
      </c>
      <c r="AF1320" s="12">
        <v>0</v>
      </c>
      <c r="AG1320" s="12">
        <v>0.23</v>
      </c>
      <c r="AH1320" s="12">
        <v>0</v>
      </c>
      <c r="AI1320" s="12">
        <v>0</v>
      </c>
      <c r="AJ1320" s="13">
        <f t="shared" si="84"/>
        <v>0</v>
      </c>
      <c r="AN1320" s="12">
        <f t="shared" si="85"/>
        <v>300</v>
      </c>
      <c r="AQ1320" s="8" t="s">
        <v>416</v>
      </c>
      <c r="AR1320" t="str">
        <f t="shared" si="86"/>
        <v>Leste - A05</v>
      </c>
    </row>
    <row r="1321" spans="1:44" x14ac:dyDescent="0.2">
      <c r="A1321" s="107" t="s">
        <v>812</v>
      </c>
      <c r="B1321" s="106" t="s">
        <v>811</v>
      </c>
      <c r="C1321" s="106" t="s">
        <v>806</v>
      </c>
      <c r="D1321" s="106" t="s">
        <v>592</v>
      </c>
      <c r="E1321" s="106" t="s">
        <v>805</v>
      </c>
      <c r="F1321" s="106" t="s">
        <v>490</v>
      </c>
      <c r="G1321" s="106" t="s">
        <v>810</v>
      </c>
      <c r="H1321" s="105" t="s">
        <v>809</v>
      </c>
      <c r="I1321" s="105" t="s">
        <v>803</v>
      </c>
      <c r="J1321" s="104">
        <v>2.82</v>
      </c>
      <c r="K1321" s="103" t="s">
        <v>425</v>
      </c>
      <c r="L1321" s="102" t="s">
        <v>801</v>
      </c>
      <c r="M1321" s="95"/>
      <c r="N1321" s="14"/>
      <c r="O1321" s="94">
        <v>5</v>
      </c>
      <c r="P1321" s="14" t="s">
        <v>485</v>
      </c>
      <c r="Q1321" s="14" t="s">
        <v>497</v>
      </c>
      <c r="R1321" s="14" t="s">
        <v>496</v>
      </c>
      <c r="S1321" s="15">
        <v>7.52</v>
      </c>
      <c r="T1321" s="15">
        <v>0.94000000000000017</v>
      </c>
      <c r="U1321" s="15">
        <v>0</v>
      </c>
      <c r="V1321" s="14">
        <v>384</v>
      </c>
      <c r="W1321" s="12">
        <v>0</v>
      </c>
      <c r="X1321" s="12">
        <v>0</v>
      </c>
      <c r="Y1321" s="12">
        <v>0</v>
      </c>
      <c r="Z1321" s="12">
        <v>2.82</v>
      </c>
      <c r="AA1321" s="12">
        <v>0</v>
      </c>
      <c r="AB1321" s="13">
        <f t="shared" si="83"/>
        <v>0</v>
      </c>
      <c r="AE1321" s="12">
        <v>0</v>
      </c>
      <c r="AF1321" s="12">
        <v>0</v>
      </c>
      <c r="AG1321" s="12">
        <v>0</v>
      </c>
      <c r="AH1321" s="12">
        <v>2.82</v>
      </c>
      <c r="AI1321" s="12">
        <v>0</v>
      </c>
      <c r="AJ1321" s="13">
        <f t="shared" si="84"/>
        <v>0</v>
      </c>
      <c r="AN1321" s="12">
        <f t="shared" si="85"/>
        <v>1083</v>
      </c>
      <c r="AQ1321" s="8" t="s">
        <v>416</v>
      </c>
      <c r="AR1321" t="str">
        <f t="shared" si="86"/>
        <v>Leste - A05</v>
      </c>
    </row>
    <row r="1322" spans="1:44" x14ac:dyDescent="0.2">
      <c r="A1322" s="107" t="s">
        <v>808</v>
      </c>
      <c r="B1322" s="106" t="s">
        <v>807</v>
      </c>
      <c r="C1322" s="106" t="s">
        <v>806</v>
      </c>
      <c r="D1322" s="106" t="s">
        <v>519</v>
      </c>
      <c r="E1322" s="106" t="s">
        <v>805</v>
      </c>
      <c r="F1322" s="106" t="s">
        <v>490</v>
      </c>
      <c r="G1322" s="106" t="s">
        <v>804</v>
      </c>
      <c r="H1322" s="105" t="s">
        <v>803</v>
      </c>
      <c r="I1322" s="105" t="s">
        <v>802</v>
      </c>
      <c r="J1322" s="104">
        <v>0.33</v>
      </c>
      <c r="K1322" s="103" t="s">
        <v>425</v>
      </c>
      <c r="L1322" s="102" t="s">
        <v>801</v>
      </c>
      <c r="M1322" s="95"/>
      <c r="N1322" s="14"/>
      <c r="O1322" s="94">
        <v>5</v>
      </c>
      <c r="P1322" s="14" t="s">
        <v>485</v>
      </c>
      <c r="Q1322" s="14" t="s">
        <v>497</v>
      </c>
      <c r="R1322" s="14" t="s">
        <v>496</v>
      </c>
      <c r="S1322" s="15">
        <v>7.52</v>
      </c>
      <c r="T1322" s="15">
        <v>0.94000000000000017</v>
      </c>
      <c r="U1322" s="15">
        <v>0</v>
      </c>
      <c r="V1322" s="14">
        <v>384</v>
      </c>
      <c r="W1322" s="12">
        <v>0</v>
      </c>
      <c r="X1322" s="12">
        <v>0</v>
      </c>
      <c r="Y1322" s="12">
        <v>0</v>
      </c>
      <c r="Z1322" s="12">
        <v>0.33</v>
      </c>
      <c r="AA1322" s="12">
        <v>0</v>
      </c>
      <c r="AB1322" s="13">
        <f t="shared" si="83"/>
        <v>0</v>
      </c>
      <c r="AE1322" s="12">
        <v>0</v>
      </c>
      <c r="AF1322" s="12">
        <v>0</v>
      </c>
      <c r="AG1322" s="12">
        <v>0</v>
      </c>
      <c r="AH1322" s="12">
        <v>0.33</v>
      </c>
      <c r="AI1322" s="12">
        <v>0</v>
      </c>
      <c r="AJ1322" s="13">
        <f t="shared" si="84"/>
        <v>0</v>
      </c>
      <c r="AN1322" s="12">
        <f t="shared" si="85"/>
        <v>127</v>
      </c>
      <c r="AQ1322" s="8" t="s">
        <v>416</v>
      </c>
      <c r="AR1322" t="str">
        <f t="shared" si="86"/>
        <v>Leste - A05</v>
      </c>
    </row>
    <row r="1323" spans="1:44" x14ac:dyDescent="0.2">
      <c r="A1323" s="107" t="s">
        <v>800</v>
      </c>
      <c r="B1323" s="106" t="s">
        <v>799</v>
      </c>
      <c r="C1323" s="106" t="s">
        <v>798</v>
      </c>
      <c r="D1323" s="106" t="s">
        <v>492</v>
      </c>
      <c r="E1323" s="106" t="s">
        <v>797</v>
      </c>
      <c r="F1323" s="106" t="s">
        <v>490</v>
      </c>
      <c r="G1323" s="106" t="s">
        <v>796</v>
      </c>
      <c r="H1323" s="105" t="s">
        <v>795</v>
      </c>
      <c r="I1323" s="105" t="s">
        <v>794</v>
      </c>
      <c r="J1323" s="104">
        <v>0.9</v>
      </c>
      <c r="K1323" s="103" t="s">
        <v>426</v>
      </c>
      <c r="L1323" s="102" t="s">
        <v>533</v>
      </c>
      <c r="M1323" s="95"/>
      <c r="N1323" s="14"/>
      <c r="O1323" s="94">
        <v>28</v>
      </c>
      <c r="P1323" s="14" t="s">
        <v>485</v>
      </c>
      <c r="Q1323" s="14" t="s">
        <v>497</v>
      </c>
      <c r="R1323" s="14" t="s">
        <v>496</v>
      </c>
      <c r="S1323" s="15">
        <v>7.2</v>
      </c>
      <c r="T1323" s="15">
        <v>5</v>
      </c>
      <c r="U1323" s="15">
        <v>0</v>
      </c>
      <c r="V1323" s="14">
        <v>2576</v>
      </c>
      <c r="W1323" s="12">
        <v>0</v>
      </c>
      <c r="X1323" s="12">
        <v>0</v>
      </c>
      <c r="Y1323" s="12">
        <v>0</v>
      </c>
      <c r="Z1323" s="12">
        <v>0.9</v>
      </c>
      <c r="AA1323" s="12">
        <v>0</v>
      </c>
      <c r="AB1323" s="13">
        <f t="shared" si="83"/>
        <v>0</v>
      </c>
      <c r="AE1323" s="12">
        <v>0</v>
      </c>
      <c r="AF1323" s="12">
        <v>0</v>
      </c>
      <c r="AG1323" s="12">
        <v>0</v>
      </c>
      <c r="AH1323" s="12">
        <v>0.9</v>
      </c>
      <c r="AI1323" s="12">
        <v>0</v>
      </c>
      <c r="AJ1323" s="13">
        <f t="shared" si="84"/>
        <v>0</v>
      </c>
      <c r="AN1323" s="12">
        <f t="shared" si="85"/>
        <v>2319</v>
      </c>
      <c r="AQ1323" s="8" t="s">
        <v>418</v>
      </c>
      <c r="AR1323" t="str">
        <f t="shared" si="86"/>
        <v>Noroeste - A06</v>
      </c>
    </row>
    <row r="1324" spans="1:44" x14ac:dyDescent="0.2">
      <c r="A1324" s="107" t="s">
        <v>793</v>
      </c>
      <c r="B1324" s="106" t="s">
        <v>792</v>
      </c>
      <c r="C1324" s="106" t="s">
        <v>791</v>
      </c>
      <c r="D1324" s="106" t="s">
        <v>492</v>
      </c>
      <c r="E1324" s="106" t="s">
        <v>790</v>
      </c>
      <c r="F1324" s="106" t="s">
        <v>490</v>
      </c>
      <c r="G1324" s="106" t="s">
        <v>789</v>
      </c>
      <c r="H1324" s="105" t="s">
        <v>788</v>
      </c>
      <c r="I1324" s="105" t="s">
        <v>787</v>
      </c>
      <c r="J1324" s="104">
        <v>1.62</v>
      </c>
      <c r="K1324" s="103" t="s">
        <v>425</v>
      </c>
      <c r="L1324" s="102" t="s">
        <v>533</v>
      </c>
      <c r="M1324" s="95"/>
      <c r="N1324" s="14"/>
      <c r="O1324" s="94">
        <v>27</v>
      </c>
      <c r="P1324" s="14" t="s">
        <v>485</v>
      </c>
      <c r="Q1324" s="14" t="s">
        <v>497</v>
      </c>
      <c r="R1324" s="14" t="s">
        <v>496</v>
      </c>
      <c r="S1324" s="15">
        <v>6.5</v>
      </c>
      <c r="T1324" s="15">
        <v>0</v>
      </c>
      <c r="U1324" s="15">
        <v>0</v>
      </c>
      <c r="V1324" s="14">
        <v>770</v>
      </c>
      <c r="W1324" s="12">
        <v>0</v>
      </c>
      <c r="X1324" s="12">
        <v>1.62</v>
      </c>
      <c r="Y1324" s="12">
        <v>0</v>
      </c>
      <c r="Z1324" s="12">
        <v>0</v>
      </c>
      <c r="AA1324" s="12">
        <v>0</v>
      </c>
      <c r="AB1324" s="13">
        <f t="shared" si="83"/>
        <v>0</v>
      </c>
      <c r="AE1324" s="12">
        <v>0</v>
      </c>
      <c r="AF1324" s="12">
        <v>1.62</v>
      </c>
      <c r="AG1324" s="12">
        <v>0</v>
      </c>
      <c r="AH1324" s="12">
        <v>0</v>
      </c>
      <c r="AI1324" s="12">
        <v>0</v>
      </c>
      <c r="AJ1324" s="13">
        <f t="shared" si="84"/>
        <v>0</v>
      </c>
      <c r="AN1324" s="12">
        <f t="shared" si="85"/>
        <v>1248</v>
      </c>
      <c r="AQ1324" s="8" t="s">
        <v>418</v>
      </c>
      <c r="AR1324" t="str">
        <f t="shared" si="86"/>
        <v>Noroeste - A05</v>
      </c>
    </row>
    <row r="1325" spans="1:44" x14ac:dyDescent="0.2">
      <c r="A1325" s="107" t="s">
        <v>786</v>
      </c>
      <c r="B1325" s="106" t="s">
        <v>785</v>
      </c>
      <c r="C1325" s="106" t="s">
        <v>784</v>
      </c>
      <c r="D1325" s="106" t="s">
        <v>492</v>
      </c>
      <c r="E1325" s="106" t="s">
        <v>783</v>
      </c>
      <c r="F1325" s="106" t="s">
        <v>490</v>
      </c>
      <c r="G1325" s="106" t="s">
        <v>782</v>
      </c>
      <c r="H1325" s="105" t="s">
        <v>781</v>
      </c>
      <c r="I1325" s="105" t="s">
        <v>780</v>
      </c>
      <c r="J1325" s="104">
        <v>5.39</v>
      </c>
      <c r="K1325" s="103" t="s">
        <v>426</v>
      </c>
      <c r="L1325" s="102" t="s">
        <v>577</v>
      </c>
      <c r="M1325" s="95"/>
      <c r="N1325" s="14"/>
      <c r="O1325" s="94">
        <v>11</v>
      </c>
      <c r="P1325" s="14" t="s">
        <v>485</v>
      </c>
      <c r="Q1325" s="14" t="s">
        <v>497</v>
      </c>
      <c r="R1325" s="14" t="s">
        <v>496</v>
      </c>
      <c r="S1325" s="15">
        <v>6</v>
      </c>
      <c r="T1325" s="15">
        <v>0</v>
      </c>
      <c r="U1325" s="15">
        <v>0</v>
      </c>
      <c r="V1325" s="14">
        <v>2042</v>
      </c>
      <c r="W1325" s="12">
        <v>0</v>
      </c>
      <c r="X1325" s="12">
        <v>0</v>
      </c>
      <c r="Y1325" s="12">
        <v>0</v>
      </c>
      <c r="Z1325" s="12">
        <v>5.39</v>
      </c>
      <c r="AA1325" s="12">
        <v>0</v>
      </c>
      <c r="AB1325" s="13">
        <f t="shared" si="83"/>
        <v>0</v>
      </c>
      <c r="AE1325" s="12">
        <v>0</v>
      </c>
      <c r="AF1325" s="12">
        <v>0</v>
      </c>
      <c r="AG1325" s="12">
        <v>0</v>
      </c>
      <c r="AH1325" s="12">
        <v>5.39</v>
      </c>
      <c r="AI1325" s="12">
        <v>0</v>
      </c>
      <c r="AJ1325" s="13">
        <f t="shared" si="84"/>
        <v>0</v>
      </c>
      <c r="AN1325" s="12">
        <f t="shared" si="85"/>
        <v>11007</v>
      </c>
      <c r="AQ1325" s="8" t="s">
        <v>420</v>
      </c>
      <c r="AR1325" t="str">
        <f t="shared" si="86"/>
        <v>Campos Gerais - A06</v>
      </c>
    </row>
    <row r="1326" spans="1:44" x14ac:dyDescent="0.2">
      <c r="A1326" s="107" t="s">
        <v>779</v>
      </c>
      <c r="B1326" s="106" t="s">
        <v>778</v>
      </c>
      <c r="C1326" s="106" t="s">
        <v>777</v>
      </c>
      <c r="D1326" s="106" t="s">
        <v>492</v>
      </c>
      <c r="E1326" s="106" t="s">
        <v>776</v>
      </c>
      <c r="F1326" s="106" t="s">
        <v>490</v>
      </c>
      <c r="G1326" s="106" t="s">
        <v>775</v>
      </c>
      <c r="H1326" s="105" t="s">
        <v>768</v>
      </c>
      <c r="I1326" s="105" t="s">
        <v>774</v>
      </c>
      <c r="J1326" s="104">
        <v>11.61</v>
      </c>
      <c r="K1326" s="103" t="s">
        <v>427</v>
      </c>
      <c r="L1326" s="102" t="s">
        <v>486</v>
      </c>
      <c r="M1326" s="95"/>
      <c r="N1326" s="14"/>
      <c r="O1326" s="94">
        <v>19</v>
      </c>
      <c r="P1326" s="14" t="s">
        <v>485</v>
      </c>
      <c r="Q1326" s="14" t="s">
        <v>497</v>
      </c>
      <c r="R1326" s="14" t="s">
        <v>496</v>
      </c>
      <c r="S1326" s="15">
        <v>6.1</v>
      </c>
      <c r="T1326" s="15">
        <v>0.5</v>
      </c>
      <c r="U1326" s="15">
        <v>0</v>
      </c>
      <c r="V1326" s="14">
        <v>66</v>
      </c>
      <c r="W1326" s="12">
        <v>0</v>
      </c>
      <c r="X1326" s="12">
        <v>0</v>
      </c>
      <c r="Y1326" s="12">
        <v>0</v>
      </c>
      <c r="Z1326" s="12">
        <v>11.61</v>
      </c>
      <c r="AA1326" s="12">
        <v>0</v>
      </c>
      <c r="AB1326" s="13">
        <f t="shared" si="83"/>
        <v>0</v>
      </c>
      <c r="AE1326" s="12">
        <v>0</v>
      </c>
      <c r="AF1326" s="12">
        <v>0</v>
      </c>
      <c r="AG1326" s="12">
        <v>0</v>
      </c>
      <c r="AH1326" s="12">
        <v>11.61</v>
      </c>
      <c r="AI1326" s="12">
        <v>0</v>
      </c>
      <c r="AJ1326" s="13">
        <f t="shared" si="84"/>
        <v>0</v>
      </c>
      <c r="AN1326" s="12">
        <f t="shared" si="85"/>
        <v>767</v>
      </c>
      <c r="AQ1326" s="8" t="s">
        <v>419</v>
      </c>
      <c r="AR1326" t="str">
        <f t="shared" si="86"/>
        <v>Norte - A07</v>
      </c>
    </row>
    <row r="1327" spans="1:44" x14ac:dyDescent="0.2">
      <c r="A1327" s="107" t="s">
        <v>773</v>
      </c>
      <c r="B1327" s="106" t="s">
        <v>772</v>
      </c>
      <c r="C1327" s="106" t="s">
        <v>771</v>
      </c>
      <c r="D1327" s="106" t="s">
        <v>492</v>
      </c>
      <c r="E1327" s="106" t="s">
        <v>770</v>
      </c>
      <c r="F1327" s="106" t="s">
        <v>490</v>
      </c>
      <c r="G1327" s="106" t="s">
        <v>769</v>
      </c>
      <c r="H1327" s="105" t="s">
        <v>768</v>
      </c>
      <c r="I1327" s="105" t="s">
        <v>767</v>
      </c>
      <c r="J1327" s="104">
        <v>7.15</v>
      </c>
      <c r="K1327" s="103" t="s">
        <v>427</v>
      </c>
      <c r="L1327" s="102" t="s">
        <v>486</v>
      </c>
      <c r="M1327" s="95"/>
      <c r="N1327" s="14"/>
      <c r="O1327" s="94">
        <v>19</v>
      </c>
      <c r="P1327" s="14" t="s">
        <v>485</v>
      </c>
      <c r="Q1327" s="14" t="s">
        <v>497</v>
      </c>
      <c r="R1327" s="14" t="s">
        <v>496</v>
      </c>
      <c r="S1327" s="15">
        <v>6.1</v>
      </c>
      <c r="T1327" s="15">
        <v>0.5</v>
      </c>
      <c r="U1327" s="15">
        <v>0</v>
      </c>
      <c r="V1327" s="14">
        <v>66</v>
      </c>
      <c r="W1327" s="12">
        <v>0</v>
      </c>
      <c r="X1327" s="12">
        <v>1</v>
      </c>
      <c r="Y1327" s="12">
        <v>5</v>
      </c>
      <c r="Z1327" s="12">
        <v>1.1500000000000004</v>
      </c>
      <c r="AA1327" s="12">
        <v>0</v>
      </c>
      <c r="AB1327" s="13">
        <f t="shared" si="83"/>
        <v>0</v>
      </c>
      <c r="AE1327" s="12">
        <v>0</v>
      </c>
      <c r="AF1327" s="12">
        <v>1</v>
      </c>
      <c r="AG1327" s="12">
        <v>5</v>
      </c>
      <c r="AH1327" s="12">
        <v>1.1500000000000004</v>
      </c>
      <c r="AI1327" s="12">
        <v>0</v>
      </c>
      <c r="AJ1327" s="13">
        <f t="shared" si="84"/>
        <v>0</v>
      </c>
      <c r="AN1327" s="12">
        <f t="shared" si="85"/>
        <v>472</v>
      </c>
      <c r="AQ1327" s="8" t="s">
        <v>419</v>
      </c>
      <c r="AR1327" t="str">
        <f t="shared" si="86"/>
        <v>Norte - A07</v>
      </c>
    </row>
    <row r="1328" spans="1:44" x14ac:dyDescent="0.2">
      <c r="A1328" s="107" t="s">
        <v>766</v>
      </c>
      <c r="B1328" s="106" t="s">
        <v>765</v>
      </c>
      <c r="C1328" s="106" t="s">
        <v>764</v>
      </c>
      <c r="D1328" s="106" t="s">
        <v>492</v>
      </c>
      <c r="E1328" s="106" t="s">
        <v>763</v>
      </c>
      <c r="F1328" s="106" t="s">
        <v>490</v>
      </c>
      <c r="G1328" s="106" t="s">
        <v>762</v>
      </c>
      <c r="H1328" s="105" t="s">
        <v>761</v>
      </c>
      <c r="I1328" s="105" t="s">
        <v>760</v>
      </c>
      <c r="J1328" s="104">
        <v>1.52</v>
      </c>
      <c r="K1328" s="103" t="s">
        <v>429</v>
      </c>
      <c r="L1328" s="102" t="s">
        <v>486</v>
      </c>
      <c r="M1328" s="95"/>
      <c r="N1328" s="14"/>
      <c r="O1328" s="94">
        <v>21</v>
      </c>
      <c r="P1328" s="14" t="s">
        <v>485</v>
      </c>
      <c r="Q1328" s="14" t="s">
        <v>497</v>
      </c>
      <c r="R1328" s="14" t="s">
        <v>496</v>
      </c>
      <c r="S1328" s="15">
        <v>6.6</v>
      </c>
      <c r="T1328" s="15">
        <v>0.7</v>
      </c>
      <c r="U1328" s="15">
        <v>0</v>
      </c>
      <c r="V1328" s="14">
        <v>396</v>
      </c>
      <c r="W1328" s="12">
        <v>0</v>
      </c>
      <c r="X1328" s="12">
        <v>0</v>
      </c>
      <c r="Y1328" s="12">
        <v>0</v>
      </c>
      <c r="Z1328" s="12">
        <v>1.52</v>
      </c>
      <c r="AA1328" s="12">
        <v>0</v>
      </c>
      <c r="AB1328" s="13">
        <f t="shared" si="83"/>
        <v>0</v>
      </c>
      <c r="AE1328" s="12">
        <v>0</v>
      </c>
      <c r="AF1328" s="12">
        <v>0</v>
      </c>
      <c r="AG1328" s="12">
        <v>0</v>
      </c>
      <c r="AH1328" s="12">
        <v>1.52</v>
      </c>
      <c r="AI1328" s="12">
        <v>0</v>
      </c>
      <c r="AJ1328" s="13">
        <f t="shared" si="84"/>
        <v>0</v>
      </c>
      <c r="AN1328" s="12">
        <f t="shared" si="85"/>
        <v>602</v>
      </c>
      <c r="AQ1328" s="8" t="s">
        <v>419</v>
      </c>
      <c r="AR1328" t="str">
        <f t="shared" si="86"/>
        <v>Norte - A09</v>
      </c>
    </row>
    <row r="1329" spans="1:44" x14ac:dyDescent="0.2">
      <c r="A1329" s="107" t="s">
        <v>759</v>
      </c>
      <c r="B1329" s="106" t="s">
        <v>758</v>
      </c>
      <c r="C1329" s="106" t="s">
        <v>757</v>
      </c>
      <c r="D1329" s="106" t="s">
        <v>492</v>
      </c>
      <c r="E1329" s="106" t="s">
        <v>756</v>
      </c>
      <c r="F1329" s="106" t="s">
        <v>490</v>
      </c>
      <c r="G1329" s="106" t="s">
        <v>755</v>
      </c>
      <c r="H1329" s="105" t="s">
        <v>535</v>
      </c>
      <c r="I1329" s="105" t="s">
        <v>754</v>
      </c>
      <c r="J1329" s="104">
        <v>2.86</v>
      </c>
      <c r="K1329" s="103" t="s">
        <v>422</v>
      </c>
      <c r="L1329" s="102" t="s">
        <v>507</v>
      </c>
      <c r="M1329" s="95"/>
      <c r="N1329" s="14"/>
      <c r="O1329" s="94">
        <v>34</v>
      </c>
      <c r="P1329" s="14" t="s">
        <v>485</v>
      </c>
      <c r="Q1329" s="14" t="s">
        <v>497</v>
      </c>
      <c r="R1329" s="14" t="s">
        <v>496</v>
      </c>
      <c r="S1329" s="15">
        <v>6.6</v>
      </c>
      <c r="T1329" s="15">
        <v>2.2000000000000002</v>
      </c>
      <c r="U1329" s="15">
        <v>0</v>
      </c>
      <c r="V1329" s="14">
        <v>386</v>
      </c>
      <c r="W1329" s="12">
        <v>0</v>
      </c>
      <c r="X1329" s="12">
        <v>0</v>
      </c>
      <c r="Y1329" s="12">
        <v>2.86</v>
      </c>
      <c r="Z1329" s="12">
        <v>0</v>
      </c>
      <c r="AA1329" s="12">
        <v>0</v>
      </c>
      <c r="AB1329" s="13">
        <f t="shared" si="83"/>
        <v>0</v>
      </c>
      <c r="AE1329" s="12">
        <v>0</v>
      </c>
      <c r="AF1329" s="12">
        <v>0</v>
      </c>
      <c r="AG1329" s="12">
        <v>2.86</v>
      </c>
      <c r="AH1329" s="12">
        <v>0</v>
      </c>
      <c r="AI1329" s="12">
        <v>0</v>
      </c>
      <c r="AJ1329" s="13">
        <f t="shared" si="84"/>
        <v>0</v>
      </c>
      <c r="AN1329" s="12">
        <f t="shared" si="85"/>
        <v>1104</v>
      </c>
      <c r="AQ1329" s="8" t="s">
        <v>417</v>
      </c>
      <c r="AR1329" t="str">
        <f t="shared" si="86"/>
        <v>Oeste - A02</v>
      </c>
    </row>
    <row r="1330" spans="1:44" x14ac:dyDescent="0.2">
      <c r="A1330" s="107" t="s">
        <v>753</v>
      </c>
      <c r="B1330" s="106" t="s">
        <v>752</v>
      </c>
      <c r="C1330" s="106" t="s">
        <v>745</v>
      </c>
      <c r="D1330" s="106" t="s">
        <v>751</v>
      </c>
      <c r="E1330" s="106" t="s">
        <v>750</v>
      </c>
      <c r="F1330" s="106" t="s">
        <v>590</v>
      </c>
      <c r="G1330" s="106" t="s">
        <v>749</v>
      </c>
      <c r="H1330" s="105" t="s">
        <v>748</v>
      </c>
      <c r="I1330" s="105" t="s">
        <v>742</v>
      </c>
      <c r="J1330" s="104">
        <v>1.6</v>
      </c>
      <c r="K1330" s="103" t="s">
        <v>421</v>
      </c>
      <c r="L1330" s="102" t="s">
        <v>507</v>
      </c>
      <c r="M1330" s="95"/>
      <c r="N1330" s="14"/>
      <c r="O1330" s="94">
        <v>33</v>
      </c>
      <c r="P1330" s="14" t="s">
        <v>586</v>
      </c>
      <c r="Q1330" s="14" t="s">
        <v>497</v>
      </c>
      <c r="R1330" s="14" t="s">
        <v>496</v>
      </c>
      <c r="S1330" s="15">
        <v>12</v>
      </c>
      <c r="T1330" s="15">
        <v>0</v>
      </c>
      <c r="U1330" s="15">
        <v>0</v>
      </c>
      <c r="V1330" s="14">
        <v>850</v>
      </c>
      <c r="W1330" s="12">
        <v>0</v>
      </c>
      <c r="X1330" s="12">
        <v>0</v>
      </c>
      <c r="Y1330" s="12">
        <v>0</v>
      </c>
      <c r="Z1330" s="12">
        <v>1.26</v>
      </c>
      <c r="AA1330" s="12">
        <v>0</v>
      </c>
      <c r="AB1330" s="13">
        <f t="shared" si="83"/>
        <v>-0.34000000000000008</v>
      </c>
      <c r="AE1330" s="12">
        <f>IF(W1330=0,0,W1330-$AB1330)</f>
        <v>0</v>
      </c>
      <c r="AF1330" s="12">
        <f>IF(X1330=0,0,X1330-$AB1330)</f>
        <v>0</v>
      </c>
      <c r="AG1330" s="12">
        <f>IF(Y1330=0,0,Y1330-$AB1330)</f>
        <v>0</v>
      </c>
      <c r="AH1330" s="12">
        <v>0.69</v>
      </c>
      <c r="AI1330" s="12">
        <f>IF(AA1330=0,0,AA1330-$AB1330)</f>
        <v>0</v>
      </c>
      <c r="AJ1330" s="13">
        <f t="shared" si="84"/>
        <v>-0.91000000000000014</v>
      </c>
      <c r="AN1330" s="12">
        <f t="shared" si="85"/>
        <v>1360</v>
      </c>
      <c r="AQ1330" s="8" t="s">
        <v>417</v>
      </c>
      <c r="AR1330" t="str">
        <f t="shared" si="86"/>
        <v>Oeste - A01</v>
      </c>
    </row>
    <row r="1331" spans="1:44" x14ac:dyDescent="0.2">
      <c r="A1331" s="107" t="s">
        <v>747</v>
      </c>
      <c r="B1331" s="106" t="s">
        <v>746</v>
      </c>
      <c r="C1331" s="106" t="s">
        <v>745</v>
      </c>
      <c r="D1331" s="106" t="s">
        <v>492</v>
      </c>
      <c r="E1331" s="106" t="s">
        <v>744</v>
      </c>
      <c r="F1331" s="106" t="s">
        <v>490</v>
      </c>
      <c r="G1331" s="106" t="s">
        <v>743</v>
      </c>
      <c r="H1331" s="105" t="s">
        <v>742</v>
      </c>
      <c r="I1331" s="105" t="s">
        <v>741</v>
      </c>
      <c r="J1331" s="104">
        <v>13.62</v>
      </c>
      <c r="K1331" s="103" t="s">
        <v>421</v>
      </c>
      <c r="L1331" s="102" t="s">
        <v>507</v>
      </c>
      <c r="M1331" s="95"/>
      <c r="N1331" s="14"/>
      <c r="O1331" s="94">
        <v>33</v>
      </c>
      <c r="P1331" s="14" t="s">
        <v>485</v>
      </c>
      <c r="Q1331" s="14" t="s">
        <v>497</v>
      </c>
      <c r="R1331" s="14" t="s">
        <v>496</v>
      </c>
      <c r="S1331" s="15">
        <v>6.8</v>
      </c>
      <c r="T1331" s="15">
        <v>0</v>
      </c>
      <c r="U1331" s="15">
        <v>0</v>
      </c>
      <c r="V1331" s="14">
        <v>1716</v>
      </c>
      <c r="W1331" s="12">
        <v>0</v>
      </c>
      <c r="X1331" s="12">
        <v>0</v>
      </c>
      <c r="Y1331" s="12">
        <v>0</v>
      </c>
      <c r="Z1331" s="12">
        <v>13.62</v>
      </c>
      <c r="AA1331" s="12">
        <v>0</v>
      </c>
      <c r="AB1331" s="13">
        <f t="shared" si="83"/>
        <v>0</v>
      </c>
      <c r="AE1331" s="12">
        <v>0</v>
      </c>
      <c r="AF1331" s="12">
        <v>0</v>
      </c>
      <c r="AG1331" s="12">
        <v>0</v>
      </c>
      <c r="AH1331" s="12">
        <v>13.62</v>
      </c>
      <c r="AI1331" s="12">
        <v>0</v>
      </c>
      <c r="AJ1331" s="13">
        <f t="shared" si="84"/>
        <v>0</v>
      </c>
      <c r="AN1331" s="12">
        <f t="shared" si="85"/>
        <v>23372</v>
      </c>
      <c r="AQ1331" s="8" t="s">
        <v>417</v>
      </c>
      <c r="AR1331" t="str">
        <f t="shared" si="86"/>
        <v>Oeste - A01</v>
      </c>
    </row>
    <row r="1332" spans="1:44" x14ac:dyDescent="0.2">
      <c r="A1332" s="107" t="s">
        <v>740</v>
      </c>
      <c r="B1332" s="106" t="s">
        <v>739</v>
      </c>
      <c r="C1332" s="106" t="s">
        <v>738</v>
      </c>
      <c r="D1332" s="106" t="s">
        <v>492</v>
      </c>
      <c r="E1332" s="106" t="s">
        <v>737</v>
      </c>
      <c r="F1332" s="106" t="s">
        <v>490</v>
      </c>
      <c r="G1332" s="106" t="s">
        <v>736</v>
      </c>
      <c r="H1332" s="105" t="s">
        <v>579</v>
      </c>
      <c r="I1332" s="105" t="s">
        <v>735</v>
      </c>
      <c r="J1332" s="104">
        <v>2.2999999999999998</v>
      </c>
      <c r="K1332" s="103" t="s">
        <v>424</v>
      </c>
      <c r="L1332" s="102" t="s">
        <v>507</v>
      </c>
      <c r="M1332" s="95"/>
      <c r="N1332" s="14"/>
      <c r="O1332" s="94">
        <v>36</v>
      </c>
      <c r="P1332" s="14" t="s">
        <v>485</v>
      </c>
      <c r="Q1332" s="14" t="s">
        <v>497</v>
      </c>
      <c r="R1332" s="14" t="s">
        <v>496</v>
      </c>
      <c r="S1332" s="15">
        <v>6.6</v>
      </c>
      <c r="T1332" s="15">
        <v>0</v>
      </c>
      <c r="U1332" s="15">
        <v>0</v>
      </c>
      <c r="V1332" s="14">
        <v>386</v>
      </c>
      <c r="W1332" s="12">
        <v>0</v>
      </c>
      <c r="X1332" s="12">
        <v>0</v>
      </c>
      <c r="Y1332" s="12">
        <v>0</v>
      </c>
      <c r="Z1332" s="12">
        <v>2.2999999999999998</v>
      </c>
      <c r="AA1332" s="12">
        <v>0</v>
      </c>
      <c r="AB1332" s="13">
        <f t="shared" si="83"/>
        <v>0</v>
      </c>
      <c r="AE1332" s="12">
        <v>0</v>
      </c>
      <c r="AF1332" s="12">
        <v>0</v>
      </c>
      <c r="AG1332" s="12">
        <v>0</v>
      </c>
      <c r="AH1332" s="12">
        <v>2.2999999999999998</v>
      </c>
      <c r="AI1332" s="12">
        <v>0</v>
      </c>
      <c r="AJ1332" s="13">
        <f t="shared" si="84"/>
        <v>0</v>
      </c>
      <c r="AN1332" s="12">
        <f t="shared" si="85"/>
        <v>888</v>
      </c>
      <c r="AQ1332" s="8" t="s">
        <v>417</v>
      </c>
      <c r="AR1332" t="str">
        <f t="shared" si="86"/>
        <v>Oeste - A04</v>
      </c>
    </row>
    <row r="1333" spans="1:44" x14ac:dyDescent="0.2">
      <c r="A1333" s="107" t="s">
        <v>734</v>
      </c>
      <c r="B1333" s="106" t="s">
        <v>733</v>
      </c>
      <c r="C1333" s="106" t="s">
        <v>728</v>
      </c>
      <c r="D1333" s="106" t="s">
        <v>492</v>
      </c>
      <c r="E1333" s="106" t="s">
        <v>727</v>
      </c>
      <c r="F1333" s="106" t="s">
        <v>490</v>
      </c>
      <c r="G1333" s="106" t="s">
        <v>732</v>
      </c>
      <c r="H1333" s="105" t="s">
        <v>731</v>
      </c>
      <c r="I1333" s="105" t="s">
        <v>725</v>
      </c>
      <c r="J1333" s="104">
        <v>7.73</v>
      </c>
      <c r="K1333" s="103" t="s">
        <v>425</v>
      </c>
      <c r="L1333" s="102" t="s">
        <v>507</v>
      </c>
      <c r="M1333" s="95"/>
      <c r="N1333" s="14"/>
      <c r="O1333" s="94">
        <v>37</v>
      </c>
      <c r="P1333" s="14" t="s">
        <v>485</v>
      </c>
      <c r="Q1333" s="14" t="s">
        <v>691</v>
      </c>
      <c r="R1333" s="14" t="s">
        <v>496</v>
      </c>
      <c r="S1333" s="15">
        <v>6.5</v>
      </c>
      <c r="T1333" s="15">
        <v>0</v>
      </c>
      <c r="U1333" s="15">
        <v>0</v>
      </c>
      <c r="V1333" s="14">
        <v>636</v>
      </c>
      <c r="W1333" s="12">
        <v>0</v>
      </c>
      <c r="X1333" s="12">
        <v>0</v>
      </c>
      <c r="Y1333" s="12">
        <v>4.7300000000000004</v>
      </c>
      <c r="Z1333" s="12">
        <v>3</v>
      </c>
      <c r="AA1333" s="12">
        <v>0</v>
      </c>
      <c r="AB1333" s="13">
        <f t="shared" si="83"/>
        <v>0</v>
      </c>
      <c r="AE1333" s="12">
        <v>0</v>
      </c>
      <c r="AF1333" s="12">
        <v>0</v>
      </c>
      <c r="AG1333" s="12">
        <v>4.7300000000000004</v>
      </c>
      <c r="AH1333" s="12">
        <v>3</v>
      </c>
      <c r="AI1333" s="12">
        <v>0</v>
      </c>
      <c r="AJ1333" s="13">
        <f t="shared" si="84"/>
        <v>0</v>
      </c>
      <c r="AN1333" s="12">
        <f t="shared" si="85"/>
        <v>4917</v>
      </c>
      <c r="AQ1333" s="8" t="s">
        <v>417</v>
      </c>
      <c r="AR1333" t="str">
        <f t="shared" si="86"/>
        <v>Oeste - A05</v>
      </c>
    </row>
    <row r="1334" spans="1:44" x14ac:dyDescent="0.2">
      <c r="A1334" s="107" t="s">
        <v>730</v>
      </c>
      <c r="B1334" s="106" t="s">
        <v>729</v>
      </c>
      <c r="C1334" s="106" t="s">
        <v>728</v>
      </c>
      <c r="D1334" s="106" t="s">
        <v>519</v>
      </c>
      <c r="E1334" s="106" t="s">
        <v>727</v>
      </c>
      <c r="F1334" s="106" t="s">
        <v>490</v>
      </c>
      <c r="G1334" s="106" t="s">
        <v>726</v>
      </c>
      <c r="H1334" s="105" t="s">
        <v>725</v>
      </c>
      <c r="I1334" s="105" t="s">
        <v>724</v>
      </c>
      <c r="J1334" s="104">
        <v>4.8600000000000003</v>
      </c>
      <c r="K1334" s="103" t="s">
        <v>425</v>
      </c>
      <c r="L1334" s="102" t="s">
        <v>507</v>
      </c>
      <c r="M1334" s="95"/>
      <c r="N1334" s="14"/>
      <c r="O1334" s="94">
        <v>37</v>
      </c>
      <c r="P1334" s="14" t="s">
        <v>485</v>
      </c>
      <c r="Q1334" s="14" t="s">
        <v>691</v>
      </c>
      <c r="R1334" s="14" t="s">
        <v>496</v>
      </c>
      <c r="S1334" s="15">
        <v>7</v>
      </c>
      <c r="T1334" s="15">
        <v>0</v>
      </c>
      <c r="U1334" s="15">
        <v>0</v>
      </c>
      <c r="V1334" s="14">
        <v>386</v>
      </c>
      <c r="W1334" s="12">
        <v>0</v>
      </c>
      <c r="X1334" s="12">
        <v>0</v>
      </c>
      <c r="Y1334" s="12">
        <v>4</v>
      </c>
      <c r="Z1334" s="12">
        <v>0.86000000000000032</v>
      </c>
      <c r="AA1334" s="12">
        <v>0</v>
      </c>
      <c r="AB1334" s="13">
        <f t="shared" si="83"/>
        <v>0</v>
      </c>
      <c r="AE1334" s="12">
        <v>0</v>
      </c>
      <c r="AF1334" s="12">
        <v>0</v>
      </c>
      <c r="AG1334" s="12">
        <v>4</v>
      </c>
      <c r="AH1334" s="12">
        <v>0.86000000000000032</v>
      </c>
      <c r="AI1334" s="12">
        <v>0</v>
      </c>
      <c r="AJ1334" s="13">
        <f t="shared" si="84"/>
        <v>0</v>
      </c>
      <c r="AN1334" s="12">
        <f t="shared" si="85"/>
        <v>1876</v>
      </c>
      <c r="AQ1334" s="8" t="s">
        <v>417</v>
      </c>
      <c r="AR1334" t="str">
        <f t="shared" si="86"/>
        <v>Oeste - A05</v>
      </c>
    </row>
    <row r="1335" spans="1:44" x14ac:dyDescent="0.2">
      <c r="A1335" s="107" t="s">
        <v>723</v>
      </c>
      <c r="B1335" s="106" t="s">
        <v>722</v>
      </c>
      <c r="C1335" s="106" t="s">
        <v>721</v>
      </c>
      <c r="D1335" s="106" t="s">
        <v>492</v>
      </c>
      <c r="E1335" s="106" t="s">
        <v>720</v>
      </c>
      <c r="F1335" s="106" t="s">
        <v>490</v>
      </c>
      <c r="G1335" s="106" t="s">
        <v>719</v>
      </c>
      <c r="H1335" s="105" t="s">
        <v>679</v>
      </c>
      <c r="I1335" s="105" t="s">
        <v>718</v>
      </c>
      <c r="J1335" s="104">
        <v>2.8</v>
      </c>
      <c r="K1335" s="103" t="s">
        <v>426</v>
      </c>
      <c r="L1335" s="102" t="s">
        <v>507</v>
      </c>
      <c r="M1335" s="95"/>
      <c r="N1335" s="14"/>
      <c r="O1335" s="94">
        <v>38</v>
      </c>
      <c r="P1335" s="14" t="s">
        <v>485</v>
      </c>
      <c r="Q1335" s="14" t="s">
        <v>497</v>
      </c>
      <c r="R1335" s="14" t="s">
        <v>496</v>
      </c>
      <c r="S1335" s="15">
        <v>7.4</v>
      </c>
      <c r="T1335" s="15">
        <v>2.6</v>
      </c>
      <c r="U1335" s="15">
        <v>0</v>
      </c>
      <c r="V1335" s="14">
        <v>3605</v>
      </c>
      <c r="W1335" s="12">
        <v>0</v>
      </c>
      <c r="X1335" s="12">
        <v>0</v>
      </c>
      <c r="Y1335" s="12">
        <v>0</v>
      </c>
      <c r="Z1335" s="12">
        <v>2.8</v>
      </c>
      <c r="AA1335" s="12">
        <v>0</v>
      </c>
      <c r="AB1335" s="13">
        <f t="shared" si="83"/>
        <v>0</v>
      </c>
      <c r="AE1335" s="12">
        <v>0</v>
      </c>
      <c r="AF1335" s="12">
        <v>0</v>
      </c>
      <c r="AG1335" s="12">
        <v>0</v>
      </c>
      <c r="AH1335" s="12">
        <v>2.8</v>
      </c>
      <c r="AI1335" s="12">
        <v>0</v>
      </c>
      <c r="AJ1335" s="13">
        <f t="shared" si="84"/>
        <v>0</v>
      </c>
      <c r="AN1335" s="12">
        <f t="shared" si="85"/>
        <v>10094</v>
      </c>
      <c r="AQ1335" s="8" t="s">
        <v>417</v>
      </c>
      <c r="AR1335" t="str">
        <f t="shared" si="86"/>
        <v>Oeste - A06</v>
      </c>
    </row>
    <row r="1336" spans="1:44" x14ac:dyDescent="0.2">
      <c r="A1336" s="107" t="s">
        <v>717</v>
      </c>
      <c r="B1336" s="106" t="s">
        <v>716</v>
      </c>
      <c r="C1336" s="106" t="s">
        <v>715</v>
      </c>
      <c r="D1336" s="106" t="s">
        <v>492</v>
      </c>
      <c r="E1336" s="106" t="s">
        <v>714</v>
      </c>
      <c r="F1336" s="106" t="s">
        <v>490</v>
      </c>
      <c r="G1336" s="106" t="s">
        <v>713</v>
      </c>
      <c r="H1336" s="105" t="s">
        <v>712</v>
      </c>
      <c r="I1336" s="105" t="s">
        <v>711</v>
      </c>
      <c r="J1336" s="104">
        <v>7.08</v>
      </c>
      <c r="K1336" s="103" t="s">
        <v>426</v>
      </c>
      <c r="L1336" s="102" t="s">
        <v>507</v>
      </c>
      <c r="M1336" s="95"/>
      <c r="N1336" s="14"/>
      <c r="O1336" s="94">
        <v>38</v>
      </c>
      <c r="P1336" s="14" t="s">
        <v>485</v>
      </c>
      <c r="Q1336" s="14" t="s">
        <v>691</v>
      </c>
      <c r="R1336" s="14" t="s">
        <v>496</v>
      </c>
      <c r="S1336" s="15">
        <v>6.6</v>
      </c>
      <c r="T1336" s="15">
        <v>0</v>
      </c>
      <c r="U1336" s="15">
        <v>0</v>
      </c>
      <c r="V1336" s="14">
        <v>850</v>
      </c>
      <c r="W1336" s="12">
        <v>0</v>
      </c>
      <c r="X1336" s="12">
        <v>0</v>
      </c>
      <c r="Y1336" s="12">
        <v>1</v>
      </c>
      <c r="Z1336" s="12">
        <v>6.08</v>
      </c>
      <c r="AA1336" s="12">
        <v>0</v>
      </c>
      <c r="AB1336" s="13">
        <f t="shared" si="83"/>
        <v>0</v>
      </c>
      <c r="AE1336" s="12">
        <v>0</v>
      </c>
      <c r="AF1336" s="12">
        <v>0</v>
      </c>
      <c r="AG1336" s="12">
        <v>1</v>
      </c>
      <c r="AH1336" s="12">
        <v>6.08</v>
      </c>
      <c r="AI1336" s="12">
        <v>0</v>
      </c>
      <c r="AJ1336" s="13">
        <f t="shared" si="84"/>
        <v>0</v>
      </c>
      <c r="AN1336" s="12">
        <f t="shared" si="85"/>
        <v>6018</v>
      </c>
      <c r="AQ1336" s="8" t="s">
        <v>417</v>
      </c>
      <c r="AR1336" t="str">
        <f t="shared" si="86"/>
        <v>Oeste - A06</v>
      </c>
    </row>
    <row r="1337" spans="1:44" x14ac:dyDescent="0.2">
      <c r="A1337" s="107" t="s">
        <v>710</v>
      </c>
      <c r="B1337" s="106" t="s">
        <v>709</v>
      </c>
      <c r="C1337" s="106" t="s">
        <v>708</v>
      </c>
      <c r="D1337" s="106" t="s">
        <v>492</v>
      </c>
      <c r="E1337" s="106" t="s">
        <v>707</v>
      </c>
      <c r="F1337" s="106" t="s">
        <v>490</v>
      </c>
      <c r="G1337" s="106" t="s">
        <v>706</v>
      </c>
      <c r="H1337" s="105" t="s">
        <v>526</v>
      </c>
      <c r="I1337" s="105" t="s">
        <v>705</v>
      </c>
      <c r="J1337" s="104">
        <v>3.5</v>
      </c>
      <c r="K1337" s="103" t="s">
        <v>426</v>
      </c>
      <c r="L1337" s="102" t="s">
        <v>507</v>
      </c>
      <c r="M1337" s="95"/>
      <c r="N1337" s="14"/>
      <c r="O1337" s="94">
        <v>38</v>
      </c>
      <c r="P1337" s="14" t="s">
        <v>485</v>
      </c>
      <c r="Q1337" s="14" t="s">
        <v>497</v>
      </c>
      <c r="R1337" s="14" t="s">
        <v>496</v>
      </c>
      <c r="S1337" s="15">
        <v>7</v>
      </c>
      <c r="T1337" s="15">
        <v>0</v>
      </c>
      <c r="U1337" s="15">
        <v>0</v>
      </c>
      <c r="V1337" s="14">
        <v>562</v>
      </c>
      <c r="W1337" s="12">
        <v>0</v>
      </c>
      <c r="X1337" s="12">
        <v>0</v>
      </c>
      <c r="Y1337" s="12">
        <v>0</v>
      </c>
      <c r="Z1337" s="12">
        <v>3.5</v>
      </c>
      <c r="AA1337" s="12">
        <v>0</v>
      </c>
      <c r="AB1337" s="13">
        <f t="shared" si="83"/>
        <v>0</v>
      </c>
      <c r="AE1337" s="12">
        <v>0</v>
      </c>
      <c r="AF1337" s="12">
        <v>0</v>
      </c>
      <c r="AG1337" s="12">
        <v>0</v>
      </c>
      <c r="AH1337" s="12">
        <v>3.5</v>
      </c>
      <c r="AI1337" s="12">
        <v>0</v>
      </c>
      <c r="AJ1337" s="13">
        <f t="shared" si="84"/>
        <v>0</v>
      </c>
      <c r="AN1337" s="12">
        <f t="shared" si="85"/>
        <v>1967</v>
      </c>
      <c r="AQ1337" s="8" t="s">
        <v>417</v>
      </c>
      <c r="AR1337" t="str">
        <f t="shared" si="86"/>
        <v>Oeste - A06</v>
      </c>
    </row>
    <row r="1338" spans="1:44" x14ac:dyDescent="0.2">
      <c r="A1338" s="107" t="s">
        <v>704</v>
      </c>
      <c r="B1338" s="106" t="s">
        <v>703</v>
      </c>
      <c r="C1338" s="106" t="s">
        <v>702</v>
      </c>
      <c r="D1338" s="106" t="s">
        <v>492</v>
      </c>
      <c r="E1338" s="106" t="s">
        <v>701</v>
      </c>
      <c r="F1338" s="106" t="s">
        <v>490</v>
      </c>
      <c r="G1338" s="106" t="s">
        <v>700</v>
      </c>
      <c r="H1338" s="105" t="s">
        <v>699</v>
      </c>
      <c r="I1338" s="105" t="s">
        <v>698</v>
      </c>
      <c r="J1338" s="104">
        <v>5.53</v>
      </c>
      <c r="K1338" s="103" t="s">
        <v>425</v>
      </c>
      <c r="L1338" s="102" t="s">
        <v>507</v>
      </c>
      <c r="M1338" s="95"/>
      <c r="N1338" s="14"/>
      <c r="O1338" s="94">
        <v>37</v>
      </c>
      <c r="P1338" s="14" t="s">
        <v>485</v>
      </c>
      <c r="Q1338" s="14" t="s">
        <v>497</v>
      </c>
      <c r="R1338" s="14" t="s">
        <v>496</v>
      </c>
      <c r="S1338" s="15">
        <v>7</v>
      </c>
      <c r="T1338" s="15">
        <v>0</v>
      </c>
      <c r="U1338" s="15">
        <v>0</v>
      </c>
      <c r="V1338" s="14">
        <v>476</v>
      </c>
      <c r="W1338" s="12">
        <v>0</v>
      </c>
      <c r="X1338" s="12">
        <v>0</v>
      </c>
      <c r="Y1338" s="12">
        <v>2</v>
      </c>
      <c r="Z1338" s="12">
        <v>3.5300000000000002</v>
      </c>
      <c r="AA1338" s="12">
        <v>0</v>
      </c>
      <c r="AB1338" s="13">
        <f t="shared" si="83"/>
        <v>0</v>
      </c>
      <c r="AE1338" s="12">
        <v>0</v>
      </c>
      <c r="AF1338" s="12">
        <v>0</v>
      </c>
      <c r="AG1338" s="12">
        <v>2</v>
      </c>
      <c r="AH1338" s="12">
        <v>3.5300000000000002</v>
      </c>
      <c r="AI1338" s="12">
        <v>0</v>
      </c>
      <c r="AJ1338" s="13">
        <f t="shared" si="84"/>
        <v>0</v>
      </c>
      <c r="AN1338" s="12">
        <f t="shared" si="85"/>
        <v>2633</v>
      </c>
      <c r="AQ1338" s="8" t="s">
        <v>417</v>
      </c>
      <c r="AR1338" t="str">
        <f t="shared" si="86"/>
        <v>Oeste - A05</v>
      </c>
    </row>
    <row r="1339" spans="1:44" x14ac:dyDescent="0.2">
      <c r="A1339" s="107" t="s">
        <v>697</v>
      </c>
      <c r="B1339" s="106" t="s">
        <v>696</v>
      </c>
      <c r="C1339" s="106" t="s">
        <v>695</v>
      </c>
      <c r="D1339" s="106" t="s">
        <v>492</v>
      </c>
      <c r="E1339" s="106" t="s">
        <v>694</v>
      </c>
      <c r="F1339" s="106" t="s">
        <v>490</v>
      </c>
      <c r="G1339" s="106" t="s">
        <v>693</v>
      </c>
      <c r="H1339" s="105" t="s">
        <v>526</v>
      </c>
      <c r="I1339" s="105" t="s">
        <v>692</v>
      </c>
      <c r="J1339" s="104">
        <v>4.54</v>
      </c>
      <c r="K1339" s="103" t="s">
        <v>426</v>
      </c>
      <c r="L1339" s="102" t="s">
        <v>507</v>
      </c>
      <c r="M1339" s="95"/>
      <c r="N1339" s="14"/>
      <c r="O1339" s="94">
        <v>38</v>
      </c>
      <c r="P1339" s="14" t="s">
        <v>485</v>
      </c>
      <c r="Q1339" s="14" t="s">
        <v>691</v>
      </c>
      <c r="R1339" s="14" t="s">
        <v>496</v>
      </c>
      <c r="S1339" s="15">
        <v>6.3</v>
      </c>
      <c r="T1339" s="15">
        <v>0</v>
      </c>
      <c r="U1339" s="15">
        <v>0</v>
      </c>
      <c r="V1339" s="14">
        <v>1111</v>
      </c>
      <c r="W1339" s="12">
        <v>0</v>
      </c>
      <c r="X1339" s="12">
        <v>0</v>
      </c>
      <c r="Y1339" s="12">
        <v>0</v>
      </c>
      <c r="Z1339" s="12">
        <v>4.54</v>
      </c>
      <c r="AA1339" s="12">
        <v>0</v>
      </c>
      <c r="AB1339" s="13">
        <f t="shared" si="83"/>
        <v>0</v>
      </c>
      <c r="AE1339" s="12">
        <v>0</v>
      </c>
      <c r="AF1339" s="12">
        <v>0</v>
      </c>
      <c r="AG1339" s="12">
        <v>0</v>
      </c>
      <c r="AH1339" s="12">
        <v>4.54</v>
      </c>
      <c r="AI1339" s="12">
        <v>0</v>
      </c>
      <c r="AJ1339" s="13">
        <f t="shared" si="84"/>
        <v>0</v>
      </c>
      <c r="AN1339" s="12">
        <f t="shared" si="85"/>
        <v>5044</v>
      </c>
      <c r="AQ1339" s="8" t="s">
        <v>417</v>
      </c>
      <c r="AR1339" t="str">
        <f t="shared" si="86"/>
        <v>Oeste - A06</v>
      </c>
    </row>
    <row r="1340" spans="1:44" x14ac:dyDescent="0.2">
      <c r="A1340" s="107" t="s">
        <v>690</v>
      </c>
      <c r="B1340" s="106" t="s">
        <v>689</v>
      </c>
      <c r="C1340" s="106" t="s">
        <v>688</v>
      </c>
      <c r="D1340" s="106" t="s">
        <v>492</v>
      </c>
      <c r="E1340" s="106" t="s">
        <v>687</v>
      </c>
      <c r="F1340" s="106" t="s">
        <v>490</v>
      </c>
      <c r="G1340" s="106" t="s">
        <v>686</v>
      </c>
      <c r="H1340" s="105" t="s">
        <v>535</v>
      </c>
      <c r="I1340" s="105" t="s">
        <v>685</v>
      </c>
      <c r="J1340" s="104">
        <v>7.61</v>
      </c>
      <c r="K1340" s="103" t="s">
        <v>426</v>
      </c>
      <c r="L1340" s="102" t="s">
        <v>507</v>
      </c>
      <c r="M1340" s="95"/>
      <c r="N1340" s="14"/>
      <c r="O1340" s="94">
        <v>38</v>
      </c>
      <c r="P1340" s="14" t="s">
        <v>485</v>
      </c>
      <c r="Q1340" s="14" t="s">
        <v>497</v>
      </c>
      <c r="R1340" s="14" t="s">
        <v>496</v>
      </c>
      <c r="S1340" s="15">
        <v>7.5</v>
      </c>
      <c r="T1340" s="15">
        <v>0</v>
      </c>
      <c r="U1340" s="15">
        <v>0</v>
      </c>
      <c r="V1340" s="14">
        <v>1556</v>
      </c>
      <c r="W1340" s="12">
        <v>0</v>
      </c>
      <c r="X1340" s="12">
        <v>0</v>
      </c>
      <c r="Y1340" s="12">
        <v>0</v>
      </c>
      <c r="Z1340" s="12">
        <v>7.61</v>
      </c>
      <c r="AA1340" s="12">
        <v>0</v>
      </c>
      <c r="AB1340" s="13">
        <f t="shared" si="83"/>
        <v>0</v>
      </c>
      <c r="AE1340" s="12">
        <v>0</v>
      </c>
      <c r="AF1340" s="12">
        <v>0</v>
      </c>
      <c r="AG1340" s="12">
        <v>0</v>
      </c>
      <c r="AH1340" s="12">
        <v>7.61</v>
      </c>
      <c r="AI1340" s="12">
        <v>0</v>
      </c>
      <c r="AJ1340" s="13">
        <f t="shared" si="84"/>
        <v>0</v>
      </c>
      <c r="AN1340" s="12">
        <f t="shared" si="85"/>
        <v>11842</v>
      </c>
      <c r="AQ1340" s="8" t="s">
        <v>417</v>
      </c>
      <c r="AR1340" t="str">
        <f t="shared" si="86"/>
        <v>Oeste - A06</v>
      </c>
    </row>
    <row r="1341" spans="1:44" x14ac:dyDescent="0.2">
      <c r="A1341" s="107" t="s">
        <v>684</v>
      </c>
      <c r="B1341" s="106" t="s">
        <v>683</v>
      </c>
      <c r="C1341" s="106" t="s">
        <v>682</v>
      </c>
      <c r="D1341" s="106" t="s">
        <v>492</v>
      </c>
      <c r="E1341" s="106" t="s">
        <v>681</v>
      </c>
      <c r="F1341" s="106" t="s">
        <v>490</v>
      </c>
      <c r="G1341" s="106" t="s">
        <v>680</v>
      </c>
      <c r="H1341" s="105" t="s">
        <v>679</v>
      </c>
      <c r="I1341" s="105" t="s">
        <v>678</v>
      </c>
      <c r="J1341" s="104">
        <v>1.32</v>
      </c>
      <c r="K1341" s="103" t="s">
        <v>426</v>
      </c>
      <c r="L1341" s="102" t="s">
        <v>507</v>
      </c>
      <c r="M1341" s="95"/>
      <c r="N1341" s="14"/>
      <c r="O1341" s="94">
        <v>38</v>
      </c>
      <c r="P1341" s="14" t="s">
        <v>485</v>
      </c>
      <c r="Q1341" s="14" t="s">
        <v>497</v>
      </c>
      <c r="R1341" s="14" t="s">
        <v>496</v>
      </c>
      <c r="S1341" s="15">
        <v>9.9</v>
      </c>
      <c r="T1341" s="15">
        <v>2.7</v>
      </c>
      <c r="U1341" s="15">
        <v>0</v>
      </c>
      <c r="V1341" s="14">
        <v>934</v>
      </c>
      <c r="W1341" s="12">
        <v>0</v>
      </c>
      <c r="X1341" s="12">
        <v>0</v>
      </c>
      <c r="Y1341" s="12">
        <v>0</v>
      </c>
      <c r="Z1341" s="12">
        <v>1.32</v>
      </c>
      <c r="AA1341" s="12">
        <v>0</v>
      </c>
      <c r="AB1341" s="13">
        <f t="shared" si="83"/>
        <v>0</v>
      </c>
      <c r="AE1341" s="12">
        <v>0</v>
      </c>
      <c r="AF1341" s="12">
        <v>0</v>
      </c>
      <c r="AG1341" s="12">
        <v>0</v>
      </c>
      <c r="AH1341" s="12">
        <v>1.32</v>
      </c>
      <c r="AI1341" s="12">
        <v>0</v>
      </c>
      <c r="AJ1341" s="13">
        <f t="shared" si="84"/>
        <v>0</v>
      </c>
      <c r="AN1341" s="12">
        <f t="shared" si="85"/>
        <v>1233</v>
      </c>
      <c r="AQ1341" s="8" t="s">
        <v>417</v>
      </c>
      <c r="AR1341" t="str">
        <f t="shared" si="86"/>
        <v>Oeste - A06</v>
      </c>
    </row>
    <row r="1342" spans="1:44" x14ac:dyDescent="0.2">
      <c r="A1342" s="107" t="s">
        <v>677</v>
      </c>
      <c r="B1342" s="106" t="s">
        <v>676</v>
      </c>
      <c r="C1342" s="106" t="s">
        <v>671</v>
      </c>
      <c r="D1342" s="106" t="s">
        <v>492</v>
      </c>
      <c r="E1342" s="106" t="s">
        <v>670</v>
      </c>
      <c r="F1342" s="106" t="s">
        <v>490</v>
      </c>
      <c r="G1342" s="106" t="s">
        <v>675</v>
      </c>
      <c r="H1342" s="105" t="s">
        <v>674</v>
      </c>
      <c r="I1342" s="105" t="s">
        <v>668</v>
      </c>
      <c r="J1342" s="104">
        <v>10.09</v>
      </c>
      <c r="K1342" s="103" t="s">
        <v>428</v>
      </c>
      <c r="L1342" s="102" t="s">
        <v>507</v>
      </c>
      <c r="M1342" s="95"/>
      <c r="N1342" s="14"/>
      <c r="O1342" s="94">
        <v>40</v>
      </c>
      <c r="P1342" s="14" t="s">
        <v>485</v>
      </c>
      <c r="Q1342" s="14" t="s">
        <v>497</v>
      </c>
      <c r="R1342" s="14" t="s">
        <v>496</v>
      </c>
      <c r="S1342" s="15">
        <v>7</v>
      </c>
      <c r="T1342" s="15">
        <v>1.3</v>
      </c>
      <c r="U1342" s="15">
        <v>0</v>
      </c>
      <c r="V1342" s="14">
        <v>1545</v>
      </c>
      <c r="W1342" s="12">
        <v>0</v>
      </c>
      <c r="X1342" s="12">
        <v>0</v>
      </c>
      <c r="Y1342" s="12">
        <v>0</v>
      </c>
      <c r="Z1342" s="12">
        <v>10.09</v>
      </c>
      <c r="AA1342" s="12">
        <v>0</v>
      </c>
      <c r="AB1342" s="13">
        <f t="shared" si="83"/>
        <v>0</v>
      </c>
      <c r="AE1342" s="12">
        <v>0</v>
      </c>
      <c r="AF1342" s="12">
        <v>0</v>
      </c>
      <c r="AG1342" s="12">
        <v>0</v>
      </c>
      <c r="AH1342" s="12">
        <v>10.09</v>
      </c>
      <c r="AI1342" s="12">
        <v>0</v>
      </c>
      <c r="AJ1342" s="13">
        <f t="shared" si="84"/>
        <v>0</v>
      </c>
      <c r="AN1342" s="12">
        <f t="shared" si="85"/>
        <v>15590</v>
      </c>
      <c r="AQ1342" s="8" t="s">
        <v>417</v>
      </c>
      <c r="AR1342" t="str">
        <f t="shared" si="86"/>
        <v>Oeste - A08</v>
      </c>
    </row>
    <row r="1343" spans="1:44" x14ac:dyDescent="0.2">
      <c r="A1343" s="107" t="s">
        <v>673</v>
      </c>
      <c r="B1343" s="106" t="s">
        <v>672</v>
      </c>
      <c r="C1343" s="106" t="s">
        <v>671</v>
      </c>
      <c r="D1343" s="106" t="s">
        <v>513</v>
      </c>
      <c r="E1343" s="106" t="s">
        <v>670</v>
      </c>
      <c r="F1343" s="106" t="s">
        <v>490</v>
      </c>
      <c r="G1343" s="106" t="s">
        <v>669</v>
      </c>
      <c r="H1343" s="105" t="s">
        <v>668</v>
      </c>
      <c r="I1343" s="105" t="s">
        <v>667</v>
      </c>
      <c r="J1343" s="104">
        <v>17.21</v>
      </c>
      <c r="K1343" s="103" t="s">
        <v>428</v>
      </c>
      <c r="L1343" s="102" t="s">
        <v>507</v>
      </c>
      <c r="M1343" s="95"/>
      <c r="N1343" s="14"/>
      <c r="O1343" s="94">
        <v>40</v>
      </c>
      <c r="P1343" s="14" t="s">
        <v>485</v>
      </c>
      <c r="Q1343" s="14" t="s">
        <v>497</v>
      </c>
      <c r="R1343" s="14" t="s">
        <v>496</v>
      </c>
      <c r="S1343" s="15">
        <v>7</v>
      </c>
      <c r="T1343" s="15">
        <v>1.3</v>
      </c>
      <c r="U1343" s="15">
        <v>0</v>
      </c>
      <c r="V1343" s="14">
        <v>1545</v>
      </c>
      <c r="W1343" s="12">
        <v>0</v>
      </c>
      <c r="X1343" s="12">
        <v>0</v>
      </c>
      <c r="Y1343" s="12">
        <v>0</v>
      </c>
      <c r="Z1343" s="12">
        <v>17.21</v>
      </c>
      <c r="AA1343" s="12">
        <v>0</v>
      </c>
      <c r="AB1343" s="13">
        <f t="shared" si="83"/>
        <v>0</v>
      </c>
      <c r="AE1343" s="12">
        <v>0</v>
      </c>
      <c r="AF1343" s="12">
        <v>0</v>
      </c>
      <c r="AG1343" s="12">
        <v>0</v>
      </c>
      <c r="AH1343" s="12">
        <v>17.21</v>
      </c>
      <c r="AI1343" s="12">
        <v>0</v>
      </c>
      <c r="AJ1343" s="13">
        <f t="shared" si="84"/>
        <v>0</v>
      </c>
      <c r="AN1343" s="12">
        <f t="shared" si="85"/>
        <v>26590</v>
      </c>
      <c r="AQ1343" s="8" t="s">
        <v>417</v>
      </c>
      <c r="AR1343" t="str">
        <f t="shared" si="86"/>
        <v>Oeste - A08</v>
      </c>
    </row>
    <row r="1344" spans="1:44" x14ac:dyDescent="0.2">
      <c r="A1344" s="107" t="s">
        <v>666</v>
      </c>
      <c r="B1344" s="106" t="s">
        <v>665</v>
      </c>
      <c r="C1344" s="106" t="s">
        <v>659</v>
      </c>
      <c r="D1344" s="106" t="s">
        <v>492</v>
      </c>
      <c r="E1344" s="106" t="s">
        <v>664</v>
      </c>
      <c r="F1344" s="106" t="s">
        <v>490</v>
      </c>
      <c r="G1344" s="106" t="s">
        <v>663</v>
      </c>
      <c r="H1344" s="105" t="s">
        <v>662</v>
      </c>
      <c r="I1344" s="105" t="s">
        <v>649</v>
      </c>
      <c r="J1344" s="104">
        <v>4.91</v>
      </c>
      <c r="K1344" s="103" t="s">
        <v>427</v>
      </c>
      <c r="L1344" s="102" t="s">
        <v>507</v>
      </c>
      <c r="M1344" s="95"/>
      <c r="N1344" s="14"/>
      <c r="O1344" s="94">
        <v>39</v>
      </c>
      <c r="P1344" s="14" t="s">
        <v>485</v>
      </c>
      <c r="Q1344" s="14" t="s">
        <v>497</v>
      </c>
      <c r="R1344" s="14" t="s">
        <v>496</v>
      </c>
      <c r="S1344" s="15">
        <v>7.2</v>
      </c>
      <c r="T1344" s="15">
        <v>3</v>
      </c>
      <c r="U1344" s="15">
        <v>1.3</v>
      </c>
      <c r="V1344" s="14">
        <v>2416</v>
      </c>
      <c r="W1344" s="12">
        <v>0</v>
      </c>
      <c r="X1344" s="12">
        <v>0</v>
      </c>
      <c r="Y1344" s="12">
        <v>0</v>
      </c>
      <c r="Z1344" s="12">
        <v>4.91</v>
      </c>
      <c r="AA1344" s="12">
        <v>0</v>
      </c>
      <c r="AB1344" s="13">
        <f t="shared" si="83"/>
        <v>0</v>
      </c>
      <c r="AE1344" s="12">
        <v>0</v>
      </c>
      <c r="AF1344" s="12">
        <v>0</v>
      </c>
      <c r="AG1344" s="12">
        <v>0</v>
      </c>
      <c r="AH1344" s="12">
        <v>4.91</v>
      </c>
      <c r="AI1344" s="12">
        <v>0</v>
      </c>
      <c r="AJ1344" s="13">
        <f t="shared" si="84"/>
        <v>0</v>
      </c>
      <c r="AN1344" s="12">
        <f t="shared" si="85"/>
        <v>11863</v>
      </c>
      <c r="AQ1344" s="8" t="s">
        <v>417</v>
      </c>
      <c r="AR1344" t="str">
        <f t="shared" si="86"/>
        <v>Oeste - A07</v>
      </c>
    </row>
    <row r="1345" spans="1:44" x14ac:dyDescent="0.2">
      <c r="A1345" s="107" t="s">
        <v>661</v>
      </c>
      <c r="B1345" s="106" t="s">
        <v>660</v>
      </c>
      <c r="C1345" s="106" t="s">
        <v>659</v>
      </c>
      <c r="D1345" s="106" t="s">
        <v>519</v>
      </c>
      <c r="E1345" s="106" t="s">
        <v>658</v>
      </c>
      <c r="F1345" s="106" t="s">
        <v>511</v>
      </c>
      <c r="G1345" s="106" t="s">
        <v>657</v>
      </c>
      <c r="H1345" s="105" t="s">
        <v>656</v>
      </c>
      <c r="I1345" s="105" t="s">
        <v>655</v>
      </c>
      <c r="J1345" s="104">
        <v>14.34</v>
      </c>
      <c r="K1345" s="103" t="s">
        <v>427</v>
      </c>
      <c r="L1345" s="102" t="s">
        <v>507</v>
      </c>
      <c r="M1345" s="95"/>
      <c r="N1345" s="14"/>
      <c r="O1345" s="94">
        <v>39</v>
      </c>
      <c r="P1345" s="14" t="s">
        <v>506</v>
      </c>
      <c r="Q1345" s="14" t="s">
        <v>497</v>
      </c>
      <c r="R1345" s="14" t="s">
        <v>496</v>
      </c>
      <c r="S1345" s="15">
        <v>7.2</v>
      </c>
      <c r="T1345" s="15">
        <v>3</v>
      </c>
      <c r="U1345" s="15">
        <v>8.14</v>
      </c>
      <c r="V1345" s="14">
        <v>2416</v>
      </c>
      <c r="W1345" s="12">
        <v>0</v>
      </c>
      <c r="X1345" s="12">
        <v>0</v>
      </c>
      <c r="Y1345" s="12">
        <v>0</v>
      </c>
      <c r="Z1345" s="12">
        <v>0</v>
      </c>
      <c r="AA1345" s="12">
        <v>14.34</v>
      </c>
      <c r="AB1345" s="13">
        <f t="shared" si="83"/>
        <v>0</v>
      </c>
      <c r="AE1345" s="12">
        <v>0</v>
      </c>
      <c r="AF1345" s="12">
        <v>0</v>
      </c>
      <c r="AG1345" s="12">
        <v>0</v>
      </c>
      <c r="AH1345" s="12">
        <v>0</v>
      </c>
      <c r="AI1345" s="12">
        <v>14.34</v>
      </c>
      <c r="AJ1345" s="13">
        <f t="shared" si="84"/>
        <v>0</v>
      </c>
      <c r="AN1345" s="12">
        <f t="shared" si="85"/>
        <v>34646</v>
      </c>
      <c r="AQ1345" s="8" t="s">
        <v>417</v>
      </c>
      <c r="AR1345" t="str">
        <f t="shared" si="86"/>
        <v>Oeste - A07</v>
      </c>
    </row>
    <row r="1346" spans="1:44" x14ac:dyDescent="0.2">
      <c r="A1346" s="107" t="s">
        <v>654</v>
      </c>
      <c r="B1346" s="106" t="s">
        <v>653</v>
      </c>
      <c r="C1346" s="106" t="s">
        <v>652</v>
      </c>
      <c r="D1346" s="106" t="s">
        <v>492</v>
      </c>
      <c r="E1346" s="106" t="s">
        <v>651</v>
      </c>
      <c r="F1346" s="106" t="s">
        <v>490</v>
      </c>
      <c r="G1346" s="106" t="s">
        <v>650</v>
      </c>
      <c r="H1346" s="105" t="s">
        <v>649</v>
      </c>
      <c r="I1346" s="105" t="s">
        <v>648</v>
      </c>
      <c r="J1346" s="104">
        <v>7.18</v>
      </c>
      <c r="K1346" s="103" t="s">
        <v>427</v>
      </c>
      <c r="L1346" s="102" t="s">
        <v>507</v>
      </c>
      <c r="M1346" s="95"/>
      <c r="N1346" s="14"/>
      <c r="O1346" s="94">
        <v>39</v>
      </c>
      <c r="P1346" s="14" t="s">
        <v>485</v>
      </c>
      <c r="Q1346" s="14" t="s">
        <v>497</v>
      </c>
      <c r="R1346" s="16" t="s">
        <v>496</v>
      </c>
      <c r="S1346" s="15">
        <v>6.6</v>
      </c>
      <c r="T1346" s="15">
        <v>0</v>
      </c>
      <c r="U1346" s="15">
        <v>0</v>
      </c>
      <c r="V1346" s="14">
        <v>348</v>
      </c>
      <c r="W1346" s="12">
        <v>0</v>
      </c>
      <c r="X1346" s="12">
        <v>0</v>
      </c>
      <c r="Y1346" s="12">
        <v>0</v>
      </c>
      <c r="Z1346" s="12">
        <v>7.18</v>
      </c>
      <c r="AA1346" s="12">
        <v>0</v>
      </c>
      <c r="AB1346" s="13">
        <f t="shared" si="83"/>
        <v>0</v>
      </c>
      <c r="AE1346" s="12">
        <v>0</v>
      </c>
      <c r="AF1346" s="12">
        <v>0</v>
      </c>
      <c r="AG1346" s="12">
        <v>0</v>
      </c>
      <c r="AH1346" s="12">
        <v>7.18</v>
      </c>
      <c r="AI1346" s="12">
        <v>0</v>
      </c>
      <c r="AJ1346" s="13">
        <f t="shared" si="84"/>
        <v>0</v>
      </c>
      <c r="AN1346" s="12">
        <f t="shared" si="85"/>
        <v>2499</v>
      </c>
      <c r="AQ1346" s="8" t="s">
        <v>417</v>
      </c>
      <c r="AR1346" t="str">
        <f t="shared" si="86"/>
        <v>Oeste - A07</v>
      </c>
    </row>
    <row r="1347" spans="1:44" x14ac:dyDescent="0.2">
      <c r="A1347" s="107" t="s">
        <v>647</v>
      </c>
      <c r="B1347" s="106" t="s">
        <v>646</v>
      </c>
      <c r="C1347" s="106" t="s">
        <v>641</v>
      </c>
      <c r="D1347" s="106" t="s">
        <v>492</v>
      </c>
      <c r="E1347" s="106" t="s">
        <v>645</v>
      </c>
      <c r="F1347" s="106" t="s">
        <v>606</v>
      </c>
      <c r="G1347" s="106" t="s">
        <v>644</v>
      </c>
      <c r="H1347" s="105" t="s">
        <v>638</v>
      </c>
      <c r="I1347" s="105" t="s">
        <v>637</v>
      </c>
      <c r="J1347" s="104">
        <v>1.46</v>
      </c>
      <c r="K1347" s="103" t="s">
        <v>426</v>
      </c>
      <c r="L1347" s="102" t="s">
        <v>533</v>
      </c>
      <c r="M1347" s="95"/>
      <c r="N1347" s="14"/>
      <c r="O1347" s="94">
        <v>28</v>
      </c>
      <c r="P1347" s="14" t="s">
        <v>596</v>
      </c>
      <c r="Q1347" s="14" t="s">
        <v>497</v>
      </c>
      <c r="R1347" s="14" t="s">
        <v>496</v>
      </c>
      <c r="S1347" s="15">
        <v>7</v>
      </c>
      <c r="T1347" s="15">
        <v>0</v>
      </c>
      <c r="U1347" s="15">
        <v>0</v>
      </c>
      <c r="V1347" s="14">
        <v>300</v>
      </c>
      <c r="W1347" s="12">
        <v>0</v>
      </c>
      <c r="X1347" s="12">
        <v>0</v>
      </c>
      <c r="Y1347" s="12">
        <v>1.46</v>
      </c>
      <c r="Z1347" s="12">
        <v>0</v>
      </c>
      <c r="AA1347" s="12">
        <v>0</v>
      </c>
      <c r="AB1347" s="13">
        <f t="shared" si="83"/>
        <v>0</v>
      </c>
      <c r="AE1347" s="12">
        <v>0</v>
      </c>
      <c r="AF1347" s="12">
        <v>0</v>
      </c>
      <c r="AG1347" s="12">
        <v>1.46</v>
      </c>
      <c r="AH1347" s="12">
        <v>0</v>
      </c>
      <c r="AI1347" s="12">
        <v>0</v>
      </c>
      <c r="AJ1347" s="13">
        <f t="shared" si="84"/>
        <v>0</v>
      </c>
      <c r="AN1347" s="12">
        <f t="shared" si="85"/>
        <v>438</v>
      </c>
      <c r="AQ1347" s="8" t="s">
        <v>418</v>
      </c>
      <c r="AR1347" t="str">
        <f t="shared" si="86"/>
        <v>Noroeste - A06</v>
      </c>
    </row>
    <row r="1348" spans="1:44" x14ac:dyDescent="0.2">
      <c r="A1348" s="107" t="s">
        <v>643</v>
      </c>
      <c r="B1348" s="106" t="s">
        <v>642</v>
      </c>
      <c r="C1348" s="106" t="s">
        <v>641</v>
      </c>
      <c r="D1348" s="106" t="s">
        <v>492</v>
      </c>
      <c r="E1348" s="106" t="s">
        <v>640</v>
      </c>
      <c r="F1348" s="106" t="s">
        <v>600</v>
      </c>
      <c r="G1348" s="106" t="s">
        <v>639</v>
      </c>
      <c r="H1348" s="105" t="s">
        <v>638</v>
      </c>
      <c r="I1348" s="105" t="s">
        <v>637</v>
      </c>
      <c r="J1348" s="104">
        <v>1.46</v>
      </c>
      <c r="K1348" s="103" t="s">
        <v>426</v>
      </c>
      <c r="L1348" s="102" t="s">
        <v>533</v>
      </c>
      <c r="M1348" s="95"/>
      <c r="N1348" s="14"/>
      <c r="O1348" s="94">
        <v>28</v>
      </c>
      <c r="P1348" s="14" t="s">
        <v>596</v>
      </c>
      <c r="Q1348" s="14" t="s">
        <v>497</v>
      </c>
      <c r="R1348" s="14" t="s">
        <v>496</v>
      </c>
      <c r="S1348" s="15">
        <v>7</v>
      </c>
      <c r="T1348" s="15">
        <v>0</v>
      </c>
      <c r="U1348" s="15">
        <v>0</v>
      </c>
      <c r="V1348" s="14">
        <v>300</v>
      </c>
      <c r="W1348" s="12">
        <v>0</v>
      </c>
      <c r="X1348" s="12">
        <v>0</v>
      </c>
      <c r="Y1348" s="12">
        <v>1.46</v>
      </c>
      <c r="Z1348" s="12">
        <v>0</v>
      </c>
      <c r="AA1348" s="12">
        <v>0</v>
      </c>
      <c r="AB1348" s="13">
        <f t="shared" si="83"/>
        <v>0</v>
      </c>
      <c r="AE1348" s="12">
        <v>0</v>
      </c>
      <c r="AF1348" s="12">
        <v>0</v>
      </c>
      <c r="AG1348" s="12">
        <v>1.46</v>
      </c>
      <c r="AH1348" s="12">
        <v>0</v>
      </c>
      <c r="AI1348" s="12">
        <v>0</v>
      </c>
      <c r="AJ1348" s="13">
        <f t="shared" si="84"/>
        <v>0</v>
      </c>
      <c r="AN1348" s="12">
        <f t="shared" si="85"/>
        <v>438</v>
      </c>
      <c r="AQ1348" s="8" t="s">
        <v>418</v>
      </c>
      <c r="AR1348" t="str">
        <f t="shared" si="86"/>
        <v>Noroeste - A06</v>
      </c>
    </row>
    <row r="1349" spans="1:44" x14ac:dyDescent="0.2">
      <c r="A1349" s="107" t="s">
        <v>636</v>
      </c>
      <c r="B1349" s="106" t="s">
        <v>635</v>
      </c>
      <c r="C1349" s="106" t="s">
        <v>634</v>
      </c>
      <c r="D1349" s="106" t="s">
        <v>633</v>
      </c>
      <c r="E1349" s="106" t="s">
        <v>632</v>
      </c>
      <c r="F1349" s="106" t="s">
        <v>490</v>
      </c>
      <c r="G1349" s="106" t="s">
        <v>631</v>
      </c>
      <c r="H1349" s="105" t="s">
        <v>488</v>
      </c>
      <c r="I1349" s="105" t="s">
        <v>630</v>
      </c>
      <c r="J1349" s="104">
        <v>2.15</v>
      </c>
      <c r="K1349" s="103" t="s">
        <v>424</v>
      </c>
      <c r="L1349" s="102" t="s">
        <v>533</v>
      </c>
      <c r="M1349" s="95"/>
      <c r="N1349" s="14"/>
      <c r="O1349" s="94">
        <v>26</v>
      </c>
      <c r="P1349" s="14" t="s">
        <v>485</v>
      </c>
      <c r="Q1349" s="14" t="s">
        <v>505</v>
      </c>
      <c r="R1349" s="14" t="s">
        <v>496</v>
      </c>
      <c r="S1349" s="15">
        <v>7.3</v>
      </c>
      <c r="T1349" s="15">
        <v>2.8</v>
      </c>
      <c r="U1349" s="15">
        <v>0</v>
      </c>
      <c r="V1349" s="14">
        <v>1022</v>
      </c>
      <c r="W1349" s="12">
        <v>0</v>
      </c>
      <c r="X1349" s="12">
        <v>0</v>
      </c>
      <c r="Y1349" s="12">
        <v>0</v>
      </c>
      <c r="Z1349" s="12">
        <v>2.15</v>
      </c>
      <c r="AA1349" s="12">
        <v>0</v>
      </c>
      <c r="AB1349" s="13">
        <f t="shared" si="83"/>
        <v>0</v>
      </c>
      <c r="AE1349" s="12">
        <v>0</v>
      </c>
      <c r="AF1349" s="12">
        <v>0</v>
      </c>
      <c r="AG1349" s="12">
        <v>0</v>
      </c>
      <c r="AH1349" s="12">
        <v>2.15</v>
      </c>
      <c r="AI1349" s="12">
        <v>0</v>
      </c>
      <c r="AJ1349" s="13">
        <f t="shared" si="84"/>
        <v>0</v>
      </c>
      <c r="AN1349" s="12">
        <f t="shared" si="85"/>
        <v>2198</v>
      </c>
      <c r="AQ1349" s="8" t="s">
        <v>418</v>
      </c>
      <c r="AR1349" t="str">
        <f t="shared" si="86"/>
        <v>Noroeste - A04</v>
      </c>
    </row>
    <row r="1350" spans="1:44" x14ac:dyDescent="0.2">
      <c r="A1350" s="107" t="s">
        <v>629</v>
      </c>
      <c r="B1350" s="106" t="s">
        <v>628</v>
      </c>
      <c r="C1350" s="106" t="s">
        <v>627</v>
      </c>
      <c r="D1350" s="106" t="s">
        <v>492</v>
      </c>
      <c r="E1350" s="106" t="s">
        <v>626</v>
      </c>
      <c r="F1350" s="106" t="s">
        <v>490</v>
      </c>
      <c r="G1350" s="106" t="s">
        <v>625</v>
      </c>
      <c r="H1350" s="105" t="s">
        <v>624</v>
      </c>
      <c r="I1350" s="105" t="s">
        <v>623</v>
      </c>
      <c r="J1350" s="104">
        <v>1.06</v>
      </c>
      <c r="K1350" s="103" t="s">
        <v>421</v>
      </c>
      <c r="L1350" s="102" t="s">
        <v>533</v>
      </c>
      <c r="M1350" s="95"/>
      <c r="N1350" s="14"/>
      <c r="O1350" s="94">
        <v>23</v>
      </c>
      <c r="P1350" s="14" t="s">
        <v>485</v>
      </c>
      <c r="Q1350" s="14" t="s">
        <v>561</v>
      </c>
      <c r="R1350" s="14" t="s">
        <v>585</v>
      </c>
      <c r="S1350" s="15">
        <v>6.7857142857142856</v>
      </c>
      <c r="T1350" s="15">
        <v>1</v>
      </c>
      <c r="U1350" s="15">
        <v>0</v>
      </c>
      <c r="V1350" s="14">
        <v>420</v>
      </c>
      <c r="W1350" s="12">
        <v>0</v>
      </c>
      <c r="X1350" s="12">
        <v>0</v>
      </c>
      <c r="Y1350" s="12">
        <v>0</v>
      </c>
      <c r="Z1350" s="12">
        <v>1.06</v>
      </c>
      <c r="AA1350" s="12">
        <v>0</v>
      </c>
      <c r="AB1350" s="13">
        <f t="shared" ref="AB1350:AB1368" si="87">SUM(W1350:AA1350)-J1350</f>
        <v>0</v>
      </c>
      <c r="AE1350" s="12">
        <v>0</v>
      </c>
      <c r="AF1350" s="12">
        <v>0</v>
      </c>
      <c r="AG1350" s="12">
        <v>0</v>
      </c>
      <c r="AH1350" s="12">
        <v>1.06</v>
      </c>
      <c r="AI1350" s="12">
        <v>0</v>
      </c>
      <c r="AJ1350" s="13">
        <f t="shared" ref="AJ1350:AJ1368" si="88">SUM(AE1350:AI1350)-J1350</f>
        <v>0</v>
      </c>
      <c r="AN1350" s="12">
        <f t="shared" ref="AN1350:AN1368" si="89">ROUNDUP(V1350*J1350,0)</f>
        <v>446</v>
      </c>
      <c r="AQ1350" s="8" t="s">
        <v>418</v>
      </c>
      <c r="AR1350" t="str">
        <f t="shared" ref="AR1350:AR1368" si="90">AQ1350&amp;" - "&amp;K1350</f>
        <v>Noroeste - A01</v>
      </c>
    </row>
    <row r="1351" spans="1:44" x14ac:dyDescent="0.2">
      <c r="A1351" s="107" t="s">
        <v>622</v>
      </c>
      <c r="B1351" s="106" t="s">
        <v>621</v>
      </c>
      <c r="C1351" s="106" t="s">
        <v>620</v>
      </c>
      <c r="D1351" s="106" t="s">
        <v>492</v>
      </c>
      <c r="E1351" s="106" t="s">
        <v>619</v>
      </c>
      <c r="F1351" s="106" t="s">
        <v>490</v>
      </c>
      <c r="G1351" s="106" t="s">
        <v>618</v>
      </c>
      <c r="H1351" s="105" t="s">
        <v>598</v>
      </c>
      <c r="I1351" s="105" t="s">
        <v>617</v>
      </c>
      <c r="J1351" s="104">
        <v>2.3199999999999998</v>
      </c>
      <c r="K1351" s="103" t="s">
        <v>424</v>
      </c>
      <c r="L1351" s="102" t="s">
        <v>533</v>
      </c>
      <c r="M1351" s="95"/>
      <c r="N1351" s="14"/>
      <c r="O1351" s="94">
        <v>26</v>
      </c>
      <c r="P1351" s="14" t="s">
        <v>485</v>
      </c>
      <c r="Q1351" s="14" t="s">
        <v>505</v>
      </c>
      <c r="R1351" s="14" t="s">
        <v>496</v>
      </c>
      <c r="S1351" s="15">
        <v>6.9</v>
      </c>
      <c r="T1351" s="15">
        <v>4.2</v>
      </c>
      <c r="U1351" s="15">
        <v>0</v>
      </c>
      <c r="V1351" s="14">
        <v>460</v>
      </c>
      <c r="W1351" s="12">
        <v>0</v>
      </c>
      <c r="X1351" s="12">
        <v>1</v>
      </c>
      <c r="Y1351" s="12">
        <v>1.3199999999999998</v>
      </c>
      <c r="Z1351" s="12">
        <v>0</v>
      </c>
      <c r="AA1351" s="12">
        <v>0</v>
      </c>
      <c r="AB1351" s="13">
        <f t="shared" si="87"/>
        <v>0</v>
      </c>
      <c r="AE1351" s="12">
        <v>0</v>
      </c>
      <c r="AF1351" s="12">
        <v>1</v>
      </c>
      <c r="AG1351" s="12">
        <v>1.3199999999999998</v>
      </c>
      <c r="AH1351" s="12">
        <v>0</v>
      </c>
      <c r="AI1351" s="12">
        <v>0</v>
      </c>
      <c r="AJ1351" s="13">
        <f t="shared" si="88"/>
        <v>0</v>
      </c>
      <c r="AN1351" s="12">
        <f t="shared" si="89"/>
        <v>1068</v>
      </c>
      <c r="AQ1351" s="8" t="s">
        <v>418</v>
      </c>
      <c r="AR1351" t="str">
        <f t="shared" si="90"/>
        <v>Noroeste - A04</v>
      </c>
    </row>
    <row r="1352" spans="1:44" x14ac:dyDescent="0.2">
      <c r="A1352" s="107" t="s">
        <v>616</v>
      </c>
      <c r="B1352" s="106" t="s">
        <v>615</v>
      </c>
      <c r="C1352" s="106" t="s">
        <v>614</v>
      </c>
      <c r="D1352" s="106" t="s">
        <v>492</v>
      </c>
      <c r="E1352" s="106" t="s">
        <v>613</v>
      </c>
      <c r="F1352" s="106" t="s">
        <v>490</v>
      </c>
      <c r="G1352" s="106" t="s">
        <v>612</v>
      </c>
      <c r="H1352" s="105" t="s">
        <v>611</v>
      </c>
      <c r="I1352" s="105" t="s">
        <v>610</v>
      </c>
      <c r="J1352" s="104">
        <v>3.54</v>
      </c>
      <c r="K1352" s="103" t="s">
        <v>421</v>
      </c>
      <c r="L1352" s="102" t="s">
        <v>486</v>
      </c>
      <c r="M1352" s="95"/>
      <c r="N1352" s="14"/>
      <c r="O1352" s="94">
        <v>13</v>
      </c>
      <c r="P1352" s="14" t="s">
        <v>485</v>
      </c>
      <c r="Q1352" s="14" t="s">
        <v>497</v>
      </c>
      <c r="R1352" s="14" t="s">
        <v>496</v>
      </c>
      <c r="S1352" s="15">
        <v>6.9</v>
      </c>
      <c r="T1352" s="15">
        <v>1.2</v>
      </c>
      <c r="U1352" s="15">
        <v>0</v>
      </c>
      <c r="V1352" s="14">
        <v>1074</v>
      </c>
      <c r="W1352" s="12">
        <v>0</v>
      </c>
      <c r="X1352" s="12">
        <v>0</v>
      </c>
      <c r="Y1352" s="12">
        <v>3.54</v>
      </c>
      <c r="Z1352" s="12">
        <v>0</v>
      </c>
      <c r="AA1352" s="12">
        <v>0</v>
      </c>
      <c r="AB1352" s="13">
        <f t="shared" si="87"/>
        <v>0</v>
      </c>
      <c r="AE1352" s="12">
        <v>0</v>
      </c>
      <c r="AF1352" s="12">
        <v>0</v>
      </c>
      <c r="AG1352" s="12">
        <v>3.54</v>
      </c>
      <c r="AH1352" s="12">
        <v>0</v>
      </c>
      <c r="AI1352" s="12">
        <v>0</v>
      </c>
      <c r="AJ1352" s="13">
        <f t="shared" si="88"/>
        <v>0</v>
      </c>
      <c r="AN1352" s="12">
        <f t="shared" si="89"/>
        <v>3802</v>
      </c>
      <c r="AQ1352" s="8" t="s">
        <v>419</v>
      </c>
      <c r="AR1352" t="str">
        <f t="shared" si="90"/>
        <v>Norte - A01</v>
      </c>
    </row>
    <row r="1353" spans="1:44" x14ac:dyDescent="0.2">
      <c r="A1353" s="107" t="s">
        <v>609</v>
      </c>
      <c r="B1353" s="106" t="s">
        <v>608</v>
      </c>
      <c r="C1353" s="106" t="s">
        <v>593</v>
      </c>
      <c r="D1353" s="106" t="s">
        <v>492</v>
      </c>
      <c r="E1353" s="106" t="s">
        <v>607</v>
      </c>
      <c r="F1353" s="106" t="s">
        <v>606</v>
      </c>
      <c r="G1353" s="106" t="s">
        <v>605</v>
      </c>
      <c r="H1353" s="105" t="s">
        <v>598</v>
      </c>
      <c r="I1353" s="105" t="s">
        <v>604</v>
      </c>
      <c r="J1353" s="104">
        <v>1.05</v>
      </c>
      <c r="K1353" s="103" t="s">
        <v>424</v>
      </c>
      <c r="L1353" s="102" t="s">
        <v>533</v>
      </c>
      <c r="M1353" s="95"/>
      <c r="N1353" s="14"/>
      <c r="O1353" s="94">
        <v>26</v>
      </c>
      <c r="P1353" s="14" t="s">
        <v>596</v>
      </c>
      <c r="Q1353" s="14" t="s">
        <v>561</v>
      </c>
      <c r="R1353" s="14" t="s">
        <v>585</v>
      </c>
      <c r="S1353" s="15">
        <v>9.8428571428571434</v>
      </c>
      <c r="T1353" s="15">
        <v>1</v>
      </c>
      <c r="U1353" s="15">
        <v>0</v>
      </c>
      <c r="V1353" s="14">
        <v>300</v>
      </c>
      <c r="W1353" s="12">
        <v>0</v>
      </c>
      <c r="X1353" s="12">
        <v>0</v>
      </c>
      <c r="Y1353" s="12">
        <v>0</v>
      </c>
      <c r="Z1353" s="12">
        <v>1.05</v>
      </c>
      <c r="AA1353" s="12">
        <v>0</v>
      </c>
      <c r="AB1353" s="13">
        <f t="shared" si="87"/>
        <v>0</v>
      </c>
      <c r="AE1353" s="12">
        <v>0</v>
      </c>
      <c r="AF1353" s="12">
        <v>0</v>
      </c>
      <c r="AG1353" s="12">
        <v>0</v>
      </c>
      <c r="AH1353" s="12">
        <v>1.05</v>
      </c>
      <c r="AI1353" s="12">
        <v>0</v>
      </c>
      <c r="AJ1353" s="13">
        <f t="shared" si="88"/>
        <v>0</v>
      </c>
      <c r="AN1353" s="12">
        <f t="shared" si="89"/>
        <v>315</v>
      </c>
      <c r="AQ1353" s="8" t="s">
        <v>418</v>
      </c>
      <c r="AR1353" t="str">
        <f t="shared" si="90"/>
        <v>Noroeste - A04</v>
      </c>
    </row>
    <row r="1354" spans="1:44" x14ac:dyDescent="0.2">
      <c r="A1354" s="107" t="s">
        <v>603</v>
      </c>
      <c r="B1354" s="106" t="s">
        <v>602</v>
      </c>
      <c r="C1354" s="106" t="s">
        <v>593</v>
      </c>
      <c r="D1354" s="106" t="s">
        <v>492</v>
      </c>
      <c r="E1354" s="106" t="s">
        <v>601</v>
      </c>
      <c r="F1354" s="106" t="s">
        <v>600</v>
      </c>
      <c r="G1354" s="106" t="s">
        <v>599</v>
      </c>
      <c r="H1354" s="105" t="s">
        <v>598</v>
      </c>
      <c r="I1354" s="105" t="s">
        <v>597</v>
      </c>
      <c r="J1354" s="104">
        <v>1.05</v>
      </c>
      <c r="K1354" s="103" t="s">
        <v>424</v>
      </c>
      <c r="L1354" s="102" t="s">
        <v>533</v>
      </c>
      <c r="M1354" s="95"/>
      <c r="N1354" s="14"/>
      <c r="O1354" s="94">
        <v>26</v>
      </c>
      <c r="P1354" s="14" t="s">
        <v>596</v>
      </c>
      <c r="Q1354" s="14" t="s">
        <v>561</v>
      </c>
      <c r="R1354" s="14" t="s">
        <v>585</v>
      </c>
      <c r="S1354" s="15">
        <v>9.8428571428571434</v>
      </c>
      <c r="T1354" s="15">
        <v>1</v>
      </c>
      <c r="U1354" s="15">
        <v>0</v>
      </c>
      <c r="V1354" s="14">
        <v>300</v>
      </c>
      <c r="W1354" s="12">
        <v>0</v>
      </c>
      <c r="X1354" s="12">
        <v>0</v>
      </c>
      <c r="Y1354" s="12">
        <v>0</v>
      </c>
      <c r="Z1354" s="12">
        <v>1.05</v>
      </c>
      <c r="AA1354" s="12">
        <v>0</v>
      </c>
      <c r="AB1354" s="13">
        <f t="shared" si="87"/>
        <v>0</v>
      </c>
      <c r="AE1354" s="12">
        <v>0</v>
      </c>
      <c r="AF1354" s="12">
        <v>0</v>
      </c>
      <c r="AG1354" s="12">
        <v>0</v>
      </c>
      <c r="AH1354" s="12">
        <v>1.05</v>
      </c>
      <c r="AI1354" s="12">
        <v>0</v>
      </c>
      <c r="AJ1354" s="13">
        <f t="shared" si="88"/>
        <v>0</v>
      </c>
      <c r="AN1354" s="12">
        <f t="shared" si="89"/>
        <v>315</v>
      </c>
      <c r="AQ1354" s="8" t="s">
        <v>418</v>
      </c>
      <c r="AR1354" t="str">
        <f t="shared" si="90"/>
        <v>Noroeste - A04</v>
      </c>
    </row>
    <row r="1355" spans="1:44" x14ac:dyDescent="0.2">
      <c r="A1355" s="107" t="s">
        <v>595</v>
      </c>
      <c r="B1355" s="106" t="s">
        <v>594</v>
      </c>
      <c r="C1355" s="106" t="s">
        <v>593</v>
      </c>
      <c r="D1355" s="106" t="s">
        <v>592</v>
      </c>
      <c r="E1355" s="106" t="s">
        <v>591</v>
      </c>
      <c r="F1355" s="106" t="s">
        <v>590</v>
      </c>
      <c r="G1355" s="106" t="s">
        <v>589</v>
      </c>
      <c r="H1355" s="105" t="s">
        <v>588</v>
      </c>
      <c r="I1355" s="105" t="s">
        <v>587</v>
      </c>
      <c r="J1355" s="104">
        <v>0.82</v>
      </c>
      <c r="K1355" s="103" t="s">
        <v>424</v>
      </c>
      <c r="L1355" s="102" t="s">
        <v>533</v>
      </c>
      <c r="M1355" s="95"/>
      <c r="N1355" s="14"/>
      <c r="O1355" s="94">
        <v>26</v>
      </c>
      <c r="P1355" s="14" t="s">
        <v>586</v>
      </c>
      <c r="Q1355" s="14" t="s">
        <v>561</v>
      </c>
      <c r="R1355" s="14" t="s">
        <v>585</v>
      </c>
      <c r="S1355" s="15">
        <v>8.33</v>
      </c>
      <c r="T1355" s="15">
        <v>0</v>
      </c>
      <c r="U1355" s="15">
        <v>0</v>
      </c>
      <c r="V1355" s="14">
        <v>778</v>
      </c>
      <c r="W1355" s="12">
        <v>0</v>
      </c>
      <c r="X1355" s="12">
        <v>0</v>
      </c>
      <c r="Y1355" s="12">
        <v>0</v>
      </c>
      <c r="Z1355" s="12">
        <v>0.82</v>
      </c>
      <c r="AA1355" s="12">
        <v>0</v>
      </c>
      <c r="AB1355" s="13">
        <f t="shared" si="87"/>
        <v>0</v>
      </c>
      <c r="AE1355" s="12">
        <v>0</v>
      </c>
      <c r="AF1355" s="12">
        <v>0</v>
      </c>
      <c r="AG1355" s="12">
        <v>0</v>
      </c>
      <c r="AH1355" s="12">
        <v>0.82</v>
      </c>
      <c r="AI1355" s="12">
        <v>0</v>
      </c>
      <c r="AJ1355" s="13">
        <f t="shared" si="88"/>
        <v>0</v>
      </c>
      <c r="AN1355" s="12">
        <f t="shared" si="89"/>
        <v>638</v>
      </c>
      <c r="AQ1355" s="8" t="s">
        <v>418</v>
      </c>
      <c r="AR1355" t="str">
        <f t="shared" si="90"/>
        <v>Noroeste - A04</v>
      </c>
    </row>
    <row r="1356" spans="1:44" x14ac:dyDescent="0.2">
      <c r="A1356" s="107" t="s">
        <v>584</v>
      </c>
      <c r="B1356" s="106" t="s">
        <v>583</v>
      </c>
      <c r="C1356" s="106" t="s">
        <v>582</v>
      </c>
      <c r="D1356" s="106" t="s">
        <v>492</v>
      </c>
      <c r="E1356" s="106" t="s">
        <v>581</v>
      </c>
      <c r="F1356" s="106" t="s">
        <v>490</v>
      </c>
      <c r="G1356" s="106" t="s">
        <v>580</v>
      </c>
      <c r="H1356" s="105" t="s">
        <v>579</v>
      </c>
      <c r="I1356" s="105" t="s">
        <v>578</v>
      </c>
      <c r="J1356" s="104">
        <v>7.01</v>
      </c>
      <c r="K1356" s="103" t="s">
        <v>422</v>
      </c>
      <c r="L1356" s="102" t="s">
        <v>577</v>
      </c>
      <c r="M1356" s="95"/>
      <c r="N1356" s="14"/>
      <c r="O1356" s="94">
        <v>7</v>
      </c>
      <c r="P1356" s="14" t="s">
        <v>485</v>
      </c>
      <c r="Q1356" s="14" t="s">
        <v>561</v>
      </c>
      <c r="R1356" s="14" t="s">
        <v>576</v>
      </c>
      <c r="S1356" s="15">
        <v>6.8</v>
      </c>
      <c r="T1356" s="15">
        <v>0</v>
      </c>
      <c r="U1356" s="15">
        <v>0</v>
      </c>
      <c r="V1356" s="14">
        <v>675</v>
      </c>
      <c r="W1356" s="12">
        <v>0</v>
      </c>
      <c r="X1356" s="12">
        <v>0</v>
      </c>
      <c r="Y1356" s="12">
        <v>2.0099999999999998</v>
      </c>
      <c r="Z1356" s="12">
        <v>5</v>
      </c>
      <c r="AA1356" s="12">
        <v>0</v>
      </c>
      <c r="AB1356" s="13">
        <f t="shared" si="87"/>
        <v>0</v>
      </c>
      <c r="AE1356" s="12">
        <v>0</v>
      </c>
      <c r="AF1356" s="12">
        <v>0</v>
      </c>
      <c r="AG1356" s="12">
        <v>2.0099999999999998</v>
      </c>
      <c r="AH1356" s="12">
        <v>5</v>
      </c>
      <c r="AI1356" s="12">
        <v>0</v>
      </c>
      <c r="AJ1356" s="13">
        <f t="shared" si="88"/>
        <v>0</v>
      </c>
      <c r="AN1356" s="12">
        <f t="shared" si="89"/>
        <v>4732</v>
      </c>
      <c r="AQ1356" s="8" t="s">
        <v>420</v>
      </c>
      <c r="AR1356" t="str">
        <f t="shared" si="90"/>
        <v>Campos Gerais - A02</v>
      </c>
    </row>
    <row r="1357" spans="1:44" x14ac:dyDescent="0.2">
      <c r="A1357" s="107" t="s">
        <v>575</v>
      </c>
      <c r="B1357" s="106" t="s">
        <v>574</v>
      </c>
      <c r="C1357" s="106" t="s">
        <v>573</v>
      </c>
      <c r="D1357" s="106" t="s">
        <v>492</v>
      </c>
      <c r="E1357" s="106" t="s">
        <v>572</v>
      </c>
      <c r="F1357" s="106" t="s">
        <v>490</v>
      </c>
      <c r="G1357" s="106" t="s">
        <v>571</v>
      </c>
      <c r="H1357" s="105" t="s">
        <v>570</v>
      </c>
      <c r="I1357" s="105" t="s">
        <v>569</v>
      </c>
      <c r="J1357" s="104">
        <v>4.53</v>
      </c>
      <c r="K1357" s="103" t="s">
        <v>428</v>
      </c>
      <c r="L1357" s="102" t="s">
        <v>486</v>
      </c>
      <c r="M1357" s="95"/>
      <c r="N1357" s="14"/>
      <c r="O1357" s="94">
        <v>20</v>
      </c>
      <c r="P1357" s="14" t="s">
        <v>485</v>
      </c>
      <c r="Q1357" s="14" t="s">
        <v>497</v>
      </c>
      <c r="R1357" s="14" t="s">
        <v>496</v>
      </c>
      <c r="S1357" s="15">
        <v>7</v>
      </c>
      <c r="T1357" s="15">
        <v>1</v>
      </c>
      <c r="U1357" s="15">
        <v>0</v>
      </c>
      <c r="V1357" s="14">
        <v>1831</v>
      </c>
      <c r="W1357" s="12">
        <v>0</v>
      </c>
      <c r="X1357" s="12">
        <v>0</v>
      </c>
      <c r="Y1357" s="12">
        <v>4.53</v>
      </c>
      <c r="Z1357" s="12">
        <v>0</v>
      </c>
      <c r="AA1357" s="12">
        <v>0</v>
      </c>
      <c r="AB1357" s="13">
        <f t="shared" si="87"/>
        <v>0</v>
      </c>
      <c r="AE1357" s="12">
        <v>0</v>
      </c>
      <c r="AF1357" s="12">
        <v>0</v>
      </c>
      <c r="AG1357" s="12">
        <v>4.53</v>
      </c>
      <c r="AH1357" s="12">
        <v>0</v>
      </c>
      <c r="AI1357" s="12">
        <v>0</v>
      </c>
      <c r="AJ1357" s="13">
        <f t="shared" si="88"/>
        <v>0</v>
      </c>
      <c r="AN1357" s="12">
        <f t="shared" si="89"/>
        <v>8295</v>
      </c>
      <c r="AQ1357" s="8" t="s">
        <v>419</v>
      </c>
      <c r="AR1357" t="str">
        <f t="shared" si="90"/>
        <v>Norte - A08</v>
      </c>
    </row>
    <row r="1358" spans="1:44" x14ac:dyDescent="0.2">
      <c r="A1358" s="107" t="s">
        <v>568</v>
      </c>
      <c r="B1358" s="106" t="s">
        <v>567</v>
      </c>
      <c r="C1358" s="106" t="s">
        <v>566</v>
      </c>
      <c r="D1358" s="106" t="s">
        <v>492</v>
      </c>
      <c r="E1358" s="106" t="s">
        <v>565</v>
      </c>
      <c r="F1358" s="106" t="s">
        <v>490</v>
      </c>
      <c r="G1358" s="106" t="s">
        <v>564</v>
      </c>
      <c r="H1358" s="105" t="s">
        <v>563</v>
      </c>
      <c r="I1358" s="105" t="s">
        <v>562</v>
      </c>
      <c r="J1358" s="104">
        <v>2.14</v>
      </c>
      <c r="K1358" s="103" t="s">
        <v>428</v>
      </c>
      <c r="L1358" s="102" t="s">
        <v>486</v>
      </c>
      <c r="M1358" s="95"/>
      <c r="N1358" s="14"/>
      <c r="O1358" s="94">
        <v>20</v>
      </c>
      <c r="P1358" s="14" t="s">
        <v>485</v>
      </c>
      <c r="Q1358" s="14" t="s">
        <v>561</v>
      </c>
      <c r="R1358" s="14" t="s">
        <v>496</v>
      </c>
      <c r="S1358" s="15">
        <v>6.8</v>
      </c>
      <c r="T1358" s="15">
        <v>0</v>
      </c>
      <c r="U1358" s="15">
        <v>0</v>
      </c>
      <c r="V1358" s="14">
        <v>1384</v>
      </c>
      <c r="W1358" s="12">
        <v>0</v>
      </c>
      <c r="X1358" s="12">
        <v>0</v>
      </c>
      <c r="Y1358" s="12">
        <v>0.14000000000000012</v>
      </c>
      <c r="Z1358" s="12">
        <v>2</v>
      </c>
      <c r="AA1358" s="12">
        <v>0</v>
      </c>
      <c r="AB1358" s="13">
        <f t="shared" si="87"/>
        <v>0</v>
      </c>
      <c r="AE1358" s="12">
        <v>0</v>
      </c>
      <c r="AF1358" s="12">
        <v>0</v>
      </c>
      <c r="AG1358" s="12">
        <v>0.14000000000000012</v>
      </c>
      <c r="AH1358" s="12">
        <v>2</v>
      </c>
      <c r="AI1358" s="12">
        <v>0</v>
      </c>
      <c r="AJ1358" s="13">
        <f t="shared" si="88"/>
        <v>0</v>
      </c>
      <c r="AN1358" s="12">
        <f t="shared" si="89"/>
        <v>2962</v>
      </c>
      <c r="AQ1358" s="8" t="s">
        <v>419</v>
      </c>
      <c r="AR1358" t="str">
        <f t="shared" si="90"/>
        <v>Norte - A08</v>
      </c>
    </row>
    <row r="1359" spans="1:44" x14ac:dyDescent="0.2">
      <c r="A1359" s="107" t="s">
        <v>560</v>
      </c>
      <c r="B1359" s="106" t="s">
        <v>559</v>
      </c>
      <c r="C1359" s="106" t="s">
        <v>558</v>
      </c>
      <c r="D1359" s="106" t="s">
        <v>492</v>
      </c>
      <c r="E1359" s="106" t="s">
        <v>557</v>
      </c>
      <c r="F1359" s="106" t="s">
        <v>490</v>
      </c>
      <c r="G1359" s="106" t="s">
        <v>556</v>
      </c>
      <c r="H1359" s="105" t="s">
        <v>555</v>
      </c>
      <c r="I1359" s="105" t="s">
        <v>554</v>
      </c>
      <c r="J1359" s="104">
        <v>1.1200000000000001</v>
      </c>
      <c r="K1359" s="103" t="s">
        <v>428</v>
      </c>
      <c r="L1359" s="102" t="s">
        <v>486</v>
      </c>
      <c r="M1359" s="95"/>
      <c r="N1359" s="14"/>
      <c r="O1359" s="94">
        <v>20</v>
      </c>
      <c r="P1359" s="14" t="s">
        <v>485</v>
      </c>
      <c r="Q1359" s="14" t="s">
        <v>497</v>
      </c>
      <c r="R1359" s="14" t="s">
        <v>496</v>
      </c>
      <c r="S1359" s="15">
        <v>6.8</v>
      </c>
      <c r="T1359" s="15">
        <v>1.2</v>
      </c>
      <c r="U1359" s="15">
        <v>0</v>
      </c>
      <c r="V1359" s="14">
        <v>2663</v>
      </c>
      <c r="W1359" s="12">
        <v>0</v>
      </c>
      <c r="X1359" s="12">
        <v>0</v>
      </c>
      <c r="Y1359" s="12">
        <v>0</v>
      </c>
      <c r="Z1359" s="12">
        <v>1.1200000000000001</v>
      </c>
      <c r="AA1359" s="12">
        <v>0</v>
      </c>
      <c r="AB1359" s="13">
        <f t="shared" si="87"/>
        <v>0</v>
      </c>
      <c r="AE1359" s="12">
        <v>0</v>
      </c>
      <c r="AF1359" s="12">
        <v>0</v>
      </c>
      <c r="AG1359" s="12">
        <v>0</v>
      </c>
      <c r="AH1359" s="12">
        <v>1.1200000000000001</v>
      </c>
      <c r="AI1359" s="12">
        <v>0</v>
      </c>
      <c r="AJ1359" s="13">
        <f t="shared" si="88"/>
        <v>0</v>
      </c>
      <c r="AN1359" s="12">
        <f t="shared" si="89"/>
        <v>2983</v>
      </c>
      <c r="AQ1359" s="8" t="s">
        <v>419</v>
      </c>
      <c r="AR1359" t="str">
        <f t="shared" si="90"/>
        <v>Norte - A08</v>
      </c>
    </row>
    <row r="1360" spans="1:44" x14ac:dyDescent="0.2">
      <c r="A1360" s="107" t="s">
        <v>553</v>
      </c>
      <c r="B1360" s="106" t="s">
        <v>552</v>
      </c>
      <c r="C1360" s="106" t="s">
        <v>551</v>
      </c>
      <c r="D1360" s="106" t="s">
        <v>492</v>
      </c>
      <c r="E1360" s="106" t="s">
        <v>550</v>
      </c>
      <c r="F1360" s="106" t="s">
        <v>490</v>
      </c>
      <c r="G1360" s="106" t="s">
        <v>549</v>
      </c>
      <c r="H1360" s="105" t="s">
        <v>548</v>
      </c>
      <c r="I1360" s="105" t="s">
        <v>547</v>
      </c>
      <c r="J1360" s="104">
        <v>9.49</v>
      </c>
      <c r="K1360" s="103" t="s">
        <v>425</v>
      </c>
      <c r="L1360" s="102" t="s">
        <v>486</v>
      </c>
      <c r="M1360" s="95"/>
      <c r="N1360" s="14"/>
      <c r="O1360" s="94">
        <v>17</v>
      </c>
      <c r="P1360" s="14" t="s">
        <v>485</v>
      </c>
      <c r="Q1360" s="14" t="s">
        <v>505</v>
      </c>
      <c r="R1360" s="14" t="s">
        <v>496</v>
      </c>
      <c r="S1360" s="15">
        <v>6</v>
      </c>
      <c r="T1360" s="15">
        <v>0.5</v>
      </c>
      <c r="U1360" s="15">
        <v>0</v>
      </c>
      <c r="V1360" s="14">
        <v>938</v>
      </c>
      <c r="W1360" s="12">
        <v>0</v>
      </c>
      <c r="X1360" s="12">
        <v>3</v>
      </c>
      <c r="Y1360" s="12">
        <v>6.49</v>
      </c>
      <c r="Z1360" s="12">
        <v>0</v>
      </c>
      <c r="AA1360" s="12">
        <v>0</v>
      </c>
      <c r="AB1360" s="13">
        <f t="shared" si="87"/>
        <v>0</v>
      </c>
      <c r="AE1360" s="12">
        <v>0</v>
      </c>
      <c r="AF1360" s="12">
        <v>3</v>
      </c>
      <c r="AG1360" s="12">
        <v>6.49</v>
      </c>
      <c r="AH1360" s="12">
        <v>0</v>
      </c>
      <c r="AI1360" s="12">
        <v>0</v>
      </c>
      <c r="AJ1360" s="13">
        <f t="shared" si="88"/>
        <v>0</v>
      </c>
      <c r="AN1360" s="12">
        <f t="shared" si="89"/>
        <v>8902</v>
      </c>
      <c r="AQ1360" s="8" t="s">
        <v>419</v>
      </c>
      <c r="AR1360" t="str">
        <f t="shared" si="90"/>
        <v>Norte - A05</v>
      </c>
    </row>
    <row r="1361" spans="1:44" x14ac:dyDescent="0.2">
      <c r="A1361" s="107" t="s">
        <v>546</v>
      </c>
      <c r="B1361" s="106" t="s">
        <v>545</v>
      </c>
      <c r="C1361" s="106" t="s">
        <v>544</v>
      </c>
      <c r="D1361" s="106" t="s">
        <v>492</v>
      </c>
      <c r="E1361" s="106" t="s">
        <v>543</v>
      </c>
      <c r="F1361" s="106" t="s">
        <v>490</v>
      </c>
      <c r="G1361" s="106" t="s">
        <v>542</v>
      </c>
      <c r="H1361" s="105" t="s">
        <v>526</v>
      </c>
      <c r="I1361" s="105" t="s">
        <v>541</v>
      </c>
      <c r="J1361" s="104">
        <v>0.45</v>
      </c>
      <c r="K1361" s="103" t="s">
        <v>424</v>
      </c>
      <c r="L1361" s="102" t="s">
        <v>507</v>
      </c>
      <c r="M1361" s="95"/>
      <c r="N1361" s="14"/>
      <c r="O1361" s="94">
        <v>36</v>
      </c>
      <c r="P1361" s="14" t="s">
        <v>485</v>
      </c>
      <c r="Q1361" s="14" t="s">
        <v>497</v>
      </c>
      <c r="R1361" s="14" t="s">
        <v>496</v>
      </c>
      <c r="S1361" s="15">
        <v>6</v>
      </c>
      <c r="T1361" s="15">
        <v>1</v>
      </c>
      <c r="U1361" s="15">
        <v>0</v>
      </c>
      <c r="V1361" s="14">
        <v>386</v>
      </c>
      <c r="W1361" s="12">
        <v>0</v>
      </c>
      <c r="X1361" s="12">
        <v>0</v>
      </c>
      <c r="Y1361" s="12">
        <v>0</v>
      </c>
      <c r="Z1361" s="12">
        <v>0.45</v>
      </c>
      <c r="AA1361" s="12">
        <v>0</v>
      </c>
      <c r="AB1361" s="13">
        <f t="shared" si="87"/>
        <v>0</v>
      </c>
      <c r="AE1361" s="12">
        <v>0</v>
      </c>
      <c r="AF1361" s="12">
        <v>0</v>
      </c>
      <c r="AG1361" s="12">
        <v>0</v>
      </c>
      <c r="AH1361" s="12">
        <v>0.45</v>
      </c>
      <c r="AI1361" s="12">
        <v>0</v>
      </c>
      <c r="AJ1361" s="13">
        <f t="shared" si="88"/>
        <v>0</v>
      </c>
      <c r="AN1361" s="12">
        <f t="shared" si="89"/>
        <v>174</v>
      </c>
      <c r="AQ1361" s="8" t="s">
        <v>417</v>
      </c>
      <c r="AR1361" t="str">
        <f t="shared" si="90"/>
        <v>Oeste - A04</v>
      </c>
    </row>
    <row r="1362" spans="1:44" x14ac:dyDescent="0.2">
      <c r="A1362" s="107" t="s">
        <v>540</v>
      </c>
      <c r="B1362" s="106" t="s">
        <v>539</v>
      </c>
      <c r="C1362" s="106" t="s">
        <v>538</v>
      </c>
      <c r="D1362" s="106" t="s">
        <v>492</v>
      </c>
      <c r="E1362" s="106" t="s">
        <v>537</v>
      </c>
      <c r="F1362" s="106" t="s">
        <v>490</v>
      </c>
      <c r="G1362" s="106" t="s">
        <v>536</v>
      </c>
      <c r="H1362" s="105" t="s">
        <v>535</v>
      </c>
      <c r="I1362" s="105" t="s">
        <v>534</v>
      </c>
      <c r="J1362" s="104">
        <v>4.71</v>
      </c>
      <c r="K1362" s="103" t="s">
        <v>430</v>
      </c>
      <c r="L1362" s="102" t="s">
        <v>533</v>
      </c>
      <c r="M1362" s="95"/>
      <c r="N1362" s="14"/>
      <c r="O1362" s="94">
        <v>32</v>
      </c>
      <c r="P1362" s="14" t="s">
        <v>485</v>
      </c>
      <c r="Q1362" s="14" t="s">
        <v>505</v>
      </c>
      <c r="R1362" s="14" t="s">
        <v>496</v>
      </c>
      <c r="S1362" s="15">
        <v>6.2</v>
      </c>
      <c r="T1362" s="15">
        <v>0</v>
      </c>
      <c r="U1362" s="15">
        <v>0</v>
      </c>
      <c r="V1362" s="14">
        <v>420</v>
      </c>
      <c r="W1362" s="12">
        <v>0</v>
      </c>
      <c r="X1362" s="12">
        <v>0</v>
      </c>
      <c r="Y1362" s="12">
        <v>3.71</v>
      </c>
      <c r="Z1362" s="12">
        <v>1</v>
      </c>
      <c r="AA1362" s="12">
        <v>0</v>
      </c>
      <c r="AB1362" s="13">
        <f t="shared" si="87"/>
        <v>0</v>
      </c>
      <c r="AE1362" s="12">
        <v>0</v>
      </c>
      <c r="AF1362" s="12">
        <v>0</v>
      </c>
      <c r="AG1362" s="12">
        <v>3.71</v>
      </c>
      <c r="AH1362" s="12">
        <v>1</v>
      </c>
      <c r="AI1362" s="12">
        <v>0</v>
      </c>
      <c r="AJ1362" s="13">
        <f t="shared" si="88"/>
        <v>0</v>
      </c>
      <c r="AN1362" s="12">
        <f t="shared" si="89"/>
        <v>1979</v>
      </c>
      <c r="AQ1362" s="8" t="s">
        <v>418</v>
      </c>
      <c r="AR1362" t="str">
        <f t="shared" si="90"/>
        <v>Noroeste - A10</v>
      </c>
    </row>
    <row r="1363" spans="1:44" x14ac:dyDescent="0.2">
      <c r="A1363" s="107" t="s">
        <v>532</v>
      </c>
      <c r="B1363" s="106" t="s">
        <v>531</v>
      </c>
      <c r="C1363" s="106" t="s">
        <v>530</v>
      </c>
      <c r="D1363" s="106" t="s">
        <v>492</v>
      </c>
      <c r="E1363" s="106" t="s">
        <v>529</v>
      </c>
      <c r="F1363" s="106" t="s">
        <v>511</v>
      </c>
      <c r="G1363" s="106" t="s">
        <v>528</v>
      </c>
      <c r="H1363" s="105" t="s">
        <v>527</v>
      </c>
      <c r="I1363" s="105" t="s">
        <v>526</v>
      </c>
      <c r="J1363" s="104">
        <v>4.8</v>
      </c>
      <c r="K1363" s="103" t="s">
        <v>422</v>
      </c>
      <c r="L1363" s="102" t="s">
        <v>507</v>
      </c>
      <c r="M1363" s="95"/>
      <c r="N1363" s="14"/>
      <c r="O1363" s="94">
        <v>34</v>
      </c>
      <c r="P1363" s="14" t="s">
        <v>506</v>
      </c>
      <c r="Q1363" s="14" t="s">
        <v>497</v>
      </c>
      <c r="R1363" s="14" t="s">
        <v>496</v>
      </c>
      <c r="S1363" s="15">
        <v>7.2</v>
      </c>
      <c r="T1363" s="15">
        <v>2</v>
      </c>
      <c r="U1363" s="15">
        <v>0</v>
      </c>
      <c r="V1363" s="14">
        <v>2416</v>
      </c>
      <c r="W1363" s="12">
        <v>0</v>
      </c>
      <c r="X1363" s="12">
        <v>0</v>
      </c>
      <c r="Y1363" s="12">
        <v>0</v>
      </c>
      <c r="Z1363" s="12">
        <v>4.8</v>
      </c>
      <c r="AA1363" s="12">
        <v>0</v>
      </c>
      <c r="AB1363" s="13">
        <f t="shared" si="87"/>
        <v>0</v>
      </c>
      <c r="AE1363" s="12">
        <v>0</v>
      </c>
      <c r="AF1363" s="12">
        <v>0</v>
      </c>
      <c r="AG1363" s="12">
        <v>0</v>
      </c>
      <c r="AH1363" s="12">
        <v>4.8</v>
      </c>
      <c r="AI1363" s="12">
        <v>0</v>
      </c>
      <c r="AJ1363" s="13">
        <f t="shared" si="88"/>
        <v>0</v>
      </c>
      <c r="AN1363" s="12">
        <f t="shared" si="89"/>
        <v>11597</v>
      </c>
      <c r="AQ1363" s="8" t="s">
        <v>417</v>
      </c>
      <c r="AR1363" t="str">
        <f t="shared" si="90"/>
        <v>Oeste - A02</v>
      </c>
    </row>
    <row r="1364" spans="1:44" x14ac:dyDescent="0.2">
      <c r="A1364" s="107" t="s">
        <v>525</v>
      </c>
      <c r="B1364" s="106" t="s">
        <v>524</v>
      </c>
      <c r="C1364" s="106" t="s">
        <v>514</v>
      </c>
      <c r="D1364" s="106" t="s">
        <v>492</v>
      </c>
      <c r="E1364" s="106" t="s">
        <v>512</v>
      </c>
      <c r="F1364" s="106" t="s">
        <v>511</v>
      </c>
      <c r="G1364" s="106" t="s">
        <v>523</v>
      </c>
      <c r="H1364" s="105" t="s">
        <v>522</v>
      </c>
      <c r="I1364" s="105" t="s">
        <v>517</v>
      </c>
      <c r="J1364" s="104">
        <v>5.4</v>
      </c>
      <c r="K1364" s="103" t="s">
        <v>422</v>
      </c>
      <c r="L1364" s="102" t="s">
        <v>507</v>
      </c>
      <c r="M1364" s="95"/>
      <c r="N1364" s="14"/>
      <c r="O1364" s="94">
        <v>34</v>
      </c>
      <c r="P1364" s="14" t="s">
        <v>506</v>
      </c>
      <c r="Q1364" s="14" t="s">
        <v>505</v>
      </c>
      <c r="R1364" s="14" t="s">
        <v>496</v>
      </c>
      <c r="S1364" s="15">
        <v>7.2</v>
      </c>
      <c r="T1364" s="15">
        <v>2</v>
      </c>
      <c r="U1364" s="15">
        <v>0</v>
      </c>
      <c r="V1364" s="14">
        <v>1898</v>
      </c>
      <c r="W1364" s="12">
        <v>0</v>
      </c>
      <c r="X1364" s="12">
        <v>0</v>
      </c>
      <c r="Y1364" s="12">
        <v>0</v>
      </c>
      <c r="Z1364" s="12">
        <v>0</v>
      </c>
      <c r="AA1364" s="12">
        <v>5.4</v>
      </c>
      <c r="AB1364" s="13">
        <f t="shared" si="87"/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5.4</v>
      </c>
      <c r="AJ1364" s="13">
        <f t="shared" si="88"/>
        <v>0</v>
      </c>
      <c r="AN1364" s="12">
        <f t="shared" si="89"/>
        <v>10250</v>
      </c>
      <c r="AQ1364" s="8" t="s">
        <v>417</v>
      </c>
      <c r="AR1364" t="str">
        <f t="shared" si="90"/>
        <v>Oeste - A02</v>
      </c>
    </row>
    <row r="1365" spans="1:44" x14ac:dyDescent="0.2">
      <c r="A1365" s="107" t="s">
        <v>521</v>
      </c>
      <c r="B1365" s="106" t="s">
        <v>520</v>
      </c>
      <c r="C1365" s="106" t="s">
        <v>514</v>
      </c>
      <c r="D1365" s="106" t="s">
        <v>519</v>
      </c>
      <c r="E1365" s="106" t="s">
        <v>512</v>
      </c>
      <c r="F1365" s="106" t="s">
        <v>511</v>
      </c>
      <c r="G1365" s="106" t="s">
        <v>518</v>
      </c>
      <c r="H1365" s="105" t="s">
        <v>517</v>
      </c>
      <c r="I1365" s="105" t="s">
        <v>509</v>
      </c>
      <c r="J1365" s="104">
        <v>6.6</v>
      </c>
      <c r="K1365" s="103" t="s">
        <v>422</v>
      </c>
      <c r="L1365" s="102" t="s">
        <v>507</v>
      </c>
      <c r="M1365" s="95"/>
      <c r="N1365" s="14"/>
      <c r="O1365" s="94">
        <v>34</v>
      </c>
      <c r="P1365" s="14" t="s">
        <v>506</v>
      </c>
      <c r="Q1365" s="14" t="s">
        <v>505</v>
      </c>
      <c r="R1365" s="14" t="s">
        <v>496</v>
      </c>
      <c r="S1365" s="15">
        <v>7.2</v>
      </c>
      <c r="T1365" s="15">
        <v>2</v>
      </c>
      <c r="U1365" s="15">
        <v>0</v>
      </c>
      <c r="V1365" s="14">
        <v>1898</v>
      </c>
      <c r="W1365" s="12">
        <v>0</v>
      </c>
      <c r="X1365" s="12">
        <v>0</v>
      </c>
      <c r="Y1365" s="12">
        <v>0</v>
      </c>
      <c r="Z1365" s="12">
        <v>0</v>
      </c>
      <c r="AA1365" s="12">
        <v>6.6</v>
      </c>
      <c r="AB1365" s="13">
        <f t="shared" si="87"/>
        <v>0</v>
      </c>
      <c r="AE1365" s="12">
        <v>0</v>
      </c>
      <c r="AF1365" s="12">
        <v>0</v>
      </c>
      <c r="AG1365" s="12">
        <v>0</v>
      </c>
      <c r="AH1365" s="12">
        <v>0</v>
      </c>
      <c r="AI1365" s="12">
        <v>6.6</v>
      </c>
      <c r="AJ1365" s="13">
        <f t="shared" si="88"/>
        <v>0</v>
      </c>
      <c r="AN1365" s="12">
        <f t="shared" si="89"/>
        <v>12527</v>
      </c>
      <c r="AQ1365" s="8" t="s">
        <v>417</v>
      </c>
      <c r="AR1365" t="str">
        <f t="shared" si="90"/>
        <v>Oeste - A02</v>
      </c>
    </row>
    <row r="1366" spans="1:44" x14ac:dyDescent="0.2">
      <c r="A1366" s="107" t="s">
        <v>516</v>
      </c>
      <c r="B1366" s="106" t="s">
        <v>515</v>
      </c>
      <c r="C1366" s="106" t="s">
        <v>514</v>
      </c>
      <c r="D1366" s="106" t="s">
        <v>513</v>
      </c>
      <c r="E1366" s="106" t="s">
        <v>512</v>
      </c>
      <c r="F1366" s="106" t="s">
        <v>511</v>
      </c>
      <c r="G1366" s="106" t="s">
        <v>510</v>
      </c>
      <c r="H1366" s="105" t="s">
        <v>509</v>
      </c>
      <c r="I1366" s="105" t="s">
        <v>508</v>
      </c>
      <c r="J1366" s="104">
        <v>3.2</v>
      </c>
      <c r="K1366" s="103" t="s">
        <v>422</v>
      </c>
      <c r="L1366" s="102" t="s">
        <v>507</v>
      </c>
      <c r="M1366" s="95"/>
      <c r="N1366" s="14"/>
      <c r="O1366" s="94">
        <v>34</v>
      </c>
      <c r="P1366" s="14" t="s">
        <v>506</v>
      </c>
      <c r="Q1366" s="14" t="s">
        <v>505</v>
      </c>
      <c r="R1366" s="14" t="s">
        <v>496</v>
      </c>
      <c r="S1366" s="15">
        <v>7.2</v>
      </c>
      <c r="T1366" s="15">
        <v>2</v>
      </c>
      <c r="U1366" s="15">
        <v>0</v>
      </c>
      <c r="V1366" s="14">
        <v>1898</v>
      </c>
      <c r="W1366" s="12">
        <v>0</v>
      </c>
      <c r="X1366" s="12">
        <v>0</v>
      </c>
      <c r="Y1366" s="12">
        <v>0</v>
      </c>
      <c r="Z1366" s="12">
        <v>0</v>
      </c>
      <c r="AA1366" s="12">
        <v>3.2</v>
      </c>
      <c r="AB1366" s="13">
        <f t="shared" si="87"/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3.2</v>
      </c>
      <c r="AJ1366" s="13">
        <f t="shared" si="88"/>
        <v>0</v>
      </c>
      <c r="AN1366" s="12">
        <f t="shared" si="89"/>
        <v>6074</v>
      </c>
      <c r="AQ1366" s="8" t="s">
        <v>417</v>
      </c>
      <c r="AR1366" t="str">
        <f t="shared" si="90"/>
        <v>Oeste - A02</v>
      </c>
    </row>
    <row r="1367" spans="1:44" x14ac:dyDescent="0.2">
      <c r="A1367" s="107" t="s">
        <v>504</v>
      </c>
      <c r="B1367" s="106" t="s">
        <v>503</v>
      </c>
      <c r="C1367" s="106" t="s">
        <v>502</v>
      </c>
      <c r="D1367" s="106" t="s">
        <v>492</v>
      </c>
      <c r="E1367" s="106" t="s">
        <v>501</v>
      </c>
      <c r="F1367" s="106" t="s">
        <v>490</v>
      </c>
      <c r="G1367" s="106" t="s">
        <v>500</v>
      </c>
      <c r="H1367" s="105" t="s">
        <v>499</v>
      </c>
      <c r="I1367" s="105" t="s">
        <v>498</v>
      </c>
      <c r="J1367" s="104">
        <v>3</v>
      </c>
      <c r="K1367" s="103" t="s">
        <v>423</v>
      </c>
      <c r="L1367" s="102" t="s">
        <v>486</v>
      </c>
      <c r="M1367" s="95"/>
      <c r="N1367" s="14"/>
      <c r="O1367" s="94">
        <v>15</v>
      </c>
      <c r="P1367" s="14" t="s">
        <v>485</v>
      </c>
      <c r="Q1367" s="14" t="s">
        <v>497</v>
      </c>
      <c r="R1367" s="16" t="s">
        <v>496</v>
      </c>
      <c r="S1367" s="15">
        <v>6.6</v>
      </c>
      <c r="T1367" s="15">
        <v>1</v>
      </c>
      <c r="U1367" s="15">
        <v>0</v>
      </c>
      <c r="V1367" s="14">
        <v>396</v>
      </c>
      <c r="W1367" s="12">
        <v>0</v>
      </c>
      <c r="X1367" s="12">
        <v>0</v>
      </c>
      <c r="Y1367" s="12">
        <v>3</v>
      </c>
      <c r="Z1367" s="12">
        <v>0</v>
      </c>
      <c r="AA1367" s="12">
        <v>0</v>
      </c>
      <c r="AB1367" s="13">
        <f t="shared" si="87"/>
        <v>0</v>
      </c>
      <c r="AE1367" s="12">
        <v>0</v>
      </c>
      <c r="AF1367" s="12">
        <v>0</v>
      </c>
      <c r="AG1367" s="12">
        <v>3</v>
      </c>
      <c r="AH1367" s="12">
        <v>0</v>
      </c>
      <c r="AI1367" s="12">
        <v>0</v>
      </c>
      <c r="AJ1367" s="13">
        <f t="shared" si="88"/>
        <v>0</v>
      </c>
      <c r="AN1367" s="12">
        <f t="shared" si="89"/>
        <v>1188</v>
      </c>
      <c r="AQ1367" s="8" t="s">
        <v>419</v>
      </c>
      <c r="AR1367" t="str">
        <f t="shared" si="90"/>
        <v>Norte - A03</v>
      </c>
    </row>
    <row r="1368" spans="1:44" x14ac:dyDescent="0.2">
      <c r="A1368" s="101" t="s">
        <v>495</v>
      </c>
      <c r="B1368" s="100" t="s">
        <v>494</v>
      </c>
      <c r="C1368" s="100" t="s">
        <v>493</v>
      </c>
      <c r="D1368" s="100" t="s">
        <v>492</v>
      </c>
      <c r="E1368" s="100" t="s">
        <v>491</v>
      </c>
      <c r="F1368" s="100" t="s">
        <v>490</v>
      </c>
      <c r="G1368" s="100" t="s">
        <v>489</v>
      </c>
      <c r="H1368" s="99" t="s">
        <v>488</v>
      </c>
      <c r="I1368" s="99" t="s">
        <v>487</v>
      </c>
      <c r="J1368" s="98">
        <v>1.42</v>
      </c>
      <c r="K1368" s="97" t="s">
        <v>430</v>
      </c>
      <c r="L1368" s="96" t="s">
        <v>486</v>
      </c>
      <c r="M1368" s="95"/>
      <c r="N1368" s="14"/>
      <c r="O1368" s="94">
        <v>22</v>
      </c>
      <c r="P1368" s="14" t="s">
        <v>485</v>
      </c>
      <c r="Q1368" s="14" t="s">
        <v>484</v>
      </c>
      <c r="R1368" s="14" t="s">
        <v>484</v>
      </c>
      <c r="S1368" s="15" t="s">
        <v>484</v>
      </c>
      <c r="T1368" s="15" t="s">
        <v>484</v>
      </c>
      <c r="U1368" s="15" t="s">
        <v>484</v>
      </c>
      <c r="V1368" s="14">
        <v>1078</v>
      </c>
      <c r="W1368" s="12">
        <v>0</v>
      </c>
      <c r="X1368" s="12">
        <v>0</v>
      </c>
      <c r="Y1368" s="12">
        <v>0.41999999999999993</v>
      </c>
      <c r="Z1368" s="12">
        <v>1</v>
      </c>
      <c r="AA1368" s="12">
        <v>0</v>
      </c>
      <c r="AB1368" s="13">
        <f t="shared" si="87"/>
        <v>0</v>
      </c>
      <c r="AE1368" s="12">
        <v>0</v>
      </c>
      <c r="AF1368" s="12">
        <v>0</v>
      </c>
      <c r="AG1368" s="12">
        <v>0.41999999999999993</v>
      </c>
      <c r="AH1368" s="12">
        <v>1</v>
      </c>
      <c r="AI1368" s="12">
        <v>0</v>
      </c>
      <c r="AJ1368" s="13">
        <f t="shared" si="88"/>
        <v>0</v>
      </c>
      <c r="AN1368" s="12">
        <f t="shared" si="89"/>
        <v>1531</v>
      </c>
      <c r="AQ1368" s="8" t="s">
        <v>419</v>
      </c>
      <c r="AR1368" t="str">
        <f t="shared" si="90"/>
        <v>Norte - A10</v>
      </c>
    </row>
    <row r="1371" spans="1:44" x14ac:dyDescent="0.2">
      <c r="J1371">
        <f>SUBTOTAL(9,J6:J1370)</f>
        <v>9849.2699999999895</v>
      </c>
      <c r="AN1371">
        <f>SUBTOTAL(9,AN6:AN1370)</f>
        <v>21650737</v>
      </c>
    </row>
  </sheetData>
  <mergeCells count="2">
    <mergeCell ref="A2:O4"/>
    <mergeCell ref="P2:AN4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1080-501B-44E3-AFEA-EB8469BCF93E}">
  <dimension ref="A1:N417"/>
  <sheetViews>
    <sheetView workbookViewId="0">
      <selection activeCell="D32" sqref="D32"/>
    </sheetView>
  </sheetViews>
  <sheetFormatPr defaultRowHeight="12.75" x14ac:dyDescent="0.2"/>
  <cols>
    <col min="1" max="1" width="30.42578125" style="89" customWidth="1"/>
    <col min="2" max="2" width="9.7109375" style="89" bestFit="1" customWidth="1"/>
    <col min="3" max="3" width="32.85546875" style="89" bestFit="1" customWidth="1"/>
    <col min="4" max="4" width="53.7109375" style="89" bestFit="1" customWidth="1"/>
    <col min="5" max="5" width="25.85546875" style="89" bestFit="1" customWidth="1"/>
    <col min="6" max="6" width="40.140625" style="89" bestFit="1" customWidth="1"/>
    <col min="7" max="9" width="9.140625" style="89"/>
    <col min="10" max="10" width="12" style="89" customWidth="1"/>
    <col min="11" max="16384" width="9.140625" style="89"/>
  </cols>
  <sheetData>
    <row r="1" spans="1:14" ht="19.5" x14ac:dyDescent="0.3">
      <c r="A1" s="138" t="s">
        <v>7921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3" spans="1:14" x14ac:dyDescent="0.2">
      <c r="A3" s="89" t="s">
        <v>7920</v>
      </c>
      <c r="B3" s="89" t="s">
        <v>7919</v>
      </c>
      <c r="C3" s="89" t="s">
        <v>7918</v>
      </c>
      <c r="D3" s="89" t="s">
        <v>7917</v>
      </c>
      <c r="E3" s="89" t="s">
        <v>7916</v>
      </c>
      <c r="F3" s="89" t="s">
        <v>7915</v>
      </c>
      <c r="G3" s="89" t="s">
        <v>7914</v>
      </c>
      <c r="H3" s="89" t="s">
        <v>7913</v>
      </c>
      <c r="I3" s="89" t="s">
        <v>7912</v>
      </c>
      <c r="J3" s="89" t="s">
        <v>7911</v>
      </c>
      <c r="K3" s="89" t="s">
        <v>7910</v>
      </c>
      <c r="L3" s="89" t="s">
        <v>7909</v>
      </c>
      <c r="M3" s="89" t="s">
        <v>7908</v>
      </c>
      <c r="N3" s="140" t="s">
        <v>7907</v>
      </c>
    </row>
    <row r="4" spans="1:14" x14ac:dyDescent="0.2">
      <c r="A4" s="89" t="s">
        <v>131</v>
      </c>
      <c r="B4" s="89">
        <v>4100103</v>
      </c>
      <c r="C4" s="89" t="s">
        <v>7906</v>
      </c>
      <c r="D4" s="89" t="s">
        <v>7905</v>
      </c>
      <c r="E4" s="89">
        <v>227.923</v>
      </c>
      <c r="F4" s="89">
        <v>7241</v>
      </c>
      <c r="G4" s="89">
        <v>31.66</v>
      </c>
      <c r="H4" s="89">
        <v>7233</v>
      </c>
      <c r="I4" s="89">
        <v>94.88</v>
      </c>
      <c r="J4" s="89">
        <v>0.68700000000000006</v>
      </c>
      <c r="K4" s="89" t="s">
        <v>1228</v>
      </c>
      <c r="L4" s="89">
        <v>48184401.789999999</v>
      </c>
      <c r="M4" s="89">
        <v>40393403.630000003</v>
      </c>
      <c r="N4" s="89">
        <v>41039.39</v>
      </c>
    </row>
    <row r="5" spans="1:14" x14ac:dyDescent="0.2">
      <c r="A5" s="89" t="s">
        <v>7093</v>
      </c>
      <c r="B5" s="89">
        <v>4100202</v>
      </c>
      <c r="C5" s="89" t="s">
        <v>7904</v>
      </c>
      <c r="D5" s="89" t="s">
        <v>7903</v>
      </c>
      <c r="E5" s="89">
        <v>1343.8979999999999</v>
      </c>
      <c r="F5" s="89">
        <v>6256</v>
      </c>
      <c r="G5" s="89">
        <v>4.6399999999999997</v>
      </c>
      <c r="H5" s="89">
        <v>6319</v>
      </c>
      <c r="I5" s="89">
        <v>99.64</v>
      </c>
      <c r="J5" s="89">
        <v>0.66700000000000004</v>
      </c>
      <c r="K5" s="89" t="s">
        <v>1228</v>
      </c>
      <c r="L5" s="89">
        <v>65885671.729999997</v>
      </c>
      <c r="M5" s="89">
        <v>60528116.729999997</v>
      </c>
      <c r="N5" s="89">
        <v>74669</v>
      </c>
    </row>
    <row r="6" spans="1:14" x14ac:dyDescent="0.2">
      <c r="A6" s="89" t="s">
        <v>405</v>
      </c>
      <c r="B6" s="89">
        <v>4100301</v>
      </c>
      <c r="C6" s="89" t="s">
        <v>7902</v>
      </c>
      <c r="D6" s="89" t="s">
        <v>7901</v>
      </c>
      <c r="E6" s="89">
        <v>191.33600000000001</v>
      </c>
      <c r="F6" s="89">
        <v>10233</v>
      </c>
      <c r="G6" s="89">
        <v>53.22</v>
      </c>
      <c r="H6" s="89">
        <v>10770</v>
      </c>
      <c r="I6" s="89">
        <v>98.51</v>
      </c>
      <c r="J6" s="89">
        <v>0.66</v>
      </c>
      <c r="K6" s="89">
        <v>29.85</v>
      </c>
      <c r="L6" s="89">
        <v>56439846.049999997</v>
      </c>
      <c r="M6" s="89">
        <v>48989315.670000002</v>
      </c>
      <c r="N6" s="89">
        <v>27302.69</v>
      </c>
    </row>
    <row r="7" spans="1:14" x14ac:dyDescent="0.2">
      <c r="A7" s="89" t="s">
        <v>6</v>
      </c>
      <c r="B7" s="89">
        <v>4100400</v>
      </c>
      <c r="C7" s="89" t="s">
        <v>7900</v>
      </c>
      <c r="D7" s="89" t="s">
        <v>7899</v>
      </c>
      <c r="E7" s="89">
        <v>193.73599999999999</v>
      </c>
      <c r="F7" s="89">
        <v>119825</v>
      </c>
      <c r="G7" s="89">
        <v>616.92999999999995</v>
      </c>
      <c r="H7" s="89">
        <v>125861</v>
      </c>
      <c r="I7" s="89">
        <v>98.36</v>
      </c>
      <c r="J7" s="89">
        <v>0.69899999999999995</v>
      </c>
      <c r="K7" s="89">
        <v>6.57</v>
      </c>
      <c r="L7" s="89">
        <v>469814308.44999999</v>
      </c>
      <c r="M7" s="89">
        <v>432867643.62</v>
      </c>
      <c r="N7" s="89">
        <v>18715.79</v>
      </c>
    </row>
    <row r="8" spans="1:14" x14ac:dyDescent="0.2">
      <c r="A8" s="89" t="s">
        <v>250</v>
      </c>
      <c r="B8" s="89">
        <v>4100459</v>
      </c>
      <c r="C8" s="89" t="s">
        <v>7898</v>
      </c>
      <c r="D8" s="89" t="s">
        <v>7897</v>
      </c>
      <c r="E8" s="89">
        <v>386.952</v>
      </c>
      <c r="F8" s="89">
        <v>3590</v>
      </c>
      <c r="G8" s="89">
        <v>9.2799999999999994</v>
      </c>
      <c r="H8" s="89">
        <v>3496</v>
      </c>
      <c r="I8" s="89">
        <v>99.6</v>
      </c>
      <c r="J8" s="89">
        <v>0.66700000000000004</v>
      </c>
      <c r="K8" s="89">
        <v>21.28</v>
      </c>
      <c r="L8" s="89">
        <v>46198534.100000001</v>
      </c>
      <c r="M8" s="89">
        <v>43168730.039999999</v>
      </c>
      <c r="N8" s="89">
        <v>32175.22</v>
      </c>
    </row>
    <row r="9" spans="1:14" x14ac:dyDescent="0.2">
      <c r="A9" s="89" t="s">
        <v>275</v>
      </c>
      <c r="B9" s="89">
        <v>4100509</v>
      </c>
      <c r="C9" s="89" t="s">
        <v>7896</v>
      </c>
      <c r="D9" s="89" t="s">
        <v>7895</v>
      </c>
      <c r="E9" s="89">
        <v>663.95500000000004</v>
      </c>
      <c r="F9" s="89">
        <v>18742</v>
      </c>
      <c r="G9" s="89">
        <v>28.33</v>
      </c>
      <c r="H9" s="89">
        <v>18634</v>
      </c>
      <c r="I9" s="89">
        <v>98.08</v>
      </c>
      <c r="J9" s="89">
        <v>0.72099999999999997</v>
      </c>
      <c r="K9" s="89">
        <v>4.9000000000000004</v>
      </c>
      <c r="L9" s="89">
        <v>128448172.29000001</v>
      </c>
      <c r="M9" s="89">
        <v>124523869.72</v>
      </c>
      <c r="N9" s="89">
        <v>29153.82</v>
      </c>
    </row>
    <row r="10" spans="1:14" x14ac:dyDescent="0.2">
      <c r="A10" s="89" t="s">
        <v>224</v>
      </c>
      <c r="B10" s="89">
        <v>4100608</v>
      </c>
      <c r="C10" s="89" t="s">
        <v>7894</v>
      </c>
      <c r="D10" s="89" t="s">
        <v>7893</v>
      </c>
      <c r="E10" s="89">
        <v>409.01400000000001</v>
      </c>
      <c r="F10" s="89">
        <v>13909</v>
      </c>
      <c r="G10" s="89">
        <v>34.11</v>
      </c>
      <c r="H10" s="89">
        <v>14183</v>
      </c>
      <c r="I10" s="89">
        <v>99.69</v>
      </c>
      <c r="J10" s="89">
        <v>0.69599999999999995</v>
      </c>
      <c r="K10" s="89">
        <v>24.84</v>
      </c>
      <c r="L10" s="89">
        <v>98195545.180000007</v>
      </c>
      <c r="M10" s="89">
        <v>97629840.310000002</v>
      </c>
      <c r="N10" s="89">
        <v>40453.42</v>
      </c>
    </row>
    <row r="11" spans="1:14" x14ac:dyDescent="0.2">
      <c r="A11" s="89" t="s">
        <v>274</v>
      </c>
      <c r="B11" s="89">
        <v>4100707</v>
      </c>
      <c r="C11" s="89" t="s">
        <v>7892</v>
      </c>
      <c r="D11" s="89" t="s">
        <v>7891</v>
      </c>
      <c r="E11" s="89">
        <v>448.37299999999999</v>
      </c>
      <c r="F11" s="89">
        <v>9727</v>
      </c>
      <c r="G11" s="89">
        <v>21.73</v>
      </c>
      <c r="H11" s="89">
        <v>9771</v>
      </c>
      <c r="I11" s="89">
        <v>99.04</v>
      </c>
      <c r="J11" s="89">
        <v>0.67600000000000005</v>
      </c>
      <c r="K11" s="89">
        <v>16</v>
      </c>
      <c r="L11" s="89">
        <v>72062780.260000005</v>
      </c>
      <c r="M11" s="89">
        <v>64639205.189999998</v>
      </c>
      <c r="N11" s="89">
        <v>50230.67</v>
      </c>
    </row>
    <row r="12" spans="1:14" x14ac:dyDescent="0.2">
      <c r="A12" s="89" t="s">
        <v>101</v>
      </c>
      <c r="B12" s="89">
        <v>4100806</v>
      </c>
      <c r="C12" s="89" t="s">
        <v>7890</v>
      </c>
      <c r="D12" s="89" t="s">
        <v>7889</v>
      </c>
      <c r="E12" s="89">
        <v>424.25</v>
      </c>
      <c r="F12" s="89">
        <v>10326</v>
      </c>
      <c r="G12" s="89">
        <v>24.34</v>
      </c>
      <c r="H12" s="89">
        <v>10481</v>
      </c>
      <c r="I12" s="89">
        <v>99.3</v>
      </c>
      <c r="J12" s="89">
        <v>0.70799999999999996</v>
      </c>
      <c r="K12" s="89">
        <v>10.53</v>
      </c>
      <c r="L12" s="89">
        <v>98949998.519999996</v>
      </c>
      <c r="M12" s="89">
        <v>98055609.519999996</v>
      </c>
      <c r="N12" s="89">
        <v>42266.400000000001</v>
      </c>
    </row>
    <row r="13" spans="1:14" x14ac:dyDescent="0.2">
      <c r="A13" s="89" t="s">
        <v>261</v>
      </c>
      <c r="B13" s="89">
        <v>4100905</v>
      </c>
      <c r="C13" s="89" t="s">
        <v>7888</v>
      </c>
      <c r="D13" s="89" t="s">
        <v>7887</v>
      </c>
      <c r="E13" s="89">
        <v>384.91</v>
      </c>
      <c r="F13" s="89">
        <v>4762</v>
      </c>
      <c r="G13" s="89">
        <v>12.38</v>
      </c>
      <c r="H13" s="89">
        <v>4688</v>
      </c>
      <c r="I13" s="89">
        <v>97.91</v>
      </c>
      <c r="J13" s="89">
        <v>0.66900000000000004</v>
      </c>
      <c r="K13" s="89" t="s">
        <v>1228</v>
      </c>
      <c r="L13" s="89">
        <v>58267629.950000003</v>
      </c>
      <c r="M13" s="89">
        <v>51115528.840000004</v>
      </c>
      <c r="N13" s="89">
        <v>34418.01</v>
      </c>
    </row>
    <row r="14" spans="1:14" x14ac:dyDescent="0.2">
      <c r="A14" s="89" t="s">
        <v>365</v>
      </c>
      <c r="B14" s="89">
        <v>4101002</v>
      </c>
      <c r="C14" s="89" t="s">
        <v>7886</v>
      </c>
      <c r="D14" s="89" t="s">
        <v>7885</v>
      </c>
      <c r="E14" s="89">
        <v>297.17399999999998</v>
      </c>
      <c r="F14" s="89">
        <v>19620</v>
      </c>
      <c r="G14" s="89">
        <v>65.760000000000005</v>
      </c>
      <c r="H14" s="89">
        <v>20337</v>
      </c>
      <c r="I14" s="89">
        <v>94.47</v>
      </c>
      <c r="J14" s="89">
        <v>0.70899999999999996</v>
      </c>
      <c r="K14" s="89">
        <v>18.12</v>
      </c>
      <c r="L14" s="89">
        <v>134464313.94</v>
      </c>
      <c r="M14" s="89">
        <v>121726775.84999999</v>
      </c>
      <c r="N14" s="89">
        <v>51028.26</v>
      </c>
    </row>
    <row r="15" spans="1:14" x14ac:dyDescent="0.2">
      <c r="A15" s="89" t="s">
        <v>339</v>
      </c>
      <c r="B15" s="89">
        <v>4101051</v>
      </c>
      <c r="C15" s="89" t="s">
        <v>7884</v>
      </c>
      <c r="D15" s="89" t="s">
        <v>7883</v>
      </c>
      <c r="E15" s="89">
        <v>104.09</v>
      </c>
      <c r="F15" s="89">
        <v>2918</v>
      </c>
      <c r="G15" s="89">
        <v>28.36</v>
      </c>
      <c r="H15" s="89">
        <v>2971</v>
      </c>
      <c r="I15" s="89">
        <v>98.9</v>
      </c>
      <c r="J15" s="89">
        <v>0.69499999999999995</v>
      </c>
      <c r="K15" s="89">
        <v>96.77</v>
      </c>
      <c r="L15" s="89">
        <v>42860517.060000002</v>
      </c>
      <c r="M15" s="89">
        <v>38037548.759999998</v>
      </c>
      <c r="N15" s="89">
        <v>42605.49</v>
      </c>
    </row>
    <row r="16" spans="1:14" x14ac:dyDescent="0.2">
      <c r="A16" s="89" t="s">
        <v>139</v>
      </c>
      <c r="B16" s="89">
        <v>4101101</v>
      </c>
      <c r="C16" s="89" t="s">
        <v>7882</v>
      </c>
      <c r="D16" s="89" t="s">
        <v>7881</v>
      </c>
      <c r="E16" s="89">
        <v>234.63499999999999</v>
      </c>
      <c r="F16" s="89">
        <v>19878</v>
      </c>
      <c r="G16" s="89">
        <v>84.25</v>
      </c>
      <c r="H16" s="89">
        <v>19989</v>
      </c>
      <c r="I16" s="89">
        <v>99.54</v>
      </c>
      <c r="J16" s="89">
        <v>0.72499999999999998</v>
      </c>
      <c r="K16" s="89">
        <v>9.17</v>
      </c>
      <c r="L16" s="89">
        <v>140743965.97999999</v>
      </c>
      <c r="M16" s="89">
        <v>140625577.22</v>
      </c>
      <c r="N16" s="89">
        <v>43322.9</v>
      </c>
    </row>
    <row r="17" spans="1:14" x14ac:dyDescent="0.2">
      <c r="A17" s="89" t="s">
        <v>187</v>
      </c>
      <c r="B17" s="89">
        <v>4101150</v>
      </c>
      <c r="C17" s="89" t="s">
        <v>7880</v>
      </c>
      <c r="D17" s="89" t="s">
        <v>7879</v>
      </c>
      <c r="E17" s="89">
        <v>106.021</v>
      </c>
      <c r="F17" s="89">
        <v>3235</v>
      </c>
      <c r="G17" s="89">
        <v>30.51</v>
      </c>
      <c r="H17" s="89">
        <v>3357</v>
      </c>
      <c r="I17" s="89">
        <v>100</v>
      </c>
      <c r="J17" s="89">
        <v>0.72099999999999997</v>
      </c>
      <c r="K17" s="89">
        <v>25.64</v>
      </c>
      <c r="L17" s="89">
        <v>48566439.700000003</v>
      </c>
      <c r="M17" s="89">
        <v>48971722.189999998</v>
      </c>
      <c r="N17" s="89">
        <v>55572.79</v>
      </c>
    </row>
    <row r="18" spans="1:14" x14ac:dyDescent="0.2">
      <c r="A18" s="89" t="s">
        <v>3</v>
      </c>
      <c r="B18" s="89">
        <v>4101200</v>
      </c>
      <c r="C18" s="89" t="s">
        <v>7878</v>
      </c>
      <c r="D18" s="89" t="s">
        <v>7877</v>
      </c>
      <c r="E18" s="89">
        <v>890.06500000000005</v>
      </c>
      <c r="F18" s="89">
        <v>18091</v>
      </c>
      <c r="G18" s="89">
        <v>20.29</v>
      </c>
      <c r="H18" s="89">
        <v>18140</v>
      </c>
      <c r="I18" s="89">
        <v>99.12</v>
      </c>
      <c r="J18" s="89">
        <v>0.68700000000000006</v>
      </c>
      <c r="K18" s="89">
        <v>20.62</v>
      </c>
      <c r="L18" s="89">
        <v>158785532.22</v>
      </c>
      <c r="M18" s="89">
        <v>151028487.72</v>
      </c>
      <c r="N18" s="89">
        <v>55368.68</v>
      </c>
    </row>
    <row r="19" spans="1:14" x14ac:dyDescent="0.2">
      <c r="A19" s="89" t="s">
        <v>21</v>
      </c>
      <c r="B19" s="89">
        <v>4101309</v>
      </c>
      <c r="C19" s="89" t="s">
        <v>7876</v>
      </c>
      <c r="D19" s="89" t="s">
        <v>7875</v>
      </c>
      <c r="E19" s="89">
        <v>463.69400000000002</v>
      </c>
      <c r="F19" s="89">
        <v>7018</v>
      </c>
      <c r="G19" s="89">
        <v>14.94</v>
      </c>
      <c r="H19" s="89">
        <v>7048</v>
      </c>
      <c r="I19" s="89">
        <v>99.59</v>
      </c>
      <c r="J19" s="89">
        <v>0.65600000000000003</v>
      </c>
      <c r="K19" s="89">
        <v>14.49</v>
      </c>
      <c r="L19" s="89">
        <v>50575449.049999997</v>
      </c>
      <c r="M19" s="89">
        <v>49357482.329999998</v>
      </c>
      <c r="N19" s="89">
        <v>40269.4</v>
      </c>
    </row>
    <row r="20" spans="1:14" x14ac:dyDescent="0.2">
      <c r="A20" s="89" t="s">
        <v>149</v>
      </c>
      <c r="B20" s="89">
        <v>4101408</v>
      </c>
      <c r="C20" s="89" t="s">
        <v>7874</v>
      </c>
      <c r="D20" s="89" t="s">
        <v>7873</v>
      </c>
      <c r="E20" s="89">
        <v>556.77099999999996</v>
      </c>
      <c r="F20" s="89">
        <v>130134</v>
      </c>
      <c r="G20" s="89">
        <v>233.64</v>
      </c>
      <c r="H20" s="89">
        <v>134910</v>
      </c>
      <c r="I20" s="89">
        <v>99.57</v>
      </c>
      <c r="J20" s="89">
        <v>0.748</v>
      </c>
      <c r="K20" s="89">
        <v>9.68</v>
      </c>
      <c r="L20" s="89">
        <v>687565975.37</v>
      </c>
      <c r="M20" s="89">
        <v>652889778</v>
      </c>
      <c r="N20" s="89">
        <v>37146.42</v>
      </c>
    </row>
    <row r="21" spans="1:14" x14ac:dyDescent="0.2">
      <c r="A21" s="89" t="s">
        <v>88</v>
      </c>
      <c r="B21" s="89">
        <v>4101507</v>
      </c>
      <c r="C21" s="89" t="s">
        <v>7872</v>
      </c>
      <c r="D21" s="89" t="s">
        <v>7871</v>
      </c>
      <c r="E21" s="89">
        <v>383.37</v>
      </c>
      <c r="F21" s="89">
        <v>119138</v>
      </c>
      <c r="G21" s="89">
        <v>311.7</v>
      </c>
      <c r="H21" s="89">
        <v>124838</v>
      </c>
      <c r="I21" s="89">
        <v>96.34</v>
      </c>
      <c r="J21" s="89">
        <v>0.748</v>
      </c>
      <c r="K21" s="89">
        <v>11.5</v>
      </c>
      <c r="L21" s="89">
        <v>770873051.87</v>
      </c>
      <c r="M21" s="89">
        <v>668998564.04999995</v>
      </c>
      <c r="N21" s="89">
        <v>47973.54</v>
      </c>
    </row>
    <row r="22" spans="1:14" x14ac:dyDescent="0.2">
      <c r="A22" s="89" t="s">
        <v>34</v>
      </c>
      <c r="B22" s="89">
        <v>4101606</v>
      </c>
      <c r="C22" s="89" t="s">
        <v>7870</v>
      </c>
      <c r="D22" s="89" t="s">
        <v>7869</v>
      </c>
      <c r="E22" s="89">
        <v>1363.8430000000001</v>
      </c>
      <c r="F22" s="89">
        <v>25777</v>
      </c>
      <c r="G22" s="89">
        <v>18.98</v>
      </c>
      <c r="H22" s="89">
        <v>26325</v>
      </c>
      <c r="I22" s="89">
        <v>99.38</v>
      </c>
      <c r="J22" s="89">
        <v>0.72299999999999998</v>
      </c>
      <c r="K22" s="89">
        <v>19.829999999999998</v>
      </c>
      <c r="L22" s="89">
        <v>190171421.16</v>
      </c>
      <c r="M22" s="89">
        <v>161373750.11000001</v>
      </c>
      <c r="N22" s="89">
        <v>63347.91</v>
      </c>
    </row>
    <row r="23" spans="1:14" x14ac:dyDescent="0.2">
      <c r="A23" s="89" t="s">
        <v>150</v>
      </c>
      <c r="B23" s="89">
        <v>4101655</v>
      </c>
      <c r="C23" s="89" t="s">
        <v>7868</v>
      </c>
      <c r="D23" s="89" t="s">
        <v>7867</v>
      </c>
      <c r="E23" s="89">
        <v>217.59899999999999</v>
      </c>
      <c r="F23" s="89">
        <v>3527</v>
      </c>
      <c r="G23" s="89">
        <v>16.23</v>
      </c>
      <c r="H23" s="89">
        <v>3573</v>
      </c>
      <c r="I23" s="89">
        <v>100</v>
      </c>
      <c r="J23" s="89">
        <v>0.67600000000000005</v>
      </c>
      <c r="K23" s="89">
        <v>23.81</v>
      </c>
      <c r="L23" s="89">
        <v>43140389.469999999</v>
      </c>
      <c r="M23" s="89">
        <v>37505507.810000002</v>
      </c>
      <c r="N23" s="89">
        <v>43743.99</v>
      </c>
    </row>
    <row r="24" spans="1:14" x14ac:dyDescent="0.2">
      <c r="A24" s="89" t="s">
        <v>238</v>
      </c>
      <c r="B24" s="89">
        <v>4101705</v>
      </c>
      <c r="C24" s="89" t="s">
        <v>7866</v>
      </c>
      <c r="D24" s="89" t="s">
        <v>7865</v>
      </c>
      <c r="E24" s="89">
        <v>492.52100000000002</v>
      </c>
      <c r="F24" s="89">
        <v>14485</v>
      </c>
      <c r="G24" s="89">
        <v>29.37</v>
      </c>
      <c r="H24" s="89">
        <v>14894</v>
      </c>
      <c r="I24" s="89">
        <v>99.36</v>
      </c>
      <c r="J24" s="89">
        <v>0.70399999999999996</v>
      </c>
      <c r="K24" s="89">
        <v>17.649999999999999</v>
      </c>
      <c r="L24" s="89">
        <v>101642497.11</v>
      </c>
      <c r="M24" s="89">
        <v>89235336.090000004</v>
      </c>
      <c r="N24" s="89">
        <v>43548.25</v>
      </c>
    </row>
    <row r="25" spans="1:14" x14ac:dyDescent="0.2">
      <c r="A25" s="89" t="s">
        <v>7092</v>
      </c>
      <c r="B25" s="89">
        <v>4101804</v>
      </c>
      <c r="C25" s="89" t="s">
        <v>7864</v>
      </c>
      <c r="D25" s="89" t="s">
        <v>7863</v>
      </c>
      <c r="E25" s="89">
        <v>469.54899999999998</v>
      </c>
      <c r="F25" s="89">
        <v>151666</v>
      </c>
      <c r="G25" s="89">
        <v>323.22000000000003</v>
      </c>
      <c r="H25" s="89">
        <v>162247</v>
      </c>
      <c r="I25" s="89">
        <v>99.26</v>
      </c>
      <c r="J25" s="89">
        <v>0.74</v>
      </c>
      <c r="K25" s="89">
        <v>9.4600000000000009</v>
      </c>
      <c r="L25" s="89">
        <v>2018828659.28</v>
      </c>
      <c r="M25" s="89">
        <v>1765535101.3299999</v>
      </c>
      <c r="N25" s="89">
        <v>224671.66</v>
      </c>
    </row>
    <row r="26" spans="1:14" x14ac:dyDescent="0.2">
      <c r="A26" s="89" t="s">
        <v>151</v>
      </c>
      <c r="B26" s="89">
        <v>4101853</v>
      </c>
      <c r="C26" s="89" t="s">
        <v>7862</v>
      </c>
      <c r="D26" s="89" t="s">
        <v>7861</v>
      </c>
      <c r="E26" s="89">
        <v>236.03899999999999</v>
      </c>
      <c r="F26" s="89">
        <v>2329</v>
      </c>
      <c r="G26" s="89">
        <v>9.9499999999999993</v>
      </c>
      <c r="H26" s="89">
        <v>2351</v>
      </c>
      <c r="I26" s="89">
        <v>100</v>
      </c>
      <c r="J26" s="89">
        <v>0.67</v>
      </c>
      <c r="K26" s="89">
        <v>35.71</v>
      </c>
      <c r="L26" s="89">
        <v>42855937.32</v>
      </c>
      <c r="M26" s="89">
        <v>38805906.32</v>
      </c>
      <c r="N26" s="89">
        <v>62246.84</v>
      </c>
    </row>
    <row r="27" spans="1:14" x14ac:dyDescent="0.2">
      <c r="A27" s="89" t="s">
        <v>115</v>
      </c>
      <c r="B27" s="89">
        <v>4101903</v>
      </c>
      <c r="C27" s="89" t="s">
        <v>7860</v>
      </c>
      <c r="D27" s="89" t="s">
        <v>7859</v>
      </c>
      <c r="E27" s="89">
        <v>440.34699999999998</v>
      </c>
      <c r="F27" s="89">
        <v>13797</v>
      </c>
      <c r="G27" s="89">
        <v>31.33</v>
      </c>
      <c r="H27" s="89">
        <v>13477</v>
      </c>
      <c r="I27" s="89">
        <v>97.56</v>
      </c>
      <c r="J27" s="89">
        <v>0.72799999999999998</v>
      </c>
      <c r="K27" s="89" t="s">
        <v>1228</v>
      </c>
      <c r="L27" s="89">
        <v>106687291.65000001</v>
      </c>
      <c r="M27" s="89">
        <v>93803567.870000005</v>
      </c>
      <c r="N27" s="89">
        <v>46183.5</v>
      </c>
    </row>
    <row r="28" spans="1:14" x14ac:dyDescent="0.2">
      <c r="A28" s="89" t="s">
        <v>276</v>
      </c>
      <c r="B28" s="89">
        <v>4102000</v>
      </c>
      <c r="C28" s="89" t="s">
        <v>7858</v>
      </c>
      <c r="D28" s="89" t="s">
        <v>7857</v>
      </c>
      <c r="E28" s="89">
        <v>980.81600000000003</v>
      </c>
      <c r="F28" s="89">
        <v>36808</v>
      </c>
      <c r="G28" s="89">
        <v>37.53</v>
      </c>
      <c r="H28" s="89">
        <v>38357</v>
      </c>
      <c r="I28" s="89">
        <v>99.74</v>
      </c>
      <c r="J28" s="89">
        <v>0.72899999999999998</v>
      </c>
      <c r="K28" s="89">
        <v>13.73</v>
      </c>
      <c r="L28" s="89">
        <v>261374160.5</v>
      </c>
      <c r="M28" s="89">
        <v>229221344.50999999</v>
      </c>
      <c r="N28" s="89">
        <v>55252.41</v>
      </c>
    </row>
    <row r="29" spans="1:14" x14ac:dyDescent="0.2">
      <c r="A29" s="89" t="s">
        <v>89</v>
      </c>
      <c r="B29" s="89">
        <v>4102109</v>
      </c>
      <c r="C29" s="89" t="s">
        <v>7856</v>
      </c>
      <c r="D29" s="89" t="s">
        <v>7855</v>
      </c>
      <c r="E29" s="89">
        <v>435.21</v>
      </c>
      <c r="F29" s="89">
        <v>25475</v>
      </c>
      <c r="G29" s="89">
        <v>58.59</v>
      </c>
      <c r="H29" s="89">
        <v>26203</v>
      </c>
      <c r="I29" s="89">
        <v>98.28</v>
      </c>
      <c r="J29" s="89">
        <v>0.747</v>
      </c>
      <c r="K29" s="89">
        <v>17.010000000000002</v>
      </c>
      <c r="L29" s="89">
        <v>182822095.24000001</v>
      </c>
      <c r="M29" s="89">
        <v>173367909.47999999</v>
      </c>
      <c r="N29" s="89">
        <v>45723.88</v>
      </c>
    </row>
    <row r="30" spans="1:14" x14ac:dyDescent="0.2">
      <c r="A30" s="89" t="s">
        <v>225</v>
      </c>
      <c r="B30" s="89">
        <v>4102208</v>
      </c>
      <c r="C30" s="89" t="s">
        <v>7854</v>
      </c>
      <c r="D30" s="89" t="s">
        <v>7853</v>
      </c>
      <c r="E30" s="89">
        <v>137.07499999999999</v>
      </c>
      <c r="F30" s="89">
        <v>3980</v>
      </c>
      <c r="G30" s="89">
        <v>28.91</v>
      </c>
      <c r="H30" s="89">
        <v>4046</v>
      </c>
      <c r="I30" s="89">
        <v>98.9</v>
      </c>
      <c r="J30" s="89">
        <v>0.73599999999999999</v>
      </c>
      <c r="K30" s="89">
        <v>32.26</v>
      </c>
      <c r="L30" s="89">
        <v>50133856.310000002</v>
      </c>
      <c r="M30" s="89">
        <v>45344326.899999999</v>
      </c>
      <c r="N30" s="89">
        <v>64007.95</v>
      </c>
    </row>
    <row r="31" spans="1:14" x14ac:dyDescent="0.2">
      <c r="A31" s="89" t="s">
        <v>406</v>
      </c>
      <c r="B31" s="89">
        <v>4102307</v>
      </c>
      <c r="C31" s="89" t="s">
        <v>7852</v>
      </c>
      <c r="D31" s="89" t="s">
        <v>7851</v>
      </c>
      <c r="E31" s="89">
        <v>347.58800000000002</v>
      </c>
      <c r="F31" s="89">
        <v>13395</v>
      </c>
      <c r="G31" s="89">
        <v>38.39</v>
      </c>
      <c r="H31" s="89">
        <v>13867</v>
      </c>
      <c r="I31" s="89">
        <v>99.25</v>
      </c>
      <c r="J31" s="89">
        <v>0.69599999999999995</v>
      </c>
      <c r="K31" s="89">
        <v>6.54</v>
      </c>
      <c r="L31" s="89">
        <v>117021798.03</v>
      </c>
      <c r="M31" s="89">
        <v>115621852.08</v>
      </c>
      <c r="N31" s="89">
        <v>97201.65</v>
      </c>
    </row>
    <row r="32" spans="1:14" x14ac:dyDescent="0.2">
      <c r="A32" s="89" t="s">
        <v>132</v>
      </c>
      <c r="B32" s="89">
        <v>4102406</v>
      </c>
      <c r="C32" s="89" t="s">
        <v>7850</v>
      </c>
      <c r="D32" s="89" t="s">
        <v>7849</v>
      </c>
      <c r="E32" s="89">
        <v>445.19200000000001</v>
      </c>
      <c r="F32" s="89">
        <v>31273</v>
      </c>
      <c r="G32" s="89">
        <v>70.25</v>
      </c>
      <c r="H32" s="89">
        <v>31747</v>
      </c>
      <c r="I32" s="89">
        <v>99.78</v>
      </c>
      <c r="J32" s="89">
        <v>0.72699999999999998</v>
      </c>
      <c r="K32" s="89">
        <v>2.8</v>
      </c>
      <c r="L32" s="89">
        <v>162043670.19999999</v>
      </c>
      <c r="M32" s="89">
        <v>145774258.72999999</v>
      </c>
      <c r="N32" s="89">
        <v>43559.41</v>
      </c>
    </row>
    <row r="33" spans="1:14" x14ac:dyDescent="0.2">
      <c r="A33" s="89" t="s">
        <v>196</v>
      </c>
      <c r="B33" s="89">
        <v>4102505</v>
      </c>
      <c r="C33" s="89" t="s">
        <v>7848</v>
      </c>
      <c r="D33" s="89" t="s">
        <v>7847</v>
      </c>
      <c r="E33" s="89">
        <v>536.101</v>
      </c>
      <c r="F33" s="89">
        <v>10795</v>
      </c>
      <c r="G33" s="89">
        <v>20.04</v>
      </c>
      <c r="H33" s="89">
        <v>10580</v>
      </c>
      <c r="I33" s="89">
        <v>97.97</v>
      </c>
      <c r="J33" s="89">
        <v>0.69599999999999995</v>
      </c>
      <c r="K33" s="89">
        <v>16.260000000000002</v>
      </c>
      <c r="L33" s="89">
        <v>75370246.079999998</v>
      </c>
      <c r="M33" s="89">
        <v>72347928.489999995</v>
      </c>
      <c r="N33" s="89">
        <v>31695.71</v>
      </c>
    </row>
    <row r="34" spans="1:14" x14ac:dyDescent="0.2">
      <c r="A34" s="89" t="s">
        <v>7091</v>
      </c>
      <c r="B34" s="89">
        <v>4102604</v>
      </c>
      <c r="C34" s="89" t="s">
        <v>7846</v>
      </c>
      <c r="D34" s="89" t="s">
        <v>7845</v>
      </c>
      <c r="E34" s="89">
        <v>161.80600000000001</v>
      </c>
      <c r="F34" s="89">
        <v>9759</v>
      </c>
      <c r="G34" s="89">
        <v>60.53</v>
      </c>
      <c r="H34" s="89">
        <v>9903</v>
      </c>
      <c r="I34" s="89">
        <v>100</v>
      </c>
      <c r="J34" s="89">
        <v>0.70599999999999996</v>
      </c>
      <c r="K34" s="89">
        <v>16.53</v>
      </c>
      <c r="L34" s="89">
        <v>76388435.909999996</v>
      </c>
      <c r="M34" s="89">
        <v>61353893.259999998</v>
      </c>
      <c r="N34" s="89">
        <v>33128.04</v>
      </c>
    </row>
    <row r="35" spans="1:14" x14ac:dyDescent="0.2">
      <c r="A35" s="89" t="s">
        <v>140</v>
      </c>
      <c r="B35" s="89">
        <v>4102703</v>
      </c>
      <c r="C35" s="89" t="s">
        <v>7844</v>
      </c>
      <c r="D35" s="89" t="s">
        <v>7843</v>
      </c>
      <c r="E35" s="89">
        <v>115.855</v>
      </c>
      <c r="F35" s="89">
        <v>2814</v>
      </c>
      <c r="G35" s="89">
        <v>24.29</v>
      </c>
      <c r="H35" s="89">
        <v>2872</v>
      </c>
      <c r="I35" s="89">
        <v>100</v>
      </c>
      <c r="J35" s="89">
        <v>0.74399999999999999</v>
      </c>
      <c r="K35" s="89" t="s">
        <v>1228</v>
      </c>
      <c r="L35" s="89">
        <v>40385608.969999999</v>
      </c>
      <c r="M35" s="89">
        <v>32421150.699999999</v>
      </c>
      <c r="N35" s="89">
        <v>66502.509999999995</v>
      </c>
    </row>
    <row r="36" spans="1:14" x14ac:dyDescent="0.2">
      <c r="A36" s="89" t="s">
        <v>366</v>
      </c>
      <c r="B36" s="89">
        <v>4102752</v>
      </c>
      <c r="C36" s="89" t="s">
        <v>7841</v>
      </c>
      <c r="D36" s="89" t="s">
        <v>7842</v>
      </c>
      <c r="E36" s="89">
        <v>148.85900000000001</v>
      </c>
      <c r="F36" s="89">
        <v>4031</v>
      </c>
      <c r="G36" s="89">
        <v>27.22</v>
      </c>
      <c r="H36" s="89">
        <v>4122</v>
      </c>
      <c r="I36" s="89">
        <v>98.78</v>
      </c>
      <c r="J36" s="89">
        <v>0.68100000000000005</v>
      </c>
      <c r="K36" s="89" t="s">
        <v>1228</v>
      </c>
      <c r="L36" s="89">
        <v>41382474.799999997</v>
      </c>
      <c r="M36" s="89">
        <v>37302761.25</v>
      </c>
      <c r="N36" s="89">
        <v>31281.27</v>
      </c>
    </row>
    <row r="37" spans="1:14" x14ac:dyDescent="0.2">
      <c r="A37" s="89" t="s">
        <v>102</v>
      </c>
      <c r="B37" s="89">
        <v>4102802</v>
      </c>
      <c r="C37" s="89" t="s">
        <v>7841</v>
      </c>
      <c r="D37" s="89" t="s">
        <v>7840</v>
      </c>
      <c r="E37" s="89">
        <v>246.22499999999999</v>
      </c>
      <c r="F37" s="89">
        <v>14833</v>
      </c>
      <c r="G37" s="89">
        <v>61.12</v>
      </c>
      <c r="H37" s="89">
        <v>14982</v>
      </c>
      <c r="I37" s="89">
        <v>96.56</v>
      </c>
      <c r="J37" s="89">
        <v>0.71599999999999997</v>
      </c>
      <c r="K37" s="89">
        <v>10.64</v>
      </c>
      <c r="L37" s="89">
        <v>119485717.90000001</v>
      </c>
      <c r="M37" s="89">
        <v>100966627.03</v>
      </c>
      <c r="N37" s="89">
        <v>38026.959999999999</v>
      </c>
    </row>
    <row r="38" spans="1:14" x14ac:dyDescent="0.2">
      <c r="A38" s="89" t="s">
        <v>27</v>
      </c>
      <c r="B38" s="89">
        <v>4102901</v>
      </c>
      <c r="C38" s="89" t="s">
        <v>7839</v>
      </c>
      <c r="D38" s="89" t="s">
        <v>7838</v>
      </c>
      <c r="E38" s="89">
        <v>1280.76</v>
      </c>
      <c r="F38" s="89">
        <v>15533</v>
      </c>
      <c r="G38" s="89">
        <v>12.58</v>
      </c>
      <c r="H38" s="89">
        <v>15650</v>
      </c>
      <c r="I38" s="89">
        <v>98.35</v>
      </c>
      <c r="J38" s="89">
        <v>0.66700000000000004</v>
      </c>
      <c r="K38" s="89">
        <v>7.72</v>
      </c>
      <c r="L38" s="89">
        <v>140712641.97999999</v>
      </c>
      <c r="M38" s="89">
        <v>126950852.95</v>
      </c>
      <c r="N38" s="89">
        <v>42256.959999999999</v>
      </c>
    </row>
    <row r="39" spans="1:14" x14ac:dyDescent="0.2">
      <c r="A39" s="89" t="s">
        <v>251</v>
      </c>
      <c r="B39" s="89">
        <v>4103008</v>
      </c>
      <c r="C39" s="89" t="s">
        <v>7837</v>
      </c>
      <c r="D39" s="89" t="s">
        <v>7836</v>
      </c>
      <c r="E39" s="89">
        <v>301.13099999999997</v>
      </c>
      <c r="F39" s="89">
        <v>4558</v>
      </c>
      <c r="G39" s="89">
        <v>15.06</v>
      </c>
      <c r="H39" s="89">
        <v>4595</v>
      </c>
      <c r="I39" s="89">
        <v>96.74</v>
      </c>
      <c r="J39" s="89">
        <v>0.72</v>
      </c>
      <c r="K39" s="89">
        <v>24.39</v>
      </c>
      <c r="L39" s="89">
        <v>71969832.310000002</v>
      </c>
      <c r="M39" s="89">
        <v>61581438.68</v>
      </c>
      <c r="N39" s="89">
        <v>75237.05</v>
      </c>
    </row>
    <row r="40" spans="1:14" x14ac:dyDescent="0.2">
      <c r="A40" s="89" t="s">
        <v>351</v>
      </c>
      <c r="B40" s="89">
        <v>4103024</v>
      </c>
      <c r="C40" s="89" t="s">
        <v>7835</v>
      </c>
      <c r="D40" s="89" t="s">
        <v>7834</v>
      </c>
      <c r="E40" s="89">
        <v>152.25200000000001</v>
      </c>
      <c r="F40" s="89">
        <v>2455</v>
      </c>
      <c r="G40" s="89">
        <v>16.170000000000002</v>
      </c>
      <c r="H40" s="89">
        <v>2421</v>
      </c>
      <c r="I40" s="89">
        <v>100</v>
      </c>
      <c r="J40" s="89">
        <v>0.7</v>
      </c>
      <c r="K40" s="89">
        <v>34.479999999999997</v>
      </c>
      <c r="L40" s="89">
        <v>43954872.539999999</v>
      </c>
      <c r="M40" s="89">
        <v>38308780.189999998</v>
      </c>
      <c r="N40" s="89">
        <v>67222.53</v>
      </c>
    </row>
    <row r="41" spans="1:14" x14ac:dyDescent="0.2">
      <c r="A41" s="89" t="s">
        <v>63</v>
      </c>
      <c r="B41" s="89">
        <v>4103040</v>
      </c>
      <c r="C41" s="89" t="s">
        <v>7833</v>
      </c>
      <c r="D41" s="89" t="s">
        <v>7832</v>
      </c>
      <c r="E41" s="89">
        <v>606.94000000000005</v>
      </c>
      <c r="F41" s="89">
        <v>6378</v>
      </c>
      <c r="G41" s="89">
        <v>10.28</v>
      </c>
      <c r="H41" s="89">
        <v>6241</v>
      </c>
      <c r="I41" s="89">
        <v>99.8</v>
      </c>
      <c r="J41" s="89">
        <v>0.65500000000000003</v>
      </c>
      <c r="K41" s="89">
        <v>11.76</v>
      </c>
      <c r="L41" s="89">
        <v>73000253.549999997</v>
      </c>
      <c r="M41" s="89">
        <v>64236259.619999997</v>
      </c>
      <c r="N41" s="89">
        <v>72838.58</v>
      </c>
    </row>
    <row r="42" spans="1:14" x14ac:dyDescent="0.2">
      <c r="A42" s="89" t="s">
        <v>340</v>
      </c>
      <c r="B42" s="89">
        <v>4103057</v>
      </c>
      <c r="C42" s="89" t="s">
        <v>7222</v>
      </c>
      <c r="D42" s="89" t="s">
        <v>7831</v>
      </c>
      <c r="E42" s="89">
        <v>265.63600000000002</v>
      </c>
      <c r="F42" s="89">
        <v>7924</v>
      </c>
      <c r="G42" s="89">
        <v>29.77</v>
      </c>
      <c r="H42" s="89">
        <v>8023</v>
      </c>
      <c r="I42" s="89">
        <v>98.22</v>
      </c>
      <c r="J42" s="89">
        <v>0.67</v>
      </c>
      <c r="K42" s="89">
        <v>9.01</v>
      </c>
      <c r="L42" s="89">
        <v>69182922.659999996</v>
      </c>
      <c r="M42" s="89">
        <v>66289264.630000003</v>
      </c>
      <c r="N42" s="89">
        <v>28071.29</v>
      </c>
    </row>
    <row r="43" spans="1:14" x14ac:dyDescent="0.2">
      <c r="A43" s="89" t="s">
        <v>7</v>
      </c>
      <c r="B43" s="89">
        <v>4103107</v>
      </c>
      <c r="C43" s="89" t="s">
        <v>7830</v>
      </c>
      <c r="D43" s="89" t="s">
        <v>7829</v>
      </c>
      <c r="E43" s="89">
        <v>809.68200000000002</v>
      </c>
      <c r="F43" s="89">
        <v>13299</v>
      </c>
      <c r="G43" s="89">
        <v>16.11</v>
      </c>
      <c r="H43" s="89">
        <v>13405</v>
      </c>
      <c r="I43" s="89">
        <v>98.99</v>
      </c>
      <c r="J43" s="89">
        <v>0.64</v>
      </c>
      <c r="K43" s="89">
        <v>5.81</v>
      </c>
      <c r="L43" s="89">
        <v>77778634.230000004</v>
      </c>
      <c r="M43" s="89">
        <v>71068933.329999998</v>
      </c>
      <c r="N43" s="89">
        <v>22971.54</v>
      </c>
    </row>
    <row r="44" spans="1:14" x14ac:dyDescent="0.2">
      <c r="A44" s="89" t="s">
        <v>367</v>
      </c>
      <c r="B44" s="89">
        <v>4103156</v>
      </c>
      <c r="C44" s="89" t="s">
        <v>7828</v>
      </c>
      <c r="D44" s="89" t="s">
        <v>7827</v>
      </c>
      <c r="E44" s="89">
        <v>175.536</v>
      </c>
      <c r="F44" s="89">
        <v>3980</v>
      </c>
      <c r="G44" s="89">
        <v>22.6</v>
      </c>
      <c r="H44" s="89">
        <v>4072</v>
      </c>
      <c r="I44" s="89">
        <v>100</v>
      </c>
      <c r="J44" s="89">
        <v>0.69699999999999995</v>
      </c>
      <c r="K44" s="89" t="s">
        <v>1228</v>
      </c>
      <c r="L44" s="89">
        <v>43583376.170000002</v>
      </c>
      <c r="M44" s="89">
        <v>37940796.420000002</v>
      </c>
      <c r="N44" s="89">
        <v>35783.31</v>
      </c>
    </row>
    <row r="45" spans="1:14" x14ac:dyDescent="0.2">
      <c r="A45" s="89" t="s">
        <v>197</v>
      </c>
      <c r="B45" s="89">
        <v>4103206</v>
      </c>
      <c r="C45" s="89" t="s">
        <v>7826</v>
      </c>
      <c r="D45" s="89" t="s">
        <v>7825</v>
      </c>
      <c r="E45" s="89">
        <v>321.56</v>
      </c>
      <c r="F45" s="89">
        <v>6581</v>
      </c>
      <c r="G45" s="89">
        <v>20.39</v>
      </c>
      <c r="H45" s="89">
        <v>6674</v>
      </c>
      <c r="I45" s="89">
        <v>99.14</v>
      </c>
      <c r="J45" s="89">
        <v>0.68600000000000005</v>
      </c>
      <c r="K45" s="89">
        <v>37.5</v>
      </c>
      <c r="L45" s="89">
        <v>54036265.93</v>
      </c>
      <c r="M45" s="89">
        <v>50544365.340000004</v>
      </c>
      <c r="N45" s="89">
        <v>33681.51</v>
      </c>
    </row>
    <row r="46" spans="1:14" x14ac:dyDescent="0.2">
      <c r="A46" s="89" t="s">
        <v>376</v>
      </c>
      <c r="B46" s="89">
        <v>4103222</v>
      </c>
      <c r="C46" s="89" t="s">
        <v>7824</v>
      </c>
      <c r="D46" s="89" t="s">
        <v>7823</v>
      </c>
      <c r="E46" s="89">
        <v>198.58</v>
      </c>
      <c r="F46" s="89">
        <v>3202</v>
      </c>
      <c r="G46" s="89">
        <v>16.34</v>
      </c>
      <c r="H46" s="89">
        <v>3244</v>
      </c>
      <c r="I46" s="89">
        <v>100</v>
      </c>
      <c r="J46" s="89">
        <v>0.74199999999999999</v>
      </c>
      <c r="K46" s="89" t="s">
        <v>1228</v>
      </c>
      <c r="L46" s="89">
        <v>54172649.07</v>
      </c>
      <c r="M46" s="89">
        <v>48287290.920000002</v>
      </c>
      <c r="N46" s="89">
        <v>103530.68</v>
      </c>
    </row>
    <row r="47" spans="1:14" x14ac:dyDescent="0.2">
      <c r="A47" s="89" t="s">
        <v>152</v>
      </c>
      <c r="B47" s="89">
        <v>4103305</v>
      </c>
      <c r="C47" s="89" t="s">
        <v>7822</v>
      </c>
      <c r="D47" s="89" t="s">
        <v>7821</v>
      </c>
      <c r="E47" s="89">
        <v>338.35399999999998</v>
      </c>
      <c r="F47" s="89">
        <v>7735</v>
      </c>
      <c r="G47" s="89">
        <v>23.13</v>
      </c>
      <c r="H47" s="89">
        <v>7818</v>
      </c>
      <c r="I47" s="89">
        <v>100</v>
      </c>
      <c r="J47" s="89">
        <v>0.71699999999999997</v>
      </c>
      <c r="K47" s="89">
        <v>13.7</v>
      </c>
      <c r="L47" s="89">
        <v>59929206.590000004</v>
      </c>
      <c r="M47" s="89">
        <v>52503166.490000002</v>
      </c>
      <c r="N47" s="89">
        <v>38327.769999999997</v>
      </c>
    </row>
    <row r="48" spans="1:14" x14ac:dyDescent="0.2">
      <c r="A48" s="89" t="s">
        <v>341</v>
      </c>
      <c r="B48" s="89">
        <v>4103354</v>
      </c>
      <c r="C48" s="89" t="s">
        <v>7820</v>
      </c>
      <c r="D48" s="89" t="s">
        <v>7819</v>
      </c>
      <c r="E48" s="89">
        <v>343.26</v>
      </c>
      <c r="F48" s="89">
        <v>4854</v>
      </c>
      <c r="G48" s="89">
        <v>14.14</v>
      </c>
      <c r="H48" s="89">
        <v>4745</v>
      </c>
      <c r="I48" s="89">
        <v>100</v>
      </c>
      <c r="J48" s="89">
        <v>0.70099999999999996</v>
      </c>
      <c r="K48" s="89" t="s">
        <v>1228</v>
      </c>
      <c r="L48" s="89">
        <v>57149972.460000001</v>
      </c>
      <c r="M48" s="89">
        <v>57805708.920000002</v>
      </c>
      <c r="N48" s="89">
        <v>53771.59</v>
      </c>
    </row>
    <row r="49" spans="1:14" x14ac:dyDescent="0.2">
      <c r="A49" s="89" t="s">
        <v>277</v>
      </c>
      <c r="B49" s="89">
        <v>4103370</v>
      </c>
      <c r="C49" s="89" t="s">
        <v>7818</v>
      </c>
      <c r="D49" s="89" t="s">
        <v>7817</v>
      </c>
      <c r="E49" s="89">
        <v>291.036</v>
      </c>
      <c r="F49" s="89">
        <v>3708</v>
      </c>
      <c r="G49" s="89">
        <v>12.74</v>
      </c>
      <c r="H49" s="89">
        <v>3861</v>
      </c>
      <c r="I49" s="89">
        <v>99.18</v>
      </c>
      <c r="J49" s="89">
        <v>0.68100000000000005</v>
      </c>
      <c r="K49" s="89" t="s">
        <v>1228</v>
      </c>
      <c r="L49" s="89">
        <v>51693906.240000002</v>
      </c>
      <c r="M49" s="89">
        <v>43785456.5</v>
      </c>
      <c r="N49" s="89">
        <v>80537.86</v>
      </c>
    </row>
    <row r="50" spans="1:14" x14ac:dyDescent="0.2">
      <c r="A50" s="89" t="s">
        <v>103</v>
      </c>
      <c r="B50" s="89">
        <v>4103404</v>
      </c>
      <c r="C50" s="89" t="s">
        <v>7816</v>
      </c>
      <c r="D50" s="89" t="s">
        <v>7815</v>
      </c>
      <c r="E50" s="89">
        <v>184.255</v>
      </c>
      <c r="F50" s="89">
        <v>2627</v>
      </c>
      <c r="G50" s="89">
        <v>14.14</v>
      </c>
      <c r="H50" s="89">
        <v>2648</v>
      </c>
      <c r="I50" s="89">
        <v>98.89</v>
      </c>
      <c r="J50" s="89">
        <v>0.69299999999999995</v>
      </c>
      <c r="K50" s="89" t="s">
        <v>1228</v>
      </c>
      <c r="L50" s="89">
        <v>42776845.82</v>
      </c>
      <c r="M50" s="89">
        <v>40971513.329999998</v>
      </c>
      <c r="N50" s="89">
        <v>46262.76</v>
      </c>
    </row>
    <row r="51" spans="1:14" x14ac:dyDescent="0.2">
      <c r="A51" s="89" t="s">
        <v>330</v>
      </c>
      <c r="B51" s="89">
        <v>4103453</v>
      </c>
      <c r="C51" s="89" t="s">
        <v>7814</v>
      </c>
      <c r="D51" s="89" t="s">
        <v>7813</v>
      </c>
      <c r="E51" s="89">
        <v>275.17</v>
      </c>
      <c r="F51" s="89">
        <v>18997</v>
      </c>
      <c r="G51" s="89">
        <v>69.099999999999994</v>
      </c>
      <c r="H51" s="89">
        <v>20145</v>
      </c>
      <c r="I51" s="89">
        <v>99.11</v>
      </c>
      <c r="J51" s="89">
        <v>0.748</v>
      </c>
      <c r="K51" s="89">
        <v>3.36</v>
      </c>
      <c r="L51" s="89">
        <v>162724053.05000001</v>
      </c>
      <c r="M51" s="89">
        <v>153654507.71000001</v>
      </c>
      <c r="N51" s="89">
        <v>142008.42000000001</v>
      </c>
    </row>
    <row r="52" spans="1:14" x14ac:dyDescent="0.2">
      <c r="A52" s="89" t="s">
        <v>412</v>
      </c>
      <c r="B52" s="89">
        <v>4103479</v>
      </c>
      <c r="C52" s="89" t="s">
        <v>7812</v>
      </c>
      <c r="D52" s="89" t="s">
        <v>7811</v>
      </c>
      <c r="E52" s="89">
        <v>335.72800000000001</v>
      </c>
      <c r="F52" s="89">
        <v>4473</v>
      </c>
      <c r="G52" s="89">
        <v>13.34</v>
      </c>
      <c r="H52" s="89">
        <v>4580</v>
      </c>
      <c r="I52" s="89">
        <v>98.14</v>
      </c>
      <c r="J52" s="89">
        <v>0.69199999999999995</v>
      </c>
      <c r="K52" s="89" t="s">
        <v>1228</v>
      </c>
      <c r="L52" s="89">
        <v>50602155.350000001</v>
      </c>
      <c r="M52" s="89">
        <v>50181924.25</v>
      </c>
      <c r="N52" s="89">
        <v>44494.97</v>
      </c>
    </row>
    <row r="53" spans="1:14" x14ac:dyDescent="0.2">
      <c r="A53" s="89" t="s">
        <v>7090</v>
      </c>
      <c r="B53" s="89">
        <v>4103503</v>
      </c>
      <c r="C53" s="89" t="s">
        <v>7810</v>
      </c>
      <c r="D53" s="89" t="s">
        <v>7809</v>
      </c>
      <c r="E53" s="89">
        <v>141.81700000000001</v>
      </c>
      <c r="F53" s="89">
        <v>8710</v>
      </c>
      <c r="G53" s="89">
        <v>61.42</v>
      </c>
      <c r="H53" s="89">
        <v>8963</v>
      </c>
      <c r="I53" s="89">
        <v>99.58</v>
      </c>
      <c r="J53" s="89">
        <v>0.72199999999999998</v>
      </c>
      <c r="K53" s="89" t="s">
        <v>1228</v>
      </c>
      <c r="L53" s="89">
        <v>57772271.82</v>
      </c>
      <c r="M53" s="89">
        <v>52473108.68</v>
      </c>
      <c r="N53" s="89">
        <v>28817.34</v>
      </c>
    </row>
    <row r="54" spans="1:14" x14ac:dyDescent="0.2">
      <c r="A54" s="89" t="s">
        <v>141</v>
      </c>
      <c r="B54" s="89">
        <v>4103602</v>
      </c>
      <c r="C54" s="89" t="s">
        <v>7808</v>
      </c>
      <c r="D54" s="89" t="s">
        <v>7807</v>
      </c>
      <c r="E54" s="89">
        <v>367.46199999999999</v>
      </c>
      <c r="F54" s="89">
        <v>23212</v>
      </c>
      <c r="G54" s="89">
        <v>63.39</v>
      </c>
      <c r="H54" s="89">
        <v>23393</v>
      </c>
      <c r="I54" s="89">
        <v>100</v>
      </c>
      <c r="J54" s="89">
        <v>0.72099999999999997</v>
      </c>
      <c r="K54" s="89">
        <v>12.35</v>
      </c>
      <c r="L54" s="89">
        <v>151770157.53</v>
      </c>
      <c r="M54" s="89">
        <v>128051264.73999999</v>
      </c>
      <c r="N54" s="89">
        <v>42457.02</v>
      </c>
    </row>
    <row r="55" spans="1:14" x14ac:dyDescent="0.2">
      <c r="A55" s="89" t="s">
        <v>104</v>
      </c>
      <c r="B55" s="89">
        <v>4103701</v>
      </c>
      <c r="C55" s="89" t="s">
        <v>7806</v>
      </c>
      <c r="D55" s="89" t="s">
        <v>7805</v>
      </c>
      <c r="E55" s="89">
        <v>499.58300000000003</v>
      </c>
      <c r="F55" s="89">
        <v>107208</v>
      </c>
      <c r="G55" s="89">
        <v>216.42</v>
      </c>
      <c r="H55" s="89">
        <v>110923</v>
      </c>
      <c r="I55" s="89">
        <v>98.22</v>
      </c>
      <c r="J55" s="89">
        <v>0.73399999999999999</v>
      </c>
      <c r="K55" s="89">
        <v>10.93</v>
      </c>
      <c r="L55" s="89">
        <v>562504341.02999997</v>
      </c>
      <c r="M55" s="89">
        <v>588430190.84000003</v>
      </c>
      <c r="N55" s="89">
        <v>63159.21</v>
      </c>
    </row>
    <row r="56" spans="1:14" x14ac:dyDescent="0.2">
      <c r="A56" s="89" t="s">
        <v>153</v>
      </c>
      <c r="B56" s="89">
        <v>4103800</v>
      </c>
      <c r="C56" s="89" t="s">
        <v>7804</v>
      </c>
      <c r="D56" s="89" t="s">
        <v>7803</v>
      </c>
      <c r="E56" s="89">
        <v>166.274</v>
      </c>
      <c r="F56" s="89">
        <v>9460</v>
      </c>
      <c r="G56" s="89">
        <v>57.41</v>
      </c>
      <c r="H56" s="89">
        <v>10045</v>
      </c>
      <c r="I56" s="89">
        <v>99.51</v>
      </c>
      <c r="J56" s="89">
        <v>0.72499999999999998</v>
      </c>
      <c r="K56" s="89">
        <v>14.71</v>
      </c>
      <c r="L56" s="89">
        <v>65461704</v>
      </c>
      <c r="M56" s="89">
        <v>59743519.93</v>
      </c>
      <c r="N56" s="89">
        <v>36931.019999999997</v>
      </c>
    </row>
    <row r="57" spans="1:14" x14ac:dyDescent="0.2">
      <c r="A57" s="89" t="s">
        <v>252</v>
      </c>
      <c r="B57" s="89">
        <v>4103909</v>
      </c>
      <c r="C57" s="89" t="s">
        <v>7802</v>
      </c>
      <c r="D57" s="89" t="s">
        <v>7801</v>
      </c>
      <c r="E57" s="89">
        <v>798.99099999999999</v>
      </c>
      <c r="F57" s="89">
        <v>15723</v>
      </c>
      <c r="G57" s="89">
        <v>19.739999999999998</v>
      </c>
      <c r="H57" s="89">
        <v>16014</v>
      </c>
      <c r="I57" s="89">
        <v>98.55</v>
      </c>
      <c r="J57" s="89">
        <v>0.70399999999999996</v>
      </c>
      <c r="K57" s="89">
        <v>10.199999999999999</v>
      </c>
      <c r="L57" s="89">
        <v>105674392</v>
      </c>
      <c r="M57" s="89">
        <v>103439728.34999999</v>
      </c>
      <c r="N57" s="89">
        <v>42893.99</v>
      </c>
    </row>
    <row r="58" spans="1:14" x14ac:dyDescent="0.2">
      <c r="A58" s="89" t="s">
        <v>64</v>
      </c>
      <c r="B58" s="89">
        <v>4103958</v>
      </c>
      <c r="C58" s="89" t="s">
        <v>7800</v>
      </c>
      <c r="D58" s="89" t="s">
        <v>7799</v>
      </c>
      <c r="E58" s="89">
        <v>448.03300000000002</v>
      </c>
      <c r="F58" s="89">
        <v>3936</v>
      </c>
      <c r="G58" s="89">
        <v>8.7799999999999994</v>
      </c>
      <c r="H58" s="89">
        <v>3954</v>
      </c>
      <c r="I58" s="89">
        <v>100</v>
      </c>
      <c r="J58" s="89">
        <v>0.63</v>
      </c>
      <c r="K58" s="89">
        <v>24.69</v>
      </c>
      <c r="L58" s="89">
        <v>61586804.509999998</v>
      </c>
      <c r="M58" s="89">
        <v>48427438.479999997</v>
      </c>
      <c r="N58" s="89">
        <v>49573.09</v>
      </c>
    </row>
    <row r="59" spans="1:14" x14ac:dyDescent="0.2">
      <c r="A59" s="89" t="s">
        <v>396</v>
      </c>
      <c r="B59" s="89">
        <v>4104006</v>
      </c>
      <c r="C59" s="89" t="s">
        <v>7798</v>
      </c>
      <c r="D59" s="89" t="s">
        <v>7797</v>
      </c>
      <c r="E59" s="89">
        <v>542.23900000000003</v>
      </c>
      <c r="F59" s="89">
        <v>47825</v>
      </c>
      <c r="G59" s="89">
        <v>88.69</v>
      </c>
      <c r="H59" s="89">
        <v>50600</v>
      </c>
      <c r="I59" s="89">
        <v>99.44</v>
      </c>
      <c r="J59" s="89">
        <v>0.71799999999999997</v>
      </c>
      <c r="K59" s="89">
        <v>11.22</v>
      </c>
      <c r="L59" s="89">
        <v>335333825.47000003</v>
      </c>
      <c r="M59" s="89">
        <v>297994794.18000001</v>
      </c>
      <c r="N59" s="89">
        <v>60047.41</v>
      </c>
    </row>
    <row r="60" spans="1:14" x14ac:dyDescent="0.2">
      <c r="A60" s="89" t="s">
        <v>342</v>
      </c>
      <c r="B60" s="89">
        <v>4104055</v>
      </c>
      <c r="C60" s="89" t="s">
        <v>7796</v>
      </c>
      <c r="D60" s="89" t="s">
        <v>7795</v>
      </c>
      <c r="E60" s="89">
        <v>434.12400000000002</v>
      </c>
      <c r="F60" s="89">
        <v>4027</v>
      </c>
      <c r="G60" s="89">
        <v>9.2799999999999994</v>
      </c>
      <c r="H60" s="89">
        <v>3997</v>
      </c>
      <c r="I60" s="89">
        <v>100</v>
      </c>
      <c r="J60" s="89">
        <v>0.68100000000000005</v>
      </c>
      <c r="K60" s="89" t="s">
        <v>1228</v>
      </c>
      <c r="L60" s="89">
        <v>53000665.710000001</v>
      </c>
      <c r="M60" s="89">
        <v>50328576.289999999</v>
      </c>
      <c r="N60" s="89">
        <v>58901.77</v>
      </c>
    </row>
    <row r="61" spans="1:14" x14ac:dyDescent="0.2">
      <c r="A61" s="89" t="s">
        <v>22</v>
      </c>
      <c r="B61" s="89">
        <v>4104105</v>
      </c>
      <c r="C61" s="89" t="s">
        <v>7794</v>
      </c>
      <c r="D61" s="89" t="s">
        <v>7793</v>
      </c>
      <c r="E61" s="89">
        <v>303.95600000000002</v>
      </c>
      <c r="F61" s="89">
        <v>7508</v>
      </c>
      <c r="G61" s="89">
        <v>24.66</v>
      </c>
      <c r="H61" s="89">
        <v>7693</v>
      </c>
      <c r="I61" s="89">
        <v>99.1</v>
      </c>
      <c r="J61" s="89">
        <v>0.68600000000000005</v>
      </c>
      <c r="K61" s="89" t="s">
        <v>1228</v>
      </c>
      <c r="L61" s="89">
        <v>60113769.640000001</v>
      </c>
      <c r="M61" s="89">
        <v>57573606.909999996</v>
      </c>
      <c r="N61" s="89">
        <v>40846.17</v>
      </c>
    </row>
    <row r="62" spans="1:14" x14ac:dyDescent="0.2">
      <c r="A62" s="89" t="s">
        <v>16</v>
      </c>
      <c r="B62" s="89">
        <v>4104204</v>
      </c>
      <c r="C62" s="89" t="s">
        <v>7792</v>
      </c>
      <c r="D62" s="89" t="s">
        <v>7791</v>
      </c>
      <c r="E62" s="89">
        <v>1239.8009999999999</v>
      </c>
      <c r="F62" s="89">
        <v>136327</v>
      </c>
      <c r="G62" s="89">
        <v>109.63</v>
      </c>
      <c r="H62" s="89">
        <v>144504</v>
      </c>
      <c r="I62" s="89">
        <v>99.35</v>
      </c>
      <c r="J62" s="89">
        <v>0.745</v>
      </c>
      <c r="K62" s="89">
        <v>10.08</v>
      </c>
      <c r="L62" s="89">
        <v>752752760.5</v>
      </c>
      <c r="M62" s="89">
        <v>679042084.37</v>
      </c>
      <c r="N62" s="89">
        <v>51863.48</v>
      </c>
    </row>
    <row r="63" spans="1:14" x14ac:dyDescent="0.2">
      <c r="A63" s="89" t="s">
        <v>407</v>
      </c>
      <c r="B63" s="89">
        <v>4104253</v>
      </c>
      <c r="C63" s="89" t="s">
        <v>7790</v>
      </c>
      <c r="D63" s="89" t="s">
        <v>7789</v>
      </c>
      <c r="E63" s="89">
        <v>275.423</v>
      </c>
      <c r="F63" s="89">
        <v>30160</v>
      </c>
      <c r="G63" s="89">
        <v>109.53</v>
      </c>
      <c r="H63" s="89">
        <v>31888</v>
      </c>
      <c r="I63" s="89">
        <v>99.22</v>
      </c>
      <c r="J63" s="89">
        <v>0.70099999999999996</v>
      </c>
      <c r="K63" s="89">
        <v>2.93</v>
      </c>
      <c r="L63" s="89">
        <v>152891870.13</v>
      </c>
      <c r="M63" s="89">
        <v>145703280.19999999</v>
      </c>
      <c r="N63" s="89">
        <v>23228.87</v>
      </c>
    </row>
    <row r="64" spans="1:14" x14ac:dyDescent="0.2">
      <c r="A64" s="89" t="s">
        <v>239</v>
      </c>
      <c r="B64" s="89">
        <v>4104303</v>
      </c>
      <c r="C64" s="89" t="s">
        <v>7788</v>
      </c>
      <c r="D64" s="89" t="s">
        <v>7787</v>
      </c>
      <c r="E64" s="89">
        <v>748.05399999999997</v>
      </c>
      <c r="F64" s="89">
        <v>99432</v>
      </c>
      <c r="G64" s="89">
        <v>132.63999999999999</v>
      </c>
      <c r="H64" s="89">
        <v>104122</v>
      </c>
      <c r="I64" s="89">
        <v>99.15</v>
      </c>
      <c r="J64" s="89">
        <v>0.75700000000000001</v>
      </c>
      <c r="K64" s="89">
        <v>6.88</v>
      </c>
      <c r="L64" s="89">
        <v>753018501.02999997</v>
      </c>
      <c r="M64" s="89">
        <v>713812990.10000002</v>
      </c>
      <c r="N64" s="89">
        <v>60261.36</v>
      </c>
    </row>
    <row r="65" spans="1:14" x14ac:dyDescent="0.2">
      <c r="A65" s="89" t="s">
        <v>46</v>
      </c>
      <c r="B65" s="89">
        <v>4104402</v>
      </c>
      <c r="C65" s="89" t="s">
        <v>7786</v>
      </c>
      <c r="D65" s="89" t="s">
        <v>7785</v>
      </c>
      <c r="E65" s="89">
        <v>1506.15</v>
      </c>
      <c r="F65" s="89">
        <v>15244</v>
      </c>
      <c r="G65" s="89">
        <v>10.09</v>
      </c>
      <c r="H65" s="89">
        <v>15081</v>
      </c>
      <c r="I65" s="89">
        <v>98.78</v>
      </c>
      <c r="J65" s="89">
        <v>0.629</v>
      </c>
      <c r="K65" s="89">
        <v>10.42</v>
      </c>
      <c r="L65" s="89">
        <v>97683799.75</v>
      </c>
      <c r="M65" s="89">
        <v>90232656.540000007</v>
      </c>
      <c r="N65" s="89">
        <v>31175.22</v>
      </c>
    </row>
    <row r="66" spans="1:14" x14ac:dyDescent="0.2">
      <c r="A66" s="89" t="s">
        <v>65</v>
      </c>
      <c r="B66" s="89">
        <v>4104428</v>
      </c>
      <c r="C66" s="89" t="s">
        <v>7784</v>
      </c>
      <c r="D66" s="89" t="s">
        <v>7783</v>
      </c>
      <c r="E66" s="89">
        <v>1509.7190000000001</v>
      </c>
      <c r="F66" s="89">
        <v>14973</v>
      </c>
      <c r="G66" s="89">
        <v>9.9</v>
      </c>
      <c r="H66" s="89">
        <v>15174</v>
      </c>
      <c r="I66" s="89">
        <v>99.65</v>
      </c>
      <c r="J66" s="89">
        <v>0.63500000000000001</v>
      </c>
      <c r="K66" s="89">
        <v>4.72</v>
      </c>
      <c r="L66" s="89">
        <v>135332592.46000001</v>
      </c>
      <c r="M66" s="89">
        <v>120127847.84</v>
      </c>
      <c r="N66" s="89">
        <v>60204.94</v>
      </c>
    </row>
    <row r="67" spans="1:14" x14ac:dyDescent="0.2">
      <c r="A67" s="89" t="s">
        <v>394</v>
      </c>
      <c r="B67" s="89">
        <v>4104451</v>
      </c>
      <c r="C67" s="89" t="s">
        <v>7782</v>
      </c>
      <c r="D67" s="89" t="s">
        <v>7781</v>
      </c>
      <c r="E67" s="89">
        <v>568.92899999999997</v>
      </c>
      <c r="F67" s="89">
        <v>10933</v>
      </c>
      <c r="G67" s="89">
        <v>18.739999999999998</v>
      </c>
      <c r="H67" s="89">
        <v>10672</v>
      </c>
      <c r="I67" s="89">
        <v>98.12</v>
      </c>
      <c r="J67" s="89">
        <v>0.63500000000000001</v>
      </c>
      <c r="K67" s="89">
        <v>22.35</v>
      </c>
      <c r="L67" s="89">
        <v>67033603.600000001</v>
      </c>
      <c r="M67" s="89">
        <v>63685040.869999997</v>
      </c>
      <c r="N67" s="89">
        <v>35372.19</v>
      </c>
    </row>
    <row r="68" spans="1:14" x14ac:dyDescent="0.2">
      <c r="A68" s="89" t="s">
        <v>368</v>
      </c>
      <c r="B68" s="89">
        <v>4104501</v>
      </c>
      <c r="C68" s="89" t="s">
        <v>7780</v>
      </c>
      <c r="D68" s="89" t="s">
        <v>7779</v>
      </c>
      <c r="E68" s="89">
        <v>415.96100000000001</v>
      </c>
      <c r="F68" s="89">
        <v>20481</v>
      </c>
      <c r="G68" s="89">
        <v>48.88</v>
      </c>
      <c r="H68" s="89">
        <v>21088</v>
      </c>
      <c r="I68" s="89">
        <v>99.82</v>
      </c>
      <c r="J68" s="89">
        <v>0.70599999999999996</v>
      </c>
      <c r="K68" s="89">
        <v>15.33</v>
      </c>
      <c r="L68" s="89">
        <v>139422503.99000001</v>
      </c>
      <c r="M68" s="89">
        <v>126669659.53</v>
      </c>
      <c r="N68" s="89">
        <v>77763.81</v>
      </c>
    </row>
    <row r="69" spans="1:14" x14ac:dyDescent="0.2">
      <c r="A69" s="89" t="s">
        <v>343</v>
      </c>
      <c r="B69" s="89">
        <v>4104600</v>
      </c>
      <c r="C69" s="89" t="s">
        <v>7778</v>
      </c>
      <c r="D69" s="89" t="s">
        <v>7777</v>
      </c>
      <c r="E69" s="89">
        <v>280.10899999999998</v>
      </c>
      <c r="F69" s="89">
        <v>14648</v>
      </c>
      <c r="G69" s="89">
        <v>52.3</v>
      </c>
      <c r="H69" s="89">
        <v>14776</v>
      </c>
      <c r="I69" s="89">
        <v>99.28</v>
      </c>
      <c r="J69" s="89">
        <v>0.71599999999999997</v>
      </c>
      <c r="K69" s="89">
        <v>21.62</v>
      </c>
      <c r="L69" s="89">
        <v>113027355.55</v>
      </c>
      <c r="M69" s="89">
        <v>98570194.319999993</v>
      </c>
      <c r="N69" s="89">
        <v>88764.32</v>
      </c>
    </row>
    <row r="70" spans="1:14" x14ac:dyDescent="0.2">
      <c r="A70" s="89" t="s">
        <v>7089</v>
      </c>
      <c r="B70" s="89">
        <v>4104659</v>
      </c>
      <c r="C70" s="89" t="s">
        <v>7776</v>
      </c>
      <c r="D70" s="89" t="s">
        <v>7775</v>
      </c>
      <c r="E70" s="89">
        <v>647.02099999999996</v>
      </c>
      <c r="F70" s="89">
        <v>23283</v>
      </c>
      <c r="G70" s="89">
        <v>35.840000000000003</v>
      </c>
      <c r="H70" s="89">
        <v>24469</v>
      </c>
      <c r="I70" s="89">
        <v>99.86</v>
      </c>
      <c r="J70" s="89">
        <v>0.72799999999999998</v>
      </c>
      <c r="K70" s="89">
        <v>13.97</v>
      </c>
      <c r="L70" s="89">
        <v>207563918.88</v>
      </c>
      <c r="M70" s="89">
        <v>179995061.59</v>
      </c>
      <c r="N70" s="89">
        <v>85465.600000000006</v>
      </c>
    </row>
    <row r="71" spans="1:14" x14ac:dyDescent="0.2">
      <c r="A71" s="89" t="s">
        <v>142</v>
      </c>
      <c r="B71" s="89">
        <v>4104709</v>
      </c>
      <c r="C71" s="89" t="s">
        <v>7774</v>
      </c>
      <c r="D71" s="89" t="s">
        <v>7773</v>
      </c>
      <c r="E71" s="89">
        <v>454.16899999999998</v>
      </c>
      <c r="F71" s="89">
        <v>16905</v>
      </c>
      <c r="G71" s="89">
        <v>37.450000000000003</v>
      </c>
      <c r="H71" s="89">
        <v>17788</v>
      </c>
      <c r="I71" s="89">
        <v>98.51</v>
      </c>
      <c r="J71" s="89">
        <v>0.71299999999999997</v>
      </c>
      <c r="K71" s="89">
        <v>4.29</v>
      </c>
      <c r="L71" s="89">
        <v>96088748.299999997</v>
      </c>
      <c r="M71" s="89">
        <v>71933659.450000003</v>
      </c>
      <c r="N71" s="89">
        <v>34061.74</v>
      </c>
    </row>
    <row r="72" spans="1:14" x14ac:dyDescent="0.2">
      <c r="A72" s="89" t="s">
        <v>331</v>
      </c>
      <c r="B72" s="89">
        <v>4104808</v>
      </c>
      <c r="C72" s="89" t="s">
        <v>7772</v>
      </c>
      <c r="D72" s="89" t="s">
        <v>7771</v>
      </c>
      <c r="E72" s="89">
        <v>2094.2629999999999</v>
      </c>
      <c r="F72" s="89">
        <v>348051</v>
      </c>
      <c r="G72" s="89">
        <v>166.44</v>
      </c>
      <c r="H72" s="89">
        <v>368195</v>
      </c>
      <c r="I72" s="89">
        <v>99.15</v>
      </c>
      <c r="J72" s="89">
        <v>0.78200000000000003</v>
      </c>
      <c r="K72" s="89">
        <v>11.24</v>
      </c>
      <c r="L72" s="89">
        <v>2082393908.97</v>
      </c>
      <c r="M72" s="89">
        <v>1985057166.78</v>
      </c>
      <c r="N72" s="89">
        <v>55176.33</v>
      </c>
    </row>
    <row r="73" spans="1:14" x14ac:dyDescent="0.2">
      <c r="A73" s="89" t="s">
        <v>35</v>
      </c>
      <c r="B73" s="89">
        <v>4104907</v>
      </c>
      <c r="C73" s="89" t="s">
        <v>7770</v>
      </c>
      <c r="D73" s="89" t="s">
        <v>7769</v>
      </c>
      <c r="E73" s="89">
        <v>2526.498</v>
      </c>
      <c r="F73" s="89">
        <v>73075</v>
      </c>
      <c r="G73" s="89">
        <v>28.87</v>
      </c>
      <c r="H73" s="89">
        <v>75644</v>
      </c>
      <c r="I73" s="89">
        <v>98.92</v>
      </c>
      <c r="J73" s="89">
        <v>0.70299999999999996</v>
      </c>
      <c r="K73" s="89">
        <v>7.79</v>
      </c>
      <c r="L73" s="89">
        <v>490199030.50999999</v>
      </c>
      <c r="M73" s="89">
        <v>414196530.31</v>
      </c>
      <c r="N73" s="89">
        <v>61820.06</v>
      </c>
    </row>
    <row r="74" spans="1:14" x14ac:dyDescent="0.2">
      <c r="A74" s="89" t="s">
        <v>344</v>
      </c>
      <c r="B74" s="89">
        <v>4105003</v>
      </c>
      <c r="C74" s="89" t="s">
        <v>7768</v>
      </c>
      <c r="D74" s="89" t="s">
        <v>7767</v>
      </c>
      <c r="E74" s="89">
        <v>578.49400000000003</v>
      </c>
      <c r="F74" s="89">
        <v>10446</v>
      </c>
      <c r="G74" s="89">
        <v>18</v>
      </c>
      <c r="H74" s="89">
        <v>10621</v>
      </c>
      <c r="I74" s="89">
        <v>99.32</v>
      </c>
      <c r="J74" s="89">
        <v>0.67800000000000005</v>
      </c>
      <c r="K74" s="89" t="s">
        <v>1228</v>
      </c>
      <c r="L74" s="89">
        <v>74799384.060000002</v>
      </c>
      <c r="M74" s="89">
        <v>72941317.819999993</v>
      </c>
      <c r="N74" s="89">
        <v>39602.22</v>
      </c>
    </row>
    <row r="75" spans="1:14" x14ac:dyDescent="0.2">
      <c r="A75" s="89" t="s">
        <v>90</v>
      </c>
      <c r="B75" s="89">
        <v>4105102</v>
      </c>
      <c r="C75" s="89" t="s">
        <v>7766</v>
      </c>
      <c r="D75" s="89" t="s">
        <v>7765</v>
      </c>
      <c r="E75" s="89">
        <v>370.62900000000002</v>
      </c>
      <c r="F75" s="89">
        <v>10832</v>
      </c>
      <c r="G75" s="89">
        <v>29.13</v>
      </c>
      <c r="H75" s="89">
        <v>10903</v>
      </c>
      <c r="I75" s="89">
        <v>98.99</v>
      </c>
      <c r="J75" s="89">
        <v>0.66800000000000004</v>
      </c>
      <c r="K75" s="89" t="s">
        <v>1228</v>
      </c>
      <c r="L75" s="89">
        <v>73399157.629999995</v>
      </c>
      <c r="M75" s="89">
        <v>67228057.890000001</v>
      </c>
      <c r="N75" s="89">
        <v>34760.43</v>
      </c>
    </row>
    <row r="76" spans="1:14" x14ac:dyDescent="0.2">
      <c r="A76" s="89" t="s">
        <v>8</v>
      </c>
      <c r="B76" s="89">
        <v>4105201</v>
      </c>
      <c r="C76" s="89" t="s">
        <v>7764</v>
      </c>
      <c r="D76" s="89" t="s">
        <v>7763</v>
      </c>
      <c r="E76" s="89">
        <v>1353.2550000000001</v>
      </c>
      <c r="F76" s="89">
        <v>16134</v>
      </c>
      <c r="G76" s="89">
        <v>12.03</v>
      </c>
      <c r="H76" s="89">
        <v>16287</v>
      </c>
      <c r="I76" s="89">
        <v>98.85</v>
      </c>
      <c r="J76" s="89">
        <v>0.57299999999999995</v>
      </c>
      <c r="K76" s="89">
        <v>10.87</v>
      </c>
      <c r="L76" s="89">
        <v>99647814.560000002</v>
      </c>
      <c r="M76" s="89">
        <v>90190531.950000003</v>
      </c>
      <c r="N76" s="89">
        <v>23181.48</v>
      </c>
    </row>
    <row r="77" spans="1:14" x14ac:dyDescent="0.2">
      <c r="A77" s="89" t="s">
        <v>303</v>
      </c>
      <c r="B77" s="89">
        <v>4105300</v>
      </c>
      <c r="C77" s="89" t="s">
        <v>7762</v>
      </c>
      <c r="D77" s="89" t="s">
        <v>7761</v>
      </c>
      <c r="E77" s="89">
        <v>1176.5229999999999</v>
      </c>
      <c r="F77" s="89">
        <v>11087</v>
      </c>
      <c r="G77" s="89">
        <v>9.4</v>
      </c>
      <c r="H77" s="89">
        <v>11255</v>
      </c>
      <c r="I77" s="89">
        <v>99.09</v>
      </c>
      <c r="J77" s="89">
        <v>0.73199999999999998</v>
      </c>
      <c r="K77" s="89">
        <v>26.32</v>
      </c>
      <c r="L77" s="89">
        <v>99071847.739999995</v>
      </c>
      <c r="M77" s="89">
        <v>82950920.239999995</v>
      </c>
      <c r="N77" s="89">
        <v>96562.03</v>
      </c>
    </row>
    <row r="78" spans="1:14" x14ac:dyDescent="0.2">
      <c r="A78" s="89" t="s">
        <v>377</v>
      </c>
      <c r="B78" s="89">
        <v>4105409</v>
      </c>
      <c r="C78" s="89" t="s">
        <v>7760</v>
      </c>
      <c r="D78" s="89" t="s">
        <v>7759</v>
      </c>
      <c r="E78" s="89">
        <v>961.68200000000002</v>
      </c>
      <c r="F78" s="89">
        <v>21085</v>
      </c>
      <c r="G78" s="89">
        <v>21.97</v>
      </c>
      <c r="H78" s="89">
        <v>21604</v>
      </c>
      <c r="I78" s="89">
        <v>98.89</v>
      </c>
      <c r="J78" s="89">
        <v>0.74</v>
      </c>
      <c r="K78" s="89">
        <v>22.15</v>
      </c>
      <c r="L78" s="89">
        <v>195015911.27000001</v>
      </c>
      <c r="M78" s="89">
        <v>175571977.94</v>
      </c>
      <c r="N78" s="89">
        <v>56739.86</v>
      </c>
    </row>
    <row r="79" spans="1:14" x14ac:dyDescent="0.2">
      <c r="A79" s="89" t="s">
        <v>208</v>
      </c>
      <c r="B79" s="89">
        <v>4105508</v>
      </c>
      <c r="C79" s="89" t="s">
        <v>7758</v>
      </c>
      <c r="D79" s="89" t="s">
        <v>7757</v>
      </c>
      <c r="E79" s="89">
        <v>807.79600000000005</v>
      </c>
      <c r="F79" s="89">
        <v>79527</v>
      </c>
      <c r="G79" s="89">
        <v>97.98</v>
      </c>
      <c r="H79" s="89">
        <v>82988</v>
      </c>
      <c r="I79" s="89">
        <v>98.96</v>
      </c>
      <c r="J79" s="89">
        <v>0.755</v>
      </c>
      <c r="K79" s="89">
        <v>12.28</v>
      </c>
      <c r="L79" s="89">
        <v>598958657.72000003</v>
      </c>
      <c r="M79" s="89">
        <v>553932117.54999995</v>
      </c>
      <c r="N79" s="89">
        <v>50130.1</v>
      </c>
    </row>
    <row r="80" spans="1:14" x14ac:dyDescent="0.2">
      <c r="A80" s="89" t="s">
        <v>262</v>
      </c>
      <c r="B80" s="89">
        <v>4105607</v>
      </c>
      <c r="C80" s="89" t="s">
        <v>7756</v>
      </c>
      <c r="D80" s="89" t="s">
        <v>7755</v>
      </c>
      <c r="E80" s="89">
        <v>402.24099999999999</v>
      </c>
      <c r="F80" s="89">
        <v>11467</v>
      </c>
      <c r="G80" s="89">
        <v>28.45</v>
      </c>
      <c r="H80" s="89">
        <v>11705</v>
      </c>
      <c r="I80" s="89">
        <v>98.71</v>
      </c>
      <c r="J80" s="89">
        <v>0.71799999999999997</v>
      </c>
      <c r="K80" s="89">
        <v>14.71</v>
      </c>
      <c r="L80" s="89">
        <v>77712089.719999999</v>
      </c>
      <c r="M80" s="89">
        <v>64655685.869999997</v>
      </c>
      <c r="N80" s="89">
        <v>54113.89</v>
      </c>
    </row>
    <row r="81" spans="1:14" x14ac:dyDescent="0.2">
      <c r="A81" s="89" t="s">
        <v>384</v>
      </c>
      <c r="B81" s="89">
        <v>4105706</v>
      </c>
      <c r="C81" s="89" t="s">
        <v>7754</v>
      </c>
      <c r="D81" s="89" t="s">
        <v>7753</v>
      </c>
      <c r="E81" s="89">
        <v>703.97299999999996</v>
      </c>
      <c r="F81" s="89">
        <v>15070</v>
      </c>
      <c r="G81" s="89">
        <v>21.42</v>
      </c>
      <c r="H81" s="89">
        <v>14833</v>
      </c>
      <c r="I81" s="89">
        <v>88.72</v>
      </c>
      <c r="J81" s="89">
        <v>0.69399999999999995</v>
      </c>
      <c r="K81" s="89">
        <v>14.29</v>
      </c>
      <c r="L81" s="89">
        <v>131436997.47</v>
      </c>
      <c r="M81" s="89">
        <v>124847677.09999999</v>
      </c>
      <c r="N81" s="89">
        <v>60754.81</v>
      </c>
    </row>
    <row r="82" spans="1:14" x14ac:dyDescent="0.2">
      <c r="A82" s="89" t="s">
        <v>9</v>
      </c>
      <c r="B82" s="89">
        <v>4105805</v>
      </c>
      <c r="C82" s="89" t="s">
        <v>7752</v>
      </c>
      <c r="D82" s="89" t="s">
        <v>7751</v>
      </c>
      <c r="E82" s="89">
        <v>197.369</v>
      </c>
      <c r="F82" s="89">
        <v>232212</v>
      </c>
      <c r="G82" s="89">
        <v>1175.28</v>
      </c>
      <c r="H82" s="89">
        <v>241672</v>
      </c>
      <c r="I82" s="89">
        <v>98.49</v>
      </c>
      <c r="J82" s="89">
        <v>0.73299999999999998</v>
      </c>
      <c r="K82" s="89">
        <v>11.51</v>
      </c>
      <c r="L82" s="89">
        <v>948803592.32000005</v>
      </c>
      <c r="M82" s="89">
        <v>955914965.88999999</v>
      </c>
      <c r="N82" s="89">
        <v>32853.49</v>
      </c>
    </row>
    <row r="83" spans="1:14" x14ac:dyDescent="0.2">
      <c r="A83" s="89" t="s">
        <v>188</v>
      </c>
      <c r="B83" s="89">
        <v>4105904</v>
      </c>
      <c r="C83" s="89" t="s">
        <v>7750</v>
      </c>
      <c r="D83" s="89" t="s">
        <v>7749</v>
      </c>
      <c r="E83" s="89">
        <v>408.53300000000002</v>
      </c>
      <c r="F83" s="89">
        <v>22896</v>
      </c>
      <c r="G83" s="89">
        <v>56.18</v>
      </c>
      <c r="H83" s="89">
        <v>23313</v>
      </c>
      <c r="I83" s="89">
        <v>99.08</v>
      </c>
      <c r="J83" s="89">
        <v>0.73</v>
      </c>
      <c r="K83" s="89">
        <v>20.69</v>
      </c>
      <c r="L83" s="89">
        <v>207826154.19999999</v>
      </c>
      <c r="M83" s="89">
        <v>190366811.40000001</v>
      </c>
      <c r="N83" s="89">
        <v>51174.35</v>
      </c>
    </row>
    <row r="84" spans="1:14" x14ac:dyDescent="0.2">
      <c r="A84" s="89" t="s">
        <v>116</v>
      </c>
      <c r="B84" s="89">
        <v>4106001</v>
      </c>
      <c r="C84" s="89" t="s">
        <v>7748</v>
      </c>
      <c r="D84" s="89" t="s">
        <v>7747</v>
      </c>
      <c r="E84" s="89">
        <v>535.96299999999997</v>
      </c>
      <c r="F84" s="89">
        <v>8320</v>
      </c>
      <c r="G84" s="89">
        <v>15.52</v>
      </c>
      <c r="H84" s="89">
        <v>8445</v>
      </c>
      <c r="I84" s="89">
        <v>99.03</v>
      </c>
      <c r="J84" s="89">
        <v>0.66800000000000004</v>
      </c>
      <c r="K84" s="89">
        <v>11.24</v>
      </c>
      <c r="L84" s="89">
        <v>72304884.709999993</v>
      </c>
      <c r="M84" s="89">
        <v>71431529.709999993</v>
      </c>
      <c r="N84" s="89">
        <v>37201.519999999997</v>
      </c>
    </row>
    <row r="85" spans="1:14" x14ac:dyDescent="0.2">
      <c r="A85" s="89" t="s">
        <v>133</v>
      </c>
      <c r="B85" s="89">
        <v>4106100</v>
      </c>
      <c r="C85" s="89" t="s">
        <v>7746</v>
      </c>
      <c r="D85" s="89" t="s">
        <v>7745</v>
      </c>
      <c r="E85" s="89">
        <v>204.44300000000001</v>
      </c>
      <c r="F85" s="89">
        <v>3461</v>
      </c>
      <c r="G85" s="89">
        <v>16.91</v>
      </c>
      <c r="H85" s="89">
        <v>3474</v>
      </c>
      <c r="I85" s="89">
        <v>86.53</v>
      </c>
      <c r="J85" s="89">
        <v>0.70699999999999996</v>
      </c>
      <c r="K85" s="89" t="s">
        <v>1228</v>
      </c>
      <c r="L85" s="89">
        <v>40303215.060000002</v>
      </c>
      <c r="M85" s="89">
        <v>36631010.090000004</v>
      </c>
      <c r="N85" s="89">
        <v>48767.75</v>
      </c>
    </row>
    <row r="86" spans="1:14" x14ac:dyDescent="0.2">
      <c r="A86" s="89" t="s">
        <v>408</v>
      </c>
      <c r="B86" s="89">
        <v>4106209</v>
      </c>
      <c r="C86" s="89" t="s">
        <v>7744</v>
      </c>
      <c r="D86" s="89" t="s">
        <v>7743</v>
      </c>
      <c r="E86" s="89">
        <v>296.488</v>
      </c>
      <c r="F86" s="89">
        <v>19128</v>
      </c>
      <c r="G86" s="89">
        <v>63.97</v>
      </c>
      <c r="H86" s="89">
        <v>20006</v>
      </c>
      <c r="I86" s="89">
        <v>99.05</v>
      </c>
      <c r="J86" s="89">
        <v>0.68100000000000005</v>
      </c>
      <c r="K86" s="89">
        <v>4.24</v>
      </c>
      <c r="L86" s="89">
        <v>128087364.98</v>
      </c>
      <c r="M86" s="89">
        <v>116855489.54000001</v>
      </c>
      <c r="N86" s="89">
        <v>32821.93</v>
      </c>
    </row>
    <row r="87" spans="1:14" x14ac:dyDescent="0.2">
      <c r="A87" s="89" t="s">
        <v>332</v>
      </c>
      <c r="B87" s="89">
        <v>4106308</v>
      </c>
      <c r="C87" s="89" t="s">
        <v>7742</v>
      </c>
      <c r="D87" s="89" t="s">
        <v>7741</v>
      </c>
      <c r="E87" s="89">
        <v>527.60699999999997</v>
      </c>
      <c r="F87" s="89">
        <v>17470</v>
      </c>
      <c r="G87" s="89">
        <v>33.020000000000003</v>
      </c>
      <c r="H87" s="89">
        <v>17933</v>
      </c>
      <c r="I87" s="89">
        <v>98.66</v>
      </c>
      <c r="J87" s="89">
        <v>0.73799999999999999</v>
      </c>
      <c r="K87" s="89" t="s">
        <v>1228</v>
      </c>
      <c r="L87" s="89">
        <v>145408393.46000001</v>
      </c>
      <c r="M87" s="89">
        <v>140717222.24000001</v>
      </c>
      <c r="N87" s="89">
        <v>56867.78</v>
      </c>
    </row>
    <row r="88" spans="1:14" x14ac:dyDescent="0.2">
      <c r="A88" s="89" t="s">
        <v>117</v>
      </c>
      <c r="B88" s="89">
        <v>4106407</v>
      </c>
      <c r="C88" s="89" t="s">
        <v>7740</v>
      </c>
      <c r="D88" s="89" t="s">
        <v>7739</v>
      </c>
      <c r="E88" s="89">
        <v>636.59</v>
      </c>
      <c r="F88" s="89">
        <v>45206</v>
      </c>
      <c r="G88" s="89">
        <v>71.180000000000007</v>
      </c>
      <c r="H88" s="89">
        <v>45720</v>
      </c>
      <c r="I88" s="89">
        <v>99.73</v>
      </c>
      <c r="J88" s="89">
        <v>0.75900000000000001</v>
      </c>
      <c r="K88" s="89">
        <v>10.92</v>
      </c>
      <c r="L88" s="89">
        <v>258495418.31</v>
      </c>
      <c r="M88" s="89">
        <v>234343278.68000001</v>
      </c>
      <c r="N88" s="89">
        <v>52697.46</v>
      </c>
    </row>
    <row r="89" spans="1:14" x14ac:dyDescent="0.2">
      <c r="A89" s="89" t="s">
        <v>385</v>
      </c>
      <c r="B89" s="89">
        <v>4106456</v>
      </c>
      <c r="C89" s="89" t="s">
        <v>7738</v>
      </c>
      <c r="D89" s="89" t="s">
        <v>7737</v>
      </c>
      <c r="E89" s="89">
        <v>1511.972</v>
      </c>
      <c r="F89" s="89">
        <v>5649</v>
      </c>
      <c r="G89" s="89">
        <v>3.63</v>
      </c>
      <c r="H89" s="89">
        <v>5427</v>
      </c>
      <c r="I89" s="89">
        <v>98.77</v>
      </c>
      <c r="J89" s="89">
        <v>0.6</v>
      </c>
      <c r="K89" s="89">
        <v>8.77</v>
      </c>
      <c r="L89" s="89">
        <v>76956328.129999995</v>
      </c>
      <c r="M89" s="89">
        <v>67569619.019999996</v>
      </c>
      <c r="N89" s="89">
        <v>58230.22</v>
      </c>
    </row>
    <row r="90" spans="1:14" x14ac:dyDescent="0.2">
      <c r="A90" s="89" t="s">
        <v>378</v>
      </c>
      <c r="B90" s="89">
        <v>4106506</v>
      </c>
      <c r="C90" s="89" t="s">
        <v>7736</v>
      </c>
      <c r="D90" s="89" t="s">
        <v>7735</v>
      </c>
      <c r="E90" s="89">
        <v>683.79899999999998</v>
      </c>
      <c r="F90" s="89">
        <v>23331</v>
      </c>
      <c r="G90" s="89">
        <v>34.090000000000003</v>
      </c>
      <c r="H90" s="89">
        <v>24010</v>
      </c>
      <c r="I90" s="89">
        <v>99.54</v>
      </c>
      <c r="J90" s="89">
        <v>0.72299999999999998</v>
      </c>
      <c r="K90" s="89">
        <v>26.94</v>
      </c>
      <c r="L90" s="89">
        <v>175325880.99000001</v>
      </c>
      <c r="M90" s="89">
        <v>171105307.52000001</v>
      </c>
      <c r="N90" s="89">
        <v>47552.24</v>
      </c>
    </row>
    <row r="91" spans="1:14" x14ac:dyDescent="0.2">
      <c r="A91" s="89" t="s">
        <v>198</v>
      </c>
      <c r="B91" s="89">
        <v>4106555</v>
      </c>
      <c r="C91" s="89" t="s">
        <v>7734</v>
      </c>
      <c r="D91" s="89" t="s">
        <v>7733</v>
      </c>
      <c r="E91" s="89">
        <v>167.92099999999999</v>
      </c>
      <c r="F91" s="89">
        <v>3760</v>
      </c>
      <c r="G91" s="89">
        <v>22.88</v>
      </c>
      <c r="H91" s="89">
        <v>3770</v>
      </c>
      <c r="I91" s="89">
        <v>97.85</v>
      </c>
      <c r="J91" s="89">
        <v>0.63800000000000001</v>
      </c>
      <c r="K91" s="89">
        <v>28.57</v>
      </c>
      <c r="L91" s="89">
        <v>44525088.710000001</v>
      </c>
      <c r="M91" s="89">
        <v>40261445.920000002</v>
      </c>
      <c r="N91" s="89">
        <v>27908.16</v>
      </c>
    </row>
    <row r="92" spans="1:14" x14ac:dyDescent="0.2">
      <c r="A92" s="89" t="s">
        <v>352</v>
      </c>
      <c r="B92" s="89">
        <v>4106571</v>
      </c>
      <c r="C92" s="89" t="s">
        <v>7731</v>
      </c>
      <c r="D92" s="89" t="s">
        <v>7732</v>
      </c>
      <c r="E92" s="89">
        <v>161.29300000000001</v>
      </c>
      <c r="F92" s="89">
        <v>4133</v>
      </c>
      <c r="G92" s="89">
        <v>25.53</v>
      </c>
      <c r="H92" s="89">
        <v>4129</v>
      </c>
      <c r="I92" s="89">
        <v>99.29</v>
      </c>
      <c r="J92" s="89">
        <v>0.70899999999999996</v>
      </c>
      <c r="K92" s="89" t="s">
        <v>1228</v>
      </c>
      <c r="L92" s="89">
        <v>51206595.420000002</v>
      </c>
      <c r="M92" s="89">
        <v>42637210.990000002</v>
      </c>
      <c r="N92" s="89">
        <v>50000.33</v>
      </c>
    </row>
    <row r="93" spans="1:14" x14ac:dyDescent="0.2">
      <c r="A93" s="89" t="s">
        <v>240</v>
      </c>
      <c r="B93" s="89">
        <v>4106605</v>
      </c>
      <c r="C93" s="89" t="s">
        <v>7731</v>
      </c>
      <c r="D93" s="89" t="s">
        <v>7730</v>
      </c>
      <c r="E93" s="89">
        <v>776.101</v>
      </c>
      <c r="F93" s="89">
        <v>23831</v>
      </c>
      <c r="G93" s="89">
        <v>30.71</v>
      </c>
      <c r="H93" s="89">
        <v>24859</v>
      </c>
      <c r="I93" s="89">
        <v>100</v>
      </c>
      <c r="J93" s="89">
        <v>0.71699999999999997</v>
      </c>
      <c r="K93" s="89">
        <v>26.92</v>
      </c>
      <c r="L93" s="89">
        <v>138853321.18000001</v>
      </c>
      <c r="M93" s="89">
        <v>127882170.45999999</v>
      </c>
      <c r="N93" s="89">
        <v>45708.09</v>
      </c>
    </row>
    <row r="94" spans="1:14" x14ac:dyDescent="0.2">
      <c r="A94" s="89" t="s">
        <v>226</v>
      </c>
      <c r="B94" s="89">
        <v>4106704</v>
      </c>
      <c r="C94" s="89" t="s">
        <v>7729</v>
      </c>
      <c r="D94" s="89" t="s">
        <v>7728</v>
      </c>
      <c r="E94" s="89">
        <v>259.11500000000001</v>
      </c>
      <c r="F94" s="89">
        <v>4494</v>
      </c>
      <c r="G94" s="89">
        <v>17.34</v>
      </c>
      <c r="H94" s="89">
        <v>4543</v>
      </c>
      <c r="I94" s="89">
        <v>100</v>
      </c>
      <c r="J94" s="89">
        <v>0.71299999999999997</v>
      </c>
      <c r="K94" s="89" t="s">
        <v>1228</v>
      </c>
      <c r="L94" s="89">
        <v>51105250.259999998</v>
      </c>
      <c r="M94" s="89">
        <v>42602437.640000001</v>
      </c>
      <c r="N94" s="89">
        <v>62589.03</v>
      </c>
    </row>
    <row r="95" spans="1:14" x14ac:dyDescent="0.2">
      <c r="A95" s="89" t="s">
        <v>28</v>
      </c>
      <c r="B95" s="89">
        <v>4106803</v>
      </c>
      <c r="C95" s="89" t="s">
        <v>7727</v>
      </c>
      <c r="D95" s="89" t="s">
        <v>7726</v>
      </c>
      <c r="E95" s="89">
        <v>1474.202</v>
      </c>
      <c r="F95" s="89">
        <v>15978</v>
      </c>
      <c r="G95" s="89">
        <v>10.81</v>
      </c>
      <c r="H95" s="89">
        <v>15759</v>
      </c>
      <c r="I95" s="89">
        <v>99.36</v>
      </c>
      <c r="J95" s="89">
        <v>0.66400000000000003</v>
      </c>
      <c r="K95" s="89">
        <v>5.52</v>
      </c>
      <c r="L95" s="89">
        <v>116623638.51000001</v>
      </c>
      <c r="M95" s="89">
        <v>107743485.18000001</v>
      </c>
      <c r="N95" s="89">
        <v>31791.46</v>
      </c>
    </row>
    <row r="96" spans="1:14" x14ac:dyDescent="0.2">
      <c r="A96" s="89" t="s">
        <v>154</v>
      </c>
      <c r="B96" s="89">
        <v>4106852</v>
      </c>
      <c r="C96" s="89" t="s">
        <v>7725</v>
      </c>
      <c r="D96" s="89" t="s">
        <v>7724</v>
      </c>
      <c r="E96" s="89">
        <v>306.23700000000002</v>
      </c>
      <c r="F96" s="89">
        <v>2892</v>
      </c>
      <c r="G96" s="89">
        <v>9.26</v>
      </c>
      <c r="H96" s="89">
        <v>2870</v>
      </c>
      <c r="I96" s="89">
        <v>100</v>
      </c>
      <c r="J96" s="89">
        <v>0.66600000000000004</v>
      </c>
      <c r="K96" s="89" t="s">
        <v>1228</v>
      </c>
      <c r="L96" s="89">
        <v>40718528.579999998</v>
      </c>
      <c r="M96" s="89">
        <v>36506772.520000003</v>
      </c>
      <c r="N96" s="89">
        <v>65430.04</v>
      </c>
    </row>
    <row r="97" spans="1:14" x14ac:dyDescent="0.2">
      <c r="A97" s="89" t="s">
        <v>10</v>
      </c>
      <c r="B97" s="89">
        <v>4106902</v>
      </c>
      <c r="C97" s="89" t="s">
        <v>7723</v>
      </c>
      <c r="D97" s="89" t="s">
        <v>7722</v>
      </c>
      <c r="E97" s="89">
        <v>435.40600000000001</v>
      </c>
      <c r="F97" s="89">
        <v>1773718</v>
      </c>
      <c r="G97" s="89">
        <v>4078.53</v>
      </c>
      <c r="H97" s="89">
        <v>1830795</v>
      </c>
      <c r="I97" s="89">
        <v>98.48</v>
      </c>
      <c r="J97" s="89">
        <v>0.82299999999999995</v>
      </c>
      <c r="K97" s="89">
        <v>7.9</v>
      </c>
      <c r="L97" s="89">
        <v>13433545313.32</v>
      </c>
      <c r="M97" s="89">
        <v>14293532478.299999</v>
      </c>
      <c r="N97" s="89">
        <v>67691.3</v>
      </c>
    </row>
    <row r="98" spans="1:14" x14ac:dyDescent="0.2">
      <c r="A98" s="89" t="s">
        <v>47</v>
      </c>
      <c r="B98" s="89">
        <v>4107009</v>
      </c>
      <c r="C98" s="89" t="s">
        <v>7721</v>
      </c>
      <c r="D98" s="89" t="s">
        <v>7720</v>
      </c>
      <c r="E98" s="89">
        <v>576.26300000000003</v>
      </c>
      <c r="F98" s="89">
        <v>13647</v>
      </c>
      <c r="G98" s="89">
        <v>23.68</v>
      </c>
      <c r="H98" s="89">
        <v>13784</v>
      </c>
      <c r="I98" s="89">
        <v>99.17</v>
      </c>
      <c r="J98" s="89">
        <v>0.65600000000000003</v>
      </c>
      <c r="K98" s="89">
        <v>11.76</v>
      </c>
      <c r="L98" s="89">
        <v>92157503.969999999</v>
      </c>
      <c r="M98" s="89">
        <v>81289936.709999993</v>
      </c>
      <c r="N98" s="89">
        <v>24397.599999999999</v>
      </c>
    </row>
    <row r="99" spans="1:14" x14ac:dyDescent="0.2">
      <c r="A99" s="89" t="s">
        <v>286</v>
      </c>
      <c r="B99" s="89">
        <v>4107108</v>
      </c>
      <c r="C99" s="89" t="s">
        <v>7716</v>
      </c>
      <c r="D99" s="89" t="s">
        <v>7719</v>
      </c>
      <c r="E99" s="89">
        <v>242.887</v>
      </c>
      <c r="F99" s="89">
        <v>5142</v>
      </c>
      <c r="G99" s="89">
        <v>21.17</v>
      </c>
      <c r="H99" s="89">
        <v>5139</v>
      </c>
      <c r="I99" s="89">
        <v>99.4</v>
      </c>
      <c r="J99" s="89">
        <v>0.72299999999999998</v>
      </c>
      <c r="K99" s="89" t="s">
        <v>1228</v>
      </c>
      <c r="L99" s="89">
        <v>57445554.640000001</v>
      </c>
      <c r="M99" s="89">
        <v>55834569.82</v>
      </c>
      <c r="N99" s="89">
        <v>80500.47</v>
      </c>
    </row>
    <row r="100" spans="1:14" x14ac:dyDescent="0.2">
      <c r="A100" s="89" t="s">
        <v>304</v>
      </c>
      <c r="B100" s="89">
        <v>4107124</v>
      </c>
      <c r="C100" s="89" t="s">
        <v>7718</v>
      </c>
      <c r="D100" s="89" t="s">
        <v>7717</v>
      </c>
      <c r="E100" s="89">
        <v>347.233</v>
      </c>
      <c r="F100" s="89">
        <v>3171</v>
      </c>
      <c r="G100" s="89">
        <v>9.1300000000000008</v>
      </c>
      <c r="H100" s="89">
        <v>3147</v>
      </c>
      <c r="I100" s="89">
        <v>100</v>
      </c>
      <c r="J100" s="89">
        <v>0.60799999999999998</v>
      </c>
      <c r="K100" s="89" t="s">
        <v>1228</v>
      </c>
      <c r="L100" s="89">
        <v>42252570.75</v>
      </c>
      <c r="M100" s="89">
        <v>33754783.450000003</v>
      </c>
      <c r="N100" s="89">
        <v>27043.14</v>
      </c>
    </row>
    <row r="101" spans="1:14" x14ac:dyDescent="0.2">
      <c r="A101" s="89" t="s">
        <v>480</v>
      </c>
      <c r="B101" s="89">
        <v>4107157</v>
      </c>
      <c r="C101" s="89" t="s">
        <v>7716</v>
      </c>
      <c r="D101" s="89" t="s">
        <v>7715</v>
      </c>
      <c r="E101" s="89">
        <v>310.62400000000002</v>
      </c>
      <c r="F101" s="89">
        <v>4557</v>
      </c>
      <c r="G101" s="89">
        <v>14.74</v>
      </c>
      <c r="H101" s="89">
        <v>4513</v>
      </c>
      <c r="I101" s="89">
        <v>98</v>
      </c>
      <c r="J101" s="89">
        <v>0.64400000000000002</v>
      </c>
      <c r="K101" s="89">
        <v>43.48</v>
      </c>
      <c r="L101" s="89">
        <v>46826281.270000003</v>
      </c>
      <c r="M101" s="89">
        <v>41596572.5</v>
      </c>
      <c r="N101" s="89">
        <v>29513.42</v>
      </c>
    </row>
    <row r="102" spans="1:14" x14ac:dyDescent="0.2">
      <c r="A102" s="89" t="s">
        <v>353</v>
      </c>
      <c r="B102" s="89">
        <v>4107207</v>
      </c>
      <c r="C102" s="89" t="s">
        <v>7714</v>
      </c>
      <c r="D102" s="89" t="s">
        <v>7713</v>
      </c>
      <c r="E102" s="89">
        <v>418.16199999999998</v>
      </c>
      <c r="F102" s="89">
        <v>44869</v>
      </c>
      <c r="G102" s="89">
        <v>107.18</v>
      </c>
      <c r="H102" s="89">
        <v>47589</v>
      </c>
      <c r="I102" s="89">
        <v>99.79</v>
      </c>
      <c r="J102" s="89">
        <v>0.76700000000000002</v>
      </c>
      <c r="K102" s="89">
        <v>11.2</v>
      </c>
      <c r="L102" s="89">
        <v>331295036.23000002</v>
      </c>
      <c r="M102" s="89">
        <v>299090835.63</v>
      </c>
      <c r="N102" s="89">
        <v>58150.9</v>
      </c>
    </row>
    <row r="103" spans="1:14" x14ac:dyDescent="0.2">
      <c r="A103" s="89" t="s">
        <v>298</v>
      </c>
      <c r="B103" s="89">
        <v>4107256</v>
      </c>
      <c r="C103" s="89" t="s">
        <v>7712</v>
      </c>
      <c r="D103" s="89" t="s">
        <v>7711</v>
      </c>
      <c r="E103" s="89">
        <v>420.52499999999998</v>
      </c>
      <c r="F103" s="89">
        <v>9161</v>
      </c>
      <c r="G103" s="89">
        <v>21.78</v>
      </c>
      <c r="H103" s="89">
        <v>9631</v>
      </c>
      <c r="I103" s="89">
        <v>96.95</v>
      </c>
      <c r="J103" s="89">
        <v>0.72399999999999998</v>
      </c>
      <c r="K103" s="89">
        <v>24.39</v>
      </c>
      <c r="L103" s="89">
        <v>79969417.930000007</v>
      </c>
      <c r="M103" s="89">
        <v>71067049.299999997</v>
      </c>
      <c r="N103" s="89">
        <v>93783.39</v>
      </c>
    </row>
    <row r="104" spans="1:14" x14ac:dyDescent="0.2">
      <c r="A104" s="89" t="s">
        <v>209</v>
      </c>
      <c r="B104" s="89">
        <v>4107306</v>
      </c>
      <c r="C104" s="89" t="s">
        <v>7710</v>
      </c>
      <c r="D104" s="89" t="s">
        <v>7709</v>
      </c>
      <c r="E104" s="89">
        <v>118.286</v>
      </c>
      <c r="F104" s="89">
        <v>6327</v>
      </c>
      <c r="G104" s="89">
        <v>53.49</v>
      </c>
      <c r="H104" s="89">
        <v>6517</v>
      </c>
      <c r="I104" s="89">
        <v>98.86</v>
      </c>
      <c r="J104" s="89">
        <v>0.746</v>
      </c>
      <c r="K104" s="89">
        <v>13.16</v>
      </c>
      <c r="L104" s="89">
        <v>48475477.109999999</v>
      </c>
      <c r="M104" s="89">
        <v>41896465.359999999</v>
      </c>
      <c r="N104" s="89">
        <v>38349.19</v>
      </c>
    </row>
    <row r="105" spans="1:14" x14ac:dyDescent="0.2">
      <c r="A105" s="89" t="s">
        <v>354</v>
      </c>
      <c r="B105" s="89">
        <v>4107405</v>
      </c>
      <c r="C105" s="89" t="s">
        <v>7708</v>
      </c>
      <c r="D105" s="89" t="s">
        <v>7707</v>
      </c>
      <c r="E105" s="89">
        <v>196.238</v>
      </c>
      <c r="F105" s="89">
        <v>5999</v>
      </c>
      <c r="G105" s="89">
        <v>31.21</v>
      </c>
      <c r="H105" s="89">
        <v>6146</v>
      </c>
      <c r="I105" s="89">
        <v>100</v>
      </c>
      <c r="J105" s="89">
        <v>0.752</v>
      </c>
      <c r="K105" s="89" t="s">
        <v>1228</v>
      </c>
      <c r="L105" s="89">
        <v>59239924.82</v>
      </c>
      <c r="M105" s="89">
        <v>52824520.479999997</v>
      </c>
      <c r="N105" s="89">
        <v>64920.82</v>
      </c>
    </row>
    <row r="106" spans="1:14" x14ac:dyDescent="0.2">
      <c r="A106" s="89" t="s">
        <v>199</v>
      </c>
      <c r="B106" s="89">
        <v>4107504</v>
      </c>
      <c r="C106" s="89" t="s">
        <v>7706</v>
      </c>
      <c r="D106" s="89" t="s">
        <v>7705</v>
      </c>
      <c r="E106" s="89">
        <v>470.82499999999999</v>
      </c>
      <c r="F106" s="89">
        <v>12454</v>
      </c>
      <c r="G106" s="89">
        <v>26.64</v>
      </c>
      <c r="H106" s="89">
        <v>12347</v>
      </c>
      <c r="I106" s="89">
        <v>99.28</v>
      </c>
      <c r="J106" s="89">
        <v>0.73</v>
      </c>
      <c r="K106" s="89">
        <v>17.239999999999998</v>
      </c>
      <c r="L106" s="89">
        <v>94859264.340000004</v>
      </c>
      <c r="M106" s="89">
        <v>87341150.030000001</v>
      </c>
      <c r="N106" s="89">
        <v>56098.46</v>
      </c>
    </row>
    <row r="107" spans="1:14" x14ac:dyDescent="0.2">
      <c r="A107" s="89" t="s">
        <v>278</v>
      </c>
      <c r="B107" s="89">
        <v>4107520</v>
      </c>
      <c r="C107" s="89" t="s">
        <v>7704</v>
      </c>
      <c r="D107" s="89" t="s">
        <v>7703</v>
      </c>
      <c r="E107" s="89">
        <v>141.31700000000001</v>
      </c>
      <c r="F107" s="89">
        <v>1849</v>
      </c>
      <c r="G107" s="89">
        <v>13.09</v>
      </c>
      <c r="H107" s="89">
        <v>1852</v>
      </c>
      <c r="I107" s="89">
        <v>100</v>
      </c>
      <c r="J107" s="89">
        <v>0.68899999999999995</v>
      </c>
      <c r="K107" s="89" t="s">
        <v>1228</v>
      </c>
      <c r="L107" s="89">
        <v>38603378.770000003</v>
      </c>
      <c r="M107" s="89">
        <v>34442046.759999998</v>
      </c>
      <c r="N107" s="89">
        <v>40683.83</v>
      </c>
    </row>
    <row r="108" spans="1:14" x14ac:dyDescent="0.2">
      <c r="A108" s="89" t="s">
        <v>305</v>
      </c>
      <c r="B108" s="89">
        <v>4107538</v>
      </c>
      <c r="C108" s="89" t="s">
        <v>7702</v>
      </c>
      <c r="D108" s="89" t="s">
        <v>7701</v>
      </c>
      <c r="E108" s="89">
        <v>120.294</v>
      </c>
      <c r="F108" s="89">
        <v>4575</v>
      </c>
      <c r="G108" s="89">
        <v>37.82</v>
      </c>
      <c r="H108" s="89">
        <v>4770</v>
      </c>
      <c r="I108" s="89">
        <v>99.1</v>
      </c>
      <c r="J108" s="89">
        <v>0.76100000000000001</v>
      </c>
      <c r="K108" s="89" t="s">
        <v>1228</v>
      </c>
      <c r="L108" s="89">
        <v>83123871.129999995</v>
      </c>
      <c r="M108" s="89">
        <v>63613512.229999997</v>
      </c>
      <c r="N108" s="89">
        <v>91973.29</v>
      </c>
    </row>
    <row r="109" spans="1:14" x14ac:dyDescent="0.2">
      <c r="A109" s="89" t="s">
        <v>80</v>
      </c>
      <c r="B109" s="89">
        <v>4107546</v>
      </c>
      <c r="C109" s="89" t="s">
        <v>7700</v>
      </c>
      <c r="D109" s="89" t="s">
        <v>7699</v>
      </c>
      <c r="E109" s="89">
        <v>325.584</v>
      </c>
      <c r="F109" s="89">
        <v>4797</v>
      </c>
      <c r="G109" s="89">
        <v>14.69</v>
      </c>
      <c r="H109" s="89">
        <v>4880</v>
      </c>
      <c r="I109" s="89">
        <v>99.77</v>
      </c>
      <c r="J109" s="89">
        <v>0.63600000000000001</v>
      </c>
      <c r="K109" s="89">
        <v>17.54</v>
      </c>
      <c r="L109" s="89">
        <v>54170399.789999999</v>
      </c>
      <c r="M109" s="89">
        <v>51216840.729999997</v>
      </c>
      <c r="N109" s="89">
        <v>42057.85</v>
      </c>
    </row>
    <row r="110" spans="1:14" x14ac:dyDescent="0.2">
      <c r="A110" s="89" t="s">
        <v>7088</v>
      </c>
      <c r="B110" s="89">
        <v>4107553</v>
      </c>
      <c r="C110" s="89" t="s">
        <v>7698</v>
      </c>
      <c r="D110" s="89" t="s">
        <v>7697</v>
      </c>
      <c r="E110" s="89">
        <v>289.23200000000003</v>
      </c>
      <c r="F110" s="89">
        <v>3039</v>
      </c>
      <c r="G110" s="89">
        <v>10.51</v>
      </c>
      <c r="H110" s="89">
        <v>2994</v>
      </c>
      <c r="I110" s="89">
        <v>99.15</v>
      </c>
      <c r="J110" s="89">
        <v>0.71499999999999997</v>
      </c>
      <c r="K110" s="89" t="s">
        <v>1228</v>
      </c>
      <c r="L110" s="89">
        <v>49910392.759999998</v>
      </c>
      <c r="M110" s="89">
        <v>44762737.939999998</v>
      </c>
      <c r="N110" s="89">
        <v>84118.61</v>
      </c>
    </row>
    <row r="111" spans="1:14" x14ac:dyDescent="0.2">
      <c r="A111" s="89" t="s">
        <v>178</v>
      </c>
      <c r="B111" s="89">
        <v>4107603</v>
      </c>
      <c r="C111" s="89" t="s">
        <v>7696</v>
      </c>
      <c r="D111" s="89" t="s">
        <v>7695</v>
      </c>
      <c r="E111" s="89">
        <v>716.80399999999997</v>
      </c>
      <c r="F111" s="89">
        <v>16389</v>
      </c>
      <c r="G111" s="89">
        <v>22.89</v>
      </c>
      <c r="H111" s="89">
        <v>16596</v>
      </c>
      <c r="I111" s="89">
        <v>99.29</v>
      </c>
      <c r="J111" s="89">
        <v>0.68700000000000006</v>
      </c>
      <c r="K111" s="89">
        <v>14.56</v>
      </c>
      <c r="L111" s="89">
        <v>112285112.72</v>
      </c>
      <c r="M111" s="89">
        <v>95387025.400000006</v>
      </c>
      <c r="N111" s="89">
        <v>38140.129999999997</v>
      </c>
    </row>
    <row r="112" spans="1:14" x14ac:dyDescent="0.2">
      <c r="A112" s="89" t="s">
        <v>7087</v>
      </c>
      <c r="B112" s="89">
        <v>4107652</v>
      </c>
      <c r="C112" s="89" t="s">
        <v>7694</v>
      </c>
      <c r="D112" s="89" t="s">
        <v>7693</v>
      </c>
      <c r="E112" s="89">
        <v>116.41</v>
      </c>
      <c r="F112" s="89">
        <v>148873</v>
      </c>
      <c r="G112" s="89">
        <v>1275.93</v>
      </c>
      <c r="H112" s="89">
        <v>165943</v>
      </c>
      <c r="I112" s="89">
        <v>99.08</v>
      </c>
      <c r="J112" s="89">
        <v>0.72</v>
      </c>
      <c r="K112" s="89">
        <v>7.7</v>
      </c>
      <c r="L112" s="89">
        <v>757581131.63999999</v>
      </c>
      <c r="M112" s="89">
        <v>656585313.86000001</v>
      </c>
      <c r="N112" s="89">
        <v>27805.32</v>
      </c>
    </row>
    <row r="113" spans="1:14" x14ac:dyDescent="0.2">
      <c r="A113" s="89" t="s">
        <v>155</v>
      </c>
      <c r="B113" s="89">
        <v>4107702</v>
      </c>
      <c r="C113" s="89" t="s">
        <v>7692</v>
      </c>
      <c r="D113" s="89" t="s">
        <v>7691</v>
      </c>
      <c r="E113" s="89">
        <v>232.209</v>
      </c>
      <c r="F113" s="89">
        <v>4492</v>
      </c>
      <c r="G113" s="89">
        <v>19.190000000000001</v>
      </c>
      <c r="H113" s="89">
        <v>4488</v>
      </c>
      <c r="I113" s="89">
        <v>98.48</v>
      </c>
      <c r="J113" s="89">
        <v>0.71599999999999997</v>
      </c>
      <c r="K113" s="89">
        <v>22.73</v>
      </c>
      <c r="L113" s="89">
        <v>45387187</v>
      </c>
      <c r="M113" s="89">
        <v>40824310.490000002</v>
      </c>
      <c r="N113" s="89">
        <v>54234.99</v>
      </c>
    </row>
    <row r="114" spans="1:14" x14ac:dyDescent="0.2">
      <c r="A114" s="89" t="s">
        <v>54</v>
      </c>
      <c r="B114" s="89">
        <v>4107736</v>
      </c>
      <c r="C114" s="89" t="s">
        <v>7690</v>
      </c>
      <c r="D114" s="89" t="s">
        <v>7689</v>
      </c>
      <c r="E114" s="89">
        <v>405.48899999999998</v>
      </c>
      <c r="F114" s="89">
        <v>6255</v>
      </c>
      <c r="G114" s="89">
        <v>15.39</v>
      </c>
      <c r="H114" s="89">
        <v>6400</v>
      </c>
      <c r="I114" s="89">
        <v>97.48</v>
      </c>
      <c r="J114" s="89">
        <v>0.64500000000000002</v>
      </c>
      <c r="K114" s="89">
        <v>12.82</v>
      </c>
      <c r="L114" s="89">
        <v>68420575.790000007</v>
      </c>
      <c r="M114" s="89">
        <v>58830982.409999996</v>
      </c>
      <c r="N114" s="89">
        <v>51786.1</v>
      </c>
    </row>
    <row r="115" spans="1:14" x14ac:dyDescent="0.2">
      <c r="A115" s="89" t="s">
        <v>166</v>
      </c>
      <c r="B115" s="89">
        <v>4107751</v>
      </c>
      <c r="C115" s="89" t="s">
        <v>7688</v>
      </c>
      <c r="D115" s="89" t="s">
        <v>7687</v>
      </c>
      <c r="E115" s="89">
        <v>129.76900000000001</v>
      </c>
      <c r="F115" s="89">
        <v>8062</v>
      </c>
      <c r="G115" s="89">
        <v>62.13</v>
      </c>
      <c r="H115" s="89">
        <v>8129</v>
      </c>
      <c r="I115" s="89">
        <v>99.63</v>
      </c>
      <c r="J115" s="89">
        <v>0.67700000000000005</v>
      </c>
      <c r="K115" s="89" t="s">
        <v>1228</v>
      </c>
      <c r="L115" s="89">
        <v>47297388.939999998</v>
      </c>
      <c r="M115" s="89">
        <v>42181165.799999997</v>
      </c>
      <c r="N115" s="89">
        <v>23775.93</v>
      </c>
    </row>
    <row r="116" spans="1:14" x14ac:dyDescent="0.2">
      <c r="A116" s="89" t="s">
        <v>210</v>
      </c>
      <c r="B116" s="89">
        <v>4107801</v>
      </c>
      <c r="C116" s="89" t="s">
        <v>7686</v>
      </c>
      <c r="D116" s="89" t="s">
        <v>7685</v>
      </c>
      <c r="E116" s="89">
        <v>190.81200000000001</v>
      </c>
      <c r="F116" s="89">
        <v>4792</v>
      </c>
      <c r="G116" s="89">
        <v>25.07</v>
      </c>
      <c r="H116" s="89">
        <v>4805</v>
      </c>
      <c r="I116" s="89">
        <v>100</v>
      </c>
      <c r="J116" s="89">
        <v>0.745</v>
      </c>
      <c r="K116" s="89" t="s">
        <v>1228</v>
      </c>
      <c r="L116" s="89">
        <v>50183382.640000001</v>
      </c>
      <c r="M116" s="89">
        <v>41326527.060000002</v>
      </c>
      <c r="N116" s="89">
        <v>64824.800000000003</v>
      </c>
    </row>
    <row r="117" spans="1:14" x14ac:dyDescent="0.2">
      <c r="A117" s="89" t="s">
        <v>355</v>
      </c>
      <c r="B117" s="89">
        <v>4107850</v>
      </c>
      <c r="C117" s="89" t="s">
        <v>7684</v>
      </c>
      <c r="D117" s="89" t="s">
        <v>7683</v>
      </c>
      <c r="E117" s="89">
        <v>256.15699999999998</v>
      </c>
      <c r="F117" s="89">
        <v>4364</v>
      </c>
      <c r="G117" s="89">
        <v>17.07</v>
      </c>
      <c r="H117" s="89">
        <v>4342</v>
      </c>
      <c r="I117" s="89">
        <v>97.27</v>
      </c>
      <c r="J117" s="89">
        <v>0.68200000000000005</v>
      </c>
      <c r="K117" s="89" t="s">
        <v>1228</v>
      </c>
      <c r="L117" s="89">
        <v>62092054.780000001</v>
      </c>
      <c r="M117" s="89">
        <v>53711999.590000004</v>
      </c>
      <c r="N117" s="89">
        <v>47286.15</v>
      </c>
    </row>
    <row r="118" spans="1:14" x14ac:dyDescent="0.2">
      <c r="A118" s="89" t="s">
        <v>200</v>
      </c>
      <c r="B118" s="89">
        <v>4107900</v>
      </c>
      <c r="C118" s="89" t="s">
        <v>7682</v>
      </c>
      <c r="D118" s="89" t="s">
        <v>7681</v>
      </c>
      <c r="E118" s="89">
        <v>158.334</v>
      </c>
      <c r="F118" s="89">
        <v>10458</v>
      </c>
      <c r="G118" s="89">
        <v>66.099999999999994</v>
      </c>
      <c r="H118" s="89">
        <v>11522</v>
      </c>
      <c r="I118" s="89">
        <v>99.6</v>
      </c>
      <c r="J118" s="89">
        <v>0.73599999999999999</v>
      </c>
      <c r="K118" s="89">
        <v>12.58</v>
      </c>
      <c r="L118" s="89">
        <v>80001566.780000001</v>
      </c>
      <c r="M118" s="89">
        <v>68595282.859999999</v>
      </c>
      <c r="N118" s="89">
        <v>34828.85</v>
      </c>
    </row>
    <row r="119" spans="1:14" x14ac:dyDescent="0.2">
      <c r="A119" s="89" t="s">
        <v>91</v>
      </c>
      <c r="B119" s="89">
        <v>4108007</v>
      </c>
      <c r="C119" s="89" t="s">
        <v>7680</v>
      </c>
      <c r="D119" s="89" t="s">
        <v>7679</v>
      </c>
      <c r="E119" s="89">
        <v>246.85300000000001</v>
      </c>
      <c r="F119" s="89">
        <v>11446</v>
      </c>
      <c r="G119" s="89">
        <v>46.37</v>
      </c>
      <c r="H119" s="89">
        <v>11653</v>
      </c>
      <c r="I119" s="89">
        <v>97.18</v>
      </c>
      <c r="J119" s="89">
        <v>0.70099999999999996</v>
      </c>
      <c r="K119" s="89">
        <v>15.63</v>
      </c>
      <c r="L119" s="89">
        <v>73307310.25</v>
      </c>
      <c r="M119" s="89">
        <v>67651644.569999993</v>
      </c>
      <c r="N119" s="89">
        <v>54502.22</v>
      </c>
    </row>
    <row r="120" spans="1:14" x14ac:dyDescent="0.2">
      <c r="A120" s="89" t="s">
        <v>227</v>
      </c>
      <c r="B120" s="89">
        <v>4108106</v>
      </c>
      <c r="C120" s="89" t="s">
        <v>7678</v>
      </c>
      <c r="D120" s="89" t="s">
        <v>7677</v>
      </c>
      <c r="E120" s="89">
        <v>83.046000000000006</v>
      </c>
      <c r="F120" s="89">
        <v>2652</v>
      </c>
      <c r="G120" s="89">
        <v>31.93</v>
      </c>
      <c r="H120" s="89">
        <v>2711</v>
      </c>
      <c r="I120" s="89">
        <v>97.47</v>
      </c>
      <c r="J120" s="89">
        <v>0.73199999999999998</v>
      </c>
      <c r="K120" s="89">
        <v>28.57</v>
      </c>
      <c r="L120" s="89">
        <v>39175340.420000002</v>
      </c>
      <c r="M120" s="89">
        <v>29719791.079999998</v>
      </c>
      <c r="N120" s="89">
        <v>38182.92</v>
      </c>
    </row>
    <row r="121" spans="1:14" x14ac:dyDescent="0.2">
      <c r="A121" s="89" t="s">
        <v>333</v>
      </c>
      <c r="B121" s="89">
        <v>4108205</v>
      </c>
      <c r="C121" s="89" t="s">
        <v>7676</v>
      </c>
      <c r="D121" s="89" t="s">
        <v>7675</v>
      </c>
      <c r="E121" s="89">
        <v>275.65100000000001</v>
      </c>
      <c r="F121" s="89">
        <v>7635</v>
      </c>
      <c r="G121" s="89">
        <v>27.67</v>
      </c>
      <c r="H121" s="89">
        <v>7763</v>
      </c>
      <c r="I121" s="89">
        <v>100</v>
      </c>
      <c r="J121" s="89">
        <v>0.72299999999999998</v>
      </c>
      <c r="K121" s="89">
        <v>13.51</v>
      </c>
      <c r="L121" s="89">
        <v>69061641.969999999</v>
      </c>
      <c r="M121" s="89">
        <v>65803389.57</v>
      </c>
      <c r="N121" s="89">
        <v>53117.03</v>
      </c>
    </row>
    <row r="122" spans="1:14" x14ac:dyDescent="0.2">
      <c r="A122" s="89" t="s">
        <v>306</v>
      </c>
      <c r="B122" s="89">
        <v>4108304</v>
      </c>
      <c r="C122" s="89" t="s">
        <v>7674</v>
      </c>
      <c r="D122" s="89" t="s">
        <v>7673</v>
      </c>
      <c r="E122" s="89">
        <v>606.50099999999998</v>
      </c>
      <c r="F122" s="89">
        <v>285415</v>
      </c>
      <c r="G122" s="89">
        <v>468.51</v>
      </c>
      <c r="H122" s="89">
        <v>297352</v>
      </c>
      <c r="I122" s="89">
        <v>98.28</v>
      </c>
      <c r="J122" s="89">
        <v>0.751</v>
      </c>
      <c r="K122" s="89">
        <v>9.26</v>
      </c>
      <c r="L122" s="89">
        <v>2047585291.54</v>
      </c>
      <c r="M122" s="89">
        <v>2037545310.27</v>
      </c>
      <c r="N122" s="89">
        <v>59468.67</v>
      </c>
    </row>
    <row r="123" spans="1:14" x14ac:dyDescent="0.2">
      <c r="A123" s="89" t="s">
        <v>279</v>
      </c>
      <c r="B123" s="89">
        <v>4108320</v>
      </c>
      <c r="C123" s="89" t="s">
        <v>7672</v>
      </c>
      <c r="D123" s="89" t="s">
        <v>7671</v>
      </c>
      <c r="E123" s="89">
        <v>320.11900000000003</v>
      </c>
      <c r="F123" s="89">
        <v>8116</v>
      </c>
      <c r="G123" s="89">
        <v>25.21</v>
      </c>
      <c r="H123" s="89">
        <v>8573</v>
      </c>
      <c r="I123" s="89">
        <v>99.34</v>
      </c>
      <c r="J123" s="89">
        <v>0.66900000000000004</v>
      </c>
      <c r="K123" s="89">
        <v>8.4</v>
      </c>
      <c r="L123" s="89">
        <v>61421577.280000001</v>
      </c>
      <c r="M123" s="89">
        <v>53243488.159999996</v>
      </c>
      <c r="N123" s="89">
        <v>31307.33</v>
      </c>
    </row>
    <row r="124" spans="1:14" x14ac:dyDescent="0.2">
      <c r="A124" s="89" t="s">
        <v>356</v>
      </c>
      <c r="B124" s="89">
        <v>4108403</v>
      </c>
      <c r="C124" s="89" t="s">
        <v>7670</v>
      </c>
      <c r="D124" s="89" t="s">
        <v>7669</v>
      </c>
      <c r="E124" s="89">
        <v>731.37900000000002</v>
      </c>
      <c r="F124" s="89">
        <v>96666</v>
      </c>
      <c r="G124" s="89">
        <v>131.5</v>
      </c>
      <c r="H124" s="89">
        <v>102312</v>
      </c>
      <c r="I124" s="89">
        <v>98.78</v>
      </c>
      <c r="J124" s="89">
        <v>0.77400000000000002</v>
      </c>
      <c r="K124" s="89">
        <v>14.31</v>
      </c>
      <c r="L124" s="89">
        <v>665598483.90999997</v>
      </c>
      <c r="M124" s="89">
        <v>646852924.84000003</v>
      </c>
      <c r="N124" s="89">
        <v>46814.84</v>
      </c>
    </row>
    <row r="125" spans="1:14" x14ac:dyDescent="0.2">
      <c r="A125" s="89" t="s">
        <v>81</v>
      </c>
      <c r="B125" s="89">
        <v>4108452</v>
      </c>
      <c r="C125" s="89" t="s">
        <v>7668</v>
      </c>
      <c r="D125" s="89" t="s">
        <v>7667</v>
      </c>
      <c r="E125" s="89">
        <v>230.71600000000001</v>
      </c>
      <c r="F125" s="89">
        <v>4926</v>
      </c>
      <c r="G125" s="89">
        <v>20.93</v>
      </c>
      <c r="H125" s="89">
        <v>4893</v>
      </c>
      <c r="I125" s="89">
        <v>97.49</v>
      </c>
      <c r="J125" s="89">
        <v>0.64500000000000002</v>
      </c>
      <c r="K125" s="89" t="s">
        <v>1228</v>
      </c>
      <c r="L125" s="89">
        <v>53735638.390000001</v>
      </c>
      <c r="M125" s="89">
        <v>48823045.600000001</v>
      </c>
      <c r="N125" s="89">
        <v>38120.67</v>
      </c>
    </row>
    <row r="126" spans="1:14" x14ac:dyDescent="0.2">
      <c r="A126" s="89" t="s">
        <v>29</v>
      </c>
      <c r="B126" s="89">
        <v>4108502</v>
      </c>
      <c r="C126" s="89" t="s">
        <v>7666</v>
      </c>
      <c r="D126" s="89" t="s">
        <v>7665</v>
      </c>
      <c r="E126" s="89">
        <v>1068.3689999999999</v>
      </c>
      <c r="F126" s="89">
        <v>11062</v>
      </c>
      <c r="G126" s="89">
        <v>10.33</v>
      </c>
      <c r="H126" s="89">
        <v>10691</v>
      </c>
      <c r="I126" s="89">
        <v>98.76</v>
      </c>
      <c r="J126" s="89">
        <v>0.65200000000000002</v>
      </c>
      <c r="K126" s="89">
        <v>24.15</v>
      </c>
      <c r="L126" s="89">
        <v>97645004.950000003</v>
      </c>
      <c r="M126" s="89">
        <v>76104109.5</v>
      </c>
      <c r="N126" s="89">
        <v>39531.18</v>
      </c>
    </row>
    <row r="127" spans="1:14" x14ac:dyDescent="0.2">
      <c r="A127" s="89" t="s">
        <v>156</v>
      </c>
      <c r="B127" s="89">
        <v>4108551</v>
      </c>
      <c r="C127" s="89" t="s">
        <v>7664</v>
      </c>
      <c r="D127" s="89" t="s">
        <v>7663</v>
      </c>
      <c r="E127" s="89">
        <v>126.956</v>
      </c>
      <c r="F127" s="89">
        <v>2977</v>
      </c>
      <c r="G127" s="89">
        <v>22.72</v>
      </c>
      <c r="H127" s="89">
        <v>2911</v>
      </c>
      <c r="I127" s="89">
        <v>100</v>
      </c>
      <c r="J127" s="89">
        <v>0.67500000000000004</v>
      </c>
      <c r="K127" s="89">
        <v>35.71</v>
      </c>
      <c r="L127" s="89">
        <v>34589857.759999998</v>
      </c>
      <c r="M127" s="89">
        <v>35734931.859999999</v>
      </c>
      <c r="N127" s="89">
        <v>32291.91</v>
      </c>
    </row>
    <row r="128" spans="1:14" x14ac:dyDescent="0.2">
      <c r="A128" s="89" t="s">
        <v>241</v>
      </c>
      <c r="B128" s="89">
        <v>4108601</v>
      </c>
      <c r="C128" s="89" t="s">
        <v>7662</v>
      </c>
      <c r="D128" s="89" t="s">
        <v>7661</v>
      </c>
      <c r="E128" s="89">
        <v>563.95399999999995</v>
      </c>
      <c r="F128" s="89">
        <v>28437</v>
      </c>
      <c r="G128" s="89">
        <v>50.41</v>
      </c>
      <c r="H128" s="89">
        <v>30025</v>
      </c>
      <c r="I128" s="89">
        <v>99</v>
      </c>
      <c r="J128" s="89">
        <v>0.73099999999999998</v>
      </c>
      <c r="K128" s="89">
        <v>15.72</v>
      </c>
      <c r="L128" s="89">
        <v>178752680.16999999</v>
      </c>
      <c r="M128" s="89">
        <v>150664208.09999999</v>
      </c>
      <c r="N128" s="89">
        <v>46969.32</v>
      </c>
    </row>
    <row r="129" spans="1:14" x14ac:dyDescent="0.2">
      <c r="A129" s="89" t="s">
        <v>66</v>
      </c>
      <c r="B129" s="89">
        <v>4108650</v>
      </c>
      <c r="C129" s="89" t="s">
        <v>7660</v>
      </c>
      <c r="D129" s="89" t="s">
        <v>7659</v>
      </c>
      <c r="E129" s="89">
        <v>702.28399999999999</v>
      </c>
      <c r="F129" s="89">
        <v>6566</v>
      </c>
      <c r="G129" s="89">
        <v>9.35</v>
      </c>
      <c r="H129" s="89">
        <v>6469</v>
      </c>
      <c r="I129" s="89">
        <v>98.74</v>
      </c>
      <c r="J129" s="89">
        <v>0.64100000000000001</v>
      </c>
      <c r="K129" s="89">
        <v>31.58</v>
      </c>
      <c r="L129" s="89">
        <v>56673181.310000002</v>
      </c>
      <c r="M129" s="89">
        <v>54923402</v>
      </c>
      <c r="N129" s="89">
        <v>47001.54</v>
      </c>
    </row>
    <row r="130" spans="1:14" x14ac:dyDescent="0.2">
      <c r="A130" s="89" t="s">
        <v>179</v>
      </c>
      <c r="B130" s="89">
        <v>4108700</v>
      </c>
      <c r="C130" s="89" t="s">
        <v>7658</v>
      </c>
      <c r="D130" s="89" t="s">
        <v>7657</v>
      </c>
      <c r="E130" s="89">
        <v>311.512</v>
      </c>
      <c r="F130" s="89">
        <v>5641</v>
      </c>
      <c r="G130" s="89">
        <v>17.95</v>
      </c>
      <c r="H130" s="89">
        <v>5527</v>
      </c>
      <c r="I130" s="89">
        <v>97.03</v>
      </c>
      <c r="J130" s="89">
        <v>0.65800000000000003</v>
      </c>
      <c r="K130" s="89">
        <v>14.71</v>
      </c>
      <c r="L130" s="89">
        <v>52406740.469999999</v>
      </c>
      <c r="M130" s="89">
        <v>48086129.770000003</v>
      </c>
      <c r="N130" s="89">
        <v>31475.87</v>
      </c>
    </row>
    <row r="131" spans="1:14" x14ac:dyDescent="0.2">
      <c r="A131" s="89" t="s">
        <v>7086</v>
      </c>
      <c r="B131" s="89">
        <v>4108809</v>
      </c>
      <c r="C131" s="89" t="s">
        <v>7656</v>
      </c>
      <c r="D131" s="89" t="s">
        <v>7655</v>
      </c>
      <c r="E131" s="89">
        <v>563.41399999999999</v>
      </c>
      <c r="F131" s="89">
        <v>32097</v>
      </c>
      <c r="G131" s="89">
        <v>56.94</v>
      </c>
      <c r="H131" s="89">
        <v>33058</v>
      </c>
      <c r="I131" s="89">
        <v>99.39</v>
      </c>
      <c r="J131" s="89">
        <v>0.72399999999999998</v>
      </c>
      <c r="K131" s="89">
        <v>8.77</v>
      </c>
      <c r="L131" s="89">
        <v>277026041.30000001</v>
      </c>
      <c r="M131" s="89">
        <v>283570178.04000002</v>
      </c>
      <c r="N131" s="89">
        <v>44828.06</v>
      </c>
    </row>
    <row r="132" spans="1:14" x14ac:dyDescent="0.2">
      <c r="A132" s="89" t="s">
        <v>287</v>
      </c>
      <c r="B132" s="89">
        <v>4108908</v>
      </c>
      <c r="C132" s="89" t="s">
        <v>7654</v>
      </c>
      <c r="D132" s="89" t="s">
        <v>7653</v>
      </c>
      <c r="E132" s="89">
        <v>496.28899999999999</v>
      </c>
      <c r="F132" s="89">
        <v>6587</v>
      </c>
      <c r="G132" s="89">
        <v>13.34</v>
      </c>
      <c r="H132" s="89">
        <v>6762</v>
      </c>
      <c r="I132" s="89">
        <v>99.31</v>
      </c>
      <c r="J132" s="89">
        <v>0.69299999999999995</v>
      </c>
      <c r="K132" s="89">
        <v>30</v>
      </c>
      <c r="L132" s="89">
        <v>52696128.490000002</v>
      </c>
      <c r="M132" s="89">
        <v>46980450.770000003</v>
      </c>
      <c r="N132" s="89">
        <v>61458.48</v>
      </c>
    </row>
    <row r="133" spans="1:14" x14ac:dyDescent="0.2">
      <c r="A133" s="89" t="s">
        <v>7085</v>
      </c>
      <c r="B133" s="89">
        <v>4108957</v>
      </c>
      <c r="C133" s="89" t="s">
        <v>7652</v>
      </c>
      <c r="D133" s="89" t="s">
        <v>7651</v>
      </c>
      <c r="E133" s="89">
        <v>244.59200000000001</v>
      </c>
      <c r="F133" s="89">
        <v>7856</v>
      </c>
      <c r="G133" s="89">
        <v>32.090000000000003</v>
      </c>
      <c r="H133" s="89">
        <v>7916</v>
      </c>
      <c r="I133" s="89">
        <v>100</v>
      </c>
      <c r="J133" s="89">
        <v>0.66900000000000004</v>
      </c>
      <c r="K133" s="89" t="s">
        <v>1228</v>
      </c>
      <c r="L133" s="89">
        <v>60804998.82</v>
      </c>
      <c r="M133" s="89">
        <v>49514719.030000001</v>
      </c>
      <c r="N133" s="89">
        <v>45451.12</v>
      </c>
    </row>
    <row r="134" spans="1:14" x14ac:dyDescent="0.2">
      <c r="A134" s="89" t="s">
        <v>172</v>
      </c>
      <c r="B134" s="89">
        <v>4109005</v>
      </c>
      <c r="C134" s="89" t="s">
        <v>7650</v>
      </c>
      <c r="D134" s="89" t="s">
        <v>7649</v>
      </c>
      <c r="E134" s="89">
        <v>189.37200000000001</v>
      </c>
      <c r="F134" s="89">
        <v>4626</v>
      </c>
      <c r="G134" s="89">
        <v>24.46</v>
      </c>
      <c r="H134" s="89">
        <v>4857</v>
      </c>
      <c r="I134" s="89">
        <v>100</v>
      </c>
      <c r="J134" s="89">
        <v>0.70199999999999996</v>
      </c>
      <c r="K134" s="89">
        <v>13.89</v>
      </c>
      <c r="L134" s="89">
        <v>48637326.729999997</v>
      </c>
      <c r="M134" s="89">
        <v>38230430.140000001</v>
      </c>
      <c r="N134" s="89">
        <v>49485.22</v>
      </c>
    </row>
    <row r="135" spans="1:14" x14ac:dyDescent="0.2">
      <c r="A135" s="89" t="s">
        <v>263</v>
      </c>
      <c r="B135" s="89">
        <v>4109104</v>
      </c>
      <c r="C135" s="89" t="s">
        <v>7648</v>
      </c>
      <c r="D135" s="89" t="s">
        <v>7647</v>
      </c>
      <c r="E135" s="89">
        <v>200.40700000000001</v>
      </c>
      <c r="F135" s="89">
        <v>2191</v>
      </c>
      <c r="G135" s="89">
        <v>10.89</v>
      </c>
      <c r="H135" s="89">
        <v>2210</v>
      </c>
      <c r="I135" s="89">
        <v>100</v>
      </c>
      <c r="J135" s="89">
        <v>0.71899999999999997</v>
      </c>
      <c r="K135" s="89">
        <v>41.67</v>
      </c>
      <c r="L135" s="89">
        <v>43020143.149999999</v>
      </c>
      <c r="M135" s="89">
        <v>32241550.59</v>
      </c>
      <c r="N135" s="89">
        <v>48463.12</v>
      </c>
    </row>
    <row r="136" spans="1:14" x14ac:dyDescent="0.2">
      <c r="A136" s="89" t="s">
        <v>92</v>
      </c>
      <c r="B136" s="89">
        <v>4109203</v>
      </c>
      <c r="C136" s="89" t="s">
        <v>7646</v>
      </c>
      <c r="D136" s="89" t="s">
        <v>7645</v>
      </c>
      <c r="E136" s="89">
        <v>213.06700000000001</v>
      </c>
      <c r="F136" s="89">
        <v>4748</v>
      </c>
      <c r="G136" s="89">
        <v>22.43</v>
      </c>
      <c r="H136" s="89">
        <v>4743</v>
      </c>
      <c r="I136" s="89">
        <v>96.09</v>
      </c>
      <c r="J136" s="89">
        <v>0.69799999999999995</v>
      </c>
      <c r="K136" s="89">
        <v>20</v>
      </c>
      <c r="L136" s="89">
        <v>60884683.770000003</v>
      </c>
      <c r="M136" s="89">
        <v>51081157.740000002</v>
      </c>
      <c r="N136" s="89">
        <v>40499.33</v>
      </c>
    </row>
    <row r="137" spans="1:14" x14ac:dyDescent="0.2">
      <c r="A137" s="89" t="s">
        <v>345</v>
      </c>
      <c r="B137" s="89">
        <v>4109302</v>
      </c>
      <c r="C137" s="89" t="s">
        <v>7644</v>
      </c>
      <c r="D137" s="89" t="s">
        <v>7643</v>
      </c>
      <c r="E137" s="89">
        <v>1237.77</v>
      </c>
      <c r="F137" s="89">
        <v>13735</v>
      </c>
      <c r="G137" s="89">
        <v>11.09</v>
      </c>
      <c r="H137" s="89">
        <v>13770</v>
      </c>
      <c r="I137" s="89">
        <v>98.89</v>
      </c>
      <c r="J137" s="89">
        <v>0.67700000000000005</v>
      </c>
      <c r="K137" s="89">
        <v>28.17</v>
      </c>
      <c r="L137" s="89">
        <v>112779066.06999999</v>
      </c>
      <c r="M137" s="89">
        <v>109260745.95</v>
      </c>
      <c r="N137" s="89">
        <v>43991.58</v>
      </c>
    </row>
    <row r="138" spans="1:14" x14ac:dyDescent="0.2">
      <c r="A138" s="89" t="s">
        <v>55</v>
      </c>
      <c r="B138" s="89">
        <v>4109401</v>
      </c>
      <c r="C138" s="89" t="s">
        <v>7642</v>
      </c>
      <c r="D138" s="89" t="s">
        <v>7641</v>
      </c>
      <c r="E138" s="89">
        <v>3163.893</v>
      </c>
      <c r="F138" s="89">
        <v>182093</v>
      </c>
      <c r="G138" s="89">
        <v>57.48</v>
      </c>
      <c r="H138" s="89">
        <v>189630</v>
      </c>
      <c r="I138" s="89">
        <v>98.85</v>
      </c>
      <c r="J138" s="89">
        <v>0.73099999999999998</v>
      </c>
      <c r="K138" s="89">
        <v>14.25</v>
      </c>
      <c r="L138" s="89">
        <v>1053763010.8</v>
      </c>
      <c r="M138" s="89">
        <v>962993704.45000005</v>
      </c>
      <c r="N138" s="89">
        <v>54170.74</v>
      </c>
    </row>
    <row r="139" spans="1:14" x14ac:dyDescent="0.2">
      <c r="A139" s="89" t="s">
        <v>397</v>
      </c>
      <c r="B139" s="89">
        <v>4109500</v>
      </c>
      <c r="C139" s="89" t="s">
        <v>7640</v>
      </c>
      <c r="D139" s="89" t="s">
        <v>7639</v>
      </c>
      <c r="E139" s="89">
        <v>2011.2560000000001</v>
      </c>
      <c r="F139" s="89">
        <v>7430</v>
      </c>
      <c r="G139" s="89">
        <v>3.69</v>
      </c>
      <c r="H139" s="89">
        <v>7446</v>
      </c>
      <c r="I139" s="89">
        <v>98.38</v>
      </c>
      <c r="J139" s="89">
        <v>0.58699999999999997</v>
      </c>
      <c r="K139" s="89">
        <v>25.97</v>
      </c>
      <c r="L139" s="89">
        <v>60518485.280000001</v>
      </c>
      <c r="M139" s="89">
        <v>50754567.990000002</v>
      </c>
      <c r="N139" s="89">
        <v>19660.96</v>
      </c>
    </row>
    <row r="140" spans="1:14" x14ac:dyDescent="0.2">
      <c r="A140" s="89" t="s">
        <v>398</v>
      </c>
      <c r="B140" s="89">
        <v>4109609</v>
      </c>
      <c r="C140" s="89" t="s">
        <v>7638</v>
      </c>
      <c r="D140" s="89" t="s">
        <v>7637</v>
      </c>
      <c r="E140" s="89">
        <v>1320.951</v>
      </c>
      <c r="F140" s="89">
        <v>42062</v>
      </c>
      <c r="G140" s="89">
        <v>31.7</v>
      </c>
      <c r="H140" s="89">
        <v>44913</v>
      </c>
      <c r="I140" s="89">
        <v>98.46</v>
      </c>
      <c r="J140" s="89">
        <v>0.71699999999999997</v>
      </c>
      <c r="K140" s="89">
        <v>19.05</v>
      </c>
      <c r="L140" s="89">
        <v>27619576.890000001</v>
      </c>
      <c r="M140" s="89">
        <v>30856722.609999999</v>
      </c>
      <c r="N140" s="89">
        <v>29027.37</v>
      </c>
    </row>
    <row r="141" spans="1:14" x14ac:dyDescent="0.2">
      <c r="A141" s="89" t="s">
        <v>386</v>
      </c>
      <c r="B141" s="89">
        <v>4109658</v>
      </c>
      <c r="C141" s="89" t="s">
        <v>7636</v>
      </c>
      <c r="D141" s="89" t="s">
        <v>7635</v>
      </c>
      <c r="E141" s="89">
        <v>503.89600000000002</v>
      </c>
      <c r="F141" s="89">
        <v>4941</v>
      </c>
      <c r="G141" s="89">
        <v>9.84</v>
      </c>
      <c r="H141" s="89">
        <v>4803</v>
      </c>
      <c r="I141" s="89">
        <v>99.41</v>
      </c>
      <c r="J141" s="89">
        <v>0.68300000000000005</v>
      </c>
      <c r="K141" s="89">
        <v>13.51</v>
      </c>
      <c r="L141" s="89">
        <v>62330625.399999999</v>
      </c>
      <c r="M141" s="89">
        <v>57186341.189999998</v>
      </c>
      <c r="N141" s="89">
        <v>78227.210000000006</v>
      </c>
    </row>
    <row r="142" spans="1:14" x14ac:dyDescent="0.2">
      <c r="A142" s="89" t="s">
        <v>134</v>
      </c>
      <c r="B142" s="89">
        <v>4109708</v>
      </c>
      <c r="C142" s="89" t="s">
        <v>7634</v>
      </c>
      <c r="D142" s="89" t="s">
        <v>7633</v>
      </c>
      <c r="E142" s="89">
        <v>902.79700000000003</v>
      </c>
      <c r="F142" s="89">
        <v>28830</v>
      </c>
      <c r="G142" s="89">
        <v>32.1</v>
      </c>
      <c r="H142" s="89">
        <v>29464</v>
      </c>
      <c r="I142" s="89">
        <v>99.26</v>
      </c>
      <c r="J142" s="89">
        <v>0.71</v>
      </c>
      <c r="K142" s="89">
        <v>16.91</v>
      </c>
      <c r="L142" s="89">
        <v>181981897.22</v>
      </c>
      <c r="M142" s="89">
        <v>138825495.72999999</v>
      </c>
      <c r="N142" s="89">
        <v>42887.86</v>
      </c>
    </row>
    <row r="143" spans="1:14" x14ac:dyDescent="0.2">
      <c r="A143" s="89" t="s">
        <v>7084</v>
      </c>
      <c r="B143" s="89">
        <v>4109757</v>
      </c>
      <c r="C143" s="89" t="s">
        <v>7632</v>
      </c>
      <c r="D143" s="89" t="s">
        <v>7631</v>
      </c>
      <c r="E143" s="89">
        <v>146.547</v>
      </c>
      <c r="F143" s="89">
        <v>6218</v>
      </c>
      <c r="G143" s="89">
        <v>42.75</v>
      </c>
      <c r="H143" s="89">
        <v>6343</v>
      </c>
      <c r="I143" s="89">
        <v>98.21</v>
      </c>
      <c r="J143" s="89">
        <v>0.68500000000000005</v>
      </c>
      <c r="K143" s="89">
        <v>23.53</v>
      </c>
      <c r="L143" s="89">
        <v>48598781.450000003</v>
      </c>
      <c r="M143" s="89">
        <v>43409113.659999996</v>
      </c>
      <c r="N143" s="89">
        <v>33465.910000000003</v>
      </c>
    </row>
    <row r="144" spans="1:14" x14ac:dyDescent="0.2">
      <c r="A144" s="89" t="s">
        <v>111</v>
      </c>
      <c r="B144" s="89">
        <v>4109807</v>
      </c>
      <c r="C144" s="89" t="s">
        <v>7630</v>
      </c>
      <c r="D144" s="89" t="s">
        <v>7629</v>
      </c>
      <c r="E144" s="89">
        <v>298.99799999999999</v>
      </c>
      <c r="F144" s="89">
        <v>51603</v>
      </c>
      <c r="G144" s="89">
        <v>173.31</v>
      </c>
      <c r="H144" s="89">
        <v>53276</v>
      </c>
      <c r="I144" s="89">
        <v>99.41</v>
      </c>
      <c r="J144" s="89">
        <v>0.72599999999999998</v>
      </c>
      <c r="K144" s="89">
        <v>12.72</v>
      </c>
      <c r="L144" s="89">
        <v>439007751.82999998</v>
      </c>
      <c r="M144" s="89">
        <v>413273689.60000002</v>
      </c>
      <c r="N144" s="89">
        <v>78248.45</v>
      </c>
    </row>
    <row r="145" spans="1:14" x14ac:dyDescent="0.2">
      <c r="A145" s="89" t="s">
        <v>299</v>
      </c>
      <c r="B145" s="89">
        <v>4109906</v>
      </c>
      <c r="C145" s="89" t="s">
        <v>7628</v>
      </c>
      <c r="D145" s="89" t="s">
        <v>7627</v>
      </c>
      <c r="E145" s="89">
        <v>675.24</v>
      </c>
      <c r="F145" s="89">
        <v>8991</v>
      </c>
      <c r="G145" s="89">
        <v>13.32</v>
      </c>
      <c r="H145" s="89">
        <v>9149</v>
      </c>
      <c r="I145" s="89">
        <v>100</v>
      </c>
      <c r="J145" s="89">
        <v>0.66600000000000004</v>
      </c>
      <c r="K145" s="89">
        <v>26.55</v>
      </c>
      <c r="L145" s="89">
        <v>78237186.030000001</v>
      </c>
      <c r="M145" s="89">
        <v>71722102.900000006</v>
      </c>
      <c r="N145" s="89">
        <v>36603.919999999998</v>
      </c>
    </row>
    <row r="146" spans="1:14" x14ac:dyDescent="0.2">
      <c r="A146" s="89" t="s">
        <v>189</v>
      </c>
      <c r="B146" s="89">
        <v>4110003</v>
      </c>
      <c r="C146" s="89" t="s">
        <v>7626</v>
      </c>
      <c r="D146" s="89" t="s">
        <v>7625</v>
      </c>
      <c r="E146" s="89">
        <v>164.54</v>
      </c>
      <c r="F146" s="89">
        <v>5338</v>
      </c>
      <c r="G146" s="89">
        <v>32.35</v>
      </c>
      <c r="H146" s="89">
        <v>5693</v>
      </c>
      <c r="I146" s="89">
        <v>97.38</v>
      </c>
      <c r="J146" s="89">
        <v>0.75800000000000001</v>
      </c>
      <c r="K146" s="89" t="s">
        <v>1228</v>
      </c>
      <c r="L146" s="89">
        <v>57775331.810000002</v>
      </c>
      <c r="M146" s="89">
        <v>51351895.030000001</v>
      </c>
      <c r="N146" s="89">
        <v>50048.33</v>
      </c>
    </row>
    <row r="147" spans="1:14" x14ac:dyDescent="0.2">
      <c r="A147" s="89" t="s">
        <v>346</v>
      </c>
      <c r="B147" s="89">
        <v>4110052</v>
      </c>
      <c r="C147" s="89" t="s">
        <v>7624</v>
      </c>
      <c r="D147" s="89" t="s">
        <v>7623</v>
      </c>
      <c r="E147" s="89">
        <v>106.937</v>
      </c>
      <c r="F147" s="89">
        <v>2144</v>
      </c>
      <c r="G147" s="89">
        <v>20.05</v>
      </c>
      <c r="H147" s="89">
        <v>2156</v>
      </c>
      <c r="I147" s="89">
        <v>97.91</v>
      </c>
      <c r="J147" s="89">
        <v>0.70299999999999996</v>
      </c>
      <c r="K147" s="89" t="s">
        <v>1228</v>
      </c>
      <c r="L147" s="89">
        <v>39007641.689999998</v>
      </c>
      <c r="M147" s="89">
        <v>34110273.259999998</v>
      </c>
      <c r="N147" s="89">
        <v>44212.2</v>
      </c>
    </row>
    <row r="148" spans="1:14" x14ac:dyDescent="0.2">
      <c r="A148" s="89" t="s">
        <v>48</v>
      </c>
      <c r="B148" s="89">
        <v>4110078</v>
      </c>
      <c r="C148" s="89" t="s">
        <v>7622</v>
      </c>
      <c r="D148" s="89" t="s">
        <v>7621</v>
      </c>
      <c r="E148" s="89">
        <v>331.94</v>
      </c>
      <c r="F148" s="89">
        <v>14249</v>
      </c>
      <c r="G148" s="89">
        <v>43.08</v>
      </c>
      <c r="H148" s="89">
        <v>15068</v>
      </c>
      <c r="I148" s="89">
        <v>94.87</v>
      </c>
      <c r="J148" s="89">
        <v>0.622</v>
      </c>
      <c r="K148" s="89">
        <v>6.58</v>
      </c>
      <c r="L148" s="89">
        <v>77416071.049999997</v>
      </c>
      <c r="M148" s="89">
        <v>68896340.680000007</v>
      </c>
      <c r="N148" s="89">
        <v>22490.76</v>
      </c>
    </row>
    <row r="149" spans="1:14" x14ac:dyDescent="0.2">
      <c r="A149" s="89" t="s">
        <v>56</v>
      </c>
      <c r="B149" s="89">
        <v>4110102</v>
      </c>
      <c r="C149" s="89" t="s">
        <v>7620</v>
      </c>
      <c r="D149" s="89" t="s">
        <v>7619</v>
      </c>
      <c r="E149" s="89">
        <v>758.09900000000005</v>
      </c>
      <c r="F149" s="89">
        <v>29924</v>
      </c>
      <c r="G149" s="89">
        <v>39.549999999999997</v>
      </c>
      <c r="H149" s="89">
        <v>30849</v>
      </c>
      <c r="I149" s="89">
        <v>99.12</v>
      </c>
      <c r="J149" s="89">
        <v>0.66</v>
      </c>
      <c r="K149" s="89">
        <v>9.43</v>
      </c>
      <c r="L149" s="89">
        <v>199001058.31999999</v>
      </c>
      <c r="M149" s="89">
        <v>178191954.28</v>
      </c>
      <c r="N149" s="89">
        <v>50241.2</v>
      </c>
    </row>
    <row r="150" spans="1:14" x14ac:dyDescent="0.2">
      <c r="A150" s="89" t="s">
        <v>57</v>
      </c>
      <c r="B150" s="89">
        <v>4110201</v>
      </c>
      <c r="C150" s="89" t="s">
        <v>7618</v>
      </c>
      <c r="D150" s="89" t="s">
        <v>7617</v>
      </c>
      <c r="E150" s="89">
        <v>938.12599999999998</v>
      </c>
      <c r="F150" s="89">
        <v>9670</v>
      </c>
      <c r="G150" s="89">
        <v>10.33</v>
      </c>
      <c r="H150" s="89">
        <v>9555</v>
      </c>
      <c r="I150" s="89">
        <v>98.66</v>
      </c>
      <c r="J150" s="89">
        <v>0.6</v>
      </c>
      <c r="K150" s="89">
        <v>15.63</v>
      </c>
      <c r="L150" s="89">
        <v>83634557.609999999</v>
      </c>
      <c r="M150" s="89">
        <v>75719753.040000007</v>
      </c>
      <c r="N150" s="89">
        <v>25847.91</v>
      </c>
    </row>
    <row r="151" spans="1:14" x14ac:dyDescent="0.2">
      <c r="A151" s="89" t="s">
        <v>228</v>
      </c>
      <c r="B151" s="89">
        <v>4110300</v>
      </c>
      <c r="C151" s="89" t="s">
        <v>7616</v>
      </c>
      <c r="D151" s="89" t="s">
        <v>7615</v>
      </c>
      <c r="E151" s="89">
        <v>194.70400000000001</v>
      </c>
      <c r="F151" s="89">
        <v>2536</v>
      </c>
      <c r="G151" s="89">
        <v>13.02</v>
      </c>
      <c r="H151" s="89">
        <v>2481</v>
      </c>
      <c r="I151" s="89">
        <v>100</v>
      </c>
      <c r="J151" s="89">
        <v>0.70499999999999996</v>
      </c>
      <c r="K151" s="89" t="s">
        <v>1228</v>
      </c>
      <c r="L151" s="89">
        <v>28784036.079999998</v>
      </c>
      <c r="M151" s="89">
        <v>25208814.850000001</v>
      </c>
      <c r="N151" s="89">
        <v>30062.76</v>
      </c>
    </row>
    <row r="152" spans="1:14" x14ac:dyDescent="0.2">
      <c r="A152" s="89" t="s">
        <v>211</v>
      </c>
      <c r="B152" s="89">
        <v>4110409</v>
      </c>
      <c r="C152" s="89" t="s">
        <v>7614</v>
      </c>
      <c r="D152" s="89" t="s">
        <v>7613</v>
      </c>
      <c r="E152" s="89">
        <v>122.392</v>
      </c>
      <c r="F152" s="89">
        <v>4448</v>
      </c>
      <c r="G152" s="89">
        <v>36.270000000000003</v>
      </c>
      <c r="H152" s="89">
        <v>4544</v>
      </c>
      <c r="I152" s="89">
        <v>97.76</v>
      </c>
      <c r="J152" s="89">
        <v>0.72399999999999998</v>
      </c>
      <c r="K152" s="89">
        <v>40</v>
      </c>
      <c r="L152" s="89">
        <v>58016547.710000001</v>
      </c>
      <c r="M152" s="89">
        <v>53418793.979999997</v>
      </c>
      <c r="N152" s="89">
        <v>173682.59</v>
      </c>
    </row>
    <row r="153" spans="1:14" x14ac:dyDescent="0.2">
      <c r="A153" s="89" t="s">
        <v>49</v>
      </c>
      <c r="B153" s="89">
        <v>4110508</v>
      </c>
      <c r="C153" s="89" t="s">
        <v>7612</v>
      </c>
      <c r="D153" s="89" t="s">
        <v>7611</v>
      </c>
      <c r="E153" s="89">
        <v>902.38499999999999</v>
      </c>
      <c r="F153" s="89">
        <v>14142</v>
      </c>
      <c r="G153" s="89">
        <v>15.7</v>
      </c>
      <c r="H153" s="89">
        <v>14317</v>
      </c>
      <c r="I153" s="89">
        <v>99.69</v>
      </c>
      <c r="J153" s="89">
        <v>0.65200000000000002</v>
      </c>
      <c r="K153" s="89">
        <v>13.7</v>
      </c>
      <c r="L153" s="89">
        <v>120031906.89</v>
      </c>
      <c r="M153" s="89">
        <v>105655676.75</v>
      </c>
      <c r="N153" s="89">
        <v>54879.34</v>
      </c>
    </row>
    <row r="154" spans="1:14" x14ac:dyDescent="0.2">
      <c r="A154" s="89" t="s">
        <v>280</v>
      </c>
      <c r="B154" s="89">
        <v>4110607</v>
      </c>
      <c r="C154" s="89" t="s">
        <v>7610</v>
      </c>
      <c r="D154" s="89" t="s">
        <v>7609</v>
      </c>
      <c r="E154" s="89">
        <v>648.62400000000002</v>
      </c>
      <c r="F154" s="89">
        <v>15746</v>
      </c>
      <c r="G154" s="89">
        <v>24.3</v>
      </c>
      <c r="H154" s="89">
        <v>16102</v>
      </c>
      <c r="I154" s="89">
        <v>100</v>
      </c>
      <c r="J154" s="89">
        <v>0.70599999999999996</v>
      </c>
      <c r="K154" s="89">
        <v>23.26</v>
      </c>
      <c r="L154" s="89">
        <v>117602681.73</v>
      </c>
      <c r="M154" s="89">
        <v>110070411.83</v>
      </c>
      <c r="N154" s="89">
        <v>53982.44</v>
      </c>
    </row>
    <row r="155" spans="1:14" x14ac:dyDescent="0.2">
      <c r="A155" s="89" t="s">
        <v>334</v>
      </c>
      <c r="B155" s="89">
        <v>4110656</v>
      </c>
      <c r="C155" s="89" t="s">
        <v>7608</v>
      </c>
      <c r="D155" s="89" t="s">
        <v>7607</v>
      </c>
      <c r="E155" s="89">
        <v>81.537999999999997</v>
      </c>
      <c r="F155" s="89">
        <v>2343</v>
      </c>
      <c r="G155" s="89">
        <v>28.74</v>
      </c>
      <c r="H155" s="89">
        <v>2328</v>
      </c>
      <c r="I155" s="89">
        <v>95.54</v>
      </c>
      <c r="J155" s="89">
        <v>0.70699999999999996</v>
      </c>
      <c r="K155" s="89">
        <v>52.63</v>
      </c>
      <c r="L155" s="89">
        <v>34598441.240000002</v>
      </c>
      <c r="M155" s="89">
        <v>28308479.960000001</v>
      </c>
      <c r="N155" s="89">
        <v>53805.14</v>
      </c>
    </row>
    <row r="156" spans="1:14" x14ac:dyDescent="0.2">
      <c r="A156" s="89" t="s">
        <v>58</v>
      </c>
      <c r="B156" s="89">
        <v>4110706</v>
      </c>
      <c r="C156" s="89" t="s">
        <v>7606</v>
      </c>
      <c r="D156" s="89" t="s">
        <v>7605</v>
      </c>
      <c r="E156" s="89">
        <v>1000.188</v>
      </c>
      <c r="F156" s="89">
        <v>59250</v>
      </c>
      <c r="G156" s="89">
        <v>59.28</v>
      </c>
      <c r="H156" s="89">
        <v>61004</v>
      </c>
      <c r="I156" s="89">
        <v>99.85</v>
      </c>
      <c r="J156" s="89">
        <v>0.72599999999999998</v>
      </c>
      <c r="K156" s="89">
        <v>7.79</v>
      </c>
      <c r="L156" s="89">
        <v>339667827.38</v>
      </c>
      <c r="M156" s="89">
        <v>322516044.81</v>
      </c>
      <c r="N156" s="89">
        <v>47529.86</v>
      </c>
    </row>
    <row r="157" spans="1:14" x14ac:dyDescent="0.2">
      <c r="A157" s="89" t="s">
        <v>72</v>
      </c>
      <c r="B157" s="89">
        <v>4110805</v>
      </c>
      <c r="C157" s="89" t="s">
        <v>7604</v>
      </c>
      <c r="D157" s="89" t="s">
        <v>7603</v>
      </c>
      <c r="E157" s="89">
        <v>570.71600000000001</v>
      </c>
      <c r="F157" s="89">
        <v>10684</v>
      </c>
      <c r="G157" s="89">
        <v>18.73</v>
      </c>
      <c r="H157" s="89">
        <v>10832</v>
      </c>
      <c r="I157" s="89">
        <v>99.5</v>
      </c>
      <c r="J157" s="89">
        <v>0.66500000000000004</v>
      </c>
      <c r="K157" s="89">
        <v>21.58</v>
      </c>
      <c r="L157" s="89">
        <v>85479519.819999993</v>
      </c>
      <c r="M157" s="89">
        <v>71150066.329999998</v>
      </c>
      <c r="N157" s="89">
        <v>38330.959999999999</v>
      </c>
    </row>
    <row r="158" spans="1:14" x14ac:dyDescent="0.2">
      <c r="A158" s="89" t="s">
        <v>190</v>
      </c>
      <c r="B158" s="89">
        <v>4110904</v>
      </c>
      <c r="C158" s="89" t="s">
        <v>7602</v>
      </c>
      <c r="D158" s="89" t="s">
        <v>7601</v>
      </c>
      <c r="E158" s="89">
        <v>195.49299999999999</v>
      </c>
      <c r="F158" s="89">
        <v>4481</v>
      </c>
      <c r="G158" s="89">
        <v>23.06</v>
      </c>
      <c r="H158" s="89">
        <v>4530</v>
      </c>
      <c r="I158" s="89">
        <v>98.75</v>
      </c>
      <c r="J158" s="89">
        <v>0.70699999999999996</v>
      </c>
      <c r="K158" s="89" t="s">
        <v>1228</v>
      </c>
      <c r="L158" s="89">
        <v>51286972.170000002</v>
      </c>
      <c r="M158" s="89">
        <v>56003630.539999999</v>
      </c>
      <c r="N158" s="89">
        <v>36664.75</v>
      </c>
    </row>
    <row r="159" spans="1:14" x14ac:dyDescent="0.2">
      <c r="A159" s="89" t="s">
        <v>307</v>
      </c>
      <c r="B159" s="89">
        <v>4110953</v>
      </c>
      <c r="C159" s="89" t="s">
        <v>7600</v>
      </c>
      <c r="D159" s="89" t="s">
        <v>7599</v>
      </c>
      <c r="E159" s="89">
        <v>328.20699999999999</v>
      </c>
      <c r="F159" s="89">
        <v>11485</v>
      </c>
      <c r="G159" s="89">
        <v>34.71</v>
      </c>
      <c r="H159" s="89">
        <v>12116</v>
      </c>
      <c r="I159" s="89">
        <v>100</v>
      </c>
      <c r="J159" s="89">
        <v>0.73799999999999999</v>
      </c>
      <c r="K159" s="89">
        <v>6.94</v>
      </c>
      <c r="L159" s="89">
        <v>792259339.79999995</v>
      </c>
      <c r="M159" s="89">
        <v>228415942.44999999</v>
      </c>
      <c r="N159" s="89">
        <v>49349.2</v>
      </c>
    </row>
    <row r="160" spans="1:14" x14ac:dyDescent="0.2">
      <c r="A160" s="89" t="s">
        <v>143</v>
      </c>
      <c r="B160" s="89">
        <v>4111001</v>
      </c>
      <c r="C160" s="89" t="s">
        <v>7598</v>
      </c>
      <c r="D160" s="89" t="s">
        <v>7597</v>
      </c>
      <c r="E160" s="89">
        <v>207.34200000000001</v>
      </c>
      <c r="F160" s="89">
        <v>5908</v>
      </c>
      <c r="G160" s="89">
        <v>28.49</v>
      </c>
      <c r="H160" s="89">
        <v>5819</v>
      </c>
      <c r="I160" s="89">
        <v>99.62</v>
      </c>
      <c r="J160" s="89">
        <v>0.69399999999999995</v>
      </c>
      <c r="K160" s="89">
        <v>17.239999999999998</v>
      </c>
      <c r="L160" s="89">
        <v>45651379.609999999</v>
      </c>
      <c r="M160" s="89">
        <v>40279521.359999999</v>
      </c>
      <c r="N160" s="89">
        <v>47300.82</v>
      </c>
    </row>
    <row r="161" spans="1:14" x14ac:dyDescent="0.2">
      <c r="A161" s="89" t="s">
        <v>201</v>
      </c>
      <c r="B161" s="89">
        <v>4111100</v>
      </c>
      <c r="C161" s="89" t="s">
        <v>7596</v>
      </c>
      <c r="D161" s="89" t="s">
        <v>7595</v>
      </c>
      <c r="E161" s="89">
        <v>244.495</v>
      </c>
      <c r="F161" s="89">
        <v>6111</v>
      </c>
      <c r="G161" s="89">
        <v>25.06</v>
      </c>
      <c r="H161" s="89">
        <v>6228</v>
      </c>
      <c r="I161" s="89">
        <v>98.9</v>
      </c>
      <c r="J161" s="89">
        <v>0.746</v>
      </c>
      <c r="K161" s="89" t="s">
        <v>1228</v>
      </c>
      <c r="L161" s="89">
        <v>47998356.799999997</v>
      </c>
      <c r="M161" s="89">
        <v>41107919.869999997</v>
      </c>
      <c r="N161" s="89">
        <v>45168.14</v>
      </c>
    </row>
    <row r="162" spans="1:14" x14ac:dyDescent="0.2">
      <c r="A162" s="89" t="s">
        <v>7083</v>
      </c>
      <c r="B162" s="89">
        <v>4111209</v>
      </c>
      <c r="C162" s="89" t="s">
        <v>7594</v>
      </c>
      <c r="D162" s="89" t="s">
        <v>7593</v>
      </c>
      <c r="E162" s="89">
        <v>251.364</v>
      </c>
      <c r="F162" s="89">
        <v>12344</v>
      </c>
      <c r="G162" s="89">
        <v>48.6</v>
      </c>
      <c r="H162" s="89">
        <v>12869</v>
      </c>
      <c r="I162" s="89">
        <v>98.43</v>
      </c>
      <c r="J162" s="89">
        <v>0.73099999999999998</v>
      </c>
      <c r="K162" s="89" t="s">
        <v>1228</v>
      </c>
      <c r="L162" s="89">
        <v>94924306.439999998</v>
      </c>
      <c r="M162" s="89">
        <v>82068234.109999999</v>
      </c>
      <c r="N162" s="89">
        <v>78624.87</v>
      </c>
    </row>
    <row r="163" spans="1:14" x14ac:dyDescent="0.2">
      <c r="A163" s="89" t="s">
        <v>11</v>
      </c>
      <c r="B163" s="89">
        <v>4111258</v>
      </c>
      <c r="C163" s="89" t="s">
        <v>7592</v>
      </c>
      <c r="D163" s="89" t="s">
        <v>7591</v>
      </c>
      <c r="E163" s="89">
        <v>322.553</v>
      </c>
      <c r="F163" s="89">
        <v>31217</v>
      </c>
      <c r="G163" s="89">
        <v>96.65</v>
      </c>
      <c r="H163" s="89">
        <v>33310</v>
      </c>
      <c r="I163" s="89">
        <v>98.61</v>
      </c>
      <c r="J163" s="89">
        <v>0.63700000000000001</v>
      </c>
      <c r="K163" s="89">
        <v>16.670000000000002</v>
      </c>
      <c r="L163" s="89">
        <v>151272473.25</v>
      </c>
      <c r="M163" s="89">
        <v>137336649.22999999</v>
      </c>
      <c r="N163" s="89">
        <v>25618.02</v>
      </c>
    </row>
    <row r="164" spans="1:14" x14ac:dyDescent="0.2">
      <c r="A164" s="89" t="s">
        <v>7082</v>
      </c>
      <c r="B164" s="89">
        <v>4111308</v>
      </c>
      <c r="C164" s="89" t="s">
        <v>7590</v>
      </c>
      <c r="D164" s="89" t="s">
        <v>7589</v>
      </c>
      <c r="E164" s="89">
        <v>127.002</v>
      </c>
      <c r="F164" s="89">
        <v>3572</v>
      </c>
      <c r="G164" s="89">
        <v>27.72</v>
      </c>
      <c r="H164" s="89">
        <v>3607</v>
      </c>
      <c r="I164" s="89">
        <v>100</v>
      </c>
      <c r="J164" s="89">
        <v>0.65600000000000003</v>
      </c>
      <c r="K164" s="89">
        <v>22.22</v>
      </c>
      <c r="L164" s="89">
        <v>47201297.729999997</v>
      </c>
      <c r="M164" s="89">
        <v>42968056.219999999</v>
      </c>
      <c r="N164" s="89">
        <v>42504.160000000003</v>
      </c>
    </row>
    <row r="165" spans="1:14" x14ac:dyDescent="0.2">
      <c r="A165" s="89" t="s">
        <v>50</v>
      </c>
      <c r="B165" s="89">
        <v>4111407</v>
      </c>
      <c r="C165" s="89" t="s">
        <v>7208</v>
      </c>
      <c r="D165" s="89" t="s">
        <v>7588</v>
      </c>
      <c r="E165" s="89">
        <v>600.20899999999995</v>
      </c>
      <c r="F165" s="89">
        <v>13229</v>
      </c>
      <c r="G165" s="89">
        <v>21.76</v>
      </c>
      <c r="H165" s="89">
        <v>13476</v>
      </c>
      <c r="I165" s="89">
        <v>99.6</v>
      </c>
      <c r="J165" s="89">
        <v>0.65100000000000002</v>
      </c>
      <c r="K165" s="89">
        <v>14.71</v>
      </c>
      <c r="L165" s="89">
        <v>88294781.280000001</v>
      </c>
      <c r="M165" s="89">
        <v>75737682.489999995</v>
      </c>
      <c r="N165" s="89">
        <v>53751.06</v>
      </c>
    </row>
    <row r="166" spans="1:14" x14ac:dyDescent="0.2">
      <c r="A166" s="89" t="s">
        <v>157</v>
      </c>
      <c r="B166" s="89">
        <v>4111506</v>
      </c>
      <c r="C166" s="89" t="s">
        <v>7587</v>
      </c>
      <c r="D166" s="89" t="s">
        <v>7586</v>
      </c>
      <c r="E166" s="89">
        <v>436.37799999999999</v>
      </c>
      <c r="F166" s="89">
        <v>32720</v>
      </c>
      <c r="G166" s="89">
        <v>74.88</v>
      </c>
      <c r="H166" s="89">
        <v>33566</v>
      </c>
      <c r="I166" s="89">
        <v>99.92</v>
      </c>
      <c r="J166" s="89">
        <v>0.73</v>
      </c>
      <c r="K166" s="89">
        <v>12.66</v>
      </c>
      <c r="L166" s="89">
        <v>202084329.41</v>
      </c>
      <c r="M166" s="89">
        <v>178947227.43000001</v>
      </c>
      <c r="N166" s="89">
        <v>34910.339999999997</v>
      </c>
    </row>
    <row r="167" spans="1:14" x14ac:dyDescent="0.2">
      <c r="A167" s="89" t="s">
        <v>300</v>
      </c>
      <c r="B167" s="89">
        <v>4111555</v>
      </c>
      <c r="C167" s="89" t="s">
        <v>7585</v>
      </c>
      <c r="D167" s="89" t="s">
        <v>7584</v>
      </c>
      <c r="E167" s="89">
        <v>410.221</v>
      </c>
      <c r="F167" s="89">
        <v>6831</v>
      </c>
      <c r="G167" s="89">
        <v>16.649999999999999</v>
      </c>
      <c r="H167" s="89">
        <v>6788</v>
      </c>
      <c r="I167" s="89">
        <v>98.2</v>
      </c>
      <c r="J167" s="89">
        <v>0.70599999999999996</v>
      </c>
      <c r="K167" s="89">
        <v>13.89</v>
      </c>
      <c r="L167" s="89">
        <v>56666706.079999998</v>
      </c>
      <c r="M167" s="89">
        <v>46241627.490000002</v>
      </c>
      <c r="N167" s="89">
        <v>41052.519999999997</v>
      </c>
    </row>
    <row r="168" spans="1:14" x14ac:dyDescent="0.2">
      <c r="A168" s="89" t="s">
        <v>212</v>
      </c>
      <c r="B168" s="89">
        <v>4111605</v>
      </c>
      <c r="C168" s="89" t="s">
        <v>7583</v>
      </c>
      <c r="D168" s="89" t="s">
        <v>7582</v>
      </c>
      <c r="E168" s="89">
        <v>96.427000000000007</v>
      </c>
      <c r="F168" s="89">
        <v>2708</v>
      </c>
      <c r="G168" s="89">
        <v>28.02</v>
      </c>
      <c r="H168" s="89">
        <v>2685</v>
      </c>
      <c r="I168" s="89">
        <v>99.3</v>
      </c>
      <c r="J168" s="89">
        <v>0.76600000000000001</v>
      </c>
      <c r="K168" s="89">
        <v>33.33</v>
      </c>
      <c r="L168" s="89">
        <v>49805896.380000003</v>
      </c>
      <c r="M168" s="89">
        <v>45604568.390000001</v>
      </c>
      <c r="N168" s="89">
        <v>61748.43</v>
      </c>
    </row>
    <row r="169" spans="1:14" x14ac:dyDescent="0.2">
      <c r="A169" s="89" t="s">
        <v>167</v>
      </c>
      <c r="B169" s="89">
        <v>4111704</v>
      </c>
      <c r="C169" s="89" t="s">
        <v>7581</v>
      </c>
      <c r="D169" s="89" t="s">
        <v>7580</v>
      </c>
      <c r="E169" s="89">
        <v>139.21700000000001</v>
      </c>
      <c r="F169" s="89">
        <v>5427</v>
      </c>
      <c r="G169" s="89">
        <v>38.97</v>
      </c>
      <c r="H169" s="89">
        <v>5655</v>
      </c>
      <c r="I169" s="89">
        <v>94.87</v>
      </c>
      <c r="J169" s="89">
        <v>0.71799999999999997</v>
      </c>
      <c r="K169" s="89" t="s">
        <v>1228</v>
      </c>
      <c r="L169" s="89">
        <v>51773587.369999997</v>
      </c>
      <c r="M169" s="89">
        <v>45095001.530000001</v>
      </c>
      <c r="N169" s="89">
        <v>28851.21</v>
      </c>
    </row>
    <row r="170" spans="1:14" x14ac:dyDescent="0.2">
      <c r="A170" s="89" t="s">
        <v>144</v>
      </c>
      <c r="B170" s="89">
        <v>4111803</v>
      </c>
      <c r="C170" s="89" t="s">
        <v>7579</v>
      </c>
      <c r="D170" s="89" t="s">
        <v>7578</v>
      </c>
      <c r="E170" s="89">
        <v>603.38300000000004</v>
      </c>
      <c r="F170" s="89">
        <v>40375</v>
      </c>
      <c r="G170" s="89">
        <v>67.010000000000005</v>
      </c>
      <c r="H170" s="89">
        <v>41493</v>
      </c>
      <c r="I170" s="89">
        <v>100</v>
      </c>
      <c r="J170" s="89">
        <v>0.74299999999999999</v>
      </c>
      <c r="K170" s="89">
        <v>17.82</v>
      </c>
      <c r="L170" s="89">
        <v>245386447.75</v>
      </c>
      <c r="M170" s="89">
        <v>226724125.25999999</v>
      </c>
      <c r="N170" s="89">
        <v>48470.43</v>
      </c>
    </row>
    <row r="171" spans="1:14" x14ac:dyDescent="0.2">
      <c r="A171" s="89" t="s">
        <v>93</v>
      </c>
      <c r="B171" s="89">
        <v>4111902</v>
      </c>
      <c r="C171" s="89" t="s">
        <v>7577</v>
      </c>
      <c r="D171" s="89" t="s">
        <v>7576</v>
      </c>
      <c r="E171" s="89">
        <v>475.00400000000002</v>
      </c>
      <c r="F171" s="89">
        <v>15122</v>
      </c>
      <c r="G171" s="89">
        <v>31.84</v>
      </c>
      <c r="H171" s="89">
        <v>15908</v>
      </c>
      <c r="I171" s="89">
        <v>99.44</v>
      </c>
      <c r="J171" s="89">
        <v>0.71499999999999997</v>
      </c>
      <c r="K171" s="89">
        <v>4.93</v>
      </c>
      <c r="L171" s="89">
        <v>118006668.48999999</v>
      </c>
      <c r="M171" s="89">
        <v>105985753.38</v>
      </c>
      <c r="N171" s="89">
        <v>96051.01</v>
      </c>
    </row>
    <row r="172" spans="1:14" x14ac:dyDescent="0.2">
      <c r="A172" s="89" t="s">
        <v>36</v>
      </c>
      <c r="B172" s="89">
        <v>4112009</v>
      </c>
      <c r="C172" s="89" t="s">
        <v>7575</v>
      </c>
      <c r="D172" s="89" t="s">
        <v>7574</v>
      </c>
      <c r="E172" s="89">
        <v>1443.2639999999999</v>
      </c>
      <c r="F172" s="89">
        <v>35141</v>
      </c>
      <c r="G172" s="89">
        <v>24.18</v>
      </c>
      <c r="H172" s="89">
        <v>36384</v>
      </c>
      <c r="I172" s="89">
        <v>100</v>
      </c>
      <c r="J172" s="89">
        <v>0.74299999999999999</v>
      </c>
      <c r="K172" s="89">
        <v>8.3699999999999992</v>
      </c>
      <c r="L172" s="89">
        <v>274986910.66000003</v>
      </c>
      <c r="M172" s="89">
        <v>243234104.38</v>
      </c>
      <c r="N172" s="89">
        <v>58693.11</v>
      </c>
    </row>
    <row r="173" spans="1:14" x14ac:dyDescent="0.2">
      <c r="A173" s="89" t="s">
        <v>202</v>
      </c>
      <c r="B173" s="89">
        <v>4112108</v>
      </c>
      <c r="C173" s="89" t="s">
        <v>7573</v>
      </c>
      <c r="D173" s="89" t="s">
        <v>7572</v>
      </c>
      <c r="E173" s="89">
        <v>188.10300000000001</v>
      </c>
      <c r="F173" s="89">
        <v>21408</v>
      </c>
      <c r="G173" s="89">
        <v>114.12</v>
      </c>
      <c r="H173" s="89">
        <v>21930</v>
      </c>
      <c r="I173" s="89">
        <v>95.8</v>
      </c>
      <c r="J173" s="89">
        <v>0.747</v>
      </c>
      <c r="K173" s="89">
        <v>33.06</v>
      </c>
      <c r="L173" s="89">
        <v>138187385.5</v>
      </c>
      <c r="M173" s="89">
        <v>123454896.68000001</v>
      </c>
      <c r="N173" s="89">
        <v>44978.71</v>
      </c>
    </row>
    <row r="174" spans="1:14" x14ac:dyDescent="0.2">
      <c r="A174" s="89" t="s">
        <v>253</v>
      </c>
      <c r="B174" s="89">
        <v>4112207</v>
      </c>
      <c r="C174" s="89" t="s">
        <v>7571</v>
      </c>
      <c r="D174" s="89" t="s">
        <v>7570</v>
      </c>
      <c r="E174" s="89">
        <v>337.91</v>
      </c>
      <c r="F174" s="89">
        <v>5870</v>
      </c>
      <c r="G174" s="89">
        <v>17.489999999999998</v>
      </c>
      <c r="H174" s="89">
        <v>5807</v>
      </c>
      <c r="I174" s="89">
        <v>99.62</v>
      </c>
      <c r="J174" s="89">
        <v>0.69599999999999995</v>
      </c>
      <c r="K174" s="89">
        <v>16.13</v>
      </c>
      <c r="L174" s="89">
        <v>55098336.149999999</v>
      </c>
      <c r="M174" s="89">
        <v>53038940.280000001</v>
      </c>
      <c r="N174" s="89">
        <v>57397.87</v>
      </c>
    </row>
    <row r="175" spans="1:14" x14ac:dyDescent="0.2">
      <c r="A175" s="89" t="s">
        <v>168</v>
      </c>
      <c r="B175" s="89">
        <v>4112306</v>
      </c>
      <c r="C175" s="89" t="s">
        <v>7569</v>
      </c>
      <c r="D175" s="89" t="s">
        <v>7568</v>
      </c>
      <c r="E175" s="89">
        <v>189.291</v>
      </c>
      <c r="F175" s="89">
        <v>4972</v>
      </c>
      <c r="G175" s="89">
        <v>26.47</v>
      </c>
      <c r="H175" s="89">
        <v>5054</v>
      </c>
      <c r="I175" s="89">
        <v>98.05</v>
      </c>
      <c r="J175" s="89">
        <v>0.69599999999999995</v>
      </c>
      <c r="K175" s="89" t="s">
        <v>1228</v>
      </c>
      <c r="L175" s="89">
        <v>46142342.990000002</v>
      </c>
      <c r="M175" s="89">
        <v>37885318.450000003</v>
      </c>
      <c r="N175" s="89">
        <v>34179.339999999997</v>
      </c>
    </row>
    <row r="176" spans="1:14" x14ac:dyDescent="0.2">
      <c r="A176" s="89" t="s">
        <v>213</v>
      </c>
      <c r="B176" s="89">
        <v>4112405</v>
      </c>
      <c r="C176" s="89" t="s">
        <v>7567</v>
      </c>
      <c r="D176" s="89" t="s">
        <v>7566</v>
      </c>
      <c r="E176" s="89">
        <v>165.185</v>
      </c>
      <c r="F176" s="89">
        <v>9144</v>
      </c>
      <c r="G176" s="89">
        <v>55.36</v>
      </c>
      <c r="H176" s="89">
        <v>9393</v>
      </c>
      <c r="I176" s="89">
        <v>100</v>
      </c>
      <c r="J176" s="89">
        <v>0.71199999999999997</v>
      </c>
      <c r="K176" s="89">
        <v>18.350000000000001</v>
      </c>
      <c r="L176" s="89">
        <v>77102677.709999993</v>
      </c>
      <c r="M176" s="89">
        <v>68373908.560000002</v>
      </c>
      <c r="N176" s="89">
        <v>48327.59</v>
      </c>
    </row>
    <row r="177" spans="1:14" x14ac:dyDescent="0.2">
      <c r="A177" s="89" t="s">
        <v>158</v>
      </c>
      <c r="B177" s="89">
        <v>4112504</v>
      </c>
      <c r="C177" s="89" t="s">
        <v>7565</v>
      </c>
      <c r="D177" s="89" t="s">
        <v>7564</v>
      </c>
      <c r="E177" s="89">
        <v>425.37099999999998</v>
      </c>
      <c r="F177" s="89">
        <v>12004</v>
      </c>
      <c r="G177" s="89">
        <v>29.04</v>
      </c>
      <c r="H177" s="89">
        <v>12138</v>
      </c>
      <c r="I177" s="89">
        <v>98.46</v>
      </c>
      <c r="J177" s="89">
        <v>0.68899999999999995</v>
      </c>
      <c r="K177" s="89">
        <v>16.670000000000002</v>
      </c>
      <c r="L177" s="89">
        <v>80763191.109999999</v>
      </c>
      <c r="M177" s="89">
        <v>76129177.200000003</v>
      </c>
      <c r="N177" s="89">
        <v>35358.97</v>
      </c>
    </row>
    <row r="178" spans="1:14" x14ac:dyDescent="0.2">
      <c r="A178" s="89" t="s">
        <v>229</v>
      </c>
      <c r="B178" s="89">
        <v>4112603</v>
      </c>
      <c r="C178" s="89" t="s">
        <v>7563</v>
      </c>
      <c r="D178" s="89" t="s">
        <v>7562</v>
      </c>
      <c r="E178" s="89">
        <v>128.51499999999999</v>
      </c>
      <c r="F178" s="89">
        <v>1343</v>
      </c>
      <c r="G178" s="89">
        <v>10.45</v>
      </c>
      <c r="H178" s="89">
        <v>1349</v>
      </c>
      <c r="I178" s="89">
        <v>100</v>
      </c>
      <c r="J178" s="89">
        <v>0.68200000000000005</v>
      </c>
      <c r="K178" s="89">
        <v>111.11</v>
      </c>
      <c r="L178" s="89">
        <v>40536621.149999999</v>
      </c>
      <c r="M178" s="89">
        <v>35610916.030000001</v>
      </c>
      <c r="N178" s="89">
        <v>58807.74</v>
      </c>
    </row>
    <row r="179" spans="1:14" x14ac:dyDescent="0.2">
      <c r="A179" s="89" t="s">
        <v>118</v>
      </c>
      <c r="B179" s="89">
        <v>4112702</v>
      </c>
      <c r="C179" s="89" t="s">
        <v>7561</v>
      </c>
      <c r="D179" s="89" t="s">
        <v>7560</v>
      </c>
      <c r="E179" s="89">
        <v>161.13200000000001</v>
      </c>
      <c r="F179" s="89">
        <v>11813</v>
      </c>
      <c r="G179" s="89">
        <v>74.209999999999994</v>
      </c>
      <c r="H179" s="89">
        <v>11996</v>
      </c>
      <c r="I179" s="89">
        <v>99.39</v>
      </c>
      <c r="J179" s="89">
        <v>0.68700000000000006</v>
      </c>
      <c r="K179" s="89">
        <v>6.33</v>
      </c>
      <c r="L179" s="89">
        <v>80248892.489999995</v>
      </c>
      <c r="M179" s="89">
        <v>68554307.780000001</v>
      </c>
      <c r="N179" s="89">
        <v>25520.19</v>
      </c>
    </row>
    <row r="180" spans="1:14" x14ac:dyDescent="0.2">
      <c r="A180" s="89" t="s">
        <v>335</v>
      </c>
      <c r="B180" s="89">
        <v>4112751</v>
      </c>
      <c r="C180" s="89" t="s">
        <v>7559</v>
      </c>
      <c r="D180" s="89" t="s">
        <v>7558</v>
      </c>
      <c r="E180" s="89">
        <v>246.60599999999999</v>
      </c>
      <c r="F180" s="89">
        <v>10506</v>
      </c>
      <c r="G180" s="89">
        <v>42.45</v>
      </c>
      <c r="H180" s="89">
        <v>10954</v>
      </c>
      <c r="I180" s="89">
        <v>100</v>
      </c>
      <c r="J180" s="89">
        <v>0.70499999999999996</v>
      </c>
      <c r="K180" s="89" t="s">
        <v>1228</v>
      </c>
      <c r="L180" s="89">
        <v>76080634.769999996</v>
      </c>
      <c r="M180" s="89">
        <v>71911597.939999998</v>
      </c>
      <c r="N180" s="89">
        <v>52977.91</v>
      </c>
    </row>
    <row r="181" spans="1:14" x14ac:dyDescent="0.2">
      <c r="A181" s="89" t="s">
        <v>173</v>
      </c>
      <c r="B181" s="89">
        <v>4112801</v>
      </c>
      <c r="C181" s="89" t="s">
        <v>7557</v>
      </c>
      <c r="D181" s="89" t="s">
        <v>7556</v>
      </c>
      <c r="E181" s="89">
        <v>288.92200000000003</v>
      </c>
      <c r="F181" s="89">
        <v>11945</v>
      </c>
      <c r="G181" s="89">
        <v>41.31</v>
      </c>
      <c r="H181" s="89">
        <v>12341</v>
      </c>
      <c r="I181" s="89">
        <v>100</v>
      </c>
      <c r="J181" s="89">
        <v>0.7</v>
      </c>
      <c r="K181" s="89">
        <v>17.649999999999999</v>
      </c>
      <c r="L181" s="89">
        <v>88295086.159999996</v>
      </c>
      <c r="M181" s="89">
        <v>70431476.790000007</v>
      </c>
      <c r="N181" s="89">
        <v>73021.84</v>
      </c>
    </row>
    <row r="182" spans="1:14" x14ac:dyDescent="0.2">
      <c r="A182" s="89" t="s">
        <v>135</v>
      </c>
      <c r="B182" s="89">
        <v>4112900</v>
      </c>
      <c r="C182" s="89" t="s">
        <v>7555</v>
      </c>
      <c r="D182" s="89" t="s">
        <v>7554</v>
      </c>
      <c r="E182" s="89">
        <v>316.74799999999999</v>
      </c>
      <c r="F182" s="89">
        <v>3333</v>
      </c>
      <c r="G182" s="89">
        <v>10.39</v>
      </c>
      <c r="H182" s="89">
        <v>3372</v>
      </c>
      <c r="I182" s="89">
        <v>97.77</v>
      </c>
      <c r="J182" s="89">
        <v>0.68799999999999994</v>
      </c>
      <c r="K182" s="89" t="s">
        <v>1228</v>
      </c>
      <c r="L182" s="89">
        <v>42619273.969999999</v>
      </c>
      <c r="M182" s="89">
        <v>34217826.420000002</v>
      </c>
      <c r="N182" s="89">
        <v>47213.06</v>
      </c>
    </row>
    <row r="183" spans="1:14" x14ac:dyDescent="0.2">
      <c r="A183" s="89" t="s">
        <v>254</v>
      </c>
      <c r="B183" s="89">
        <v>4112959</v>
      </c>
      <c r="C183" s="89" t="s">
        <v>7553</v>
      </c>
      <c r="D183" s="89" t="s">
        <v>7552</v>
      </c>
      <c r="E183" s="89">
        <v>354.52199999999999</v>
      </c>
      <c r="F183" s="89">
        <v>7771</v>
      </c>
      <c r="G183" s="89">
        <v>21.93</v>
      </c>
      <c r="H183" s="89">
        <v>7899</v>
      </c>
      <c r="I183" s="89">
        <v>99.56</v>
      </c>
      <c r="J183" s="89">
        <v>0.70799999999999996</v>
      </c>
      <c r="K183" s="89">
        <v>22.22</v>
      </c>
      <c r="L183" s="89">
        <v>66567507.420000002</v>
      </c>
      <c r="M183" s="89">
        <v>66707362.530000001</v>
      </c>
      <c r="N183" s="89">
        <v>63966.87</v>
      </c>
    </row>
    <row r="184" spans="1:14" x14ac:dyDescent="0.2">
      <c r="A184" s="89" t="s">
        <v>214</v>
      </c>
      <c r="B184" s="89">
        <v>4113007</v>
      </c>
      <c r="C184" s="89" t="s">
        <v>7551</v>
      </c>
      <c r="D184" s="89" t="s">
        <v>7550</v>
      </c>
      <c r="E184" s="89">
        <v>207.01300000000001</v>
      </c>
      <c r="F184" s="89">
        <v>6690</v>
      </c>
      <c r="G184" s="89">
        <v>31.73</v>
      </c>
      <c r="H184" s="89">
        <v>6786</v>
      </c>
      <c r="I184" s="89">
        <v>98.52</v>
      </c>
      <c r="J184" s="89">
        <v>0.71799999999999997</v>
      </c>
      <c r="K184" s="89" t="s">
        <v>1228</v>
      </c>
      <c r="L184" s="89">
        <v>74038244.5</v>
      </c>
      <c r="M184" s="89">
        <v>72951934.939999998</v>
      </c>
      <c r="N184" s="89">
        <v>55375.88</v>
      </c>
    </row>
    <row r="185" spans="1:14" x14ac:dyDescent="0.2">
      <c r="A185" s="89" t="s">
        <v>159</v>
      </c>
      <c r="B185" s="89">
        <v>4113106</v>
      </c>
      <c r="C185" s="89" t="s">
        <v>7549</v>
      </c>
      <c r="D185" s="89" t="s">
        <v>7548</v>
      </c>
      <c r="E185" s="89">
        <v>194.08099999999999</v>
      </c>
      <c r="F185" s="89">
        <v>4582</v>
      </c>
      <c r="G185" s="89">
        <v>23.7</v>
      </c>
      <c r="H185" s="89">
        <v>4666</v>
      </c>
      <c r="I185" s="89">
        <v>99.48</v>
      </c>
      <c r="J185" s="89">
        <v>0.72099999999999997</v>
      </c>
      <c r="K185" s="89" t="s">
        <v>1228</v>
      </c>
      <c r="L185" s="89">
        <v>46480050.149999999</v>
      </c>
      <c r="M185" s="89">
        <v>45974017.07</v>
      </c>
      <c r="N185" s="89">
        <v>43918.879999999997</v>
      </c>
    </row>
    <row r="186" spans="1:14" x14ac:dyDescent="0.2">
      <c r="A186" s="89" t="s">
        <v>17</v>
      </c>
      <c r="B186" s="89">
        <v>4113205</v>
      </c>
      <c r="C186" s="89" t="s">
        <v>7547</v>
      </c>
      <c r="D186" s="89" t="s">
        <v>7546</v>
      </c>
      <c r="E186" s="89">
        <v>2100.3919999999998</v>
      </c>
      <c r="F186" s="89">
        <v>45003</v>
      </c>
      <c r="G186" s="89">
        <v>21.49</v>
      </c>
      <c r="H186" s="89">
        <v>45878</v>
      </c>
      <c r="I186" s="89">
        <v>99.21</v>
      </c>
      <c r="J186" s="89">
        <v>0.70599999999999996</v>
      </c>
      <c r="K186" s="89">
        <v>13.08</v>
      </c>
      <c r="L186" s="89">
        <v>324618290.56</v>
      </c>
      <c r="M186" s="89">
        <v>266251560.06999999</v>
      </c>
      <c r="N186" s="89">
        <v>58830.87</v>
      </c>
    </row>
    <row r="187" spans="1:14" x14ac:dyDescent="0.2">
      <c r="A187" s="89" t="s">
        <v>73</v>
      </c>
      <c r="B187" s="89">
        <v>4113254</v>
      </c>
      <c r="C187" s="89" t="s">
        <v>7545</v>
      </c>
      <c r="D187" s="89" t="s">
        <v>7544</v>
      </c>
      <c r="E187" s="89">
        <v>559.43899999999996</v>
      </c>
      <c r="F187" s="89">
        <v>5600</v>
      </c>
      <c r="G187" s="89">
        <v>10.01</v>
      </c>
      <c r="H187" s="89">
        <v>5525</v>
      </c>
      <c r="I187" s="89">
        <v>99.75</v>
      </c>
      <c r="J187" s="89">
        <v>0.58499999999999996</v>
      </c>
      <c r="K187" s="89">
        <v>13.33</v>
      </c>
      <c r="L187" s="89">
        <v>60535186.369999997</v>
      </c>
      <c r="M187" s="89">
        <v>47713514.200000003</v>
      </c>
      <c r="N187" s="89">
        <v>22407.71</v>
      </c>
    </row>
    <row r="188" spans="1:14" x14ac:dyDescent="0.2">
      <c r="A188" s="89" t="s">
        <v>82</v>
      </c>
      <c r="B188" s="89">
        <v>4113304</v>
      </c>
      <c r="C188" s="89" t="s">
        <v>7543</v>
      </c>
      <c r="D188" s="89" t="s">
        <v>7542</v>
      </c>
      <c r="E188" s="89">
        <v>677.93299999999999</v>
      </c>
      <c r="F188" s="89">
        <v>32227</v>
      </c>
      <c r="G188" s="89">
        <v>47.84</v>
      </c>
      <c r="H188" s="89">
        <v>33179</v>
      </c>
      <c r="I188" s="89">
        <v>98.79</v>
      </c>
      <c r="J188" s="89">
        <v>0.70599999999999996</v>
      </c>
      <c r="K188" s="89">
        <v>14.52</v>
      </c>
      <c r="L188" s="89">
        <v>218656478.96000001</v>
      </c>
      <c r="M188" s="89">
        <v>207035145.30000001</v>
      </c>
      <c r="N188" s="89">
        <v>38195.42</v>
      </c>
    </row>
    <row r="189" spans="1:14" x14ac:dyDescent="0.2">
      <c r="A189" s="89" t="s">
        <v>119</v>
      </c>
      <c r="B189" s="89">
        <v>4113403</v>
      </c>
      <c r="C189" s="89" t="s">
        <v>7541</v>
      </c>
      <c r="D189" s="89" t="s">
        <v>7540</v>
      </c>
      <c r="E189" s="89">
        <v>344.91800000000001</v>
      </c>
      <c r="F189" s="89">
        <v>3752</v>
      </c>
      <c r="G189" s="89">
        <v>10.88</v>
      </c>
      <c r="H189" s="89">
        <v>3725</v>
      </c>
      <c r="I189" s="89">
        <v>100</v>
      </c>
      <c r="J189" s="89">
        <v>0.70699999999999996</v>
      </c>
      <c r="K189" s="89">
        <v>31.25</v>
      </c>
      <c r="L189" s="89">
        <v>51554982.530000001</v>
      </c>
      <c r="M189" s="89">
        <v>43110983.149999999</v>
      </c>
      <c r="N189" s="89">
        <v>60266</v>
      </c>
    </row>
    <row r="190" spans="1:14" x14ac:dyDescent="0.2">
      <c r="A190" s="89" t="s">
        <v>160</v>
      </c>
      <c r="B190" s="89">
        <v>4113429</v>
      </c>
      <c r="C190" s="89" t="s">
        <v>7539</v>
      </c>
      <c r="D190" s="89" t="s">
        <v>7538</v>
      </c>
      <c r="E190" s="89">
        <v>151.779</v>
      </c>
      <c r="F190" s="89">
        <v>3938</v>
      </c>
      <c r="G190" s="89">
        <v>26</v>
      </c>
      <c r="H190" s="89">
        <v>3987</v>
      </c>
      <c r="I190" s="89">
        <v>97.06</v>
      </c>
      <c r="J190" s="89">
        <v>0.68</v>
      </c>
      <c r="K190" s="89" t="s">
        <v>1228</v>
      </c>
      <c r="L190" s="89">
        <v>43055426.710000001</v>
      </c>
      <c r="M190" s="89">
        <v>42648726.439999998</v>
      </c>
      <c r="N190" s="89">
        <v>37287.160000000003</v>
      </c>
    </row>
    <row r="191" spans="1:14" x14ac:dyDescent="0.2">
      <c r="A191" s="89" t="s">
        <v>7081</v>
      </c>
      <c r="B191" s="89">
        <v>4113452</v>
      </c>
      <c r="C191" s="89" t="s">
        <v>7537</v>
      </c>
      <c r="D191" s="89" t="s">
        <v>7536</v>
      </c>
      <c r="E191" s="89">
        <v>344.69099999999997</v>
      </c>
      <c r="F191" s="89">
        <v>5175</v>
      </c>
      <c r="G191" s="89">
        <v>14.91</v>
      </c>
      <c r="H191" s="89">
        <v>5217</v>
      </c>
      <c r="I191" s="89">
        <v>100</v>
      </c>
      <c r="J191" s="89">
        <v>0.66600000000000004</v>
      </c>
      <c r="K191" s="89" t="s">
        <v>1228</v>
      </c>
      <c r="L191" s="89">
        <v>55018544.869999997</v>
      </c>
      <c r="M191" s="89">
        <v>51593997.369999997</v>
      </c>
      <c r="N191" s="89">
        <v>48127.01</v>
      </c>
    </row>
    <row r="192" spans="1:14" x14ac:dyDescent="0.2">
      <c r="A192" s="89" t="s">
        <v>288</v>
      </c>
      <c r="B192" s="89">
        <v>4113502</v>
      </c>
      <c r="C192" s="89" t="s">
        <v>7535</v>
      </c>
      <c r="D192" s="89" t="s">
        <v>7534</v>
      </c>
      <c r="E192" s="89">
        <v>722.09100000000001</v>
      </c>
      <c r="F192" s="89">
        <v>23225</v>
      </c>
      <c r="G192" s="89">
        <v>32.15</v>
      </c>
      <c r="H192" s="89">
        <v>23966</v>
      </c>
      <c r="I192" s="89">
        <v>98.56</v>
      </c>
      <c r="J192" s="89">
        <v>0.72499999999999998</v>
      </c>
      <c r="K192" s="89">
        <v>20.76</v>
      </c>
      <c r="L192" s="89">
        <v>162957000.22999999</v>
      </c>
      <c r="M192" s="89">
        <v>148933220.87</v>
      </c>
      <c r="N192" s="89">
        <v>39155.410000000003</v>
      </c>
    </row>
    <row r="193" spans="1:14" x14ac:dyDescent="0.2">
      <c r="A193" s="89" t="s">
        <v>191</v>
      </c>
      <c r="B193" s="89">
        <v>4113601</v>
      </c>
      <c r="C193" s="89" t="s">
        <v>7533</v>
      </c>
      <c r="D193" s="89" t="s">
        <v>7532</v>
      </c>
      <c r="E193" s="89">
        <v>240.904</v>
      </c>
      <c r="F193" s="89">
        <v>4601</v>
      </c>
      <c r="G193" s="89">
        <v>19.100000000000001</v>
      </c>
      <c r="H193" s="89">
        <v>4707</v>
      </c>
      <c r="I193" s="89">
        <v>100</v>
      </c>
      <c r="J193" s="89">
        <v>0.74399999999999999</v>
      </c>
      <c r="K193" s="89">
        <v>71.430000000000007</v>
      </c>
      <c r="L193" s="89">
        <v>55619771.68</v>
      </c>
      <c r="M193" s="89">
        <v>53739928.420000002</v>
      </c>
      <c r="N193" s="89">
        <v>72455.61</v>
      </c>
    </row>
    <row r="194" spans="1:14" x14ac:dyDescent="0.2">
      <c r="A194" s="89" t="s">
        <v>105</v>
      </c>
      <c r="B194" s="89">
        <v>4113700</v>
      </c>
      <c r="C194" s="89" t="s">
        <v>7531</v>
      </c>
      <c r="D194" s="89" t="s">
        <v>7530</v>
      </c>
      <c r="E194" s="89">
        <v>1647.796</v>
      </c>
      <c r="F194" s="89">
        <v>555965</v>
      </c>
      <c r="G194" s="89">
        <v>336.42</v>
      </c>
      <c r="H194" s="89">
        <v>581382</v>
      </c>
      <c r="I194" s="89">
        <v>98.47</v>
      </c>
      <c r="J194" s="89">
        <v>0.77800000000000002</v>
      </c>
      <c r="K194" s="89">
        <v>11.81</v>
      </c>
      <c r="L194" s="89">
        <v>3625461358.9000001</v>
      </c>
      <c r="M194" s="89">
        <v>3879678799.3099999</v>
      </c>
      <c r="N194" s="89">
        <v>50362.05</v>
      </c>
    </row>
    <row r="195" spans="1:14" x14ac:dyDescent="0.2">
      <c r="A195" s="89" t="s">
        <v>255</v>
      </c>
      <c r="B195" s="89">
        <v>4113734</v>
      </c>
      <c r="C195" s="89" t="s">
        <v>7529</v>
      </c>
      <c r="D195" s="89" t="s">
        <v>7528</v>
      </c>
      <c r="E195" s="89">
        <v>915.60400000000004</v>
      </c>
      <c r="F195" s="89">
        <v>6690</v>
      </c>
      <c r="G195" s="89">
        <v>7.3</v>
      </c>
      <c r="H195" s="89">
        <v>6659</v>
      </c>
      <c r="I195" s="89">
        <v>99.01</v>
      </c>
      <c r="J195" s="89">
        <v>0.66800000000000004</v>
      </c>
      <c r="K195" s="89" t="s">
        <v>1228</v>
      </c>
      <c r="L195" s="89">
        <v>87312443.989999995</v>
      </c>
      <c r="M195" s="89">
        <v>75817971.030000001</v>
      </c>
      <c r="N195" s="89">
        <v>89587.6</v>
      </c>
    </row>
    <row r="196" spans="1:14" x14ac:dyDescent="0.2">
      <c r="A196" s="89" t="s">
        <v>161</v>
      </c>
      <c r="B196" s="89">
        <v>4113759</v>
      </c>
      <c r="C196" s="89" t="s">
        <v>7527</v>
      </c>
      <c r="D196" s="89" t="s">
        <v>7526</v>
      </c>
      <c r="E196" s="89">
        <v>191.06200000000001</v>
      </c>
      <c r="F196" s="89">
        <v>4872</v>
      </c>
      <c r="G196" s="89">
        <v>24.46</v>
      </c>
      <c r="H196" s="89">
        <v>4864</v>
      </c>
      <c r="I196" s="89">
        <v>97.8</v>
      </c>
      <c r="J196" s="89">
        <v>0.69</v>
      </c>
      <c r="K196" s="89" t="s">
        <v>1228</v>
      </c>
      <c r="L196" s="89">
        <v>47473967.439999998</v>
      </c>
      <c r="M196" s="89">
        <v>45291659.530000001</v>
      </c>
      <c r="N196" s="89">
        <v>30231.87</v>
      </c>
    </row>
    <row r="197" spans="1:14" x14ac:dyDescent="0.2">
      <c r="A197" s="89" t="s">
        <v>106</v>
      </c>
      <c r="B197" s="89">
        <v>4113809</v>
      </c>
      <c r="C197" s="89" t="s">
        <v>7525</v>
      </c>
      <c r="D197" s="89" t="s">
        <v>7524</v>
      </c>
      <c r="E197" s="89">
        <v>121.661</v>
      </c>
      <c r="F197" s="89">
        <v>4813</v>
      </c>
      <c r="G197" s="89">
        <v>39.76</v>
      </c>
      <c r="H197" s="89">
        <v>4929</v>
      </c>
      <c r="I197" s="89">
        <v>99.51</v>
      </c>
      <c r="J197" s="89">
        <v>0.71</v>
      </c>
      <c r="K197" s="89">
        <v>25.64</v>
      </c>
      <c r="L197" s="89">
        <v>46270603.439999998</v>
      </c>
      <c r="M197" s="89">
        <v>38827955.140000001</v>
      </c>
      <c r="N197" s="89">
        <v>34250.14</v>
      </c>
    </row>
    <row r="198" spans="1:14" x14ac:dyDescent="0.2">
      <c r="A198" s="89" t="s">
        <v>392</v>
      </c>
      <c r="B198" s="89">
        <v>4113908</v>
      </c>
      <c r="C198" s="89" t="s">
        <v>7523</v>
      </c>
      <c r="D198" s="89" t="s">
        <v>7522</v>
      </c>
      <c r="E198" s="89">
        <v>758.50900000000001</v>
      </c>
      <c r="F198" s="89">
        <v>13428</v>
      </c>
      <c r="G198" s="89">
        <v>17.66</v>
      </c>
      <c r="H198" s="89">
        <v>13681</v>
      </c>
      <c r="I198" s="89">
        <v>98.55</v>
      </c>
      <c r="J198" s="89">
        <v>0.70799999999999996</v>
      </c>
      <c r="K198" s="89" t="s">
        <v>1228</v>
      </c>
      <c r="L198" s="89">
        <v>94421759.640000001</v>
      </c>
      <c r="M198" s="89">
        <v>84469396.760000005</v>
      </c>
      <c r="N198" s="89">
        <v>72484.08</v>
      </c>
    </row>
    <row r="199" spans="1:14" x14ac:dyDescent="0.2">
      <c r="A199" s="89" t="s">
        <v>256</v>
      </c>
      <c r="B199" s="89">
        <v>4114005</v>
      </c>
      <c r="C199" s="89" t="s">
        <v>7521</v>
      </c>
      <c r="D199" s="89" t="s">
        <v>7520</v>
      </c>
      <c r="E199" s="89">
        <v>787.33</v>
      </c>
      <c r="F199" s="89">
        <v>13452</v>
      </c>
      <c r="G199" s="89">
        <v>17.07</v>
      </c>
      <c r="H199" s="89">
        <v>13551</v>
      </c>
      <c r="I199" s="89">
        <v>99.21</v>
      </c>
      <c r="J199" s="89">
        <v>0.71899999999999997</v>
      </c>
      <c r="K199" s="89">
        <v>6.49</v>
      </c>
      <c r="L199" s="89">
        <v>122005337.88</v>
      </c>
      <c r="M199" s="89">
        <v>97168404.25</v>
      </c>
      <c r="N199" s="89">
        <v>63873.13</v>
      </c>
    </row>
    <row r="200" spans="1:14" x14ac:dyDescent="0.2">
      <c r="A200" s="89" t="s">
        <v>215</v>
      </c>
      <c r="B200" s="89">
        <v>4114104</v>
      </c>
      <c r="C200" s="89" t="s">
        <v>7519</v>
      </c>
      <c r="D200" s="89" t="s">
        <v>7518</v>
      </c>
      <c r="E200" s="89">
        <v>293.79199999999997</v>
      </c>
      <c r="F200" s="89">
        <v>31457</v>
      </c>
      <c r="G200" s="89">
        <v>106.99</v>
      </c>
      <c r="H200" s="89">
        <v>34521</v>
      </c>
      <c r="I200" s="89">
        <v>98.63</v>
      </c>
      <c r="J200" s="89">
        <v>0.71799999999999997</v>
      </c>
      <c r="K200" s="89">
        <v>13.7</v>
      </c>
      <c r="L200" s="89">
        <v>171174438.96000001</v>
      </c>
      <c r="M200" s="89">
        <v>149523796.25</v>
      </c>
      <c r="N200" s="89">
        <v>31643.51</v>
      </c>
    </row>
    <row r="201" spans="1:14" x14ac:dyDescent="0.2">
      <c r="A201" s="89" t="s">
        <v>7080</v>
      </c>
      <c r="B201" s="89">
        <v>4114203</v>
      </c>
      <c r="C201" s="89" t="s">
        <v>7517</v>
      </c>
      <c r="D201" s="89" t="s">
        <v>7516</v>
      </c>
      <c r="E201" s="89">
        <v>335.91199999999998</v>
      </c>
      <c r="F201" s="89">
        <v>36716</v>
      </c>
      <c r="G201" s="89">
        <v>109.33</v>
      </c>
      <c r="H201" s="89">
        <v>38313</v>
      </c>
      <c r="I201" s="89">
        <v>98.39</v>
      </c>
      <c r="J201" s="89">
        <v>0.751</v>
      </c>
      <c r="K201" s="89">
        <v>2.21</v>
      </c>
      <c r="L201" s="89">
        <v>229445147.30000001</v>
      </c>
      <c r="M201" s="89">
        <v>202789788.37</v>
      </c>
      <c r="N201" s="89">
        <v>79434.03</v>
      </c>
    </row>
    <row r="202" spans="1:14" x14ac:dyDescent="0.2">
      <c r="A202" s="89" t="s">
        <v>409</v>
      </c>
      <c r="B202" s="89">
        <v>4114302</v>
      </c>
      <c r="C202" s="89" t="s">
        <v>7515</v>
      </c>
      <c r="D202" s="89" t="s">
        <v>7514</v>
      </c>
      <c r="E202" s="89">
        <v>378.81799999999998</v>
      </c>
      <c r="F202" s="89">
        <v>27439</v>
      </c>
      <c r="G202" s="89">
        <v>72.36</v>
      </c>
      <c r="H202" s="89">
        <v>29104</v>
      </c>
      <c r="I202" s="89">
        <v>98.47</v>
      </c>
      <c r="J202" s="89">
        <v>0.65500000000000003</v>
      </c>
      <c r="K202" s="89">
        <v>12.2</v>
      </c>
      <c r="L202" s="89">
        <v>164709532.99000001</v>
      </c>
      <c r="M202" s="89">
        <v>146748581.05000001</v>
      </c>
      <c r="N202" s="89">
        <v>29207.79</v>
      </c>
    </row>
    <row r="203" spans="1:14" x14ac:dyDescent="0.2">
      <c r="A203" s="89" t="s">
        <v>357</v>
      </c>
      <c r="B203" s="89">
        <v>4114351</v>
      </c>
      <c r="C203" s="89" t="s">
        <v>7513</v>
      </c>
      <c r="D203" s="89" t="s">
        <v>7512</v>
      </c>
      <c r="E203" s="89">
        <v>214.75800000000001</v>
      </c>
      <c r="F203" s="89">
        <v>2770</v>
      </c>
      <c r="G203" s="89">
        <v>12.84</v>
      </c>
      <c r="H203" s="89">
        <v>2790</v>
      </c>
      <c r="I203" s="89">
        <v>100</v>
      </c>
      <c r="J203" s="89">
        <v>0.64500000000000002</v>
      </c>
      <c r="K203" s="89" t="s">
        <v>1228</v>
      </c>
      <c r="L203" s="89">
        <v>39649412.289999999</v>
      </c>
      <c r="M203" s="89">
        <v>35779736.43</v>
      </c>
      <c r="N203" s="89">
        <v>37689.279999999999</v>
      </c>
    </row>
    <row r="204" spans="1:14" x14ac:dyDescent="0.2">
      <c r="A204" s="89" t="s">
        <v>387</v>
      </c>
      <c r="B204" s="89">
        <v>4114401</v>
      </c>
      <c r="C204" s="89" t="s">
        <v>7511</v>
      </c>
      <c r="D204" s="89" t="s">
        <v>7510</v>
      </c>
      <c r="E204" s="89">
        <v>1058.357</v>
      </c>
      <c r="F204" s="89">
        <v>16603</v>
      </c>
      <c r="G204" s="89">
        <v>15.73</v>
      </c>
      <c r="H204" s="89">
        <v>16737</v>
      </c>
      <c r="I204" s="89">
        <v>98.9</v>
      </c>
      <c r="J204" s="89">
        <v>0.68799999999999994</v>
      </c>
      <c r="K204" s="89">
        <v>10.49</v>
      </c>
      <c r="L204" s="89">
        <v>176737003.46000001</v>
      </c>
      <c r="M204" s="89">
        <v>138833335.30000001</v>
      </c>
      <c r="N204" s="89">
        <v>112613.05</v>
      </c>
    </row>
    <row r="205" spans="1:14" x14ac:dyDescent="0.2">
      <c r="A205" s="89" t="s">
        <v>74</v>
      </c>
      <c r="B205" s="89">
        <v>4114500</v>
      </c>
      <c r="C205" s="89" t="s">
        <v>7509</v>
      </c>
      <c r="D205" s="89" t="s">
        <v>7508</v>
      </c>
      <c r="E205" s="89">
        <v>571.45100000000002</v>
      </c>
      <c r="F205" s="89">
        <v>14240</v>
      </c>
      <c r="G205" s="89">
        <v>24.93</v>
      </c>
      <c r="H205" s="89">
        <v>14675</v>
      </c>
      <c r="I205" s="89">
        <v>99.95</v>
      </c>
      <c r="J205" s="89">
        <v>0.71599999999999997</v>
      </c>
      <c r="K205" s="89">
        <v>14.02</v>
      </c>
      <c r="L205" s="89">
        <v>103181278.36</v>
      </c>
      <c r="M205" s="89">
        <v>92638686.840000004</v>
      </c>
      <c r="N205" s="89">
        <v>46081.2</v>
      </c>
    </row>
    <row r="206" spans="1:14" x14ac:dyDescent="0.2">
      <c r="A206" s="89" t="s">
        <v>308</v>
      </c>
      <c r="B206" s="89">
        <v>4114609</v>
      </c>
      <c r="C206" s="89" t="s">
        <v>7289</v>
      </c>
      <c r="D206" s="89" t="s">
        <v>7507</v>
      </c>
      <c r="E206" s="89">
        <v>743.59299999999996</v>
      </c>
      <c r="F206" s="89">
        <v>55836</v>
      </c>
      <c r="G206" s="89">
        <v>74.87</v>
      </c>
      <c r="H206" s="89">
        <v>58734</v>
      </c>
      <c r="I206" s="89">
        <v>98.07</v>
      </c>
      <c r="J206" s="89">
        <v>0.77400000000000002</v>
      </c>
      <c r="K206" s="89">
        <v>9.43</v>
      </c>
      <c r="L206" s="89">
        <v>469953463.23000002</v>
      </c>
      <c r="M206" s="89">
        <v>395385765.54000002</v>
      </c>
      <c r="N206" s="89">
        <v>70187.820000000007</v>
      </c>
    </row>
    <row r="207" spans="1:14" x14ac:dyDescent="0.2">
      <c r="A207" s="89" t="s">
        <v>301</v>
      </c>
      <c r="B207" s="89">
        <v>4114708</v>
      </c>
      <c r="C207" s="89" t="s">
        <v>7506</v>
      </c>
      <c r="D207" s="89" t="s">
        <v>7505</v>
      </c>
      <c r="E207" s="89">
        <v>486.53899999999999</v>
      </c>
      <c r="F207" s="89">
        <v>5865</v>
      </c>
      <c r="G207" s="89">
        <v>12.06</v>
      </c>
      <c r="H207" s="89">
        <v>5926</v>
      </c>
      <c r="I207" s="89">
        <v>99.44</v>
      </c>
      <c r="J207" s="89">
        <v>0.70299999999999996</v>
      </c>
      <c r="K207" s="89" t="s">
        <v>1228</v>
      </c>
      <c r="L207" s="89">
        <v>61858128.689999998</v>
      </c>
      <c r="M207" s="89">
        <v>56107148.460000001</v>
      </c>
      <c r="N207" s="89">
        <v>30077.96</v>
      </c>
    </row>
    <row r="208" spans="1:14" x14ac:dyDescent="0.2">
      <c r="A208" s="89" t="s">
        <v>203</v>
      </c>
      <c r="B208" s="89">
        <v>4114807</v>
      </c>
      <c r="C208" s="89" t="s">
        <v>7504</v>
      </c>
      <c r="D208" s="89" t="s">
        <v>7503</v>
      </c>
      <c r="E208" s="89">
        <v>474.95400000000001</v>
      </c>
      <c r="F208" s="89">
        <v>41851</v>
      </c>
      <c r="G208" s="89">
        <v>88</v>
      </c>
      <c r="H208" s="89">
        <v>44749</v>
      </c>
      <c r="I208" s="89">
        <v>99.28</v>
      </c>
      <c r="J208" s="89">
        <v>0.73499999999999999</v>
      </c>
      <c r="K208" s="89">
        <v>12.22</v>
      </c>
      <c r="L208" s="89">
        <v>296060301.51999998</v>
      </c>
      <c r="M208" s="89">
        <v>249027103.56999999</v>
      </c>
      <c r="N208" s="89">
        <v>70837.509999999995</v>
      </c>
    </row>
    <row r="209" spans="1:14" x14ac:dyDescent="0.2">
      <c r="A209" s="89" t="s">
        <v>180</v>
      </c>
      <c r="B209" s="89">
        <v>4114906</v>
      </c>
      <c r="C209" s="89" t="s">
        <v>7502</v>
      </c>
      <c r="D209" s="89" t="s">
        <v>7501</v>
      </c>
      <c r="E209" s="89">
        <v>384.42</v>
      </c>
      <c r="F209" s="89">
        <v>8677</v>
      </c>
      <c r="G209" s="89">
        <v>22.57</v>
      </c>
      <c r="H209" s="89">
        <v>8761</v>
      </c>
      <c r="I209" s="89">
        <v>100</v>
      </c>
      <c r="J209" s="89">
        <v>0.69099999999999995</v>
      </c>
      <c r="K209" s="89" t="s">
        <v>1228</v>
      </c>
      <c r="L209" s="89">
        <v>72177029.480000004</v>
      </c>
      <c r="M209" s="89">
        <v>62570640.259999998</v>
      </c>
      <c r="N209" s="89">
        <v>58806.98</v>
      </c>
    </row>
    <row r="210" spans="1:14" x14ac:dyDescent="0.2">
      <c r="A210" s="89" t="s">
        <v>289</v>
      </c>
      <c r="B210" s="89">
        <v>4115002</v>
      </c>
      <c r="C210" s="89" t="s">
        <v>7500</v>
      </c>
      <c r="D210" s="89" t="s">
        <v>7499</v>
      </c>
      <c r="E210" s="89">
        <v>231.34899999999999</v>
      </c>
      <c r="F210" s="89">
        <v>7253</v>
      </c>
      <c r="G210" s="89">
        <v>31.21</v>
      </c>
      <c r="H210" s="89">
        <v>7450</v>
      </c>
      <c r="I210" s="89">
        <v>99.26</v>
      </c>
      <c r="J210" s="89">
        <v>0.68100000000000005</v>
      </c>
      <c r="K210" s="89">
        <v>10.42</v>
      </c>
      <c r="L210" s="89">
        <v>58535781.740000002</v>
      </c>
      <c r="M210" s="89">
        <v>50421286.200000003</v>
      </c>
      <c r="N210" s="89">
        <v>32708.81</v>
      </c>
    </row>
    <row r="211" spans="1:14" x14ac:dyDescent="0.2">
      <c r="A211" s="89" t="s">
        <v>242</v>
      </c>
      <c r="B211" s="89">
        <v>4115101</v>
      </c>
      <c r="C211" s="89" t="s">
        <v>7498</v>
      </c>
      <c r="D211" s="89" t="s">
        <v>7497</v>
      </c>
      <c r="E211" s="89">
        <v>430.43200000000002</v>
      </c>
      <c r="F211" s="89">
        <v>9847</v>
      </c>
      <c r="G211" s="89">
        <v>22.73</v>
      </c>
      <c r="H211" s="89">
        <v>9910</v>
      </c>
      <c r="I211" s="89">
        <v>99.26</v>
      </c>
      <c r="J211" s="89">
        <v>0.63900000000000001</v>
      </c>
      <c r="K211" s="89">
        <v>8.4</v>
      </c>
      <c r="L211" s="89">
        <v>86719666.480000004</v>
      </c>
      <c r="M211" s="89">
        <v>78725062.549999997</v>
      </c>
      <c r="N211" s="89">
        <v>41023.339999999997</v>
      </c>
    </row>
    <row r="212" spans="1:14" x14ac:dyDescent="0.2">
      <c r="A212" s="89" t="s">
        <v>192</v>
      </c>
      <c r="B212" s="89">
        <v>4115200</v>
      </c>
      <c r="C212" s="89" t="s">
        <v>7496</v>
      </c>
      <c r="D212" s="89" t="s">
        <v>7495</v>
      </c>
      <c r="E212" s="89">
        <v>487.91199999999998</v>
      </c>
      <c r="F212" s="89">
        <v>409657</v>
      </c>
      <c r="G212" s="89">
        <v>841.16</v>
      </c>
      <c r="H212" s="89">
        <v>429660</v>
      </c>
      <c r="I212" s="89">
        <v>99.3</v>
      </c>
      <c r="J212" s="89">
        <v>0.80800000000000005</v>
      </c>
      <c r="K212" s="89">
        <v>10.82</v>
      </c>
      <c r="L212" s="89">
        <v>3205625892.8099999</v>
      </c>
      <c r="M212" s="89">
        <v>2974063957.4200001</v>
      </c>
      <c r="N212" s="89">
        <v>67903.990000000005</v>
      </c>
    </row>
    <row r="213" spans="1:14" x14ac:dyDescent="0.2">
      <c r="A213" s="89" t="s">
        <v>388</v>
      </c>
      <c r="B213" s="89">
        <v>4115309</v>
      </c>
      <c r="C213" s="89" t="s">
        <v>7494</v>
      </c>
      <c r="D213" s="89" t="s">
        <v>7493</v>
      </c>
      <c r="E213" s="89">
        <v>229.89400000000001</v>
      </c>
      <c r="F213" s="89">
        <v>6371</v>
      </c>
      <c r="G213" s="89">
        <v>27.66</v>
      </c>
      <c r="H213" s="89">
        <v>6506</v>
      </c>
      <c r="I213" s="89">
        <v>99.61</v>
      </c>
      <c r="J213" s="89">
        <v>0.69799999999999995</v>
      </c>
      <c r="K213" s="89" t="s">
        <v>1228</v>
      </c>
      <c r="L213" s="89">
        <v>83745921.510000005</v>
      </c>
      <c r="M213" s="89">
        <v>74322002.890000001</v>
      </c>
      <c r="N213" s="89">
        <v>86961.81</v>
      </c>
    </row>
    <row r="214" spans="1:14" x14ac:dyDescent="0.2">
      <c r="A214" s="89" t="s">
        <v>324</v>
      </c>
      <c r="B214" s="89">
        <v>4115358</v>
      </c>
      <c r="C214" s="89" t="s">
        <v>7492</v>
      </c>
      <c r="D214" s="89" t="s">
        <v>7491</v>
      </c>
      <c r="E214" s="89">
        <v>283.79399999999998</v>
      </c>
      <c r="F214" s="89">
        <v>6555</v>
      </c>
      <c r="G214" s="89">
        <v>23.1</v>
      </c>
      <c r="H214" s="89">
        <v>6824</v>
      </c>
      <c r="I214" s="89">
        <v>97.67</v>
      </c>
      <c r="J214" s="89">
        <v>0.75800000000000001</v>
      </c>
      <c r="K214" s="89" t="s">
        <v>1228</v>
      </c>
      <c r="L214" s="89">
        <v>72405980.900000006</v>
      </c>
      <c r="M214" s="89">
        <v>63896439.75</v>
      </c>
      <c r="N214" s="89">
        <v>81721.350000000006</v>
      </c>
    </row>
    <row r="215" spans="1:14" x14ac:dyDescent="0.2">
      <c r="A215" s="89" t="s">
        <v>358</v>
      </c>
      <c r="B215" s="89">
        <v>4115408</v>
      </c>
      <c r="C215" s="89" t="s">
        <v>7490</v>
      </c>
      <c r="D215" s="89" t="s">
        <v>7489</v>
      </c>
      <c r="E215" s="89">
        <v>388.53800000000001</v>
      </c>
      <c r="F215" s="89">
        <v>15901</v>
      </c>
      <c r="G215" s="89">
        <v>41.02</v>
      </c>
      <c r="H215" s="89">
        <v>16605</v>
      </c>
      <c r="I215" s="89">
        <v>98.9</v>
      </c>
      <c r="J215" s="89">
        <v>0.72199999999999998</v>
      </c>
      <c r="K215" s="89">
        <v>28.3</v>
      </c>
      <c r="L215" s="89">
        <v>110153865.08</v>
      </c>
      <c r="M215" s="89">
        <v>92957324.349999994</v>
      </c>
      <c r="N215" s="89">
        <v>46437.51</v>
      </c>
    </row>
    <row r="216" spans="1:14" x14ac:dyDescent="0.2">
      <c r="A216" s="89" t="s">
        <v>395</v>
      </c>
      <c r="B216" s="89">
        <v>4115457</v>
      </c>
      <c r="C216" s="89" t="s">
        <v>7488</v>
      </c>
      <c r="D216" s="89" t="s">
        <v>7487</v>
      </c>
      <c r="E216" s="89">
        <v>518.14700000000005</v>
      </c>
      <c r="F216" s="89">
        <v>4504</v>
      </c>
      <c r="G216" s="89">
        <v>8.94</v>
      </c>
      <c r="H216" s="89">
        <v>4491</v>
      </c>
      <c r="I216" s="89">
        <v>98.57</v>
      </c>
      <c r="J216" s="89">
        <v>0.61399999999999999</v>
      </c>
      <c r="K216" s="89">
        <v>34.479999999999997</v>
      </c>
      <c r="L216" s="89">
        <v>57876698.640000001</v>
      </c>
      <c r="M216" s="89">
        <v>52960864.439999998</v>
      </c>
      <c r="N216" s="89">
        <v>29896.39</v>
      </c>
    </row>
    <row r="217" spans="1:14" x14ac:dyDescent="0.2">
      <c r="A217" s="89" t="s">
        <v>204</v>
      </c>
      <c r="B217" s="89">
        <v>4115507</v>
      </c>
      <c r="C217" s="89" t="s">
        <v>7486</v>
      </c>
      <c r="D217" s="89" t="s">
        <v>7485</v>
      </c>
      <c r="E217" s="89">
        <v>207.68700000000001</v>
      </c>
      <c r="F217" s="89">
        <v>4699</v>
      </c>
      <c r="G217" s="89">
        <v>22.54</v>
      </c>
      <c r="H217" s="89">
        <v>4780</v>
      </c>
      <c r="I217" s="89">
        <v>93.77</v>
      </c>
      <c r="J217" s="89">
        <v>0.72099999999999997</v>
      </c>
      <c r="K217" s="89" t="s">
        <v>1228</v>
      </c>
      <c r="L217" s="89">
        <v>52830094.649999999</v>
      </c>
      <c r="M217" s="89">
        <v>50332675.869999997</v>
      </c>
      <c r="N217" s="89">
        <v>28583.37</v>
      </c>
    </row>
    <row r="218" spans="1:14" x14ac:dyDescent="0.2">
      <c r="A218" s="89" t="s">
        <v>309</v>
      </c>
      <c r="B218" s="89">
        <v>4115606</v>
      </c>
      <c r="C218" s="89" t="s">
        <v>7484</v>
      </c>
      <c r="D218" s="89" t="s">
        <v>7483</v>
      </c>
      <c r="E218" s="89">
        <v>642.12300000000005</v>
      </c>
      <c r="F218" s="89">
        <v>18450</v>
      </c>
      <c r="G218" s="89">
        <v>28.84</v>
      </c>
      <c r="H218" s="89">
        <v>19223</v>
      </c>
      <c r="I218" s="89">
        <v>97.81</v>
      </c>
      <c r="J218" s="89">
        <v>0.72499999999999998</v>
      </c>
      <c r="K218" s="89">
        <v>4.07</v>
      </c>
      <c r="L218" s="89">
        <v>180706208.25999999</v>
      </c>
      <c r="M218" s="89">
        <v>143586186.80000001</v>
      </c>
      <c r="N218" s="89">
        <v>78092.929999999993</v>
      </c>
    </row>
    <row r="219" spans="1:14" x14ac:dyDescent="0.2">
      <c r="A219" s="89" t="s">
        <v>399</v>
      </c>
      <c r="B219" s="89">
        <v>4115705</v>
      </c>
      <c r="C219" s="89" t="s">
        <v>7482</v>
      </c>
      <c r="D219" s="89" t="s">
        <v>7481</v>
      </c>
      <c r="E219" s="89">
        <v>117.479</v>
      </c>
      <c r="F219" s="89">
        <v>39259</v>
      </c>
      <c r="G219" s="89">
        <v>332.99</v>
      </c>
      <c r="H219" s="89">
        <v>42063</v>
      </c>
      <c r="I219" s="89">
        <v>98.92</v>
      </c>
      <c r="J219" s="89">
        <v>0.74299999999999999</v>
      </c>
      <c r="K219" s="89">
        <v>24.67</v>
      </c>
      <c r="L219" s="89">
        <v>326821314.20999998</v>
      </c>
      <c r="M219" s="89">
        <v>299026252.12</v>
      </c>
      <c r="N219" s="89">
        <v>29246.91</v>
      </c>
    </row>
    <row r="220" spans="1:14" x14ac:dyDescent="0.2">
      <c r="A220" s="89" t="s">
        <v>75</v>
      </c>
      <c r="B220" s="89">
        <v>4115739</v>
      </c>
      <c r="C220" s="89" t="s">
        <v>7480</v>
      </c>
      <c r="D220" s="89" t="s">
        <v>7479</v>
      </c>
      <c r="E220" s="89">
        <v>402.53300000000002</v>
      </c>
      <c r="F220" s="89">
        <v>3267</v>
      </c>
      <c r="G220" s="89">
        <v>8.2799999999999994</v>
      </c>
      <c r="H220" s="89">
        <v>3249</v>
      </c>
      <c r="I220" s="89">
        <v>100</v>
      </c>
      <c r="J220" s="89">
        <v>0.63200000000000001</v>
      </c>
      <c r="K220" s="89">
        <v>35.71</v>
      </c>
      <c r="L220" s="89">
        <v>56404163.840000004</v>
      </c>
      <c r="M220" s="89">
        <v>49842246.57</v>
      </c>
      <c r="N220" s="89">
        <v>48162.76</v>
      </c>
    </row>
    <row r="221" spans="1:14" x14ac:dyDescent="0.2">
      <c r="A221" s="89" t="s">
        <v>181</v>
      </c>
      <c r="B221" s="89">
        <v>4115754</v>
      </c>
      <c r="C221" s="89" t="s">
        <v>7478</v>
      </c>
      <c r="D221" s="89" t="s">
        <v>7477</v>
      </c>
      <c r="E221" s="89">
        <v>107.535</v>
      </c>
      <c r="F221" s="89">
        <v>9383</v>
      </c>
      <c r="G221" s="89">
        <v>86.62</v>
      </c>
      <c r="H221" s="89">
        <v>9689</v>
      </c>
      <c r="I221" s="89">
        <v>99.24</v>
      </c>
      <c r="J221" s="89">
        <v>0.65200000000000002</v>
      </c>
      <c r="K221" s="89">
        <v>7.58</v>
      </c>
      <c r="L221" s="89">
        <v>84754438.120000005</v>
      </c>
      <c r="M221" s="89">
        <v>72615374.140000001</v>
      </c>
      <c r="N221" s="89">
        <v>56188.01</v>
      </c>
    </row>
    <row r="222" spans="1:14" x14ac:dyDescent="0.2">
      <c r="A222" s="89" t="s">
        <v>310</v>
      </c>
      <c r="B222" s="89">
        <v>4115804</v>
      </c>
      <c r="C222" s="89" t="s">
        <v>7476</v>
      </c>
      <c r="D222" s="89" t="s">
        <v>7475</v>
      </c>
      <c r="E222" s="89">
        <v>326.67</v>
      </c>
      <c r="F222" s="89">
        <v>54369</v>
      </c>
      <c r="G222" s="89">
        <v>165.39</v>
      </c>
      <c r="H222" s="89">
        <v>57910</v>
      </c>
      <c r="I222" s="89">
        <v>90.75</v>
      </c>
      <c r="J222" s="89">
        <v>0.76300000000000001</v>
      </c>
      <c r="K222" s="89">
        <v>9.89</v>
      </c>
      <c r="L222" s="89">
        <v>354391073.63</v>
      </c>
      <c r="M222" s="89">
        <v>306694043.73000002</v>
      </c>
      <c r="N222" s="89">
        <v>55318.22</v>
      </c>
    </row>
    <row r="223" spans="1:14" x14ac:dyDescent="0.2">
      <c r="A223" s="89" t="s">
        <v>7079</v>
      </c>
      <c r="B223" s="89">
        <v>4115853</v>
      </c>
      <c r="C223" s="89" t="s">
        <v>7474</v>
      </c>
      <c r="D223" s="89" t="s">
        <v>7473</v>
      </c>
      <c r="E223" s="89">
        <v>197.136</v>
      </c>
      <c r="F223" s="89">
        <v>5931</v>
      </c>
      <c r="G223" s="89">
        <v>30.09</v>
      </c>
      <c r="H223" s="89">
        <v>6194</v>
      </c>
      <c r="I223" s="89">
        <v>100</v>
      </c>
      <c r="J223" s="89">
        <v>0.74</v>
      </c>
      <c r="K223" s="89">
        <v>14.08</v>
      </c>
      <c r="L223" s="89">
        <v>73110574.310000002</v>
      </c>
      <c r="M223" s="89">
        <v>59905139.210000001</v>
      </c>
      <c r="N223" s="89">
        <v>52582.83</v>
      </c>
    </row>
    <row r="224" spans="1:14" x14ac:dyDescent="0.2">
      <c r="A224" s="89" t="s">
        <v>264</v>
      </c>
      <c r="B224" s="89">
        <v>4115903</v>
      </c>
      <c r="C224" s="89" t="s">
        <v>7472</v>
      </c>
      <c r="D224" s="89" t="s">
        <v>7471</v>
      </c>
      <c r="E224" s="89">
        <v>222.01599999999999</v>
      </c>
      <c r="F224" s="89">
        <v>2238</v>
      </c>
      <c r="G224" s="89">
        <v>10.09</v>
      </c>
      <c r="H224" s="89">
        <v>2248</v>
      </c>
      <c r="I224" s="89">
        <v>100</v>
      </c>
      <c r="J224" s="89">
        <v>0.68</v>
      </c>
      <c r="K224" s="89" t="s">
        <v>1228</v>
      </c>
      <c r="L224" s="89">
        <v>39378225.729999997</v>
      </c>
      <c r="M224" s="89">
        <v>29714290.27</v>
      </c>
      <c r="N224" s="89">
        <v>79981.83</v>
      </c>
    </row>
    <row r="225" spans="1:14" x14ac:dyDescent="0.2">
      <c r="A225" s="89" t="s">
        <v>94</v>
      </c>
      <c r="B225" s="89">
        <v>4116000</v>
      </c>
      <c r="C225" s="89" t="s">
        <v>7470</v>
      </c>
      <c r="D225" s="89" t="s">
        <v>7469</v>
      </c>
      <c r="E225" s="89">
        <v>90.572000000000003</v>
      </c>
      <c r="F225" s="89">
        <v>1966</v>
      </c>
      <c r="G225" s="89">
        <v>21.77</v>
      </c>
      <c r="H225" s="89">
        <v>2017</v>
      </c>
      <c r="I225" s="89">
        <v>98.08</v>
      </c>
      <c r="J225" s="89">
        <v>0.748</v>
      </c>
      <c r="K225" s="89" t="s">
        <v>1228</v>
      </c>
      <c r="L225" s="89">
        <v>35602640.289999999</v>
      </c>
      <c r="M225" s="89">
        <v>28971720.390000001</v>
      </c>
      <c r="N225" s="89">
        <v>35296.980000000003</v>
      </c>
    </row>
    <row r="226" spans="1:14" x14ac:dyDescent="0.2">
      <c r="A226" s="89" t="s">
        <v>311</v>
      </c>
      <c r="B226" s="89">
        <v>4116059</v>
      </c>
      <c r="C226" s="89" t="s">
        <v>7468</v>
      </c>
      <c r="D226" s="89" t="s">
        <v>7467</v>
      </c>
      <c r="E226" s="89">
        <v>326.214</v>
      </c>
      <c r="F226" s="89">
        <v>11064</v>
      </c>
      <c r="G226" s="89">
        <v>34.11</v>
      </c>
      <c r="H226" s="89">
        <v>11423</v>
      </c>
      <c r="I226" s="89">
        <v>100</v>
      </c>
      <c r="J226" s="89">
        <v>0.71099999999999997</v>
      </c>
      <c r="K226" s="89" t="s">
        <v>1228</v>
      </c>
      <c r="L226" s="89">
        <v>128148803.73999999</v>
      </c>
      <c r="M226" s="89">
        <v>117265500.25</v>
      </c>
      <c r="N226" s="89">
        <v>44894.11</v>
      </c>
    </row>
    <row r="227" spans="1:14" x14ac:dyDescent="0.2">
      <c r="A227" s="89" t="s">
        <v>243</v>
      </c>
      <c r="B227" s="89">
        <v>4116109</v>
      </c>
      <c r="C227" s="89" t="s">
        <v>7466</v>
      </c>
      <c r="D227" s="89" t="s">
        <v>7465</v>
      </c>
      <c r="E227" s="89">
        <v>356.71100000000001</v>
      </c>
      <c r="F227" s="89">
        <v>11175</v>
      </c>
      <c r="G227" s="89">
        <v>31.59</v>
      </c>
      <c r="H227" s="89">
        <v>9949</v>
      </c>
      <c r="I227" s="89">
        <v>100</v>
      </c>
      <c r="J227" s="89">
        <v>0.67500000000000004</v>
      </c>
      <c r="K227" s="89">
        <v>15.15</v>
      </c>
      <c r="L227" s="89">
        <v>83978798.400000006</v>
      </c>
      <c r="M227" s="89">
        <v>83355596.769999996</v>
      </c>
      <c r="N227" s="89">
        <v>34192.25</v>
      </c>
    </row>
    <row r="228" spans="1:14" x14ac:dyDescent="0.2">
      <c r="A228" s="89" t="s">
        <v>400</v>
      </c>
      <c r="B228" s="89">
        <v>4116208</v>
      </c>
      <c r="C228" s="89" t="s">
        <v>7464</v>
      </c>
      <c r="D228" s="89" t="s">
        <v>7463</v>
      </c>
      <c r="E228" s="89">
        <v>686.48900000000003</v>
      </c>
      <c r="F228" s="89">
        <v>18309</v>
      </c>
      <c r="G228" s="89">
        <v>26.74</v>
      </c>
      <c r="H228" s="89">
        <v>19089</v>
      </c>
      <c r="I228" s="89">
        <v>98.6</v>
      </c>
      <c r="J228" s="89">
        <v>0.68600000000000005</v>
      </c>
      <c r="K228" s="89">
        <v>26.6</v>
      </c>
      <c r="L228" s="89">
        <v>114993867.7</v>
      </c>
      <c r="M228" s="89">
        <v>98962984.840000004</v>
      </c>
      <c r="N228" s="89">
        <v>29204.87</v>
      </c>
    </row>
    <row r="229" spans="1:14" x14ac:dyDescent="0.2">
      <c r="A229" s="89" t="s">
        <v>479</v>
      </c>
      <c r="B229" s="89">
        <v>4116307</v>
      </c>
      <c r="C229" s="89" t="s">
        <v>7462</v>
      </c>
      <c r="D229" s="89" t="s">
        <v>7461</v>
      </c>
      <c r="E229" s="89">
        <v>137.03</v>
      </c>
      <c r="F229" s="89">
        <v>3951</v>
      </c>
      <c r="G229" s="89">
        <v>28.84</v>
      </c>
      <c r="H229" s="89">
        <v>4057</v>
      </c>
      <c r="I229" s="89">
        <v>100</v>
      </c>
      <c r="J229" s="89">
        <v>0.72599999999999998</v>
      </c>
      <c r="K229" s="89" t="s">
        <v>1228</v>
      </c>
      <c r="L229" s="89">
        <v>54168262.149999999</v>
      </c>
      <c r="M229" s="89">
        <v>48044291.560000002</v>
      </c>
      <c r="N229" s="89">
        <v>44713.57</v>
      </c>
    </row>
    <row r="230" spans="1:14" x14ac:dyDescent="0.2">
      <c r="A230" s="89" t="s">
        <v>95</v>
      </c>
      <c r="B230" s="89">
        <v>4116406</v>
      </c>
      <c r="C230" s="89" t="s">
        <v>7460</v>
      </c>
      <c r="D230" s="89" t="s">
        <v>7459</v>
      </c>
      <c r="E230" s="89">
        <v>186.25899999999999</v>
      </c>
      <c r="F230" s="89">
        <v>3669</v>
      </c>
      <c r="G230" s="89">
        <v>19.75</v>
      </c>
      <c r="H230" s="89">
        <v>3669</v>
      </c>
      <c r="I230" s="89">
        <v>100</v>
      </c>
      <c r="J230" s="89">
        <v>0.70899999999999996</v>
      </c>
      <c r="K230" s="89" t="s">
        <v>1228</v>
      </c>
      <c r="L230" s="89">
        <v>42824590.140000001</v>
      </c>
      <c r="M230" s="89">
        <v>42323811.75</v>
      </c>
      <c r="N230" s="89">
        <v>34590.58</v>
      </c>
    </row>
    <row r="231" spans="1:14" x14ac:dyDescent="0.2">
      <c r="A231" s="89" t="s">
        <v>265</v>
      </c>
      <c r="B231" s="89">
        <v>4116505</v>
      </c>
      <c r="C231" s="89" t="s">
        <v>7208</v>
      </c>
      <c r="D231" s="89" t="s">
        <v>7458</v>
      </c>
      <c r="E231" s="89">
        <v>130.614</v>
      </c>
      <c r="F231" s="89">
        <v>1323</v>
      </c>
      <c r="G231" s="89">
        <v>10.08</v>
      </c>
      <c r="H231" s="89">
        <v>1322</v>
      </c>
      <c r="I231" s="89">
        <v>98.65</v>
      </c>
      <c r="J231" s="89">
        <v>0.71699999999999997</v>
      </c>
      <c r="K231" s="89" t="s">
        <v>1228</v>
      </c>
      <c r="L231" s="89">
        <v>30395471.440000001</v>
      </c>
      <c r="M231" s="89">
        <v>25027285.829999998</v>
      </c>
      <c r="N231" s="89">
        <v>53846.04</v>
      </c>
    </row>
    <row r="232" spans="1:14" x14ac:dyDescent="0.2">
      <c r="A232" s="89" t="s">
        <v>120</v>
      </c>
      <c r="B232" s="89">
        <v>4116604</v>
      </c>
      <c r="C232" s="89" t="s">
        <v>7457</v>
      </c>
      <c r="D232" s="89" t="s">
        <v>7456</v>
      </c>
      <c r="E232" s="89">
        <v>129.476</v>
      </c>
      <c r="F232" s="89">
        <v>3280</v>
      </c>
      <c r="G232" s="89">
        <v>25.33</v>
      </c>
      <c r="H232" s="89">
        <v>3286</v>
      </c>
      <c r="I232" s="89">
        <v>97.76</v>
      </c>
      <c r="J232" s="89">
        <v>0.69799999999999995</v>
      </c>
      <c r="K232" s="89">
        <v>27.03</v>
      </c>
      <c r="L232" s="89">
        <v>41034374.439999998</v>
      </c>
      <c r="M232" s="89">
        <v>38983584.350000001</v>
      </c>
      <c r="N232" s="89">
        <v>32956.410000000003</v>
      </c>
    </row>
    <row r="233" spans="1:14" x14ac:dyDescent="0.2">
      <c r="A233" s="89" t="s">
        <v>336</v>
      </c>
      <c r="B233" s="89">
        <v>4116703</v>
      </c>
      <c r="C233" s="89" t="s">
        <v>7455</v>
      </c>
      <c r="D233" s="89" t="s">
        <v>7454</v>
      </c>
      <c r="E233" s="89">
        <v>471.17599999999999</v>
      </c>
      <c r="F233" s="89">
        <v>13765</v>
      </c>
      <c r="G233" s="89">
        <v>29.25</v>
      </c>
      <c r="H233" s="89">
        <v>14331</v>
      </c>
      <c r="I233" s="89">
        <v>98.8</v>
      </c>
      <c r="J233" s="89">
        <v>0.73299999999999998</v>
      </c>
      <c r="K233" s="89" t="s">
        <v>1228</v>
      </c>
      <c r="L233" s="89">
        <v>125801252.02</v>
      </c>
      <c r="M233" s="89">
        <v>112218709.68000001</v>
      </c>
      <c r="N233" s="89">
        <v>75612.98</v>
      </c>
    </row>
    <row r="234" spans="1:14" x14ac:dyDescent="0.2">
      <c r="A234" s="89" t="s">
        <v>257</v>
      </c>
      <c r="B234" s="89">
        <v>4116802</v>
      </c>
      <c r="C234" s="89" t="s">
        <v>7453</v>
      </c>
      <c r="D234" s="89" t="s">
        <v>7452</v>
      </c>
      <c r="E234" s="89">
        <v>552.87300000000005</v>
      </c>
      <c r="F234" s="89">
        <v>6790</v>
      </c>
      <c r="G234" s="89">
        <v>12.22</v>
      </c>
      <c r="H234" s="89">
        <v>6739</v>
      </c>
      <c r="I234" s="89">
        <v>99.38</v>
      </c>
      <c r="J234" s="89">
        <v>0.65800000000000003</v>
      </c>
      <c r="K234" s="89" t="s">
        <v>1228</v>
      </c>
      <c r="L234" s="89">
        <v>78708740.75</v>
      </c>
      <c r="M234" s="89">
        <v>67985112.519999996</v>
      </c>
      <c r="N234" s="89">
        <v>50327.72</v>
      </c>
    </row>
    <row r="235" spans="1:14" x14ac:dyDescent="0.2">
      <c r="A235" s="89" t="s">
        <v>216</v>
      </c>
      <c r="B235" s="89">
        <v>4116901</v>
      </c>
      <c r="C235" s="89" t="s">
        <v>7451</v>
      </c>
      <c r="D235" s="89" t="s">
        <v>7450</v>
      </c>
      <c r="E235" s="89">
        <v>402.05099999999999</v>
      </c>
      <c r="F235" s="89">
        <v>26585</v>
      </c>
      <c r="G235" s="89">
        <v>66.2</v>
      </c>
      <c r="H235" s="89">
        <v>27142</v>
      </c>
      <c r="I235" s="89">
        <v>98</v>
      </c>
      <c r="J235" s="89">
        <v>0.72199999999999998</v>
      </c>
      <c r="K235" s="89">
        <v>3.44</v>
      </c>
      <c r="L235" s="89">
        <v>177103025.37</v>
      </c>
      <c r="M235" s="89">
        <v>164825478.68000001</v>
      </c>
      <c r="N235" s="89">
        <v>47150.58</v>
      </c>
    </row>
    <row r="236" spans="1:14" x14ac:dyDescent="0.2">
      <c r="A236" s="89" t="s">
        <v>359</v>
      </c>
      <c r="B236" s="89">
        <v>4116950</v>
      </c>
      <c r="C236" s="89" t="s">
        <v>7449</v>
      </c>
      <c r="D236" s="89" t="s">
        <v>7448</v>
      </c>
      <c r="E236" s="89">
        <v>207.84899999999999</v>
      </c>
      <c r="F236" s="89">
        <v>5597</v>
      </c>
      <c r="G236" s="89">
        <v>26.85</v>
      </c>
      <c r="H236" s="89">
        <v>5783</v>
      </c>
      <c r="I236" s="89">
        <v>97.79</v>
      </c>
      <c r="J236" s="89">
        <v>0.71399999999999997</v>
      </c>
      <c r="K236" s="89">
        <v>10.75</v>
      </c>
      <c r="L236" s="89">
        <v>56591891.460000001</v>
      </c>
      <c r="M236" s="89">
        <v>55312168.969999999</v>
      </c>
      <c r="N236" s="89">
        <v>35513.61</v>
      </c>
    </row>
    <row r="237" spans="1:14" x14ac:dyDescent="0.2">
      <c r="A237" s="89" t="s">
        <v>121</v>
      </c>
      <c r="B237" s="89">
        <v>4117008</v>
      </c>
      <c r="C237" s="89" t="s">
        <v>7447</v>
      </c>
      <c r="D237" s="89" t="s">
        <v>7446</v>
      </c>
      <c r="E237" s="89">
        <v>283.423</v>
      </c>
      <c r="F237" s="89">
        <v>7225</v>
      </c>
      <c r="G237" s="89">
        <v>25.49</v>
      </c>
      <c r="H237" s="89">
        <v>7140</v>
      </c>
      <c r="I237" s="89">
        <v>99.22</v>
      </c>
      <c r="J237" s="89">
        <v>0.68799999999999994</v>
      </c>
      <c r="K237" s="89" t="s">
        <v>1228</v>
      </c>
      <c r="L237" s="89">
        <v>56826351.920000002</v>
      </c>
      <c r="M237" s="89">
        <v>48130152.140000001</v>
      </c>
      <c r="N237" s="89">
        <v>45319.519999999997</v>
      </c>
    </row>
    <row r="238" spans="1:14" x14ac:dyDescent="0.2">
      <c r="A238" s="89" t="s">
        <v>83</v>
      </c>
      <c r="B238" s="89">
        <v>4117057</v>
      </c>
      <c r="C238" s="89" t="s">
        <v>7445</v>
      </c>
      <c r="D238" s="89" t="s">
        <v>7444</v>
      </c>
      <c r="E238" s="89">
        <v>1201.2460000000001</v>
      </c>
      <c r="F238" s="89">
        <v>12074</v>
      </c>
      <c r="G238" s="89">
        <v>9.98</v>
      </c>
      <c r="H238" s="89">
        <v>12298</v>
      </c>
      <c r="I238" s="89">
        <v>99.4</v>
      </c>
      <c r="J238" s="89">
        <v>0.64200000000000002</v>
      </c>
      <c r="K238" s="89">
        <v>5.62</v>
      </c>
      <c r="L238" s="89">
        <v>80795742.010000005</v>
      </c>
      <c r="M238" s="89">
        <v>73918109.629999995</v>
      </c>
      <c r="N238" s="89">
        <v>31337.75</v>
      </c>
    </row>
    <row r="239" spans="1:14" x14ac:dyDescent="0.2">
      <c r="A239" s="89" t="s">
        <v>290</v>
      </c>
      <c r="B239" s="89">
        <v>4117107</v>
      </c>
      <c r="C239" s="89" t="s">
        <v>7443</v>
      </c>
      <c r="D239" s="89" t="s">
        <v>7442</v>
      </c>
      <c r="E239" s="89">
        <v>272.27</v>
      </c>
      <c r="F239" s="89">
        <v>12923</v>
      </c>
      <c r="G239" s="89">
        <v>47.97</v>
      </c>
      <c r="H239" s="89">
        <v>13074</v>
      </c>
      <c r="I239" s="89">
        <v>97.58</v>
      </c>
      <c r="J239" s="89">
        <v>0.75800000000000001</v>
      </c>
      <c r="K239" s="89">
        <v>6.67</v>
      </c>
      <c r="L239" s="89">
        <v>109339860.05</v>
      </c>
      <c r="M239" s="89">
        <v>99499750.790000007</v>
      </c>
      <c r="N239" s="89">
        <v>55592.2</v>
      </c>
    </row>
    <row r="240" spans="1:14" x14ac:dyDescent="0.2">
      <c r="A240" s="89" t="s">
        <v>266</v>
      </c>
      <c r="B240" s="89">
        <v>4117206</v>
      </c>
      <c r="C240" s="89" t="s">
        <v>7441</v>
      </c>
      <c r="D240" s="89" t="s">
        <v>7440</v>
      </c>
      <c r="E240" s="89">
        <v>136.34700000000001</v>
      </c>
      <c r="F240" s="89">
        <v>5833</v>
      </c>
      <c r="G240" s="89">
        <v>42.78</v>
      </c>
      <c r="H240" s="89">
        <v>5982</v>
      </c>
      <c r="I240" s="89">
        <v>100</v>
      </c>
      <c r="J240" s="89">
        <v>0.71</v>
      </c>
      <c r="K240" s="89">
        <v>15.63</v>
      </c>
      <c r="L240" s="89">
        <v>56757587.170000002</v>
      </c>
      <c r="M240" s="89">
        <v>50157923.460000001</v>
      </c>
      <c r="N240" s="89">
        <v>22756.95</v>
      </c>
    </row>
    <row r="241" spans="1:14" x14ac:dyDescent="0.2">
      <c r="A241" s="89" t="s">
        <v>122</v>
      </c>
      <c r="B241" s="89">
        <v>4117214</v>
      </c>
      <c r="C241" s="89" t="s">
        <v>7439</v>
      </c>
      <c r="D241" s="89" t="s">
        <v>7438</v>
      </c>
      <c r="E241" s="89">
        <v>80.783000000000001</v>
      </c>
      <c r="F241" s="89">
        <v>4184</v>
      </c>
      <c r="G241" s="89">
        <v>54.42</v>
      </c>
      <c r="H241" s="89">
        <v>4308</v>
      </c>
      <c r="I241" s="89">
        <v>84.78</v>
      </c>
      <c r="J241" s="89">
        <v>0.68</v>
      </c>
      <c r="K241" s="89">
        <v>23.26</v>
      </c>
      <c r="L241" s="89">
        <v>43080970.280000001</v>
      </c>
      <c r="M241" s="89">
        <v>35739779.640000001</v>
      </c>
      <c r="N241" s="89">
        <v>31455.200000000001</v>
      </c>
    </row>
    <row r="242" spans="1:14" x14ac:dyDescent="0.2">
      <c r="A242" s="89" t="s">
        <v>325</v>
      </c>
      <c r="B242" s="89">
        <v>4117222</v>
      </c>
      <c r="C242" s="89" t="s">
        <v>7437</v>
      </c>
      <c r="D242" s="89" t="s">
        <v>7436</v>
      </c>
      <c r="E242" s="89">
        <v>204.66499999999999</v>
      </c>
      <c r="F242" s="89">
        <v>8322</v>
      </c>
      <c r="G242" s="89">
        <v>40.659999999999997</v>
      </c>
      <c r="H242" s="89">
        <v>8581</v>
      </c>
      <c r="I242" s="89">
        <v>98.95</v>
      </c>
      <c r="J242" s="89">
        <v>0.73099999999999998</v>
      </c>
      <c r="K242" s="89" t="s">
        <v>1228</v>
      </c>
      <c r="L242" s="89">
        <v>85760784.209999993</v>
      </c>
      <c r="M242" s="89">
        <v>81458596.939999998</v>
      </c>
      <c r="N242" s="89">
        <v>58192.18</v>
      </c>
    </row>
    <row r="243" spans="1:14" x14ac:dyDescent="0.2">
      <c r="A243" s="89" t="s">
        <v>369</v>
      </c>
      <c r="B243" s="89">
        <v>4117255</v>
      </c>
      <c r="C243" s="89" t="s">
        <v>7435</v>
      </c>
      <c r="D243" s="89" t="s">
        <v>7434</v>
      </c>
      <c r="E243" s="89">
        <v>352.05500000000001</v>
      </c>
      <c r="F243" s="89">
        <v>12699</v>
      </c>
      <c r="G243" s="89">
        <v>36.020000000000003</v>
      </c>
      <c r="H243" s="89">
        <v>13340</v>
      </c>
      <c r="I243" s="89">
        <v>99.79</v>
      </c>
      <c r="J243" s="89">
        <v>0.71599999999999997</v>
      </c>
      <c r="K243" s="89" t="s">
        <v>1228</v>
      </c>
      <c r="L243" s="89">
        <v>100431267.81999999</v>
      </c>
      <c r="M243" s="89">
        <v>87313528.019999996</v>
      </c>
      <c r="N243" s="89">
        <v>44107.75</v>
      </c>
    </row>
    <row r="244" spans="1:14" x14ac:dyDescent="0.2">
      <c r="A244" s="89" t="s">
        <v>76</v>
      </c>
      <c r="B244" s="89">
        <v>4117271</v>
      </c>
      <c r="C244" s="89" t="s">
        <v>7433</v>
      </c>
      <c r="D244" s="89" t="s">
        <v>7432</v>
      </c>
      <c r="E244" s="89">
        <v>545.66200000000003</v>
      </c>
      <c r="F244" s="89">
        <v>6848</v>
      </c>
      <c r="G244" s="89">
        <v>12.55</v>
      </c>
      <c r="H244" s="89">
        <v>6852</v>
      </c>
      <c r="I244" s="89">
        <v>99.62</v>
      </c>
      <c r="J244" s="89">
        <v>0.65100000000000002</v>
      </c>
      <c r="K244" s="89">
        <v>11.36</v>
      </c>
      <c r="L244" s="89">
        <v>71362366.379999995</v>
      </c>
      <c r="M244" s="89">
        <v>68833341.819999993</v>
      </c>
      <c r="N244" s="89">
        <v>34638.129999999997</v>
      </c>
    </row>
    <row r="245" spans="1:14" x14ac:dyDescent="0.2">
      <c r="A245" s="89" t="s">
        <v>162</v>
      </c>
      <c r="B245" s="89">
        <v>4117297</v>
      </c>
      <c r="C245" s="89" t="s">
        <v>7431</v>
      </c>
      <c r="D245" s="89" t="s">
        <v>7430</v>
      </c>
      <c r="E245" s="89">
        <v>159.63900000000001</v>
      </c>
      <c r="F245" s="89">
        <v>3125</v>
      </c>
      <c r="G245" s="89">
        <v>19.36</v>
      </c>
      <c r="H245" s="89">
        <v>3227</v>
      </c>
      <c r="I245" s="89">
        <v>100</v>
      </c>
      <c r="J245" s="89">
        <v>0.71</v>
      </c>
      <c r="K245" s="89" t="s">
        <v>1228</v>
      </c>
      <c r="L245" s="89">
        <v>46237165.380000003</v>
      </c>
      <c r="M245" s="89">
        <v>39628256.960000001</v>
      </c>
      <c r="N245" s="89">
        <v>39975.22</v>
      </c>
    </row>
    <row r="246" spans="1:14" x14ac:dyDescent="0.2">
      <c r="A246" s="89" t="s">
        <v>182</v>
      </c>
      <c r="B246" s="89">
        <v>4117305</v>
      </c>
      <c r="C246" s="89" t="s">
        <v>7429</v>
      </c>
      <c r="D246" s="89" t="s">
        <v>7428</v>
      </c>
      <c r="E246" s="89">
        <v>2431.67</v>
      </c>
      <c r="F246" s="89">
        <v>24192</v>
      </c>
      <c r="G246" s="89">
        <v>9.9600000000000009</v>
      </c>
      <c r="H246" s="89">
        <v>24706</v>
      </c>
      <c r="I246" s="89">
        <v>99.52</v>
      </c>
      <c r="J246" s="89">
        <v>0.60899999999999999</v>
      </c>
      <c r="K246" s="89">
        <v>8.4</v>
      </c>
      <c r="L246" s="89">
        <v>264264904.97</v>
      </c>
      <c r="M246" s="89">
        <v>240537900</v>
      </c>
      <c r="N246" s="89">
        <v>148490</v>
      </c>
    </row>
    <row r="247" spans="1:14" x14ac:dyDescent="0.2">
      <c r="A247" s="89" t="s">
        <v>217</v>
      </c>
      <c r="B247" s="89">
        <v>4117404</v>
      </c>
      <c r="C247" s="89" t="s">
        <v>7427</v>
      </c>
      <c r="D247" s="89" t="s">
        <v>7426</v>
      </c>
      <c r="E247" s="89">
        <v>176.45699999999999</v>
      </c>
      <c r="F247" s="89">
        <v>3187</v>
      </c>
      <c r="G247" s="89">
        <v>18.059999999999999</v>
      </c>
      <c r="H247" s="89">
        <v>3193</v>
      </c>
      <c r="I247" s="89">
        <v>99.37</v>
      </c>
      <c r="J247" s="89">
        <v>0.72</v>
      </c>
      <c r="K247" s="89" t="s">
        <v>1228</v>
      </c>
      <c r="L247" s="89">
        <v>48699903.369999997</v>
      </c>
      <c r="M247" s="89">
        <v>40540173.369999997</v>
      </c>
      <c r="N247" s="89">
        <v>58541.87</v>
      </c>
    </row>
    <row r="248" spans="1:14" x14ac:dyDescent="0.2">
      <c r="A248" s="89" t="s">
        <v>312</v>
      </c>
      <c r="B248" s="89">
        <v>4117453</v>
      </c>
      <c r="C248" s="89" t="s">
        <v>7425</v>
      </c>
      <c r="D248" s="89" t="s">
        <v>7424</v>
      </c>
      <c r="E248" s="89">
        <v>293.04199999999997</v>
      </c>
      <c r="F248" s="89">
        <v>6785</v>
      </c>
      <c r="G248" s="89">
        <v>23.15</v>
      </c>
      <c r="H248" s="89">
        <v>7102</v>
      </c>
      <c r="I248" s="89">
        <v>99.18</v>
      </c>
      <c r="J248" s="89">
        <v>0.70899999999999996</v>
      </c>
      <c r="K248" s="89" t="s">
        <v>1228</v>
      </c>
      <c r="L248" s="89">
        <v>64383484.479999997</v>
      </c>
      <c r="M248" s="89">
        <v>57559477.799999997</v>
      </c>
      <c r="N248" s="89">
        <v>43793.26</v>
      </c>
    </row>
    <row r="249" spans="1:14" x14ac:dyDescent="0.2">
      <c r="A249" s="89" t="s">
        <v>7078</v>
      </c>
      <c r="B249" s="89">
        <v>4117503</v>
      </c>
      <c r="C249" s="89" t="s">
        <v>7423</v>
      </c>
      <c r="D249" s="89" t="s">
        <v>7422</v>
      </c>
      <c r="E249" s="89">
        <v>170.82400000000001</v>
      </c>
      <c r="F249" s="89">
        <v>45962</v>
      </c>
      <c r="G249" s="89">
        <v>268.19</v>
      </c>
      <c r="H249" s="89">
        <v>48695</v>
      </c>
      <c r="I249" s="89">
        <v>99.64</v>
      </c>
      <c r="J249" s="89">
        <v>0.71599999999999997</v>
      </c>
      <c r="K249" s="89">
        <v>11.86</v>
      </c>
      <c r="L249" s="89">
        <v>196327703.06</v>
      </c>
      <c r="M249" s="89">
        <v>177828916.75</v>
      </c>
      <c r="N249" s="89">
        <v>29205.9</v>
      </c>
    </row>
    <row r="250" spans="1:14" x14ac:dyDescent="0.2">
      <c r="A250" s="89" t="s">
        <v>389</v>
      </c>
      <c r="B250" s="89">
        <v>4117602</v>
      </c>
      <c r="C250" s="89" t="s">
        <v>7421</v>
      </c>
      <c r="D250" s="89" t="s">
        <v>7420</v>
      </c>
      <c r="E250" s="89">
        <v>1561.4739999999999</v>
      </c>
      <c r="F250" s="89">
        <v>48247</v>
      </c>
      <c r="G250" s="89">
        <v>30.97</v>
      </c>
      <c r="H250" s="89">
        <v>50238</v>
      </c>
      <c r="I250" s="89">
        <v>97.91</v>
      </c>
      <c r="J250" s="89">
        <v>0.66</v>
      </c>
      <c r="K250" s="89">
        <v>17.649999999999999</v>
      </c>
      <c r="L250" s="89">
        <v>248816692.47</v>
      </c>
      <c r="M250" s="89">
        <v>205815621.74000001</v>
      </c>
      <c r="N250" s="89">
        <v>35819.06</v>
      </c>
    </row>
    <row r="251" spans="1:14" x14ac:dyDescent="0.2">
      <c r="A251" s="89" t="s">
        <v>23</v>
      </c>
      <c r="B251" s="89">
        <v>4117701</v>
      </c>
      <c r="C251" s="89" t="s">
        <v>7419</v>
      </c>
      <c r="D251" s="89" t="s">
        <v>7418</v>
      </c>
      <c r="E251" s="89">
        <v>1473.2329999999999</v>
      </c>
      <c r="F251" s="89">
        <v>33855</v>
      </c>
      <c r="G251" s="89">
        <v>23.03</v>
      </c>
      <c r="H251" s="89">
        <v>34948</v>
      </c>
      <c r="I251" s="89">
        <v>98.41</v>
      </c>
      <c r="J251" s="89">
        <v>0.71799999999999997</v>
      </c>
      <c r="K251" s="89">
        <v>14.05</v>
      </c>
      <c r="L251" s="89">
        <v>260243945.80000001</v>
      </c>
      <c r="M251" s="89">
        <v>244481994.5</v>
      </c>
      <c r="N251" s="89">
        <v>65573.86</v>
      </c>
    </row>
    <row r="252" spans="1:14" x14ac:dyDescent="0.2">
      <c r="A252" s="89" t="s">
        <v>77</v>
      </c>
      <c r="B252" s="89">
        <v>4117800</v>
      </c>
      <c r="C252" s="89" t="s">
        <v>7417</v>
      </c>
      <c r="D252" s="89" t="s">
        <v>7416</v>
      </c>
      <c r="E252" s="89">
        <v>821.73299999999995</v>
      </c>
      <c r="F252" s="89">
        <v>13033</v>
      </c>
      <c r="G252" s="89">
        <v>15.94</v>
      </c>
      <c r="H252" s="89">
        <v>12879</v>
      </c>
      <c r="I252" s="89">
        <v>99.21</v>
      </c>
      <c r="J252" s="89">
        <v>0.63900000000000001</v>
      </c>
      <c r="K252" s="89">
        <v>11.76</v>
      </c>
      <c r="L252" s="89">
        <v>99983423.659999996</v>
      </c>
      <c r="M252" s="89">
        <v>88571326.140000001</v>
      </c>
      <c r="N252" s="89">
        <v>31211.59</v>
      </c>
    </row>
    <row r="253" spans="1:14" x14ac:dyDescent="0.2">
      <c r="A253" s="89" t="s">
        <v>326</v>
      </c>
      <c r="B253" s="89">
        <v>4117909</v>
      </c>
      <c r="C253" s="89" t="s">
        <v>7415</v>
      </c>
      <c r="D253" s="89" t="s">
        <v>7414</v>
      </c>
      <c r="E253" s="89">
        <v>651.23699999999997</v>
      </c>
      <c r="F253" s="89">
        <v>35011</v>
      </c>
      <c r="G253" s="89">
        <v>53.76</v>
      </c>
      <c r="H253" s="89">
        <v>37039</v>
      </c>
      <c r="I253" s="89">
        <v>98.98</v>
      </c>
      <c r="J253" s="89">
        <v>0.76800000000000002</v>
      </c>
      <c r="K253" s="89">
        <v>6.02</v>
      </c>
      <c r="L253" s="89">
        <v>328907643.36000001</v>
      </c>
      <c r="M253" s="89">
        <v>298211967.29000002</v>
      </c>
      <c r="N253" s="89">
        <v>105626.67</v>
      </c>
    </row>
    <row r="254" spans="1:14" x14ac:dyDescent="0.2">
      <c r="A254" s="89" t="s">
        <v>267</v>
      </c>
      <c r="B254" s="89">
        <v>4118006</v>
      </c>
      <c r="C254" s="89" t="s">
        <v>7413</v>
      </c>
      <c r="D254" s="89" t="s">
        <v>7412</v>
      </c>
      <c r="E254" s="89">
        <v>205.22200000000001</v>
      </c>
      <c r="F254" s="89">
        <v>13245</v>
      </c>
      <c r="G254" s="89">
        <v>64.75</v>
      </c>
      <c r="H254" s="89">
        <v>13728</v>
      </c>
      <c r="I254" s="89">
        <v>100</v>
      </c>
      <c r="J254" s="89">
        <v>0.746</v>
      </c>
      <c r="K254" s="89">
        <v>23.26</v>
      </c>
      <c r="L254" s="89">
        <v>94891213.180000007</v>
      </c>
      <c r="M254" s="89">
        <v>92258102.560000002</v>
      </c>
      <c r="N254" s="89">
        <v>40273.86</v>
      </c>
    </row>
    <row r="255" spans="1:14" x14ac:dyDescent="0.2">
      <c r="A255" s="89" t="s">
        <v>230</v>
      </c>
      <c r="B255" s="89">
        <v>4118105</v>
      </c>
      <c r="C255" s="89" t="s">
        <v>7411</v>
      </c>
      <c r="D255" s="89" t="s">
        <v>7410</v>
      </c>
      <c r="E255" s="89">
        <v>348.15199999999999</v>
      </c>
      <c r="F255" s="89">
        <v>9557</v>
      </c>
      <c r="G255" s="89">
        <v>27.41</v>
      </c>
      <c r="H255" s="89">
        <v>9549</v>
      </c>
      <c r="I255" s="89">
        <v>100</v>
      </c>
      <c r="J255" s="89">
        <v>0.71699999999999997</v>
      </c>
      <c r="K255" s="89" t="s">
        <v>1228</v>
      </c>
      <c r="L255" s="89">
        <v>70964233.609999999</v>
      </c>
      <c r="M255" s="89">
        <v>68031432.400000006</v>
      </c>
      <c r="N255" s="89">
        <v>54160.22</v>
      </c>
    </row>
    <row r="256" spans="1:14" x14ac:dyDescent="0.2">
      <c r="A256" s="89" t="s">
        <v>7077</v>
      </c>
      <c r="B256" s="89">
        <v>4118204</v>
      </c>
      <c r="C256" s="89" t="s">
        <v>7409</v>
      </c>
      <c r="D256" s="89" t="s">
        <v>7408</v>
      </c>
      <c r="E256" s="89">
        <v>821.42700000000002</v>
      </c>
      <c r="F256" s="89">
        <v>145829</v>
      </c>
      <c r="G256" s="89">
        <v>177.23</v>
      </c>
      <c r="H256" s="89">
        <v>150104</v>
      </c>
      <c r="I256" s="89">
        <v>98.86</v>
      </c>
      <c r="J256" s="89">
        <v>0.75</v>
      </c>
      <c r="K256" s="89">
        <v>7.66</v>
      </c>
      <c r="L256" s="89">
        <v>1284861375.1300001</v>
      </c>
      <c r="M256" s="89">
        <v>1169939526.74</v>
      </c>
      <c r="N256" s="89">
        <v>104860.51</v>
      </c>
    </row>
    <row r="257" spans="1:14" x14ac:dyDescent="0.2">
      <c r="A257" s="89" t="s">
        <v>231</v>
      </c>
      <c r="B257" s="89">
        <v>4118303</v>
      </c>
      <c r="C257" s="89" t="s">
        <v>7407</v>
      </c>
      <c r="D257" s="89" t="s">
        <v>7406</v>
      </c>
      <c r="E257" s="89">
        <v>175.875</v>
      </c>
      <c r="F257" s="89">
        <v>2398</v>
      </c>
      <c r="G257" s="89">
        <v>13.63</v>
      </c>
      <c r="H257" s="89">
        <v>2352</v>
      </c>
      <c r="I257" s="89">
        <v>99.32</v>
      </c>
      <c r="J257" s="89">
        <v>0.70899999999999996</v>
      </c>
      <c r="K257" s="89">
        <v>100</v>
      </c>
      <c r="L257" s="89">
        <v>41673793.579999998</v>
      </c>
      <c r="M257" s="89">
        <v>41355693.789999999</v>
      </c>
      <c r="N257" s="89">
        <v>37022.83</v>
      </c>
    </row>
    <row r="258" spans="1:14" x14ac:dyDescent="0.2">
      <c r="A258" s="89" t="s">
        <v>232</v>
      </c>
      <c r="B258" s="89">
        <v>4118402</v>
      </c>
      <c r="C258" s="89" t="s">
        <v>7405</v>
      </c>
      <c r="D258" s="89" t="s">
        <v>7404</v>
      </c>
      <c r="E258" s="89">
        <v>1197.394</v>
      </c>
      <c r="F258" s="89">
        <v>92001</v>
      </c>
      <c r="G258" s="89">
        <v>76.52</v>
      </c>
      <c r="H258" s="89">
        <v>96209</v>
      </c>
      <c r="I258" s="89">
        <v>98.33</v>
      </c>
      <c r="J258" s="89">
        <v>0.76300000000000001</v>
      </c>
      <c r="K258" s="89">
        <v>14.15</v>
      </c>
      <c r="L258" s="89">
        <v>531620523.22000003</v>
      </c>
      <c r="M258" s="89">
        <v>507185886.26999998</v>
      </c>
      <c r="N258" s="89">
        <v>45540.43</v>
      </c>
    </row>
    <row r="259" spans="1:14" x14ac:dyDescent="0.2">
      <c r="A259" s="89" t="s">
        <v>313</v>
      </c>
      <c r="B259" s="89">
        <v>4118451</v>
      </c>
      <c r="C259" s="89" t="s">
        <v>7403</v>
      </c>
      <c r="D259" s="89" t="s">
        <v>7402</v>
      </c>
      <c r="E259" s="89">
        <v>136.483</v>
      </c>
      <c r="F259" s="89">
        <v>5733</v>
      </c>
      <c r="G259" s="89">
        <v>42.28</v>
      </c>
      <c r="H259" s="89">
        <v>6004</v>
      </c>
      <c r="I259" s="89">
        <v>99.16</v>
      </c>
      <c r="J259" s="89">
        <v>0.747</v>
      </c>
      <c r="K259" s="89">
        <v>20.41</v>
      </c>
      <c r="L259" s="89">
        <v>97577787.879999995</v>
      </c>
      <c r="M259" s="89">
        <v>79123196.25</v>
      </c>
      <c r="N259" s="89">
        <v>47051.07</v>
      </c>
    </row>
    <row r="260" spans="1:14" x14ac:dyDescent="0.2">
      <c r="A260" s="89" t="s">
        <v>379</v>
      </c>
      <c r="B260" s="89">
        <v>4118501</v>
      </c>
      <c r="C260" s="89" t="s">
        <v>7401</v>
      </c>
      <c r="D260" s="89" t="s">
        <v>7400</v>
      </c>
      <c r="E260" s="89">
        <v>539.154</v>
      </c>
      <c r="F260" s="89">
        <v>91836</v>
      </c>
      <c r="G260" s="89">
        <v>170.35</v>
      </c>
      <c r="H260" s="89">
        <v>97821</v>
      </c>
      <c r="I260" s="89">
        <v>98.67</v>
      </c>
      <c r="J260" s="89">
        <v>0.78200000000000003</v>
      </c>
      <c r="K260" s="89">
        <v>9.77</v>
      </c>
      <c r="L260" s="89">
        <v>705721876.08000004</v>
      </c>
      <c r="M260" s="89">
        <v>676705164.48000002</v>
      </c>
      <c r="N260" s="89">
        <v>63350.93</v>
      </c>
    </row>
    <row r="261" spans="1:14" x14ac:dyDescent="0.2">
      <c r="A261" s="89" t="s">
        <v>30</v>
      </c>
      <c r="B261" s="89">
        <v>4118600</v>
      </c>
      <c r="C261" s="89" t="s">
        <v>7399</v>
      </c>
      <c r="D261" s="89" t="s">
        <v>7398</v>
      </c>
      <c r="E261" s="89">
        <v>417.82900000000001</v>
      </c>
      <c r="F261" s="89">
        <v>5666</v>
      </c>
      <c r="G261" s="89">
        <v>13.45</v>
      </c>
      <c r="H261" s="89">
        <v>5706</v>
      </c>
      <c r="I261" s="89">
        <v>98.98</v>
      </c>
      <c r="J261" s="89">
        <v>0.71699999999999997</v>
      </c>
      <c r="K261" s="89" t="s">
        <v>1228</v>
      </c>
      <c r="L261" s="89">
        <v>61397875.450000003</v>
      </c>
      <c r="M261" s="89">
        <v>52511978.289999999</v>
      </c>
      <c r="N261" s="89">
        <v>86221.59</v>
      </c>
    </row>
    <row r="262" spans="1:14" x14ac:dyDescent="0.2">
      <c r="A262" s="89" t="s">
        <v>393</v>
      </c>
      <c r="B262" s="89">
        <v>4118709</v>
      </c>
      <c r="C262" s="89" t="s">
        <v>7397</v>
      </c>
      <c r="D262" s="89" t="s">
        <v>7396</v>
      </c>
      <c r="E262" s="89">
        <v>363.16899999999998</v>
      </c>
      <c r="F262" s="89">
        <v>6343</v>
      </c>
      <c r="G262" s="89">
        <v>17.46</v>
      </c>
      <c r="H262" s="89">
        <v>6414</v>
      </c>
      <c r="I262" s="89">
        <v>100</v>
      </c>
      <c r="J262" s="89">
        <v>0.70799999999999996</v>
      </c>
      <c r="K262" s="89" t="s">
        <v>1228</v>
      </c>
      <c r="L262" s="89">
        <v>62626898.670000002</v>
      </c>
      <c r="M262" s="89">
        <v>55904127.840000004</v>
      </c>
      <c r="N262" s="89">
        <v>74705.210000000006</v>
      </c>
    </row>
    <row r="263" spans="1:14" x14ac:dyDescent="0.2">
      <c r="A263" s="89" t="s">
        <v>244</v>
      </c>
      <c r="B263" s="89">
        <v>4118808</v>
      </c>
      <c r="C263" s="89" t="s">
        <v>7395</v>
      </c>
      <c r="D263" s="89" t="s">
        <v>7394</v>
      </c>
      <c r="E263" s="89">
        <v>467.54199999999997</v>
      </c>
      <c r="F263" s="89">
        <v>13346</v>
      </c>
      <c r="G263" s="89">
        <v>28.48</v>
      </c>
      <c r="H263" s="89">
        <v>13494</v>
      </c>
      <c r="I263" s="89">
        <v>99.37</v>
      </c>
      <c r="J263" s="89">
        <v>0.72299999999999998</v>
      </c>
      <c r="K263" s="89">
        <v>6.06</v>
      </c>
      <c r="L263" s="89">
        <v>105098622.73</v>
      </c>
      <c r="M263" s="89">
        <v>95728453.579999998</v>
      </c>
      <c r="N263" s="89">
        <v>39764.19</v>
      </c>
    </row>
    <row r="264" spans="1:14" x14ac:dyDescent="0.2">
      <c r="A264" s="89" t="s">
        <v>281</v>
      </c>
      <c r="B264" s="89">
        <v>4118857</v>
      </c>
      <c r="C264" s="89" t="s">
        <v>7393</v>
      </c>
      <c r="D264" s="89" t="s">
        <v>7392</v>
      </c>
      <c r="E264" s="89">
        <v>409.06200000000001</v>
      </c>
      <c r="F264" s="89">
        <v>7189</v>
      </c>
      <c r="G264" s="89">
        <v>17.57</v>
      </c>
      <c r="H264" s="89">
        <v>7599</v>
      </c>
      <c r="I264" s="89">
        <v>99.53</v>
      </c>
      <c r="J264" s="89">
        <v>0.71299999999999997</v>
      </c>
      <c r="K264" s="89">
        <v>8.4</v>
      </c>
      <c r="L264" s="89">
        <v>66247120.960000001</v>
      </c>
      <c r="M264" s="89">
        <v>50972240.07</v>
      </c>
      <c r="N264" s="89">
        <v>49373.82</v>
      </c>
    </row>
    <row r="265" spans="1:14" x14ac:dyDescent="0.2">
      <c r="A265" s="89" t="s">
        <v>282</v>
      </c>
      <c r="B265" s="89">
        <v>4118907</v>
      </c>
      <c r="C265" s="89" t="s">
        <v>7391</v>
      </c>
      <c r="D265" s="89" t="s">
        <v>7390</v>
      </c>
      <c r="E265" s="89">
        <v>236.07</v>
      </c>
      <c r="F265" s="89">
        <v>11878</v>
      </c>
      <c r="G265" s="89">
        <v>50.29</v>
      </c>
      <c r="H265" s="89">
        <v>12389</v>
      </c>
      <c r="I265" s="89">
        <v>97.6</v>
      </c>
      <c r="J265" s="89">
        <v>0.7</v>
      </c>
      <c r="K265" s="89">
        <v>7.81</v>
      </c>
      <c r="L265" s="89">
        <v>103013281.84</v>
      </c>
      <c r="M265" s="89">
        <v>109015786.81</v>
      </c>
      <c r="N265" s="89">
        <v>30647.08</v>
      </c>
    </row>
    <row r="266" spans="1:14" x14ac:dyDescent="0.2">
      <c r="A266" s="89" t="s">
        <v>7076</v>
      </c>
      <c r="B266" s="89">
        <v>4119004</v>
      </c>
      <c r="C266" s="89" t="s">
        <v>7389</v>
      </c>
      <c r="D266" s="89" t="s">
        <v>7388</v>
      </c>
      <c r="E266" s="89">
        <v>204.33099999999999</v>
      </c>
      <c r="F266" s="89">
        <v>6221</v>
      </c>
      <c r="G266" s="89">
        <v>30.31</v>
      </c>
      <c r="H266" s="89">
        <v>6218</v>
      </c>
      <c r="I266" s="89">
        <v>100</v>
      </c>
      <c r="J266" s="89">
        <v>0.72599999999999998</v>
      </c>
      <c r="K266" s="89" t="s">
        <v>1228</v>
      </c>
      <c r="L266" s="89">
        <v>57415280.469999999</v>
      </c>
      <c r="M266" s="89">
        <v>50684278.899999999</v>
      </c>
      <c r="N266" s="89">
        <v>43479.73</v>
      </c>
    </row>
    <row r="267" spans="1:14" x14ac:dyDescent="0.2">
      <c r="A267" s="89" t="s">
        <v>18</v>
      </c>
      <c r="B267" s="89">
        <v>4119103</v>
      </c>
      <c r="C267" s="89" t="s">
        <v>7387</v>
      </c>
      <c r="D267" s="89" t="s">
        <v>7386</v>
      </c>
      <c r="E267" s="89">
        <v>256.50099999999998</v>
      </c>
      <c r="F267" s="89">
        <v>13655</v>
      </c>
      <c r="G267" s="89">
        <v>53.59</v>
      </c>
      <c r="H267" s="89">
        <v>14409</v>
      </c>
      <c r="I267" s="89">
        <v>98.6</v>
      </c>
      <c r="J267" s="89">
        <v>0.69399999999999995</v>
      </c>
      <c r="K267" s="89">
        <v>10</v>
      </c>
      <c r="L267" s="89">
        <v>125750338.63</v>
      </c>
      <c r="M267" s="89">
        <v>109444849.56</v>
      </c>
      <c r="N267" s="89">
        <v>62484.45</v>
      </c>
    </row>
    <row r="268" spans="1:14" x14ac:dyDescent="0.2">
      <c r="A268" s="89" t="s">
        <v>12</v>
      </c>
      <c r="B268" s="89">
        <v>4119152</v>
      </c>
      <c r="C268" s="89" t="s">
        <v>7385</v>
      </c>
      <c r="D268" s="89" t="s">
        <v>7384</v>
      </c>
      <c r="E268" s="89">
        <v>61.008000000000003</v>
      </c>
      <c r="F268" s="89">
        <v>127019</v>
      </c>
      <c r="G268" s="89">
        <v>2086.7600000000002</v>
      </c>
      <c r="H268" s="89">
        <v>131255</v>
      </c>
      <c r="I268" s="89">
        <v>98.66</v>
      </c>
      <c r="J268" s="89">
        <v>0.751</v>
      </c>
      <c r="K268" s="89">
        <v>9.11</v>
      </c>
      <c r="L268" s="89">
        <v>902100210.63</v>
      </c>
      <c r="M268" s="89">
        <v>808718589.01999998</v>
      </c>
      <c r="N268" s="89">
        <v>77567.929999999993</v>
      </c>
    </row>
    <row r="269" spans="1:14" x14ac:dyDescent="0.2">
      <c r="A269" s="89" t="s">
        <v>169</v>
      </c>
      <c r="B269" s="89">
        <v>4119202</v>
      </c>
      <c r="C269" s="89" t="s">
        <v>7383</v>
      </c>
      <c r="D269" s="89" t="s">
        <v>7382</v>
      </c>
      <c r="E269" s="89">
        <v>220.04900000000001</v>
      </c>
      <c r="F269" s="89">
        <v>6566</v>
      </c>
      <c r="G269" s="89">
        <v>29.76</v>
      </c>
      <c r="H269" s="89">
        <v>6676</v>
      </c>
      <c r="I269" s="89">
        <v>100</v>
      </c>
      <c r="J269" s="89">
        <v>0.69699999999999995</v>
      </c>
      <c r="K269" s="89" t="s">
        <v>1228</v>
      </c>
      <c r="L269" s="89">
        <v>59565366.859999999</v>
      </c>
      <c r="M269" s="89">
        <v>59743592.880000003</v>
      </c>
      <c r="N269" s="89">
        <v>38365.93</v>
      </c>
    </row>
    <row r="270" spans="1:14" x14ac:dyDescent="0.2">
      <c r="A270" s="89" t="s">
        <v>370</v>
      </c>
      <c r="B270" s="89">
        <v>4119251</v>
      </c>
      <c r="C270" s="89" t="s">
        <v>7381</v>
      </c>
      <c r="D270" s="89" t="s">
        <v>7380</v>
      </c>
      <c r="E270" s="89">
        <v>98.061999999999998</v>
      </c>
      <c r="F270" s="89">
        <v>2761</v>
      </c>
      <c r="G270" s="89">
        <v>28.33</v>
      </c>
      <c r="H270" s="89">
        <v>2805</v>
      </c>
      <c r="I270" s="89">
        <v>100</v>
      </c>
      <c r="J270" s="89">
        <v>0.69499999999999995</v>
      </c>
      <c r="K270" s="89" t="s">
        <v>1228</v>
      </c>
      <c r="L270" s="89">
        <v>37036032.240000002</v>
      </c>
      <c r="M270" s="89">
        <v>32373785.16</v>
      </c>
      <c r="N270" s="89">
        <v>29736.89</v>
      </c>
    </row>
    <row r="271" spans="1:14" x14ac:dyDescent="0.2">
      <c r="A271" s="89" t="s">
        <v>67</v>
      </c>
      <c r="B271" s="89">
        <v>4119301</v>
      </c>
      <c r="C271" s="89" t="s">
        <v>7379</v>
      </c>
      <c r="D271" s="89" t="s">
        <v>7378</v>
      </c>
      <c r="E271" s="89">
        <v>2003.799</v>
      </c>
      <c r="F271" s="89">
        <v>29886</v>
      </c>
      <c r="G271" s="89">
        <v>14.93</v>
      </c>
      <c r="H271" s="89">
        <v>30451</v>
      </c>
      <c r="I271" s="89">
        <v>98.19</v>
      </c>
      <c r="J271" s="89">
        <v>0.65400000000000003</v>
      </c>
      <c r="K271" s="89">
        <v>20.28</v>
      </c>
      <c r="L271" s="89">
        <v>222869572.59999999</v>
      </c>
      <c r="M271" s="89">
        <v>197543537.56</v>
      </c>
      <c r="N271" s="89">
        <v>61938.97</v>
      </c>
    </row>
    <row r="272" spans="1:14" x14ac:dyDescent="0.2">
      <c r="A272" s="89" t="s">
        <v>37</v>
      </c>
      <c r="B272" s="89">
        <v>4119400</v>
      </c>
      <c r="C272" s="89" t="s">
        <v>7377</v>
      </c>
      <c r="D272" s="89" t="s">
        <v>7376</v>
      </c>
      <c r="E272" s="89">
        <v>1349.154</v>
      </c>
      <c r="F272" s="89">
        <v>23651</v>
      </c>
      <c r="G272" s="89">
        <v>17.579999999999998</v>
      </c>
      <c r="H272" s="89">
        <v>23977</v>
      </c>
      <c r="I272" s="89">
        <v>99.41</v>
      </c>
      <c r="J272" s="89">
        <v>0.70799999999999996</v>
      </c>
      <c r="K272" s="89">
        <v>6.76</v>
      </c>
      <c r="L272" s="89">
        <v>187831706.16</v>
      </c>
      <c r="M272" s="89">
        <v>164673567.49000001</v>
      </c>
      <c r="N272" s="89">
        <v>60939.33</v>
      </c>
    </row>
    <row r="273" spans="1:14" x14ac:dyDescent="0.2">
      <c r="A273" s="89" t="s">
        <v>13</v>
      </c>
      <c r="B273" s="89">
        <v>4119509</v>
      </c>
      <c r="C273" s="89" t="s">
        <v>7375</v>
      </c>
      <c r="D273" s="89" t="s">
        <v>7374</v>
      </c>
      <c r="E273" s="89">
        <v>225.065</v>
      </c>
      <c r="F273" s="89">
        <v>118730</v>
      </c>
      <c r="G273" s="89">
        <v>522.94000000000005</v>
      </c>
      <c r="H273" s="89">
        <v>127433</v>
      </c>
      <c r="I273" s="89">
        <v>99.19</v>
      </c>
      <c r="J273" s="89">
        <v>0.7</v>
      </c>
      <c r="K273" s="89">
        <v>13</v>
      </c>
      <c r="L273" s="89">
        <v>561639697.34000003</v>
      </c>
      <c r="M273" s="89">
        <v>504662569.10000002</v>
      </c>
      <c r="N273" s="89">
        <v>16015.58</v>
      </c>
    </row>
    <row r="274" spans="1:14" x14ac:dyDescent="0.2">
      <c r="A274" s="89" t="s">
        <v>68</v>
      </c>
      <c r="B274" s="89">
        <v>4119608</v>
      </c>
      <c r="C274" s="89" t="s">
        <v>7373</v>
      </c>
      <c r="D274" s="89" t="s">
        <v>7372</v>
      </c>
      <c r="E274" s="89">
        <v>1687.454</v>
      </c>
      <c r="F274" s="89">
        <v>33567</v>
      </c>
      <c r="G274" s="89">
        <v>20.18</v>
      </c>
      <c r="H274" s="89">
        <v>34527</v>
      </c>
      <c r="I274" s="89">
        <v>98.85</v>
      </c>
      <c r="J274" s="89">
        <v>0.70199999999999996</v>
      </c>
      <c r="K274" s="89">
        <v>7.48</v>
      </c>
      <c r="L274" s="89">
        <v>228522177.69</v>
      </c>
      <c r="M274" s="89">
        <v>198152835.15000001</v>
      </c>
      <c r="N274" s="89">
        <v>43017.52</v>
      </c>
    </row>
    <row r="275" spans="1:14" x14ac:dyDescent="0.2">
      <c r="A275" s="89" t="s">
        <v>96</v>
      </c>
      <c r="B275" s="89">
        <v>4119657</v>
      </c>
      <c r="C275" s="89" t="s">
        <v>7371</v>
      </c>
      <c r="D275" s="89" t="s">
        <v>7370</v>
      </c>
      <c r="E275" s="89">
        <v>123.081</v>
      </c>
      <c r="F275" s="89">
        <v>3046</v>
      </c>
      <c r="G275" s="89">
        <v>24.72</v>
      </c>
      <c r="H275" s="89">
        <v>3141</v>
      </c>
      <c r="I275" s="89">
        <v>100</v>
      </c>
      <c r="J275" s="89">
        <v>0.71</v>
      </c>
      <c r="K275" s="89">
        <v>29.41</v>
      </c>
      <c r="L275" s="89">
        <v>42334060.759999998</v>
      </c>
      <c r="M275" s="89">
        <v>37088793.289999999</v>
      </c>
      <c r="N275" s="89">
        <v>52715.86</v>
      </c>
    </row>
    <row r="276" spans="1:14" x14ac:dyDescent="0.2">
      <c r="A276" s="89" t="s">
        <v>291</v>
      </c>
      <c r="B276" s="89">
        <v>4119707</v>
      </c>
      <c r="C276" s="89" t="s">
        <v>7369</v>
      </c>
      <c r="D276" s="89" t="s">
        <v>7368</v>
      </c>
      <c r="E276" s="89">
        <v>356.27600000000001</v>
      </c>
      <c r="F276" s="89">
        <v>4070</v>
      </c>
      <c r="G276" s="89">
        <v>11.43</v>
      </c>
      <c r="H276" s="89">
        <v>4125</v>
      </c>
      <c r="I276" s="89">
        <v>100</v>
      </c>
      <c r="J276" s="89">
        <v>0.70499999999999996</v>
      </c>
      <c r="K276" s="89" t="s">
        <v>1228</v>
      </c>
      <c r="L276" s="89">
        <v>46042154.920000002</v>
      </c>
      <c r="M276" s="89">
        <v>34441764.509999998</v>
      </c>
      <c r="N276" s="89">
        <v>36741.980000000003</v>
      </c>
    </row>
    <row r="277" spans="1:14" x14ac:dyDescent="0.2">
      <c r="A277" s="89" t="s">
        <v>371</v>
      </c>
      <c r="B277" s="89">
        <v>4119806</v>
      </c>
      <c r="C277" s="89" t="s">
        <v>7367</v>
      </c>
      <c r="D277" s="89" t="s">
        <v>7366</v>
      </c>
      <c r="E277" s="89">
        <v>347.97399999999999</v>
      </c>
      <c r="F277" s="89">
        <v>14374</v>
      </c>
      <c r="G277" s="89">
        <v>41.51</v>
      </c>
      <c r="H277" s="89">
        <v>14722</v>
      </c>
      <c r="I277" s="89">
        <v>99.7</v>
      </c>
      <c r="J277" s="89">
        <v>0.70599999999999996</v>
      </c>
      <c r="K277" s="89" t="s">
        <v>1228</v>
      </c>
      <c r="L277" s="89">
        <v>105118831.20999999</v>
      </c>
      <c r="M277" s="89">
        <v>100772806.34999999</v>
      </c>
      <c r="N277" s="89">
        <v>36597.18</v>
      </c>
    </row>
    <row r="278" spans="1:14" x14ac:dyDescent="0.2">
      <c r="A278" s="89" t="s">
        <v>43</v>
      </c>
      <c r="B278" s="89">
        <v>4119905</v>
      </c>
      <c r="C278" s="89" t="s">
        <v>7365</v>
      </c>
      <c r="D278" s="89" t="s">
        <v>7364</v>
      </c>
      <c r="E278" s="89">
        <v>2044.902</v>
      </c>
      <c r="F278" s="89">
        <v>358371</v>
      </c>
      <c r="G278" s="89">
        <v>174.41</v>
      </c>
      <c r="H278" s="89">
        <v>375632</v>
      </c>
      <c r="I278" s="89">
        <v>99.12</v>
      </c>
      <c r="J278" s="89">
        <v>0.76300000000000001</v>
      </c>
      <c r="K278" s="89">
        <v>7.78</v>
      </c>
      <c r="L278" s="89">
        <v>1752654516.95</v>
      </c>
      <c r="M278" s="89">
        <v>1760851129.3800001</v>
      </c>
      <c r="N278" s="89">
        <v>71387.820000000007</v>
      </c>
    </row>
    <row r="279" spans="1:14" x14ac:dyDescent="0.2">
      <c r="A279" s="89" t="s">
        <v>401</v>
      </c>
      <c r="B279" s="89">
        <v>4119954</v>
      </c>
      <c r="C279" s="89" t="s">
        <v>7363</v>
      </c>
      <c r="D279" s="89" t="s">
        <v>7362</v>
      </c>
      <c r="E279" s="89">
        <v>202.24199999999999</v>
      </c>
      <c r="F279" s="89">
        <v>30425</v>
      </c>
      <c r="G279" s="89">
        <v>151.81</v>
      </c>
      <c r="H279" s="89">
        <v>33131</v>
      </c>
      <c r="I279" s="89">
        <v>94.03</v>
      </c>
      <c r="J279" s="89">
        <v>0.73799999999999999</v>
      </c>
      <c r="K279" s="89">
        <v>19.89</v>
      </c>
      <c r="L279" s="89">
        <v>230134995.56</v>
      </c>
      <c r="M279" s="89">
        <v>238141740.99000001</v>
      </c>
      <c r="N279" s="89">
        <v>26613.26</v>
      </c>
    </row>
    <row r="280" spans="1:14" x14ac:dyDescent="0.2">
      <c r="A280" s="89" t="s">
        <v>107</v>
      </c>
      <c r="B280" s="89">
        <v>4120002</v>
      </c>
      <c r="C280" s="89" t="s">
        <v>7361</v>
      </c>
      <c r="D280" s="89" t="s">
        <v>7360</v>
      </c>
      <c r="E280" s="89">
        <v>291.66300000000001</v>
      </c>
      <c r="F280" s="89">
        <v>11624</v>
      </c>
      <c r="G280" s="89">
        <v>39.85</v>
      </c>
      <c r="H280" s="89">
        <v>11271</v>
      </c>
      <c r="I280" s="89">
        <v>98.36</v>
      </c>
      <c r="J280" s="89">
        <v>0.73799999999999999</v>
      </c>
      <c r="K280" s="89" t="s">
        <v>1228</v>
      </c>
      <c r="L280" s="89">
        <v>82525526.25</v>
      </c>
      <c r="M280" s="89">
        <v>77959621.329999998</v>
      </c>
      <c r="N280" s="89">
        <v>63054.76</v>
      </c>
    </row>
    <row r="281" spans="1:14" x14ac:dyDescent="0.2">
      <c r="A281" s="89" t="s">
        <v>7075</v>
      </c>
      <c r="B281" s="89">
        <v>4120101</v>
      </c>
      <c r="C281" s="89" t="s">
        <v>7359</v>
      </c>
      <c r="D281" s="89" t="s">
        <v>7358</v>
      </c>
      <c r="E281" s="89">
        <v>186.58099999999999</v>
      </c>
      <c r="F281" s="89">
        <v>4098</v>
      </c>
      <c r="G281" s="89">
        <v>21.96</v>
      </c>
      <c r="H281" s="89">
        <v>4072</v>
      </c>
      <c r="I281" s="89">
        <v>100</v>
      </c>
      <c r="J281" s="89">
        <v>0.7</v>
      </c>
      <c r="K281" s="89" t="s">
        <v>1228</v>
      </c>
      <c r="L281" s="89">
        <v>49812087.420000002</v>
      </c>
      <c r="M281" s="89">
        <v>47335506.729999997</v>
      </c>
      <c r="N281" s="89">
        <v>95573.82</v>
      </c>
    </row>
    <row r="282" spans="1:14" x14ac:dyDescent="0.2">
      <c r="A282" s="89" t="s">
        <v>84</v>
      </c>
      <c r="B282" s="89">
        <v>4120150</v>
      </c>
      <c r="C282" s="89" t="s">
        <v>7357</v>
      </c>
      <c r="D282" s="89" t="s">
        <v>7356</v>
      </c>
      <c r="E282" s="89">
        <v>363.54700000000003</v>
      </c>
      <c r="F282" s="89">
        <v>3110</v>
      </c>
      <c r="G282" s="89">
        <v>8.61</v>
      </c>
      <c r="H282" s="89">
        <v>3057</v>
      </c>
      <c r="I282" s="89">
        <v>98.86</v>
      </c>
      <c r="J282" s="89">
        <v>0.68799999999999994</v>
      </c>
      <c r="K282" s="89">
        <v>55.56</v>
      </c>
      <c r="L282" s="89">
        <v>70450157.489999995</v>
      </c>
      <c r="M282" s="89">
        <v>59809958.020000003</v>
      </c>
      <c r="N282" s="89">
        <v>54394.82</v>
      </c>
    </row>
    <row r="283" spans="1:14" x14ac:dyDescent="0.2">
      <c r="A283" s="89" t="s">
        <v>292</v>
      </c>
      <c r="B283" s="89">
        <v>4120200</v>
      </c>
      <c r="C283" s="89" t="s">
        <v>7355</v>
      </c>
      <c r="D283" s="89" t="s">
        <v>7354</v>
      </c>
      <c r="E283" s="89">
        <v>219.24199999999999</v>
      </c>
      <c r="F283" s="89">
        <v>3182</v>
      </c>
      <c r="G283" s="89">
        <v>14.62</v>
      </c>
      <c r="H283" s="89">
        <v>3370</v>
      </c>
      <c r="I283" s="89">
        <v>100</v>
      </c>
      <c r="J283" s="89">
        <v>0.73499999999999999</v>
      </c>
      <c r="K283" s="89">
        <v>16.39</v>
      </c>
      <c r="L283" s="89">
        <v>74300192.400000006</v>
      </c>
      <c r="M283" s="89">
        <v>69314434.459999993</v>
      </c>
      <c r="N283" s="89">
        <v>48076.83</v>
      </c>
    </row>
    <row r="284" spans="1:14" x14ac:dyDescent="0.2">
      <c r="A284" s="89" t="s">
        <v>31</v>
      </c>
      <c r="B284" s="89">
        <v>4120309</v>
      </c>
      <c r="C284" s="89" t="s">
        <v>7353</v>
      </c>
      <c r="D284" s="89" t="s">
        <v>7352</v>
      </c>
      <c r="E284" s="89">
        <v>210.23599999999999</v>
      </c>
      <c r="F284" s="89">
        <v>3562</v>
      </c>
      <c r="G284" s="89">
        <v>16.72</v>
      </c>
      <c r="H284" s="89">
        <v>3515</v>
      </c>
      <c r="I284" s="89">
        <v>100</v>
      </c>
      <c r="J284" s="89">
        <v>0.68500000000000005</v>
      </c>
      <c r="K284" s="89" t="s">
        <v>1228</v>
      </c>
      <c r="L284" s="89">
        <v>42513541.299999997</v>
      </c>
      <c r="M284" s="89">
        <v>36847953.359999999</v>
      </c>
      <c r="N284" s="89">
        <v>27608.39</v>
      </c>
    </row>
    <row r="285" spans="1:14" x14ac:dyDescent="0.2">
      <c r="A285" s="89" t="s">
        <v>97</v>
      </c>
      <c r="B285" s="89">
        <v>4120333</v>
      </c>
      <c r="C285" s="89" t="s">
        <v>7351</v>
      </c>
      <c r="D285" s="89" t="s">
        <v>7350</v>
      </c>
      <c r="E285" s="89">
        <v>152.876</v>
      </c>
      <c r="F285" s="89">
        <v>3709</v>
      </c>
      <c r="G285" s="89">
        <v>24.26</v>
      </c>
      <c r="H285" s="89">
        <v>3816</v>
      </c>
      <c r="I285" s="89">
        <v>98.86</v>
      </c>
      <c r="J285" s="89">
        <v>0.71</v>
      </c>
      <c r="K285" s="89" t="s">
        <v>1228</v>
      </c>
      <c r="L285" s="89">
        <v>45303210.68</v>
      </c>
      <c r="M285" s="89">
        <v>35310543.719999999</v>
      </c>
      <c r="N285" s="89">
        <v>56067.67</v>
      </c>
    </row>
    <row r="286" spans="1:14" x14ac:dyDescent="0.2">
      <c r="A286" s="89" t="s">
        <v>7074</v>
      </c>
      <c r="B286" s="89">
        <v>4120358</v>
      </c>
      <c r="C286" s="89" t="s">
        <v>7349</v>
      </c>
      <c r="D286" s="89" t="s">
        <v>7348</v>
      </c>
      <c r="E286" s="89">
        <v>226.089</v>
      </c>
      <c r="F286" s="89">
        <v>5737</v>
      </c>
      <c r="G286" s="89">
        <v>25.37</v>
      </c>
      <c r="H286" s="89">
        <v>5831</v>
      </c>
      <c r="I286" s="89">
        <v>99.54</v>
      </c>
      <c r="J286" s="89">
        <v>0.752</v>
      </c>
      <c r="K286" s="89" t="s">
        <v>1228</v>
      </c>
      <c r="L286" s="89">
        <v>65612280.039999999</v>
      </c>
      <c r="M286" s="89">
        <v>57747953.189999998</v>
      </c>
      <c r="N286" s="89">
        <v>66007.87</v>
      </c>
    </row>
    <row r="287" spans="1:14" x14ac:dyDescent="0.2">
      <c r="A287" s="89" t="s">
        <v>218</v>
      </c>
      <c r="B287" s="89">
        <v>4120408</v>
      </c>
      <c r="C287" s="89" t="s">
        <v>7347</v>
      </c>
      <c r="D287" s="89" t="s">
        <v>7346</v>
      </c>
      <c r="E287" s="89">
        <v>155.631</v>
      </c>
      <c r="F287" s="89">
        <v>4336</v>
      </c>
      <c r="G287" s="89">
        <v>27.84</v>
      </c>
      <c r="H287" s="89">
        <v>4304</v>
      </c>
      <c r="I287" s="89">
        <v>100</v>
      </c>
      <c r="J287" s="89">
        <v>0.71299999999999997</v>
      </c>
      <c r="K287" s="89" t="s">
        <v>1228</v>
      </c>
      <c r="L287" s="89">
        <v>49232259.079999998</v>
      </c>
      <c r="M287" s="89">
        <v>41692783.270000003</v>
      </c>
      <c r="N287" s="89">
        <v>45464.85</v>
      </c>
    </row>
    <row r="288" spans="1:14" x14ac:dyDescent="0.2">
      <c r="A288" s="89" t="s">
        <v>108</v>
      </c>
      <c r="B288" s="89">
        <v>4120507</v>
      </c>
      <c r="C288" s="89" t="s">
        <v>7345</v>
      </c>
      <c r="D288" s="89" t="s">
        <v>7344</v>
      </c>
      <c r="E288" s="89">
        <v>410.37799999999999</v>
      </c>
      <c r="F288" s="89">
        <v>10082</v>
      </c>
      <c r="G288" s="89">
        <v>24.33</v>
      </c>
      <c r="H288" s="89">
        <v>10064</v>
      </c>
      <c r="I288" s="89">
        <v>98.97</v>
      </c>
      <c r="J288" s="89">
        <v>0.70099999999999996</v>
      </c>
      <c r="K288" s="89">
        <v>9.52</v>
      </c>
      <c r="L288" s="89">
        <v>78901826.620000005</v>
      </c>
      <c r="M288" s="89">
        <v>66251685.159999996</v>
      </c>
      <c r="N288" s="89">
        <v>45871.5</v>
      </c>
    </row>
    <row r="289" spans="1:14" x14ac:dyDescent="0.2">
      <c r="A289" s="89" t="s">
        <v>59</v>
      </c>
      <c r="B289" s="89">
        <v>4120606</v>
      </c>
      <c r="C289" s="89" t="s">
        <v>7343</v>
      </c>
      <c r="D289" s="89" t="s">
        <v>7342</v>
      </c>
      <c r="E289" s="89">
        <v>2257.8609999999999</v>
      </c>
      <c r="F289" s="89">
        <v>49393</v>
      </c>
      <c r="G289" s="89">
        <v>21.98</v>
      </c>
      <c r="H289" s="89">
        <v>50946</v>
      </c>
      <c r="I289" s="89">
        <v>99.79</v>
      </c>
      <c r="J289" s="89">
        <v>0.67600000000000005</v>
      </c>
      <c r="K289" s="89">
        <v>9.3800000000000008</v>
      </c>
      <c r="L289" s="89">
        <v>285395012.94999999</v>
      </c>
      <c r="M289" s="89">
        <v>254786014.75</v>
      </c>
      <c r="N289" s="89">
        <v>38587.32</v>
      </c>
    </row>
    <row r="290" spans="1:14" x14ac:dyDescent="0.2">
      <c r="A290" s="89" t="s">
        <v>245</v>
      </c>
      <c r="B290" s="89">
        <v>4120655</v>
      </c>
      <c r="C290" s="89" t="s">
        <v>7341</v>
      </c>
      <c r="D290" s="89" t="s">
        <v>7340</v>
      </c>
      <c r="E290" s="89">
        <v>320.779</v>
      </c>
      <c r="F290" s="89">
        <v>4201</v>
      </c>
      <c r="G290" s="89">
        <v>13.05</v>
      </c>
      <c r="H290" s="89">
        <v>4127</v>
      </c>
      <c r="I290" s="89">
        <v>98.14</v>
      </c>
      <c r="J290" s="89">
        <v>0.71</v>
      </c>
      <c r="K290" s="89" t="s">
        <v>1228</v>
      </c>
      <c r="L290" s="89">
        <v>51126272.640000001</v>
      </c>
      <c r="M290" s="89">
        <v>41569517.990000002</v>
      </c>
      <c r="N290" s="89">
        <v>97362.29</v>
      </c>
    </row>
    <row r="291" spans="1:14" x14ac:dyDescent="0.2">
      <c r="A291" s="89" t="s">
        <v>174</v>
      </c>
      <c r="B291" s="89">
        <v>4120705</v>
      </c>
      <c r="C291" s="89" t="s">
        <v>7339</v>
      </c>
      <c r="D291" s="89" t="s">
        <v>7338</v>
      </c>
      <c r="E291" s="89">
        <v>112.56699999999999</v>
      </c>
      <c r="F291" s="89">
        <v>8099</v>
      </c>
      <c r="G291" s="89">
        <v>71.87</v>
      </c>
      <c r="H291" s="89">
        <v>8426</v>
      </c>
      <c r="I291" s="89">
        <v>100</v>
      </c>
      <c r="J291" s="89">
        <v>0.71399999999999997</v>
      </c>
      <c r="K291" s="89">
        <v>36.14</v>
      </c>
      <c r="L291" s="89">
        <v>55773382.460000001</v>
      </c>
      <c r="M291" s="89">
        <v>51334058.490000002</v>
      </c>
      <c r="N291" s="89">
        <v>30189.72</v>
      </c>
    </row>
    <row r="292" spans="1:14" x14ac:dyDescent="0.2">
      <c r="A292" s="89" t="s">
        <v>4</v>
      </c>
      <c r="B292" s="89">
        <v>4120804</v>
      </c>
      <c r="C292" s="89" t="s">
        <v>7337</v>
      </c>
      <c r="D292" s="89" t="s">
        <v>7336</v>
      </c>
      <c r="E292" s="89">
        <v>181.565</v>
      </c>
      <c r="F292" s="89">
        <v>24191</v>
      </c>
      <c r="G292" s="89">
        <v>134.04</v>
      </c>
      <c r="H292" s="89">
        <v>25397</v>
      </c>
      <c r="I292" s="89">
        <v>99.49</v>
      </c>
      <c r="J292" s="89">
        <v>0.74199999999999999</v>
      </c>
      <c r="K292" s="89">
        <v>12.4</v>
      </c>
      <c r="L292" s="89">
        <v>213729979.46000001</v>
      </c>
      <c r="M292" s="89">
        <v>199187760.02000001</v>
      </c>
      <c r="N292" s="89">
        <v>96572.32</v>
      </c>
    </row>
    <row r="293" spans="1:14" x14ac:dyDescent="0.2">
      <c r="A293" s="89" t="s">
        <v>327</v>
      </c>
      <c r="B293" s="89">
        <v>4120853</v>
      </c>
      <c r="C293" s="89" t="s">
        <v>7335</v>
      </c>
      <c r="D293" s="89" t="s">
        <v>7334</v>
      </c>
      <c r="E293" s="89">
        <v>115.66500000000001</v>
      </c>
      <c r="F293" s="89">
        <v>4480</v>
      </c>
      <c r="G293" s="89">
        <v>39.159999999999997</v>
      </c>
      <c r="H293" s="89">
        <v>4672</v>
      </c>
      <c r="I293" s="89">
        <v>100</v>
      </c>
      <c r="J293" s="89">
        <v>0.79100000000000004</v>
      </c>
      <c r="K293" s="89" t="s">
        <v>1228</v>
      </c>
      <c r="L293" s="89">
        <v>60623973.560000002</v>
      </c>
      <c r="M293" s="89">
        <v>49590497.310000002</v>
      </c>
      <c r="N293" s="89">
        <v>68554.09</v>
      </c>
    </row>
    <row r="294" spans="1:14" x14ac:dyDescent="0.2">
      <c r="A294" s="89" t="s">
        <v>85</v>
      </c>
      <c r="B294" s="89">
        <v>4120903</v>
      </c>
      <c r="C294" s="89" t="s">
        <v>7333</v>
      </c>
      <c r="D294" s="89" t="s">
        <v>7332</v>
      </c>
      <c r="E294" s="89">
        <v>822.34500000000003</v>
      </c>
      <c r="F294" s="89">
        <v>30738</v>
      </c>
      <c r="G294" s="89">
        <v>37.42</v>
      </c>
      <c r="H294" s="89">
        <v>31423</v>
      </c>
      <c r="I294" s="89">
        <v>98.28</v>
      </c>
      <c r="J294" s="89">
        <v>0.68100000000000005</v>
      </c>
      <c r="K294" s="89">
        <v>15.45</v>
      </c>
      <c r="L294" s="89">
        <v>187967910.99000001</v>
      </c>
      <c r="M294" s="89">
        <v>170880561.72999999</v>
      </c>
      <c r="N294" s="89">
        <v>62721.88</v>
      </c>
    </row>
    <row r="295" spans="1:14" x14ac:dyDescent="0.2">
      <c r="A295" s="89" t="s">
        <v>293</v>
      </c>
      <c r="B295" s="89">
        <v>4121000</v>
      </c>
      <c r="C295" s="89" t="s">
        <v>7331</v>
      </c>
      <c r="D295" s="89" t="s">
        <v>7330</v>
      </c>
      <c r="E295" s="89">
        <v>911.72</v>
      </c>
      <c r="F295" s="89">
        <v>10685</v>
      </c>
      <c r="G295" s="89">
        <v>11.68</v>
      </c>
      <c r="H295" s="89">
        <v>10625</v>
      </c>
      <c r="I295" s="89">
        <v>96.96</v>
      </c>
      <c r="J295" s="89">
        <v>0.68799999999999994</v>
      </c>
      <c r="K295" s="89">
        <v>8.6999999999999993</v>
      </c>
      <c r="L295" s="89">
        <v>81557127.879999995</v>
      </c>
      <c r="M295" s="89">
        <v>73641396.189999998</v>
      </c>
      <c r="N295" s="89">
        <v>32030.3</v>
      </c>
    </row>
    <row r="296" spans="1:14" x14ac:dyDescent="0.2">
      <c r="A296" s="89" t="s">
        <v>205</v>
      </c>
      <c r="B296" s="89">
        <v>4121109</v>
      </c>
      <c r="C296" s="89" t="s">
        <v>7329</v>
      </c>
      <c r="D296" s="89" t="s">
        <v>7328</v>
      </c>
      <c r="E296" s="89">
        <v>326.137</v>
      </c>
      <c r="F296" s="89">
        <v>5001</v>
      </c>
      <c r="G296" s="89">
        <v>15.33</v>
      </c>
      <c r="H296" s="89">
        <v>5052</v>
      </c>
      <c r="I296" s="89">
        <v>100</v>
      </c>
      <c r="J296" s="89">
        <v>0.71499999999999997</v>
      </c>
      <c r="K296" s="89">
        <v>14.93</v>
      </c>
      <c r="L296" s="89">
        <v>49166503.5</v>
      </c>
      <c r="M296" s="89">
        <v>39011746.310000002</v>
      </c>
      <c r="N296" s="89">
        <v>62978.03</v>
      </c>
    </row>
    <row r="297" spans="1:14" x14ac:dyDescent="0.2">
      <c r="A297" s="89" t="s">
        <v>19</v>
      </c>
      <c r="B297" s="89">
        <v>4121208</v>
      </c>
      <c r="C297" s="89" t="s">
        <v>7327</v>
      </c>
      <c r="D297" s="89" t="s">
        <v>7326</v>
      </c>
      <c r="E297" s="89">
        <v>446.59699999999998</v>
      </c>
      <c r="F297" s="89">
        <v>18398</v>
      </c>
      <c r="G297" s="89">
        <v>41.16</v>
      </c>
      <c r="H297" s="89">
        <v>18882</v>
      </c>
      <c r="I297" s="89">
        <v>98.56</v>
      </c>
      <c r="J297" s="89">
        <v>0.68</v>
      </c>
      <c r="K297" s="89">
        <v>9.43</v>
      </c>
      <c r="L297" s="89">
        <v>125282071.12</v>
      </c>
      <c r="M297" s="89">
        <v>106154530.20999999</v>
      </c>
      <c r="N297" s="89">
        <v>32311.040000000001</v>
      </c>
    </row>
    <row r="298" spans="1:14" x14ac:dyDescent="0.2">
      <c r="A298" s="89" t="s">
        <v>314</v>
      </c>
      <c r="B298" s="89">
        <v>4121257</v>
      </c>
      <c r="C298" s="89" t="s">
        <v>7325</v>
      </c>
      <c r="D298" s="89" t="s">
        <v>7324</v>
      </c>
      <c r="E298" s="89">
        <v>235.41800000000001</v>
      </c>
      <c r="F298" s="89">
        <v>4221</v>
      </c>
      <c r="G298" s="89">
        <v>17.8</v>
      </c>
      <c r="H298" s="89">
        <v>4279</v>
      </c>
      <c r="I298" s="89">
        <v>97.19</v>
      </c>
      <c r="J298" s="89">
        <v>0.63</v>
      </c>
      <c r="K298" s="89" t="s">
        <v>1228</v>
      </c>
      <c r="L298" s="89">
        <v>44967747.390000001</v>
      </c>
      <c r="M298" s="89">
        <v>41234624.700000003</v>
      </c>
      <c r="N298" s="89">
        <v>29989.37</v>
      </c>
    </row>
    <row r="299" spans="1:14" x14ac:dyDescent="0.2">
      <c r="A299" s="89" t="s">
        <v>123</v>
      </c>
      <c r="B299" s="89">
        <v>4121307</v>
      </c>
      <c r="C299" s="89" t="s">
        <v>7323</v>
      </c>
      <c r="D299" s="89" t="s">
        <v>7322</v>
      </c>
      <c r="E299" s="89">
        <v>167.64599999999999</v>
      </c>
      <c r="F299" s="89">
        <v>3512</v>
      </c>
      <c r="G299" s="89">
        <v>20.95</v>
      </c>
      <c r="H299" s="89">
        <v>3472</v>
      </c>
      <c r="I299" s="89">
        <v>99.41</v>
      </c>
      <c r="J299" s="89">
        <v>0.70699999999999996</v>
      </c>
      <c r="K299" s="89" t="s">
        <v>1228</v>
      </c>
      <c r="L299" s="89">
        <v>37214133.109999999</v>
      </c>
      <c r="M299" s="89">
        <v>33612972.640000001</v>
      </c>
      <c r="N299" s="89">
        <v>56141.77</v>
      </c>
    </row>
    <row r="300" spans="1:14" x14ac:dyDescent="0.2">
      <c r="A300" s="89" t="s">
        <v>411</v>
      </c>
      <c r="B300" s="89">
        <v>4121356</v>
      </c>
      <c r="C300" s="89" t="s">
        <v>7321</v>
      </c>
      <c r="D300" s="89" t="s">
        <v>7320</v>
      </c>
      <c r="E300" s="89">
        <v>241.185</v>
      </c>
      <c r="F300" s="89">
        <v>2618</v>
      </c>
      <c r="G300" s="89">
        <v>10.85</v>
      </c>
      <c r="H300" s="89">
        <v>2623</v>
      </c>
      <c r="I300" s="89">
        <v>100</v>
      </c>
      <c r="J300" s="89">
        <v>0.70399999999999996</v>
      </c>
      <c r="K300" s="89" t="s">
        <v>1228</v>
      </c>
      <c r="L300" s="89">
        <v>40064578.68</v>
      </c>
      <c r="M300" s="89">
        <v>38078627.020000003</v>
      </c>
      <c r="N300" s="89">
        <v>90008.46</v>
      </c>
    </row>
    <row r="301" spans="1:14" x14ac:dyDescent="0.2">
      <c r="A301" s="89" t="s">
        <v>372</v>
      </c>
      <c r="B301" s="89">
        <v>4121406</v>
      </c>
      <c r="C301" s="89" t="s">
        <v>7319</v>
      </c>
      <c r="D301" s="89" t="s">
        <v>7318</v>
      </c>
      <c r="E301" s="89">
        <v>353.92200000000003</v>
      </c>
      <c r="F301" s="89">
        <v>19247</v>
      </c>
      <c r="G301" s="89">
        <v>54.46</v>
      </c>
      <c r="H301" s="89">
        <v>20097</v>
      </c>
      <c r="I301" s="89">
        <v>98.02</v>
      </c>
      <c r="J301" s="89">
        <v>0.72199999999999998</v>
      </c>
      <c r="K301" s="89">
        <v>8.0299999999999994</v>
      </c>
      <c r="L301" s="89">
        <v>134277654.96000001</v>
      </c>
      <c r="M301" s="89">
        <v>130273388.42</v>
      </c>
      <c r="N301" s="89">
        <v>49825.25</v>
      </c>
    </row>
    <row r="302" spans="1:14" x14ac:dyDescent="0.2">
      <c r="A302" s="89" t="s">
        <v>60</v>
      </c>
      <c r="B302" s="89">
        <v>4121505</v>
      </c>
      <c r="C302" s="89" t="s">
        <v>7317</v>
      </c>
      <c r="D302" s="89" t="s">
        <v>7316</v>
      </c>
      <c r="E302" s="89">
        <v>485.18400000000003</v>
      </c>
      <c r="F302" s="89">
        <v>14514</v>
      </c>
      <c r="G302" s="89">
        <v>30.12</v>
      </c>
      <c r="H302" s="89">
        <v>14825</v>
      </c>
      <c r="I302" s="89">
        <v>99.27</v>
      </c>
      <c r="J302" s="89">
        <v>0.67200000000000004</v>
      </c>
      <c r="K302" s="89">
        <v>9.76</v>
      </c>
      <c r="L302" s="89">
        <v>96587851.180000007</v>
      </c>
      <c r="M302" s="89">
        <v>90094170.730000004</v>
      </c>
      <c r="N302" s="89">
        <v>43802.69</v>
      </c>
    </row>
    <row r="303" spans="1:14" x14ac:dyDescent="0.2">
      <c r="A303" s="89" t="s">
        <v>360</v>
      </c>
      <c r="B303" s="89">
        <v>4121604</v>
      </c>
      <c r="C303" s="89" t="s">
        <v>7315</v>
      </c>
      <c r="D303" s="89" t="s">
        <v>7314</v>
      </c>
      <c r="E303" s="89">
        <v>425.947</v>
      </c>
      <c r="F303" s="89">
        <v>6845</v>
      </c>
      <c r="G303" s="89">
        <v>16.100000000000001</v>
      </c>
      <c r="H303" s="89">
        <v>6945</v>
      </c>
      <c r="I303" s="89">
        <v>99.76</v>
      </c>
      <c r="J303" s="89">
        <v>0.73299999999999998</v>
      </c>
      <c r="K303" s="89" t="s">
        <v>1228</v>
      </c>
      <c r="L303" s="89">
        <v>67643571</v>
      </c>
      <c r="M303" s="89">
        <v>61965249.270000003</v>
      </c>
      <c r="N303" s="89">
        <v>67212.820000000007</v>
      </c>
    </row>
    <row r="304" spans="1:14" x14ac:dyDescent="0.2">
      <c r="A304" s="89" t="s">
        <v>51</v>
      </c>
      <c r="B304" s="89">
        <v>4121703</v>
      </c>
      <c r="C304" s="89" t="s">
        <v>7313</v>
      </c>
      <c r="D304" s="89" t="s">
        <v>7312</v>
      </c>
      <c r="E304" s="89">
        <v>1646.1030000000001</v>
      </c>
      <c r="F304" s="89">
        <v>24573</v>
      </c>
      <c r="G304" s="89">
        <v>15.02</v>
      </c>
      <c r="H304" s="89">
        <v>24878</v>
      </c>
      <c r="I304" s="89">
        <v>98</v>
      </c>
      <c r="J304" s="89">
        <v>0.61799999999999999</v>
      </c>
      <c r="K304" s="89">
        <v>8.1999999999999993</v>
      </c>
      <c r="L304" s="89">
        <v>158235066.59</v>
      </c>
      <c r="M304" s="89">
        <v>141623423.56999999</v>
      </c>
      <c r="N304" s="89">
        <v>31106.12</v>
      </c>
    </row>
    <row r="305" spans="1:14" x14ac:dyDescent="0.2">
      <c r="A305" s="89" t="s">
        <v>69</v>
      </c>
      <c r="B305" s="89">
        <v>4121752</v>
      </c>
      <c r="C305" s="89" t="s">
        <v>7311</v>
      </c>
      <c r="D305" s="89" t="s">
        <v>7310</v>
      </c>
      <c r="E305" s="89">
        <v>833.08500000000004</v>
      </c>
      <c r="F305" s="89">
        <v>6553</v>
      </c>
      <c r="G305" s="89">
        <v>7.86</v>
      </c>
      <c r="H305" s="89">
        <v>6493</v>
      </c>
      <c r="I305" s="89">
        <v>98.09</v>
      </c>
      <c r="J305" s="89">
        <v>0.64800000000000002</v>
      </c>
      <c r="K305" s="89">
        <v>10.53</v>
      </c>
      <c r="L305" s="89">
        <v>80675119.049999997</v>
      </c>
      <c r="M305" s="89">
        <v>78888290.180000007</v>
      </c>
      <c r="N305" s="89">
        <v>39346.76</v>
      </c>
    </row>
    <row r="306" spans="1:14" x14ac:dyDescent="0.2">
      <c r="A306" s="89" t="s">
        <v>145</v>
      </c>
      <c r="B306" s="89">
        <v>4121802</v>
      </c>
      <c r="C306" s="89" t="s">
        <v>7309</v>
      </c>
      <c r="D306" s="89" t="s">
        <v>7308</v>
      </c>
      <c r="E306" s="89">
        <v>625.87400000000002</v>
      </c>
      <c r="F306" s="89">
        <v>12364</v>
      </c>
      <c r="G306" s="89">
        <v>19.649999999999999</v>
      </c>
      <c r="H306" s="89">
        <v>12856</v>
      </c>
      <c r="I306" s="89">
        <v>100</v>
      </c>
      <c r="J306" s="89">
        <v>0.71599999999999997</v>
      </c>
      <c r="K306" s="89">
        <v>7.46</v>
      </c>
      <c r="L306" s="89">
        <v>91761779.180000007</v>
      </c>
      <c r="M306" s="89">
        <v>88140750.879999995</v>
      </c>
      <c r="N306" s="89">
        <v>49315.87</v>
      </c>
    </row>
    <row r="307" spans="1:14" x14ac:dyDescent="0.2">
      <c r="A307" s="89" t="s">
        <v>136</v>
      </c>
      <c r="B307" s="89">
        <v>4121901</v>
      </c>
      <c r="C307" s="89" t="s">
        <v>7307</v>
      </c>
      <c r="D307" s="89" t="s">
        <v>7306</v>
      </c>
      <c r="E307" s="89">
        <v>374.75400000000002</v>
      </c>
      <c r="F307" s="89">
        <v>13060</v>
      </c>
      <c r="G307" s="89">
        <v>34.85</v>
      </c>
      <c r="H307" s="89">
        <v>13158</v>
      </c>
      <c r="I307" s="89">
        <v>100</v>
      </c>
      <c r="J307" s="89">
        <v>0.70099999999999996</v>
      </c>
      <c r="K307" s="89">
        <v>6.54</v>
      </c>
      <c r="L307" s="89">
        <v>80925224.739999995</v>
      </c>
      <c r="M307" s="89">
        <v>63017578.350000001</v>
      </c>
      <c r="N307" s="89">
        <v>37360.89</v>
      </c>
    </row>
    <row r="308" spans="1:14" x14ac:dyDescent="0.2">
      <c r="A308" s="89" t="s">
        <v>7073</v>
      </c>
      <c r="B308" s="89">
        <v>4122008</v>
      </c>
      <c r="C308" s="89" t="s">
        <v>7305</v>
      </c>
      <c r="D308" s="89" t="s">
        <v>7304</v>
      </c>
      <c r="E308" s="89">
        <v>596.16999999999996</v>
      </c>
      <c r="F308" s="89">
        <v>14025</v>
      </c>
      <c r="G308" s="89">
        <v>23.41</v>
      </c>
      <c r="H308" s="89">
        <v>14174</v>
      </c>
      <c r="I308" s="89">
        <v>100</v>
      </c>
      <c r="J308" s="89">
        <v>0.68700000000000006</v>
      </c>
      <c r="K308" s="89" t="s">
        <v>1228</v>
      </c>
      <c r="L308" s="89">
        <v>113161040.20999999</v>
      </c>
      <c r="M308" s="89">
        <v>96332405.379999995</v>
      </c>
      <c r="N308" s="89">
        <v>71086.789999999994</v>
      </c>
    </row>
    <row r="309" spans="1:14" x14ac:dyDescent="0.2">
      <c r="A309" s="89" t="s">
        <v>183</v>
      </c>
      <c r="B309" s="89">
        <v>4122107</v>
      </c>
      <c r="C309" s="89" t="s">
        <v>7303</v>
      </c>
      <c r="D309" s="89" t="s">
        <v>7302</v>
      </c>
      <c r="E309" s="89">
        <v>177.83600000000001</v>
      </c>
      <c r="F309" s="89">
        <v>3197</v>
      </c>
      <c r="G309" s="89">
        <v>17.98</v>
      </c>
      <c r="H309" s="89">
        <v>3214</v>
      </c>
      <c r="I309" s="89">
        <v>99.36</v>
      </c>
      <c r="J309" s="89">
        <v>0.72899999999999998</v>
      </c>
      <c r="K309" s="89">
        <v>32.26</v>
      </c>
      <c r="L309" s="89">
        <v>42535124.390000001</v>
      </c>
      <c r="M309" s="89">
        <v>41919182.530000001</v>
      </c>
      <c r="N309" s="89">
        <v>37164.629999999997</v>
      </c>
    </row>
    <row r="310" spans="1:14" x14ac:dyDescent="0.2">
      <c r="A310" s="89" t="s">
        <v>86</v>
      </c>
      <c r="B310" s="89">
        <v>4122156</v>
      </c>
      <c r="C310" s="89" t="s">
        <v>7301</v>
      </c>
      <c r="D310" s="89" t="s">
        <v>7300</v>
      </c>
      <c r="E310" s="89">
        <v>684.69500000000005</v>
      </c>
      <c r="F310" s="89">
        <v>13929</v>
      </c>
      <c r="G310" s="89">
        <v>20.440000000000001</v>
      </c>
      <c r="H310" s="89">
        <v>14297</v>
      </c>
      <c r="I310" s="89">
        <v>99.56</v>
      </c>
      <c r="J310" s="89">
        <v>0.629</v>
      </c>
      <c r="K310" s="89">
        <v>10.36</v>
      </c>
      <c r="L310" s="89">
        <v>114746368.05</v>
      </c>
      <c r="M310" s="89">
        <v>92985158.370000005</v>
      </c>
      <c r="N310" s="89">
        <v>36921.86</v>
      </c>
    </row>
    <row r="311" spans="1:14" x14ac:dyDescent="0.2">
      <c r="A311" s="89" t="s">
        <v>184</v>
      </c>
      <c r="B311" s="89">
        <v>4122172</v>
      </c>
      <c r="C311" s="89" t="s">
        <v>7299</v>
      </c>
      <c r="D311" s="89" t="s">
        <v>7298</v>
      </c>
      <c r="E311" s="89">
        <v>378.04</v>
      </c>
      <c r="F311" s="89">
        <v>3808</v>
      </c>
      <c r="G311" s="89">
        <v>10.119999999999999</v>
      </c>
      <c r="H311" s="89">
        <v>3841</v>
      </c>
      <c r="I311" s="89">
        <v>99.45</v>
      </c>
      <c r="J311" s="89">
        <v>0.64</v>
      </c>
      <c r="K311" s="89" t="s">
        <v>1228</v>
      </c>
      <c r="L311" s="89">
        <v>48277843.82</v>
      </c>
      <c r="M311" s="89">
        <v>42960024.82</v>
      </c>
      <c r="N311" s="89">
        <v>45876.97</v>
      </c>
    </row>
    <row r="312" spans="1:14" x14ac:dyDescent="0.2">
      <c r="A312" s="89" t="s">
        <v>403</v>
      </c>
      <c r="B312" s="89">
        <v>4122206</v>
      </c>
      <c r="C312" s="89" t="s">
        <v>7297</v>
      </c>
      <c r="D312" s="89" t="s">
        <v>7296</v>
      </c>
      <c r="E312" s="89">
        <v>820.07100000000003</v>
      </c>
      <c r="F312" s="89">
        <v>37558</v>
      </c>
      <c r="G312" s="89">
        <v>46.29</v>
      </c>
      <c r="H312" s="89">
        <v>40308</v>
      </c>
      <c r="I312" s="89">
        <v>94.64</v>
      </c>
      <c r="J312" s="89">
        <v>0.67900000000000005</v>
      </c>
      <c r="K312" s="89">
        <v>7.55</v>
      </c>
      <c r="L312" s="89">
        <v>224281931.62</v>
      </c>
      <c r="M312" s="89">
        <v>207939501.49000001</v>
      </c>
      <c r="N312" s="89">
        <v>49279.13</v>
      </c>
    </row>
    <row r="313" spans="1:14" x14ac:dyDescent="0.2">
      <c r="A313" s="89" t="s">
        <v>7072</v>
      </c>
      <c r="B313" s="89">
        <v>4122305</v>
      </c>
      <c r="C313" s="89" t="s">
        <v>7295</v>
      </c>
      <c r="D313" s="89" t="s">
        <v>7294</v>
      </c>
      <c r="E313" s="89">
        <v>604.47699999999998</v>
      </c>
      <c r="F313" s="89">
        <v>31324</v>
      </c>
      <c r="G313" s="89">
        <v>51.85</v>
      </c>
      <c r="H313" s="89">
        <v>31951</v>
      </c>
      <c r="I313" s="89">
        <v>99.1</v>
      </c>
      <c r="J313" s="89">
        <v>0.76</v>
      </c>
      <c r="K313" s="89">
        <v>14.45</v>
      </c>
      <c r="L313" s="89">
        <v>193621109.22999999</v>
      </c>
      <c r="M313" s="89">
        <v>178822717.47999999</v>
      </c>
      <c r="N313" s="89">
        <v>46487.19</v>
      </c>
    </row>
    <row r="314" spans="1:14" x14ac:dyDescent="0.2">
      <c r="A314" s="89" t="s">
        <v>98</v>
      </c>
      <c r="B314" s="89">
        <v>4122404</v>
      </c>
      <c r="C314" s="89" t="s">
        <v>7293</v>
      </c>
      <c r="D314" s="89" t="s">
        <v>7292</v>
      </c>
      <c r="E314" s="89">
        <v>456.22800000000001</v>
      </c>
      <c r="F314" s="89">
        <v>71670</v>
      </c>
      <c r="G314" s="89">
        <v>156.13999999999999</v>
      </c>
      <c r="H314" s="89">
        <v>75818</v>
      </c>
      <c r="I314" s="89">
        <v>99.03</v>
      </c>
      <c r="J314" s="89">
        <v>0.73899999999999999</v>
      </c>
      <c r="K314" s="89">
        <v>12.89</v>
      </c>
      <c r="L314" s="89">
        <v>465056905.01999998</v>
      </c>
      <c r="M314" s="89">
        <v>406866524.27999997</v>
      </c>
      <c r="N314" s="89">
        <v>64220.79</v>
      </c>
    </row>
    <row r="315" spans="1:14" x14ac:dyDescent="0.2">
      <c r="A315" s="89" t="s">
        <v>258</v>
      </c>
      <c r="B315" s="89">
        <v>4122503</v>
      </c>
      <c r="C315" s="89" t="s">
        <v>7291</v>
      </c>
      <c r="D315" s="89" t="s">
        <v>7290</v>
      </c>
      <c r="E315" s="89">
        <v>741.70899999999995</v>
      </c>
      <c r="F315" s="89">
        <v>11251</v>
      </c>
      <c r="G315" s="89">
        <v>15.16</v>
      </c>
      <c r="H315" s="89">
        <v>11339</v>
      </c>
      <c r="I315" s="89">
        <v>98.96</v>
      </c>
      <c r="J315" s="89">
        <v>0.68100000000000005</v>
      </c>
      <c r="K315" s="89">
        <v>6.71</v>
      </c>
      <c r="L315" s="89">
        <v>99770962.519999996</v>
      </c>
      <c r="M315" s="89">
        <v>92112835.390000001</v>
      </c>
      <c r="N315" s="89">
        <v>56837.11</v>
      </c>
    </row>
    <row r="316" spans="1:14" x14ac:dyDescent="0.2">
      <c r="A316" s="89" t="s">
        <v>268</v>
      </c>
      <c r="B316" s="89">
        <v>4122602</v>
      </c>
      <c r="C316" s="89" t="s">
        <v>7289</v>
      </c>
      <c r="D316" s="89" t="s">
        <v>7288</v>
      </c>
      <c r="E316" s="89">
        <v>557.25699999999995</v>
      </c>
      <c r="F316" s="89">
        <v>9097</v>
      </c>
      <c r="G316" s="89">
        <v>16.39</v>
      </c>
      <c r="H316" s="89">
        <v>9255</v>
      </c>
      <c r="I316" s="89">
        <v>99.6</v>
      </c>
      <c r="J316" s="89">
        <v>0.71299999999999997</v>
      </c>
      <c r="K316" s="89" t="s">
        <v>1228</v>
      </c>
      <c r="L316" s="89">
        <v>65121772.520000003</v>
      </c>
      <c r="M316" s="89">
        <v>58747124.549999997</v>
      </c>
      <c r="N316" s="89">
        <v>59221.26</v>
      </c>
    </row>
    <row r="317" spans="1:14" x14ac:dyDescent="0.2">
      <c r="A317" s="89" t="s">
        <v>185</v>
      </c>
      <c r="B317" s="89">
        <v>4122651</v>
      </c>
      <c r="C317" s="89" t="s">
        <v>7287</v>
      </c>
      <c r="D317" s="89" t="s">
        <v>7286</v>
      </c>
      <c r="E317" s="89">
        <v>377.625</v>
      </c>
      <c r="F317" s="89">
        <v>5435</v>
      </c>
      <c r="G317" s="89">
        <v>14.4</v>
      </c>
      <c r="H317" s="89">
        <v>5484</v>
      </c>
      <c r="I317" s="89">
        <v>98.81</v>
      </c>
      <c r="J317" s="89">
        <v>0.66200000000000003</v>
      </c>
      <c r="K317" s="89">
        <v>35.71</v>
      </c>
      <c r="L317" s="89">
        <v>48300659.539999999</v>
      </c>
      <c r="M317" s="89">
        <v>40719475.170000002</v>
      </c>
      <c r="N317" s="89">
        <v>30660.21</v>
      </c>
    </row>
    <row r="318" spans="1:14" x14ac:dyDescent="0.2">
      <c r="A318" s="89" t="s">
        <v>99</v>
      </c>
      <c r="B318" s="89">
        <v>4122701</v>
      </c>
      <c r="C318" s="89" t="s">
        <v>7285</v>
      </c>
      <c r="D318" s="89" t="s">
        <v>7284</v>
      </c>
      <c r="E318" s="89">
        <v>191.25200000000001</v>
      </c>
      <c r="F318" s="89">
        <v>8822</v>
      </c>
      <c r="G318" s="89">
        <v>46.35</v>
      </c>
      <c r="H318" s="89">
        <v>9511</v>
      </c>
      <c r="I318" s="89">
        <v>99.78</v>
      </c>
      <c r="J318" s="89">
        <v>0.74</v>
      </c>
      <c r="K318" s="89">
        <v>42.37</v>
      </c>
      <c r="L318" s="89">
        <v>75219473.120000005</v>
      </c>
      <c r="M318" s="89">
        <v>72960262.010000005</v>
      </c>
      <c r="N318" s="89">
        <v>84033.62</v>
      </c>
    </row>
    <row r="319" spans="1:14" x14ac:dyDescent="0.2">
      <c r="A319" s="89" t="s">
        <v>361</v>
      </c>
      <c r="B319" s="89">
        <v>4122800</v>
      </c>
      <c r="C319" s="89" t="s">
        <v>7283</v>
      </c>
      <c r="D319" s="89" t="s">
        <v>7282</v>
      </c>
      <c r="E319" s="89">
        <v>182.61600000000001</v>
      </c>
      <c r="F319" s="89">
        <v>4075</v>
      </c>
      <c r="G319" s="89">
        <v>22.51</v>
      </c>
      <c r="H319" s="89">
        <v>4090</v>
      </c>
      <c r="I319" s="89">
        <v>100</v>
      </c>
      <c r="J319" s="89">
        <v>0.7</v>
      </c>
      <c r="K319" s="89" t="s">
        <v>1228</v>
      </c>
      <c r="L319" s="89">
        <v>47541278.450000003</v>
      </c>
      <c r="M319" s="89">
        <v>44736362.859999999</v>
      </c>
      <c r="N319" s="89">
        <v>35479.949999999997</v>
      </c>
    </row>
    <row r="320" spans="1:14" x14ac:dyDescent="0.2">
      <c r="A320" s="89" t="s">
        <v>175</v>
      </c>
      <c r="B320" s="89">
        <v>4122909</v>
      </c>
      <c r="C320" s="89" t="s">
        <v>7281</v>
      </c>
      <c r="D320" s="89" t="s">
        <v>7280</v>
      </c>
      <c r="E320" s="89">
        <v>200.89699999999999</v>
      </c>
      <c r="F320" s="89">
        <v>5192</v>
      </c>
      <c r="G320" s="89">
        <v>25.89</v>
      </c>
      <c r="H320" s="89">
        <v>5214</v>
      </c>
      <c r="I320" s="89">
        <v>99.07</v>
      </c>
      <c r="J320" s="89">
        <v>0.70399999999999996</v>
      </c>
      <c r="K320" s="89" t="s">
        <v>1228</v>
      </c>
      <c r="L320" s="89">
        <v>46895475.25</v>
      </c>
      <c r="M320" s="89">
        <v>39252732.909999996</v>
      </c>
      <c r="N320" s="89">
        <v>23913.67</v>
      </c>
    </row>
    <row r="321" spans="1:14" x14ac:dyDescent="0.2">
      <c r="A321" s="89" t="s">
        <v>362</v>
      </c>
      <c r="B321" s="89">
        <v>4123006</v>
      </c>
      <c r="C321" s="89" t="s">
        <v>7279</v>
      </c>
      <c r="D321" s="89" t="s">
        <v>7278</v>
      </c>
      <c r="E321" s="89">
        <v>311.97399999999999</v>
      </c>
      <c r="F321" s="89">
        <v>15223</v>
      </c>
      <c r="G321" s="89">
        <v>48.68</v>
      </c>
      <c r="H321" s="89">
        <v>15706</v>
      </c>
      <c r="I321" s="89">
        <v>99.61</v>
      </c>
      <c r="J321" s="89">
        <v>0.71799999999999997</v>
      </c>
      <c r="K321" s="89">
        <v>6.33</v>
      </c>
      <c r="L321" s="89">
        <v>110687130.94</v>
      </c>
      <c r="M321" s="89">
        <v>92505001.069999993</v>
      </c>
      <c r="N321" s="89">
        <v>41283.22</v>
      </c>
    </row>
    <row r="322" spans="1:14" x14ac:dyDescent="0.2">
      <c r="A322" s="89" t="s">
        <v>137</v>
      </c>
      <c r="B322" s="89">
        <v>4123105</v>
      </c>
      <c r="C322" s="89" t="s">
        <v>7277</v>
      </c>
      <c r="D322" s="89" t="s">
        <v>7276</v>
      </c>
      <c r="E322" s="89">
        <v>77.849000000000004</v>
      </c>
      <c r="F322" s="89">
        <v>3394</v>
      </c>
      <c r="G322" s="89">
        <v>43.49</v>
      </c>
      <c r="H322" s="89">
        <v>3358</v>
      </c>
      <c r="I322" s="89">
        <v>99.06</v>
      </c>
      <c r="J322" s="89">
        <v>0.65300000000000002</v>
      </c>
      <c r="K322" s="89" t="s">
        <v>1228</v>
      </c>
      <c r="L322" s="89">
        <v>34610157.340000004</v>
      </c>
      <c r="M322" s="89">
        <v>32713186.780000001</v>
      </c>
      <c r="N322" s="89">
        <v>41703.65</v>
      </c>
    </row>
    <row r="323" spans="1:14" x14ac:dyDescent="0.2">
      <c r="A323" s="89" t="s">
        <v>478</v>
      </c>
      <c r="B323" s="89">
        <v>4123204</v>
      </c>
      <c r="C323" s="89" t="s">
        <v>7275</v>
      </c>
      <c r="D323" s="89" t="s">
        <v>7274</v>
      </c>
      <c r="E323" s="89">
        <v>105.07599999999999</v>
      </c>
      <c r="F323" s="89">
        <v>3365</v>
      </c>
      <c r="G323" s="89">
        <v>32.020000000000003</v>
      </c>
      <c r="H323" s="89">
        <v>3357</v>
      </c>
      <c r="I323" s="89">
        <v>99.46</v>
      </c>
      <c r="J323" s="89">
        <v>0.72299999999999998</v>
      </c>
      <c r="K323" s="89">
        <v>24.39</v>
      </c>
      <c r="L323" s="89">
        <v>40207247.979999997</v>
      </c>
      <c r="M323" s="89">
        <v>33289578.710000001</v>
      </c>
      <c r="N323" s="89">
        <v>53243.98</v>
      </c>
    </row>
    <row r="324" spans="1:14" x14ac:dyDescent="0.2">
      <c r="A324" s="89" t="s">
        <v>294</v>
      </c>
      <c r="B324" s="89">
        <v>4123303</v>
      </c>
      <c r="C324" s="89" t="s">
        <v>7273</v>
      </c>
      <c r="D324" s="89" t="s">
        <v>7272</v>
      </c>
      <c r="E324" s="89">
        <v>444.96600000000001</v>
      </c>
      <c r="F324" s="89">
        <v>8613</v>
      </c>
      <c r="G324" s="89">
        <v>19.489999999999998</v>
      </c>
      <c r="H324" s="89">
        <v>8840</v>
      </c>
      <c r="I324" s="89">
        <v>99.74</v>
      </c>
      <c r="J324" s="89">
        <v>0.71</v>
      </c>
      <c r="K324" s="89">
        <v>30.93</v>
      </c>
      <c r="L324" s="89">
        <v>70713812.879999995</v>
      </c>
      <c r="M324" s="89">
        <v>62460064.789999999</v>
      </c>
      <c r="N324" s="89">
        <v>44952.45</v>
      </c>
    </row>
    <row r="325" spans="1:14" x14ac:dyDescent="0.2">
      <c r="A325" s="89" t="s">
        <v>193</v>
      </c>
      <c r="B325" s="89">
        <v>4123402</v>
      </c>
      <c r="C325" s="89" t="s">
        <v>7271</v>
      </c>
      <c r="D325" s="89" t="s">
        <v>7270</v>
      </c>
      <c r="E325" s="89">
        <v>276.262</v>
      </c>
      <c r="F325" s="89">
        <v>11378</v>
      </c>
      <c r="G325" s="89">
        <v>41.19</v>
      </c>
      <c r="H325" s="89">
        <v>11730</v>
      </c>
      <c r="I325" s="89">
        <v>99.59</v>
      </c>
      <c r="J325" s="89">
        <v>0.70499999999999996</v>
      </c>
      <c r="K325" s="89">
        <v>7.19</v>
      </c>
      <c r="L325" s="89">
        <v>91858247.629999995</v>
      </c>
      <c r="M325" s="89">
        <v>83987144.290000007</v>
      </c>
      <c r="N325" s="89">
        <v>39541.74</v>
      </c>
    </row>
    <row r="326" spans="1:14" x14ac:dyDescent="0.2">
      <c r="A326" s="89" t="s">
        <v>315</v>
      </c>
      <c r="B326" s="89">
        <v>4123501</v>
      </c>
      <c r="C326" s="89" t="s">
        <v>7269</v>
      </c>
      <c r="D326" s="89" t="s">
        <v>7268</v>
      </c>
      <c r="E326" s="89">
        <v>753.99699999999996</v>
      </c>
      <c r="F326" s="89">
        <v>25492</v>
      </c>
      <c r="G326" s="89">
        <v>33.78</v>
      </c>
      <c r="H326" s="89">
        <v>26461</v>
      </c>
      <c r="I326" s="89">
        <v>98.25</v>
      </c>
      <c r="J326" s="89">
        <v>0.74399999999999999</v>
      </c>
      <c r="K326" s="89">
        <v>3.02</v>
      </c>
      <c r="L326" s="89">
        <v>403809725.56999999</v>
      </c>
      <c r="M326" s="89">
        <v>365866257.49000001</v>
      </c>
      <c r="N326" s="89">
        <v>64374.87</v>
      </c>
    </row>
    <row r="327" spans="1:14" x14ac:dyDescent="0.2">
      <c r="A327" s="89" t="s">
        <v>194</v>
      </c>
      <c r="B327" s="89">
        <v>4123600</v>
      </c>
      <c r="C327" s="89" t="s">
        <v>7267</v>
      </c>
      <c r="D327" s="89" t="s">
        <v>7266</v>
      </c>
      <c r="E327" s="89">
        <v>156.422</v>
      </c>
      <c r="F327" s="89">
        <v>1748</v>
      </c>
      <c r="G327" s="89">
        <v>11.14</v>
      </c>
      <c r="H327" s="89">
        <v>1745</v>
      </c>
      <c r="I327" s="89">
        <v>100</v>
      </c>
      <c r="J327" s="89">
        <v>0.71699999999999997</v>
      </c>
      <c r="K327" s="89" t="s">
        <v>1228</v>
      </c>
      <c r="L327" s="89">
        <v>20798124.710000001</v>
      </c>
      <c r="M327" s="89">
        <v>16035425.699999999</v>
      </c>
      <c r="N327" s="89">
        <v>48715.71</v>
      </c>
    </row>
    <row r="328" spans="1:14" x14ac:dyDescent="0.2">
      <c r="A328" s="89" t="s">
        <v>269</v>
      </c>
      <c r="B328" s="89">
        <v>4123709</v>
      </c>
      <c r="C328" s="89" t="s">
        <v>7265</v>
      </c>
      <c r="D328" s="89" t="s">
        <v>7264</v>
      </c>
      <c r="E328" s="89">
        <v>349.42500000000001</v>
      </c>
      <c r="F328" s="89">
        <v>8912</v>
      </c>
      <c r="G328" s="89">
        <v>25.5</v>
      </c>
      <c r="H328" s="89">
        <v>9043</v>
      </c>
      <c r="I328" s="89">
        <v>98.89</v>
      </c>
      <c r="J328" s="89">
        <v>0.72</v>
      </c>
      <c r="K328" s="89">
        <v>12.5</v>
      </c>
      <c r="L328" s="89">
        <v>71931415.299999997</v>
      </c>
      <c r="M328" s="89">
        <v>63194268.670000002</v>
      </c>
      <c r="N328" s="89">
        <v>32954.620000000003</v>
      </c>
    </row>
    <row r="329" spans="1:14" x14ac:dyDescent="0.2">
      <c r="A329" s="89" t="s">
        <v>373</v>
      </c>
      <c r="B329" s="89">
        <v>4123808</v>
      </c>
      <c r="C329" s="89" t="s">
        <v>7263</v>
      </c>
      <c r="D329" s="89" t="s">
        <v>7262</v>
      </c>
      <c r="E329" s="89">
        <v>321.00299999999999</v>
      </c>
      <c r="F329" s="89">
        <v>14070</v>
      </c>
      <c r="G329" s="89">
        <v>43.81</v>
      </c>
      <c r="H329" s="89">
        <v>14462</v>
      </c>
      <c r="I329" s="89">
        <v>97.49</v>
      </c>
      <c r="J329" s="89">
        <v>0.69599999999999995</v>
      </c>
      <c r="K329" s="89">
        <v>6.13</v>
      </c>
      <c r="L329" s="89">
        <v>106621927.73999999</v>
      </c>
      <c r="M329" s="89">
        <v>95395457.489999995</v>
      </c>
      <c r="N329" s="89">
        <v>36537.21</v>
      </c>
    </row>
    <row r="330" spans="1:14" x14ac:dyDescent="0.2">
      <c r="A330" s="89" t="s">
        <v>347</v>
      </c>
      <c r="B330" s="89">
        <v>4123824</v>
      </c>
      <c r="C330" s="89" t="s">
        <v>7261</v>
      </c>
      <c r="D330" s="89" t="s">
        <v>7260</v>
      </c>
      <c r="E330" s="89">
        <v>126.813</v>
      </c>
      <c r="F330" s="89">
        <v>3644</v>
      </c>
      <c r="G330" s="89">
        <v>28.74</v>
      </c>
      <c r="H330" s="89">
        <v>3638</v>
      </c>
      <c r="I330" s="89">
        <v>100</v>
      </c>
      <c r="J330" s="89">
        <v>0.68700000000000006</v>
      </c>
      <c r="K330" s="89">
        <v>23.26</v>
      </c>
      <c r="L330" s="89">
        <v>42692531.439999998</v>
      </c>
      <c r="M330" s="89">
        <v>36754388.68</v>
      </c>
      <c r="N330" s="89">
        <v>43410.54</v>
      </c>
    </row>
    <row r="331" spans="1:14" x14ac:dyDescent="0.2">
      <c r="A331" s="89" t="s">
        <v>78</v>
      </c>
      <c r="B331" s="89">
        <v>4123857</v>
      </c>
      <c r="C331" s="89" t="s">
        <v>7259</v>
      </c>
      <c r="D331" s="89" t="s">
        <v>7258</v>
      </c>
      <c r="E331" s="89">
        <v>815.15099999999995</v>
      </c>
      <c r="F331" s="89">
        <v>9934</v>
      </c>
      <c r="G331" s="89">
        <v>11.87</v>
      </c>
      <c r="H331" s="89">
        <v>9869</v>
      </c>
      <c r="I331" s="89">
        <v>99.13</v>
      </c>
      <c r="J331" s="89">
        <v>0.60899999999999999</v>
      </c>
      <c r="K331" s="89">
        <v>23.26</v>
      </c>
      <c r="L331" s="89">
        <v>73247162.530000001</v>
      </c>
      <c r="M331" s="89">
        <v>61772891.549999997</v>
      </c>
      <c r="N331" s="89">
        <v>35195.519999999997</v>
      </c>
    </row>
    <row r="332" spans="1:14" x14ac:dyDescent="0.2">
      <c r="A332" s="89" t="s">
        <v>146</v>
      </c>
      <c r="B332" s="89">
        <v>4123907</v>
      </c>
      <c r="C332" s="89" t="s">
        <v>7257</v>
      </c>
      <c r="D332" s="89" t="s">
        <v>7256</v>
      </c>
      <c r="E332" s="89">
        <v>425.70299999999997</v>
      </c>
      <c r="F332" s="89">
        <v>11066</v>
      </c>
      <c r="G332" s="89">
        <v>25.9</v>
      </c>
      <c r="H332" s="89">
        <v>10941</v>
      </c>
      <c r="I332" s="89">
        <v>96.01</v>
      </c>
      <c r="J332" s="89">
        <v>0.7</v>
      </c>
      <c r="K332" s="89">
        <v>8.85</v>
      </c>
      <c r="L332" s="89">
        <v>82812104.379999995</v>
      </c>
      <c r="M332" s="89">
        <v>69528097.980000004</v>
      </c>
      <c r="N332" s="89">
        <v>44999.22</v>
      </c>
    </row>
    <row r="333" spans="1:14" x14ac:dyDescent="0.2">
      <c r="A333" s="89" t="s">
        <v>270</v>
      </c>
      <c r="B333" s="89">
        <v>4123956</v>
      </c>
      <c r="C333" s="89" t="s">
        <v>7255</v>
      </c>
      <c r="D333" s="89" t="s">
        <v>7254</v>
      </c>
      <c r="E333" s="89">
        <v>260.488</v>
      </c>
      <c r="F333" s="89">
        <v>3356</v>
      </c>
      <c r="G333" s="89">
        <v>12.91</v>
      </c>
      <c r="H333" s="89">
        <v>3361</v>
      </c>
      <c r="I333" s="89">
        <v>98.18</v>
      </c>
      <c r="J333" s="89">
        <v>0.70399999999999996</v>
      </c>
      <c r="K333" s="89">
        <v>30.3</v>
      </c>
      <c r="L333" s="89">
        <v>45476774.93</v>
      </c>
      <c r="M333" s="89">
        <v>42853780.490000002</v>
      </c>
      <c r="N333" s="89">
        <v>34407.39</v>
      </c>
    </row>
    <row r="334" spans="1:14" x14ac:dyDescent="0.2">
      <c r="A334" s="89" t="s">
        <v>38</v>
      </c>
      <c r="B334" s="89">
        <v>4124004</v>
      </c>
      <c r="C334" s="89" t="s">
        <v>7253</v>
      </c>
      <c r="D334" s="89" t="s">
        <v>7252</v>
      </c>
      <c r="E334" s="89">
        <v>251.83099999999999</v>
      </c>
      <c r="F334" s="89">
        <v>5514</v>
      </c>
      <c r="G334" s="89">
        <v>21.94</v>
      </c>
      <c r="H334" s="89">
        <v>5646</v>
      </c>
      <c r="I334" s="89">
        <v>99.06</v>
      </c>
      <c r="J334" s="89">
        <v>0.68700000000000006</v>
      </c>
      <c r="K334" s="89" t="s">
        <v>1228</v>
      </c>
      <c r="L334" s="89">
        <v>56627089.310000002</v>
      </c>
      <c r="M334" s="89">
        <v>54205320.009999998</v>
      </c>
      <c r="N334" s="89">
        <v>33377.18</v>
      </c>
    </row>
    <row r="335" spans="1:14" x14ac:dyDescent="0.2">
      <c r="A335" s="89" t="s">
        <v>348</v>
      </c>
      <c r="B335" s="89">
        <v>4124020</v>
      </c>
      <c r="C335" s="89" t="s">
        <v>7251</v>
      </c>
      <c r="D335" s="89" t="s">
        <v>7250</v>
      </c>
      <c r="E335" s="89">
        <v>327.73700000000002</v>
      </c>
      <c r="F335" s="89">
        <v>13174</v>
      </c>
      <c r="G335" s="89">
        <v>40.39</v>
      </c>
      <c r="H335" s="89">
        <v>13938</v>
      </c>
      <c r="I335" s="89">
        <v>99.26</v>
      </c>
      <c r="J335" s="89">
        <v>0.70499999999999996</v>
      </c>
      <c r="K335" s="89">
        <v>15.38</v>
      </c>
      <c r="L335" s="89">
        <v>95634058.780000001</v>
      </c>
      <c r="M335" s="89">
        <v>86612990.75</v>
      </c>
      <c r="N335" s="89">
        <v>54145.66</v>
      </c>
    </row>
    <row r="336" spans="1:14" x14ac:dyDescent="0.2">
      <c r="A336" s="89" t="s">
        <v>316</v>
      </c>
      <c r="B336" s="89">
        <v>4124053</v>
      </c>
      <c r="C336" s="89" t="s">
        <v>7249</v>
      </c>
      <c r="D336" s="89" t="s">
        <v>7248</v>
      </c>
      <c r="E336" s="89">
        <v>270.94900000000001</v>
      </c>
      <c r="F336" s="89">
        <v>24262</v>
      </c>
      <c r="G336" s="89">
        <v>90.44</v>
      </c>
      <c r="H336" s="89">
        <v>25300</v>
      </c>
      <c r="I336" s="89">
        <v>99.34</v>
      </c>
      <c r="J336" s="89">
        <v>0.73799999999999999</v>
      </c>
      <c r="K336" s="89">
        <v>19.23</v>
      </c>
      <c r="L336" s="89">
        <v>192088836.41</v>
      </c>
      <c r="M336" s="89">
        <v>170866924.97999999</v>
      </c>
      <c r="N336" s="89">
        <v>31536.73</v>
      </c>
    </row>
    <row r="337" spans="1:14" x14ac:dyDescent="0.2">
      <c r="A337" s="89" t="s">
        <v>147</v>
      </c>
      <c r="B337" s="89">
        <v>4124103</v>
      </c>
      <c r="C337" s="89" t="s">
        <v>7247</v>
      </c>
      <c r="D337" s="89" t="s">
        <v>7246</v>
      </c>
      <c r="E337" s="89">
        <v>720.38499999999999</v>
      </c>
      <c r="F337" s="89">
        <v>44369</v>
      </c>
      <c r="G337" s="89">
        <v>61.5</v>
      </c>
      <c r="H337" s="89">
        <v>45628</v>
      </c>
      <c r="I337" s="89">
        <v>99.04</v>
      </c>
      <c r="J337" s="89">
        <v>0.71799999999999997</v>
      </c>
      <c r="K337" s="89">
        <v>5.21</v>
      </c>
      <c r="L337" s="89">
        <v>228591445.28</v>
      </c>
      <c r="M337" s="89">
        <v>194971261.81</v>
      </c>
      <c r="N337" s="89">
        <v>41422.699999999997</v>
      </c>
    </row>
    <row r="338" spans="1:14" x14ac:dyDescent="0.2">
      <c r="A338" s="89" t="s">
        <v>233</v>
      </c>
      <c r="B338" s="89">
        <v>4124202</v>
      </c>
      <c r="C338" s="89" t="s">
        <v>7243</v>
      </c>
      <c r="D338" s="89" t="s">
        <v>7245</v>
      </c>
      <c r="E338" s="89">
        <v>221.39099999999999</v>
      </c>
      <c r="F338" s="89">
        <v>2493</v>
      </c>
      <c r="G338" s="89">
        <v>11.38</v>
      </c>
      <c r="H338" s="89">
        <v>2474</v>
      </c>
      <c r="I338" s="89">
        <v>100</v>
      </c>
      <c r="J338" s="89">
        <v>0.69599999999999995</v>
      </c>
      <c r="K338" s="89">
        <v>43.48</v>
      </c>
      <c r="L338" s="89">
        <v>36279251.460000001</v>
      </c>
      <c r="M338" s="89">
        <v>30950587.850000001</v>
      </c>
      <c r="N338" s="89">
        <v>28089.38</v>
      </c>
    </row>
    <row r="339" spans="1:14" x14ac:dyDescent="0.2">
      <c r="A339" s="89" t="s">
        <v>124</v>
      </c>
      <c r="B339" s="89">
        <v>4124301</v>
      </c>
      <c r="C339" s="89" t="s">
        <v>7243</v>
      </c>
      <c r="D339" s="89" t="s">
        <v>7244</v>
      </c>
      <c r="E339" s="89">
        <v>162.64699999999999</v>
      </c>
      <c r="F339" s="89">
        <v>2125</v>
      </c>
      <c r="G339" s="89">
        <v>12.72</v>
      </c>
      <c r="H339" s="89">
        <v>2088</v>
      </c>
      <c r="I339" s="89">
        <v>100</v>
      </c>
      <c r="J339" s="89">
        <v>0.71599999999999997</v>
      </c>
      <c r="K339" s="89" t="s">
        <v>1228</v>
      </c>
      <c r="L339" s="89">
        <v>40519791.039999999</v>
      </c>
      <c r="M339" s="89">
        <v>29196003.640000001</v>
      </c>
      <c r="N339" s="89">
        <v>54023.07</v>
      </c>
    </row>
    <row r="340" spans="1:14" x14ac:dyDescent="0.2">
      <c r="A340" s="89" t="s">
        <v>374</v>
      </c>
      <c r="B340" s="89">
        <v>4124400</v>
      </c>
      <c r="C340" s="89" t="s">
        <v>7243</v>
      </c>
      <c r="D340" s="89" t="s">
        <v>7242</v>
      </c>
      <c r="E340" s="89">
        <v>327.00799999999998</v>
      </c>
      <c r="F340" s="89">
        <v>23673</v>
      </c>
      <c r="G340" s="89">
        <v>72.69</v>
      </c>
      <c r="H340" s="89">
        <v>24980</v>
      </c>
      <c r="I340" s="89">
        <v>98.67</v>
      </c>
      <c r="J340" s="89">
        <v>0.67100000000000004</v>
      </c>
      <c r="K340" s="89">
        <v>14.81</v>
      </c>
      <c r="L340" s="89">
        <v>137369647.03</v>
      </c>
      <c r="M340" s="89">
        <v>126097659.34999999</v>
      </c>
      <c r="N340" s="89">
        <v>33999.339999999997</v>
      </c>
    </row>
    <row r="341" spans="1:14" x14ac:dyDescent="0.2">
      <c r="A341" s="89" t="s">
        <v>109</v>
      </c>
      <c r="B341" s="89">
        <v>4124509</v>
      </c>
      <c r="C341" s="89" t="s">
        <v>7241</v>
      </c>
      <c r="D341" s="89" t="s">
        <v>7240</v>
      </c>
      <c r="E341" s="89">
        <v>278.541</v>
      </c>
      <c r="F341" s="89">
        <v>6181</v>
      </c>
      <c r="G341" s="89">
        <v>22.06</v>
      </c>
      <c r="H341" s="89">
        <v>6463</v>
      </c>
      <c r="I341" s="89">
        <v>99.22</v>
      </c>
      <c r="J341" s="89">
        <v>0.73899999999999999</v>
      </c>
      <c r="K341" s="89">
        <v>11.9</v>
      </c>
      <c r="L341" s="89">
        <v>62120929.590000004</v>
      </c>
      <c r="M341" s="89">
        <v>52065578.159999996</v>
      </c>
      <c r="N341" s="89">
        <v>135370.89000000001</v>
      </c>
    </row>
    <row r="342" spans="1:14" x14ac:dyDescent="0.2">
      <c r="A342" s="89" t="s">
        <v>219</v>
      </c>
      <c r="B342" s="89">
        <v>4124608</v>
      </c>
      <c r="C342" s="89" t="s">
        <v>7239</v>
      </c>
      <c r="D342" s="89" t="s">
        <v>7238</v>
      </c>
      <c r="E342" s="89">
        <v>225.07900000000001</v>
      </c>
      <c r="F342" s="89">
        <v>6587</v>
      </c>
      <c r="G342" s="89">
        <v>29.27</v>
      </c>
      <c r="H342" s="89">
        <v>6727</v>
      </c>
      <c r="I342" s="89">
        <v>98.2</v>
      </c>
      <c r="J342" s="89">
        <v>0.68200000000000005</v>
      </c>
      <c r="K342" s="89">
        <v>34.880000000000003</v>
      </c>
      <c r="L342" s="89">
        <v>60180822.520000003</v>
      </c>
      <c r="M342" s="89">
        <v>55493107.030000001</v>
      </c>
      <c r="N342" s="89">
        <v>86205.53</v>
      </c>
    </row>
    <row r="343" spans="1:14" x14ac:dyDescent="0.2">
      <c r="A343" s="89" t="s">
        <v>125</v>
      </c>
      <c r="B343" s="89">
        <v>4124707</v>
      </c>
      <c r="C343" s="89" t="s">
        <v>7237</v>
      </c>
      <c r="D343" s="89" t="s">
        <v>7236</v>
      </c>
      <c r="E343" s="89">
        <v>824.26800000000003</v>
      </c>
      <c r="F343" s="89">
        <v>10830</v>
      </c>
      <c r="G343" s="89">
        <v>13.15</v>
      </c>
      <c r="H343" s="89">
        <v>10884</v>
      </c>
      <c r="I343" s="89">
        <v>98.72</v>
      </c>
      <c r="J343" s="89">
        <v>0.63700000000000001</v>
      </c>
      <c r="K343" s="89">
        <v>24.69</v>
      </c>
      <c r="L343" s="89">
        <v>76843342.019999996</v>
      </c>
      <c r="M343" s="89">
        <v>67370860.739999995</v>
      </c>
      <c r="N343" s="89">
        <v>32253.51</v>
      </c>
    </row>
    <row r="344" spans="1:14" x14ac:dyDescent="0.2">
      <c r="A344" s="89" t="s">
        <v>483</v>
      </c>
      <c r="B344" s="89">
        <v>4124806</v>
      </c>
      <c r="C344" s="89" t="s">
        <v>7232</v>
      </c>
      <c r="D344" s="89" t="s">
        <v>7235</v>
      </c>
      <c r="E344" s="89">
        <v>387.15</v>
      </c>
      <c r="F344" s="89">
        <v>11886</v>
      </c>
      <c r="G344" s="89">
        <v>30.63</v>
      </c>
      <c r="H344" s="89">
        <v>12297</v>
      </c>
      <c r="I344" s="89">
        <v>98.49</v>
      </c>
      <c r="J344" s="89">
        <v>0.72699999999999998</v>
      </c>
      <c r="K344" s="89">
        <v>7.52</v>
      </c>
      <c r="L344" s="89">
        <v>96026660.510000005</v>
      </c>
      <c r="M344" s="89">
        <v>90798390.109999999</v>
      </c>
      <c r="N344" s="89">
        <v>102656.75</v>
      </c>
    </row>
    <row r="345" spans="1:14" x14ac:dyDescent="0.2">
      <c r="A345" s="89" t="s">
        <v>234</v>
      </c>
      <c r="B345" s="89">
        <v>4124905</v>
      </c>
      <c r="C345" s="89" t="s">
        <v>7234</v>
      </c>
      <c r="D345" s="89" t="s">
        <v>7233</v>
      </c>
      <c r="E345" s="89">
        <v>305.38799999999998</v>
      </c>
      <c r="F345" s="89">
        <v>5586</v>
      </c>
      <c r="G345" s="89">
        <v>18.350000000000001</v>
      </c>
      <c r="H345" s="89">
        <v>5607</v>
      </c>
      <c r="I345" s="89">
        <v>98.9</v>
      </c>
      <c r="J345" s="89">
        <v>0.66400000000000003</v>
      </c>
      <c r="K345" s="89" t="s">
        <v>1228</v>
      </c>
      <c r="L345" s="89">
        <v>48393264.189999998</v>
      </c>
      <c r="M345" s="89">
        <v>42558899.189999998</v>
      </c>
      <c r="N345" s="89">
        <v>34310</v>
      </c>
    </row>
    <row r="346" spans="1:14" x14ac:dyDescent="0.2">
      <c r="A346" s="89" t="s">
        <v>163</v>
      </c>
      <c r="B346" s="89">
        <v>4125001</v>
      </c>
      <c r="C346" s="89" t="s">
        <v>7232</v>
      </c>
      <c r="D346" s="89" t="s">
        <v>7231</v>
      </c>
      <c r="E346" s="89">
        <v>351.88499999999999</v>
      </c>
      <c r="F346" s="89">
        <v>10667</v>
      </c>
      <c r="G346" s="89">
        <v>30.19</v>
      </c>
      <c r="H346" s="89">
        <v>10639</v>
      </c>
      <c r="I346" s="89">
        <v>100</v>
      </c>
      <c r="J346" s="89">
        <v>0.69299999999999995</v>
      </c>
      <c r="K346" s="89">
        <v>23.08</v>
      </c>
      <c r="L346" s="89">
        <v>72805760.400000006</v>
      </c>
      <c r="M346" s="89">
        <v>63620403.549999997</v>
      </c>
      <c r="N346" s="89">
        <v>38494.18</v>
      </c>
    </row>
    <row r="347" spans="1:14" x14ac:dyDescent="0.2">
      <c r="A347" s="89" t="s">
        <v>24</v>
      </c>
      <c r="B347" s="89">
        <v>4125100</v>
      </c>
      <c r="C347" s="89" t="s">
        <v>7230</v>
      </c>
      <c r="D347" s="89" t="s">
        <v>7229</v>
      </c>
      <c r="E347" s="89">
        <v>718.68</v>
      </c>
      <c r="F347" s="89">
        <v>13726</v>
      </c>
      <c r="G347" s="89">
        <v>19.05</v>
      </c>
      <c r="H347" s="89">
        <v>13899</v>
      </c>
      <c r="I347" s="89">
        <v>100</v>
      </c>
      <c r="J347" s="89">
        <v>0.629</v>
      </c>
      <c r="K347" s="89">
        <v>19.87</v>
      </c>
      <c r="L347" s="89">
        <v>96925898.769999996</v>
      </c>
      <c r="M347" s="89">
        <v>86276334.040000007</v>
      </c>
      <c r="N347" s="89">
        <v>63813.74</v>
      </c>
    </row>
    <row r="348" spans="1:14" x14ac:dyDescent="0.2">
      <c r="A348" s="89" t="s">
        <v>7071</v>
      </c>
      <c r="B348" s="89">
        <v>4125209</v>
      </c>
      <c r="C348" s="89" t="s">
        <v>7228</v>
      </c>
      <c r="D348" s="89" t="s">
        <v>7227</v>
      </c>
      <c r="E348" s="89">
        <v>379.44200000000001</v>
      </c>
      <c r="F348" s="89">
        <v>9378</v>
      </c>
      <c r="G348" s="89">
        <v>24.71</v>
      </c>
      <c r="H348" s="89">
        <v>9587</v>
      </c>
      <c r="I348" s="89">
        <v>100</v>
      </c>
      <c r="J348" s="89">
        <v>0.72199999999999998</v>
      </c>
      <c r="K348" s="89">
        <v>8.33</v>
      </c>
      <c r="L348" s="89">
        <v>87956660.159999996</v>
      </c>
      <c r="M348" s="89">
        <v>85532403.870000005</v>
      </c>
      <c r="N348" s="89">
        <v>56677.43</v>
      </c>
    </row>
    <row r="349" spans="1:14" x14ac:dyDescent="0.2">
      <c r="A349" s="89" t="s">
        <v>220</v>
      </c>
      <c r="B349" s="89">
        <v>4125308</v>
      </c>
      <c r="C349" s="89" t="s">
        <v>7226</v>
      </c>
      <c r="D349" s="89" t="s">
        <v>7225</v>
      </c>
      <c r="E349" s="89">
        <v>315.08800000000002</v>
      </c>
      <c r="F349" s="89">
        <v>5168</v>
      </c>
      <c r="G349" s="89">
        <v>16.399999999999999</v>
      </c>
      <c r="H349" s="89">
        <v>5170</v>
      </c>
      <c r="I349" s="89">
        <v>99.4</v>
      </c>
      <c r="J349" s="89">
        <v>0.74299999999999999</v>
      </c>
      <c r="K349" s="89">
        <v>23.26</v>
      </c>
      <c r="L349" s="89">
        <v>60805933.079999998</v>
      </c>
      <c r="M349" s="89">
        <v>51003556</v>
      </c>
      <c r="N349" s="89">
        <v>80750.080000000002</v>
      </c>
    </row>
    <row r="350" spans="1:14" x14ac:dyDescent="0.2">
      <c r="A350" s="89" t="s">
        <v>283</v>
      </c>
      <c r="B350" s="89">
        <v>4125357</v>
      </c>
      <c r="C350" s="89" t="s">
        <v>7224</v>
      </c>
      <c r="D350" s="89" t="s">
        <v>7223</v>
      </c>
      <c r="E350" s="89">
        <v>404.01799999999997</v>
      </c>
      <c r="F350" s="89">
        <v>6504</v>
      </c>
      <c r="G350" s="89">
        <v>16</v>
      </c>
      <c r="H350" s="89">
        <v>6690</v>
      </c>
      <c r="I350" s="89">
        <v>98.46</v>
      </c>
      <c r="J350" s="89">
        <v>0.67600000000000005</v>
      </c>
      <c r="K350" s="89">
        <v>14.08</v>
      </c>
      <c r="L350" s="89">
        <v>79159883.840000004</v>
      </c>
      <c r="M350" s="89">
        <v>62116628.609999999</v>
      </c>
      <c r="N350" s="89">
        <v>28172.13</v>
      </c>
    </row>
    <row r="351" spans="1:14" x14ac:dyDescent="0.2">
      <c r="A351" s="89" t="s">
        <v>39</v>
      </c>
      <c r="B351" s="89">
        <v>4125407</v>
      </c>
      <c r="C351" s="89" t="s">
        <v>7222</v>
      </c>
      <c r="D351" s="89" t="s">
        <v>7221</v>
      </c>
      <c r="E351" s="89">
        <v>399.88600000000002</v>
      </c>
      <c r="F351" s="89">
        <v>6040</v>
      </c>
      <c r="G351" s="89">
        <v>15.11</v>
      </c>
      <c r="H351" s="89">
        <v>6023</v>
      </c>
      <c r="I351" s="89">
        <v>98.24</v>
      </c>
      <c r="J351" s="89">
        <v>0.67100000000000004</v>
      </c>
      <c r="K351" s="89">
        <v>24.39</v>
      </c>
      <c r="L351" s="89">
        <v>42084372.590000004</v>
      </c>
      <c r="M351" s="89">
        <v>34801204.369999997</v>
      </c>
      <c r="N351" s="89">
        <v>38516.720000000001</v>
      </c>
    </row>
    <row r="352" spans="1:14" x14ac:dyDescent="0.2">
      <c r="A352" s="89" t="s">
        <v>317</v>
      </c>
      <c r="B352" s="89">
        <v>4125456</v>
      </c>
      <c r="C352" s="89" t="s">
        <v>7220</v>
      </c>
      <c r="D352" s="89" t="s">
        <v>7219</v>
      </c>
      <c r="E352" s="89">
        <v>182.62700000000001</v>
      </c>
      <c r="F352" s="89">
        <v>3957</v>
      </c>
      <c r="G352" s="89">
        <v>21.69</v>
      </c>
      <c r="H352" s="89">
        <v>4031</v>
      </c>
      <c r="I352" s="89">
        <v>100</v>
      </c>
      <c r="J352" s="89">
        <v>0.71299999999999997</v>
      </c>
      <c r="K352" s="89" t="s">
        <v>1228</v>
      </c>
      <c r="L352" s="89">
        <v>36324974.229999997</v>
      </c>
      <c r="M352" s="89">
        <v>33497079.149999999</v>
      </c>
      <c r="N352" s="89">
        <v>27716.37</v>
      </c>
    </row>
    <row r="353" spans="1:14" x14ac:dyDescent="0.2">
      <c r="A353" s="89" t="s">
        <v>14</v>
      </c>
      <c r="B353" s="89">
        <v>4125506</v>
      </c>
      <c r="C353" s="89" t="s">
        <v>7218</v>
      </c>
      <c r="D353" s="89" t="s">
        <v>7217</v>
      </c>
      <c r="E353" s="89">
        <v>945.50900000000001</v>
      </c>
      <c r="F353" s="89">
        <v>329628</v>
      </c>
      <c r="G353" s="89">
        <v>348.28</v>
      </c>
      <c r="H353" s="89">
        <v>349880</v>
      </c>
      <c r="I353" s="89">
        <v>99.06</v>
      </c>
      <c r="J353" s="89">
        <v>0.75800000000000001</v>
      </c>
      <c r="K353" s="89">
        <v>7.8</v>
      </c>
      <c r="L353" s="89">
        <v>2343875840.4000001</v>
      </c>
      <c r="M353" s="89">
        <v>2276966091.5500002</v>
      </c>
      <c r="N353" s="89">
        <v>103019.05</v>
      </c>
    </row>
    <row r="354" spans="1:14" x14ac:dyDescent="0.2">
      <c r="A354" s="89" t="s">
        <v>221</v>
      </c>
      <c r="B354" s="89">
        <v>4125555</v>
      </c>
      <c r="C354" s="89" t="s">
        <v>7216</v>
      </c>
      <c r="D354" s="89" t="s">
        <v>7215</v>
      </c>
      <c r="E354" s="89">
        <v>95.381</v>
      </c>
      <c r="F354" s="89">
        <v>2138</v>
      </c>
      <c r="G354" s="89">
        <v>22.42</v>
      </c>
      <c r="H354" s="89">
        <v>2176</v>
      </c>
      <c r="I354" s="89">
        <v>92.22</v>
      </c>
      <c r="J354" s="89">
        <v>0.72499999999999998</v>
      </c>
      <c r="K354" s="89">
        <v>90.91</v>
      </c>
      <c r="L354" s="89">
        <v>41894977.960000001</v>
      </c>
      <c r="M354" s="89">
        <v>38709210.57</v>
      </c>
      <c r="N354" s="89">
        <v>38835.58</v>
      </c>
    </row>
    <row r="355" spans="1:14" x14ac:dyDescent="0.2">
      <c r="A355" s="89" t="s">
        <v>25</v>
      </c>
      <c r="B355" s="89">
        <v>4125605</v>
      </c>
      <c r="C355" s="89" t="s">
        <v>7214</v>
      </c>
      <c r="D355" s="89" t="s">
        <v>7213</v>
      </c>
      <c r="E355" s="89">
        <v>1344.742</v>
      </c>
      <c r="F355" s="89">
        <v>42366</v>
      </c>
      <c r="G355" s="89">
        <v>31.58</v>
      </c>
      <c r="H355" s="89">
        <v>43490</v>
      </c>
      <c r="I355" s="89">
        <v>98.93</v>
      </c>
      <c r="J355" s="89">
        <v>0.71899999999999997</v>
      </c>
      <c r="K355" s="89">
        <v>9.86</v>
      </c>
      <c r="L355" s="89">
        <v>312329259.58999997</v>
      </c>
      <c r="M355" s="89">
        <v>296121363.99000001</v>
      </c>
      <c r="N355" s="89">
        <v>45653.17</v>
      </c>
    </row>
    <row r="356" spans="1:14" x14ac:dyDescent="0.2">
      <c r="A356" s="89" t="s">
        <v>318</v>
      </c>
      <c r="B356" s="89">
        <v>4125704</v>
      </c>
      <c r="C356" s="89" t="s">
        <v>7212</v>
      </c>
      <c r="D356" s="89" t="s">
        <v>7211</v>
      </c>
      <c r="E356" s="89">
        <v>852.13300000000004</v>
      </c>
      <c r="F356" s="89">
        <v>29122</v>
      </c>
      <c r="G356" s="89">
        <v>34.18</v>
      </c>
      <c r="H356" s="89">
        <v>30416</v>
      </c>
      <c r="I356" s="89">
        <v>98.88</v>
      </c>
      <c r="J356" s="89">
        <v>0.70399999999999996</v>
      </c>
      <c r="K356" s="89">
        <v>4.8899999999999997</v>
      </c>
      <c r="L356" s="89">
        <v>266676153.59999999</v>
      </c>
      <c r="M356" s="89">
        <v>234534830.03</v>
      </c>
      <c r="N356" s="89">
        <v>50972.2</v>
      </c>
    </row>
    <row r="357" spans="1:14" x14ac:dyDescent="0.2">
      <c r="A357" s="89" t="s">
        <v>319</v>
      </c>
      <c r="B357" s="89">
        <v>4125753</v>
      </c>
      <c r="C357" s="89" t="s">
        <v>7210</v>
      </c>
      <c r="D357" s="89" t="s">
        <v>7209</v>
      </c>
      <c r="E357" s="89">
        <v>309.10000000000002</v>
      </c>
      <c r="F357" s="89">
        <v>5784</v>
      </c>
      <c r="G357" s="89">
        <v>18.760000000000002</v>
      </c>
      <c r="H357" s="89">
        <v>5730</v>
      </c>
      <c r="I357" s="89">
        <v>99.4</v>
      </c>
      <c r="J357" s="89">
        <v>0.68300000000000005</v>
      </c>
      <c r="K357" s="89">
        <v>12.35</v>
      </c>
      <c r="L357" s="89">
        <v>55282258.409999996</v>
      </c>
      <c r="M357" s="89">
        <v>51716440.200000003</v>
      </c>
      <c r="N357" s="89">
        <v>46313.37</v>
      </c>
    </row>
    <row r="358" spans="1:14" x14ac:dyDescent="0.2">
      <c r="A358" s="89" t="s">
        <v>164</v>
      </c>
      <c r="B358" s="89">
        <v>4125803</v>
      </c>
      <c r="C358" s="89" t="s">
        <v>7208</v>
      </c>
      <c r="D358" s="89" t="s">
        <v>7207</v>
      </c>
      <c r="E358" s="89">
        <v>323.21300000000002</v>
      </c>
      <c r="F358" s="89">
        <v>8690</v>
      </c>
      <c r="G358" s="89">
        <v>26.93</v>
      </c>
      <c r="H358" s="89">
        <v>8514</v>
      </c>
      <c r="I358" s="89">
        <v>99.39</v>
      </c>
      <c r="J358" s="89">
        <v>0.71699999999999997</v>
      </c>
      <c r="K358" s="89" t="s">
        <v>1228</v>
      </c>
      <c r="L358" s="89">
        <v>65109252.049999997</v>
      </c>
      <c r="M358" s="89">
        <v>59958953.759999998</v>
      </c>
      <c r="N358" s="89">
        <v>52135.59</v>
      </c>
    </row>
    <row r="359" spans="1:14" x14ac:dyDescent="0.2">
      <c r="A359" s="89" t="s">
        <v>295</v>
      </c>
      <c r="B359" s="89">
        <v>4125902</v>
      </c>
      <c r="C359" s="89" t="s">
        <v>7206</v>
      </c>
      <c r="D359" s="89" t="s">
        <v>7205</v>
      </c>
      <c r="E359" s="89">
        <v>248.86500000000001</v>
      </c>
      <c r="F359" s="89">
        <v>2661</v>
      </c>
      <c r="G359" s="89">
        <v>10.62</v>
      </c>
      <c r="H359" s="89">
        <v>2726</v>
      </c>
      <c r="I359" s="89">
        <v>100</v>
      </c>
      <c r="J359" s="89">
        <v>0.70399999999999996</v>
      </c>
      <c r="K359" s="89" t="s">
        <v>1228</v>
      </c>
      <c r="L359" s="89">
        <v>56105468.899999999</v>
      </c>
      <c r="M359" s="89">
        <v>59112271.979999997</v>
      </c>
      <c r="N359" s="89">
        <v>41823.019999999997</v>
      </c>
    </row>
    <row r="360" spans="1:14" x14ac:dyDescent="0.2">
      <c r="A360" s="89" t="s">
        <v>126</v>
      </c>
      <c r="B360" s="89">
        <v>4126009</v>
      </c>
      <c r="C360" s="89" t="s">
        <v>7204</v>
      </c>
      <c r="D360" s="89" t="s">
        <v>7203</v>
      </c>
      <c r="E360" s="89">
        <v>226.87200000000001</v>
      </c>
      <c r="F360" s="89">
        <v>8063</v>
      </c>
      <c r="G360" s="89">
        <v>35.54</v>
      </c>
      <c r="H360" s="89">
        <v>8063</v>
      </c>
      <c r="I360" s="89">
        <v>100</v>
      </c>
      <c r="J360" s="89">
        <v>0.71499999999999997</v>
      </c>
      <c r="K360" s="89">
        <v>11.36</v>
      </c>
      <c r="L360" s="89">
        <v>53583017.009999998</v>
      </c>
      <c r="M360" s="89">
        <v>53444023.07</v>
      </c>
      <c r="N360" s="89">
        <v>34424.99</v>
      </c>
    </row>
    <row r="361" spans="1:14" x14ac:dyDescent="0.2">
      <c r="A361" s="89" t="s">
        <v>222</v>
      </c>
      <c r="B361" s="89">
        <v>4126108</v>
      </c>
      <c r="C361" s="89" t="s">
        <v>7202</v>
      </c>
      <c r="D361" s="89" t="s">
        <v>7201</v>
      </c>
      <c r="E361" s="89">
        <v>218.62299999999999</v>
      </c>
      <c r="F361" s="89">
        <v>5232</v>
      </c>
      <c r="G361" s="89">
        <v>23.93</v>
      </c>
      <c r="H361" s="89">
        <v>5282</v>
      </c>
      <c r="I361" s="89">
        <v>99.68</v>
      </c>
      <c r="J361" s="89">
        <v>0.72499999999999998</v>
      </c>
      <c r="K361" s="89" t="s">
        <v>1228</v>
      </c>
      <c r="L361" s="89">
        <v>56535927.939999998</v>
      </c>
      <c r="M361" s="89">
        <v>51329721.479999997</v>
      </c>
      <c r="N361" s="89">
        <v>42277.13</v>
      </c>
    </row>
    <row r="362" spans="1:14" x14ac:dyDescent="0.2">
      <c r="A362" s="89" t="s">
        <v>127</v>
      </c>
      <c r="B362" s="89">
        <v>4126207</v>
      </c>
      <c r="C362" s="89" t="s">
        <v>7200</v>
      </c>
      <c r="D362" s="89" t="s">
        <v>7199</v>
      </c>
      <c r="E362" s="89">
        <v>677.58799999999997</v>
      </c>
      <c r="F362" s="89">
        <v>6695</v>
      </c>
      <c r="G362" s="89">
        <v>9.8800000000000008</v>
      </c>
      <c r="H362" s="89">
        <v>6778</v>
      </c>
      <c r="I362" s="89">
        <v>98.32</v>
      </c>
      <c r="J362" s="89">
        <v>0.65500000000000003</v>
      </c>
      <c r="K362" s="89">
        <v>9.9</v>
      </c>
      <c r="L362" s="89">
        <v>55902598.259999998</v>
      </c>
      <c r="M362" s="89">
        <v>56483885.439999998</v>
      </c>
      <c r="N362" s="89">
        <v>27337.32</v>
      </c>
    </row>
    <row r="363" spans="1:14" x14ac:dyDescent="0.2">
      <c r="A363" s="89" t="s">
        <v>7070</v>
      </c>
      <c r="B363" s="89">
        <v>4126256</v>
      </c>
      <c r="C363" s="89" t="s">
        <v>7198</v>
      </c>
      <c r="D363" s="89" t="s">
        <v>7197</v>
      </c>
      <c r="E363" s="89">
        <v>103.94199999999999</v>
      </c>
      <c r="F363" s="89">
        <v>118455</v>
      </c>
      <c r="G363" s="89">
        <v>1144.48</v>
      </c>
      <c r="H363" s="89">
        <v>128106</v>
      </c>
      <c r="I363" s="89">
        <v>97.99</v>
      </c>
      <c r="J363" s="89">
        <v>0.69499999999999995</v>
      </c>
      <c r="K363" s="89">
        <v>12.89</v>
      </c>
      <c r="L363" s="89">
        <v>505417797.92000002</v>
      </c>
      <c r="M363" s="89">
        <v>434716350.27999997</v>
      </c>
      <c r="N363" s="89">
        <v>20249.8</v>
      </c>
    </row>
    <row r="364" spans="1:14" x14ac:dyDescent="0.2">
      <c r="A364" s="89" t="s">
        <v>381</v>
      </c>
      <c r="B364" s="89">
        <v>4126272</v>
      </c>
      <c r="C364" s="89" t="s">
        <v>7196</v>
      </c>
      <c r="D364" s="89" t="s">
        <v>7195</v>
      </c>
      <c r="E364" s="89">
        <v>152.084</v>
      </c>
      <c r="F364" s="89">
        <v>6108</v>
      </c>
      <c r="G364" s="89">
        <v>40.159999999999997</v>
      </c>
      <c r="H364" s="89">
        <v>6413</v>
      </c>
      <c r="I364" s="89">
        <v>98.52</v>
      </c>
      <c r="J364" s="89">
        <v>0.69899999999999995</v>
      </c>
      <c r="K364" s="89">
        <v>40.54</v>
      </c>
      <c r="L364" s="89">
        <v>75125377.109999999</v>
      </c>
      <c r="M364" s="89">
        <v>74339265.109999999</v>
      </c>
      <c r="N364" s="89">
        <v>187201.61</v>
      </c>
    </row>
    <row r="365" spans="1:14" x14ac:dyDescent="0.2">
      <c r="A365" s="89" t="s">
        <v>391</v>
      </c>
      <c r="B365" s="89">
        <v>4126306</v>
      </c>
      <c r="C365" s="89" t="s">
        <v>7194</v>
      </c>
      <c r="D365" s="89" t="s">
        <v>7193</v>
      </c>
      <c r="E365" s="89">
        <v>1438.17</v>
      </c>
      <c r="F365" s="89">
        <v>17270</v>
      </c>
      <c r="G365" s="89">
        <v>11.98</v>
      </c>
      <c r="H365" s="89">
        <v>17256</v>
      </c>
      <c r="I365" s="89">
        <v>99.34</v>
      </c>
      <c r="J365" s="89">
        <v>0.66300000000000003</v>
      </c>
      <c r="K365" s="89">
        <v>11.72</v>
      </c>
      <c r="L365" s="89">
        <v>142739525.13999999</v>
      </c>
      <c r="M365" s="89">
        <v>142854744.31</v>
      </c>
      <c r="N365" s="89">
        <v>40007.199999999997</v>
      </c>
    </row>
    <row r="366" spans="1:14" x14ac:dyDescent="0.2">
      <c r="A366" s="89" t="s">
        <v>320</v>
      </c>
      <c r="B366" s="89">
        <v>4126355</v>
      </c>
      <c r="C366" s="89" t="s">
        <v>7192</v>
      </c>
      <c r="D366" s="89" t="s">
        <v>7191</v>
      </c>
      <c r="E366" s="89">
        <v>482.98700000000002</v>
      </c>
      <c r="F366" s="89">
        <v>5007</v>
      </c>
      <c r="G366" s="89">
        <v>10.38</v>
      </c>
      <c r="H366" s="89">
        <v>5161</v>
      </c>
      <c r="I366" s="89">
        <v>99.35</v>
      </c>
      <c r="J366" s="89">
        <v>0.76200000000000001</v>
      </c>
      <c r="K366" s="89" t="s">
        <v>1228</v>
      </c>
      <c r="L366" s="89">
        <v>71789401.5</v>
      </c>
      <c r="M366" s="89">
        <v>64587269.289999999</v>
      </c>
      <c r="N366" s="89">
        <v>54438.48</v>
      </c>
    </row>
    <row r="367" spans="1:14" x14ac:dyDescent="0.2">
      <c r="A367" s="89" t="s">
        <v>128</v>
      </c>
      <c r="B367" s="89">
        <v>4126405</v>
      </c>
      <c r="C367" s="89" t="s">
        <v>7190</v>
      </c>
      <c r="D367" s="89" t="s">
        <v>7189</v>
      </c>
      <c r="E367" s="89">
        <v>444.49200000000002</v>
      </c>
      <c r="F367" s="89">
        <v>5616</v>
      </c>
      <c r="G367" s="89">
        <v>12.63</v>
      </c>
      <c r="H367" s="89">
        <v>5654</v>
      </c>
      <c r="I367" s="89">
        <v>100</v>
      </c>
      <c r="J367" s="89">
        <v>0.72499999999999998</v>
      </c>
      <c r="K367" s="89">
        <v>34.479999999999997</v>
      </c>
      <c r="L367" s="89">
        <v>69278011.930000007</v>
      </c>
      <c r="M367" s="89">
        <v>64537741.149999999</v>
      </c>
      <c r="N367" s="89">
        <v>82925.929999999993</v>
      </c>
    </row>
    <row r="368" spans="1:14" x14ac:dyDescent="0.2">
      <c r="A368" s="89" t="s">
        <v>112</v>
      </c>
      <c r="B368" s="89">
        <v>4126504</v>
      </c>
      <c r="C368" s="89" t="s">
        <v>7188</v>
      </c>
      <c r="D368" s="89" t="s">
        <v>7187</v>
      </c>
      <c r="E368" s="89">
        <v>505.48899999999998</v>
      </c>
      <c r="F368" s="89">
        <v>15930</v>
      </c>
      <c r="G368" s="89">
        <v>31.51</v>
      </c>
      <c r="H368" s="89">
        <v>16210</v>
      </c>
      <c r="I368" s="89">
        <v>99.66</v>
      </c>
      <c r="J368" s="89">
        <v>0.72299999999999998</v>
      </c>
      <c r="K368" s="89">
        <v>11.49</v>
      </c>
      <c r="L368" s="89">
        <v>123626357.69</v>
      </c>
      <c r="M368" s="89">
        <v>113592302.09999999</v>
      </c>
      <c r="N368" s="89">
        <v>54232.95</v>
      </c>
    </row>
    <row r="369" spans="1:14" x14ac:dyDescent="0.2">
      <c r="A369" s="89" t="s">
        <v>176</v>
      </c>
      <c r="B369" s="89">
        <v>4126603</v>
      </c>
      <c r="C369" s="89" t="s">
        <v>7186</v>
      </c>
      <c r="D369" s="89" t="s">
        <v>7185</v>
      </c>
      <c r="E369" s="89">
        <v>277.11200000000002</v>
      </c>
      <c r="F369" s="89">
        <v>22811</v>
      </c>
      <c r="G369" s="89">
        <v>82.04</v>
      </c>
      <c r="H369" s="89">
        <v>24031</v>
      </c>
      <c r="I369" s="89">
        <v>99.32</v>
      </c>
      <c r="J369" s="89">
        <v>0.70399999999999996</v>
      </c>
      <c r="K369" s="89">
        <v>6.15</v>
      </c>
      <c r="L369" s="89">
        <v>148839661.02000001</v>
      </c>
      <c r="M369" s="89">
        <v>124372266.81</v>
      </c>
      <c r="N369" s="89">
        <v>37311.870000000003</v>
      </c>
    </row>
    <row r="370" spans="1:14" x14ac:dyDescent="0.2">
      <c r="A370" s="89" t="s">
        <v>382</v>
      </c>
      <c r="B370" s="89">
        <v>4126652</v>
      </c>
      <c r="C370" s="89" t="s">
        <v>7184</v>
      </c>
      <c r="D370" s="89" t="s">
        <v>7183</v>
      </c>
      <c r="E370" s="89">
        <v>170.75899999999999</v>
      </c>
      <c r="F370" s="89">
        <v>3440</v>
      </c>
      <c r="G370" s="89">
        <v>20.149999999999999</v>
      </c>
      <c r="H370" s="89">
        <v>3498</v>
      </c>
      <c r="I370" s="89">
        <v>99.19</v>
      </c>
      <c r="J370" s="89">
        <v>0.69299999999999995</v>
      </c>
      <c r="K370" s="89" t="s">
        <v>1228</v>
      </c>
      <c r="L370" s="89">
        <v>51873453.460000001</v>
      </c>
      <c r="M370" s="89">
        <v>45813459.100000001</v>
      </c>
      <c r="N370" s="89">
        <v>55517.17</v>
      </c>
    </row>
    <row r="371" spans="1:14" x14ac:dyDescent="0.2">
      <c r="A371" s="89" t="s">
        <v>113</v>
      </c>
      <c r="B371" s="89">
        <v>4126678</v>
      </c>
      <c r="C371" s="89" t="s">
        <v>7182</v>
      </c>
      <c r="D371" s="89" t="s">
        <v>7181</v>
      </c>
      <c r="E371" s="89">
        <v>473.28300000000002</v>
      </c>
      <c r="F371" s="89">
        <v>10707</v>
      </c>
      <c r="G371" s="89">
        <v>22.68</v>
      </c>
      <c r="H371" s="89">
        <v>10540</v>
      </c>
      <c r="I371" s="89">
        <v>98.02</v>
      </c>
      <c r="J371" s="89">
        <v>0.621</v>
      </c>
      <c r="K371" s="89">
        <v>23.39</v>
      </c>
      <c r="L371" s="89">
        <v>91727623.75</v>
      </c>
      <c r="M371" s="89">
        <v>81977129.319999993</v>
      </c>
      <c r="N371" s="89">
        <v>44325.79</v>
      </c>
    </row>
    <row r="372" spans="1:14" x14ac:dyDescent="0.2">
      <c r="A372" s="89" t="s">
        <v>271</v>
      </c>
      <c r="B372" s="89">
        <v>4126702</v>
      </c>
      <c r="C372" s="89" t="s">
        <v>7180</v>
      </c>
      <c r="D372" s="89" t="s">
        <v>7179</v>
      </c>
      <c r="E372" s="89">
        <v>193.316</v>
      </c>
      <c r="F372" s="89">
        <v>4880</v>
      </c>
      <c r="G372" s="89">
        <v>25.24</v>
      </c>
      <c r="H372" s="89">
        <v>4986</v>
      </c>
      <c r="I372" s="89">
        <v>97.05</v>
      </c>
      <c r="J372" s="89">
        <v>0.73099999999999998</v>
      </c>
      <c r="K372" s="89">
        <v>37.74</v>
      </c>
      <c r="L372" s="89">
        <v>38303935.770000003</v>
      </c>
      <c r="M372" s="89">
        <v>36432991.07</v>
      </c>
      <c r="N372" s="89">
        <v>37734.730000000003</v>
      </c>
    </row>
    <row r="373" spans="1:14" x14ac:dyDescent="0.2">
      <c r="A373" s="89" t="s">
        <v>246</v>
      </c>
      <c r="B373" s="89">
        <v>4126801</v>
      </c>
      <c r="C373" s="89" t="s">
        <v>7178</v>
      </c>
      <c r="D373" s="89" t="s">
        <v>7177</v>
      </c>
      <c r="E373" s="89">
        <v>590.92700000000002</v>
      </c>
      <c r="F373" s="89">
        <v>15869</v>
      </c>
      <c r="G373" s="89">
        <v>26.83</v>
      </c>
      <c r="H373" s="89">
        <v>16326</v>
      </c>
      <c r="I373" s="89">
        <v>100</v>
      </c>
      <c r="J373" s="89">
        <v>0.70299999999999996</v>
      </c>
      <c r="K373" s="89">
        <v>12.42</v>
      </c>
      <c r="L373" s="89">
        <v>128728144.01000001</v>
      </c>
      <c r="M373" s="89">
        <v>109854927.68000001</v>
      </c>
      <c r="N373" s="89">
        <v>46073.66</v>
      </c>
    </row>
    <row r="374" spans="1:14" x14ac:dyDescent="0.2">
      <c r="A374" s="89" t="s">
        <v>272</v>
      </c>
      <c r="B374" s="89">
        <v>4126900</v>
      </c>
      <c r="C374" s="89" t="s">
        <v>7176</v>
      </c>
      <c r="D374" s="89" t="s">
        <v>7175</v>
      </c>
      <c r="E374" s="89">
        <v>434.37099999999998</v>
      </c>
      <c r="F374" s="89">
        <v>5745</v>
      </c>
      <c r="G374" s="89">
        <v>13.23</v>
      </c>
      <c r="H374" s="89">
        <v>5807</v>
      </c>
      <c r="I374" s="89">
        <v>97.03</v>
      </c>
      <c r="J374" s="89">
        <v>0.69699999999999995</v>
      </c>
      <c r="K374" s="89">
        <v>18.18</v>
      </c>
      <c r="L374" s="89">
        <v>55198079.700000003</v>
      </c>
      <c r="M374" s="89">
        <v>51369550.420000002</v>
      </c>
      <c r="N374" s="89">
        <v>32674.36</v>
      </c>
    </row>
    <row r="375" spans="1:14" x14ac:dyDescent="0.2">
      <c r="A375" s="89" t="s">
        <v>61</v>
      </c>
      <c r="B375" s="89">
        <v>4127007</v>
      </c>
      <c r="C375" s="89" t="s">
        <v>7174</v>
      </c>
      <c r="D375" s="89" t="s">
        <v>7173</v>
      </c>
      <c r="E375" s="89">
        <v>902.33399999999995</v>
      </c>
      <c r="F375" s="89">
        <v>9547</v>
      </c>
      <c r="G375" s="89">
        <v>10.57</v>
      </c>
      <c r="H375" s="89">
        <v>9540</v>
      </c>
      <c r="I375" s="89">
        <v>99.55</v>
      </c>
      <c r="J375" s="89">
        <v>0.67100000000000004</v>
      </c>
      <c r="K375" s="89">
        <v>23.62</v>
      </c>
      <c r="L375" s="89">
        <v>100453619.23999999</v>
      </c>
      <c r="M375" s="89">
        <v>91811836.790000007</v>
      </c>
      <c r="N375" s="89">
        <v>66312.25</v>
      </c>
    </row>
    <row r="376" spans="1:14" x14ac:dyDescent="0.2">
      <c r="A376" s="89" t="s">
        <v>52</v>
      </c>
      <c r="B376" s="89">
        <v>4127106</v>
      </c>
      <c r="C376" s="89" t="s">
        <v>7172</v>
      </c>
      <c r="D376" s="89" t="s">
        <v>7171</v>
      </c>
      <c r="E376" s="89">
        <v>1379.02</v>
      </c>
      <c r="F376" s="89">
        <v>75042</v>
      </c>
      <c r="G376" s="89">
        <v>54.27</v>
      </c>
      <c r="H376" s="89">
        <v>77479</v>
      </c>
      <c r="I376" s="89">
        <v>98.93</v>
      </c>
      <c r="J376" s="89">
        <v>0.73399999999999999</v>
      </c>
      <c r="K376" s="89">
        <v>10.97</v>
      </c>
      <c r="L376" s="89">
        <v>522751471.94999999</v>
      </c>
      <c r="M376" s="89">
        <v>470738306.22000003</v>
      </c>
      <c r="N376" s="89">
        <v>85411.18</v>
      </c>
    </row>
    <row r="377" spans="1:14" x14ac:dyDescent="0.2">
      <c r="A377" s="89" t="s">
        <v>206</v>
      </c>
      <c r="B377" s="89">
        <v>4127205</v>
      </c>
      <c r="C377" s="89" t="s">
        <v>7170</v>
      </c>
      <c r="D377" s="89" t="s">
        <v>7169</v>
      </c>
      <c r="E377" s="89">
        <v>323.63</v>
      </c>
      <c r="F377" s="89">
        <v>17568</v>
      </c>
      <c r="G377" s="89">
        <v>54.75</v>
      </c>
      <c r="H377" s="89">
        <v>18168</v>
      </c>
      <c r="I377" s="89">
        <v>99.72</v>
      </c>
      <c r="J377" s="89">
        <v>0.72799999999999998</v>
      </c>
      <c r="K377" s="89">
        <v>32.79</v>
      </c>
      <c r="L377" s="89">
        <v>133788251.52</v>
      </c>
      <c r="M377" s="89">
        <v>120554599.09</v>
      </c>
      <c r="N377" s="89">
        <v>40409.980000000003</v>
      </c>
    </row>
    <row r="378" spans="1:14" x14ac:dyDescent="0.2">
      <c r="A378" s="89" t="s">
        <v>235</v>
      </c>
      <c r="B378" s="89">
        <v>4127304</v>
      </c>
      <c r="C378" s="89" t="s">
        <v>7168</v>
      </c>
      <c r="D378" s="89" t="s">
        <v>7167</v>
      </c>
      <c r="E378" s="89">
        <v>698.25</v>
      </c>
      <c r="F378" s="89">
        <v>14842</v>
      </c>
      <c r="G378" s="89">
        <v>21.18</v>
      </c>
      <c r="H378" s="89">
        <v>14961</v>
      </c>
      <c r="I378" s="89">
        <v>98.95</v>
      </c>
      <c r="J378" s="89">
        <v>0.71</v>
      </c>
      <c r="K378" s="89">
        <v>12.66</v>
      </c>
      <c r="L378" s="89">
        <v>127916576.66</v>
      </c>
      <c r="M378" s="89">
        <v>110397046.31999999</v>
      </c>
      <c r="N378" s="89">
        <v>36352.67</v>
      </c>
    </row>
    <row r="379" spans="1:14" x14ac:dyDescent="0.2">
      <c r="A379" s="89" t="s">
        <v>328</v>
      </c>
      <c r="B379" s="89">
        <v>4127403</v>
      </c>
      <c r="C379" s="89" t="s">
        <v>7166</v>
      </c>
      <c r="D379" s="89" t="s">
        <v>7165</v>
      </c>
      <c r="E379" s="89">
        <v>801.13499999999999</v>
      </c>
      <c r="F379" s="89">
        <v>18119</v>
      </c>
      <c r="G379" s="89">
        <v>22.63</v>
      </c>
      <c r="H379" s="89">
        <v>18636</v>
      </c>
      <c r="I379" s="89">
        <v>99.23</v>
      </c>
      <c r="J379" s="89">
        <v>0.71399999999999997</v>
      </c>
      <c r="K379" s="89">
        <v>20.66</v>
      </c>
      <c r="L379" s="89">
        <v>154201744.74000001</v>
      </c>
      <c r="M379" s="89">
        <v>134369118.09</v>
      </c>
      <c r="N379" s="89">
        <v>50852.69</v>
      </c>
    </row>
    <row r="380" spans="1:14" x14ac:dyDescent="0.2">
      <c r="A380" s="89" t="s">
        <v>44</v>
      </c>
      <c r="B380" s="89">
        <v>4127502</v>
      </c>
      <c r="C380" s="89" t="s">
        <v>7164</v>
      </c>
      <c r="D380" s="89" t="s">
        <v>7163</v>
      </c>
      <c r="E380" s="89">
        <v>2996.47</v>
      </c>
      <c r="F380" s="89">
        <v>19961</v>
      </c>
      <c r="G380" s="89">
        <v>6.7</v>
      </c>
      <c r="H380" s="89">
        <v>20374</v>
      </c>
      <c r="I380" s="89">
        <v>99.32</v>
      </c>
      <c r="J380" s="89">
        <v>0.66400000000000003</v>
      </c>
      <c r="K380" s="89">
        <v>3.5</v>
      </c>
      <c r="L380" s="89">
        <v>200312149.43000001</v>
      </c>
      <c r="M380" s="89">
        <v>163856952.91999999</v>
      </c>
      <c r="N380" s="89">
        <v>72572.740000000005</v>
      </c>
    </row>
    <row r="381" spans="1:14" x14ac:dyDescent="0.2">
      <c r="A381" s="89" t="s">
        <v>410</v>
      </c>
      <c r="B381" s="89">
        <v>4127601</v>
      </c>
      <c r="C381" s="89" t="s">
        <v>7162</v>
      </c>
      <c r="D381" s="89" t="s">
        <v>7161</v>
      </c>
      <c r="E381" s="89">
        <v>672.59900000000005</v>
      </c>
      <c r="F381" s="89">
        <v>17621</v>
      </c>
      <c r="G381" s="89">
        <v>26.23</v>
      </c>
      <c r="H381" s="89">
        <v>18458</v>
      </c>
      <c r="I381" s="89">
        <v>98.61</v>
      </c>
      <c r="J381" s="89">
        <v>0.63600000000000001</v>
      </c>
      <c r="K381" s="89">
        <v>13.76</v>
      </c>
      <c r="L381" s="89">
        <v>129359230.63</v>
      </c>
      <c r="M381" s="89">
        <v>125986993.04000001</v>
      </c>
      <c r="N381" s="89">
        <v>31449.71</v>
      </c>
    </row>
    <row r="382" spans="1:14" x14ac:dyDescent="0.2">
      <c r="A382" s="89" t="s">
        <v>321</v>
      </c>
      <c r="B382" s="89">
        <v>4127700</v>
      </c>
      <c r="C382" s="89" t="s">
        <v>7160</v>
      </c>
      <c r="D382" s="89" t="s">
        <v>7159</v>
      </c>
      <c r="E382" s="89">
        <v>1197.223</v>
      </c>
      <c r="F382" s="89">
        <v>150470</v>
      </c>
      <c r="G382" s="89">
        <v>125.6</v>
      </c>
      <c r="H382" s="89">
        <v>160701</v>
      </c>
      <c r="I382" s="89">
        <v>99.68</v>
      </c>
      <c r="J382" s="89">
        <v>0.76800000000000002</v>
      </c>
      <c r="K382" s="89">
        <v>8.81</v>
      </c>
      <c r="L382" s="89">
        <v>1104883242.9200001</v>
      </c>
      <c r="M382" s="89">
        <v>1090843405.75</v>
      </c>
      <c r="N382" s="89">
        <v>63192.47</v>
      </c>
    </row>
    <row r="383" spans="1:14" x14ac:dyDescent="0.2">
      <c r="A383" s="89" t="s">
        <v>170</v>
      </c>
      <c r="B383" s="89">
        <v>4127809</v>
      </c>
      <c r="C383" s="89" t="s">
        <v>7158</v>
      </c>
      <c r="D383" s="89" t="s">
        <v>7157</v>
      </c>
      <c r="E383" s="89">
        <v>591.93899999999996</v>
      </c>
      <c r="F383" s="89">
        <v>8426</v>
      </c>
      <c r="G383" s="89">
        <v>14.25</v>
      </c>
      <c r="H383" s="89">
        <v>8523</v>
      </c>
      <c r="I383" s="89">
        <v>98.63</v>
      </c>
      <c r="J383" s="89">
        <v>0.69899999999999995</v>
      </c>
      <c r="K383" s="89">
        <v>11.49</v>
      </c>
      <c r="L383" s="89">
        <v>66647817.880000003</v>
      </c>
      <c r="M383" s="89">
        <v>55959805.950000003</v>
      </c>
      <c r="N383" s="89">
        <v>41593.230000000003</v>
      </c>
    </row>
    <row r="384" spans="1:14" x14ac:dyDescent="0.2">
      <c r="A384" s="89" t="s">
        <v>349</v>
      </c>
      <c r="B384" s="89">
        <v>4127858</v>
      </c>
      <c r="C384" s="89" t="s">
        <v>7156</v>
      </c>
      <c r="D384" s="89" t="s">
        <v>7155</v>
      </c>
      <c r="E384" s="89">
        <v>506.96300000000002</v>
      </c>
      <c r="F384" s="89">
        <v>11135</v>
      </c>
      <c r="G384" s="89">
        <v>22.03</v>
      </c>
      <c r="H384" s="89">
        <v>11157</v>
      </c>
      <c r="I384" s="89">
        <v>99.24</v>
      </c>
      <c r="J384" s="89">
        <v>0.68100000000000005</v>
      </c>
      <c r="K384" s="89" t="s">
        <v>1228</v>
      </c>
      <c r="L384" s="89">
        <v>105569148.31999999</v>
      </c>
      <c r="M384" s="89">
        <v>90629440.430000007</v>
      </c>
      <c r="N384" s="89">
        <v>40731.89</v>
      </c>
    </row>
    <row r="385" spans="1:14" x14ac:dyDescent="0.2">
      <c r="A385" s="89" t="s">
        <v>404</v>
      </c>
      <c r="B385" s="89">
        <v>4127882</v>
      </c>
      <c r="C385" s="89" t="s">
        <v>7154</v>
      </c>
      <c r="D385" s="89" t="s">
        <v>7153</v>
      </c>
      <c r="E385" s="89">
        <v>670.899</v>
      </c>
      <c r="F385" s="89">
        <v>6219</v>
      </c>
      <c r="G385" s="89">
        <v>9.3000000000000007</v>
      </c>
      <c r="H385" s="89">
        <v>6304</v>
      </c>
      <c r="I385" s="89">
        <v>100</v>
      </c>
      <c r="J385" s="89">
        <v>0.61099999999999999</v>
      </c>
      <c r="K385" s="89">
        <v>17.09</v>
      </c>
      <c r="L385" s="89">
        <v>64816436.530000001</v>
      </c>
      <c r="M385" s="89">
        <v>58658016.149999999</v>
      </c>
      <c r="N385" s="89">
        <v>22908.32</v>
      </c>
    </row>
    <row r="386" spans="1:14" x14ac:dyDescent="0.2">
      <c r="A386" s="89" t="s">
        <v>247</v>
      </c>
      <c r="B386" s="89">
        <v>4127908</v>
      </c>
      <c r="C386" s="89" t="s">
        <v>7152</v>
      </c>
      <c r="D386" s="89" t="s">
        <v>7151</v>
      </c>
      <c r="E386" s="89">
        <v>705.22900000000004</v>
      </c>
      <c r="F386" s="89">
        <v>8067</v>
      </c>
      <c r="G386" s="89">
        <v>11.54</v>
      </c>
      <c r="H386" s="89">
        <v>8067</v>
      </c>
      <c r="I386" s="89">
        <v>99.42</v>
      </c>
      <c r="J386" s="89">
        <v>0.69499999999999995</v>
      </c>
      <c r="K386" s="89">
        <v>11.49</v>
      </c>
      <c r="L386" s="89">
        <v>61637730.850000001</v>
      </c>
      <c r="M386" s="89">
        <v>51058364</v>
      </c>
      <c r="N386" s="89">
        <v>36881.29</v>
      </c>
    </row>
    <row r="387" spans="1:14" x14ac:dyDescent="0.2">
      <c r="A387" s="89" t="s">
        <v>337</v>
      </c>
      <c r="B387" s="89">
        <v>4127957</v>
      </c>
      <c r="C387" s="89" t="s">
        <v>7150</v>
      </c>
      <c r="D387" s="89" t="s">
        <v>7149</v>
      </c>
      <c r="E387" s="89">
        <v>299.09300000000002</v>
      </c>
      <c r="F387" s="89">
        <v>8077</v>
      </c>
      <c r="G387" s="89">
        <v>26.94</v>
      </c>
      <c r="H387" s="89">
        <v>8208</v>
      </c>
      <c r="I387" s="89">
        <v>98.87</v>
      </c>
      <c r="J387" s="89">
        <v>0.73</v>
      </c>
      <c r="K387" s="89">
        <v>27.03</v>
      </c>
      <c r="L387" s="89">
        <v>76107491.879999995</v>
      </c>
      <c r="M387" s="89">
        <v>72641918.5</v>
      </c>
      <c r="N387" s="89">
        <v>64432.01</v>
      </c>
    </row>
    <row r="388" spans="1:14" x14ac:dyDescent="0.2">
      <c r="A388" s="89" t="s">
        <v>70</v>
      </c>
      <c r="B388" s="89">
        <v>4127965</v>
      </c>
      <c r="C388" s="89" t="s">
        <v>7148</v>
      </c>
      <c r="D388" s="89" t="s">
        <v>7147</v>
      </c>
      <c r="E388" s="89">
        <v>936.03800000000001</v>
      </c>
      <c r="F388" s="89">
        <v>14231</v>
      </c>
      <c r="G388" s="89">
        <v>15.16</v>
      </c>
      <c r="H388" s="89">
        <v>14101</v>
      </c>
      <c r="I388" s="89">
        <v>99.1</v>
      </c>
      <c r="J388" s="89">
        <v>0.67200000000000004</v>
      </c>
      <c r="K388" s="89">
        <v>14.49</v>
      </c>
      <c r="L388" s="89">
        <v>122777210.73999999</v>
      </c>
      <c r="M388" s="89">
        <v>100704993.45</v>
      </c>
      <c r="N388" s="89">
        <v>49038.74</v>
      </c>
    </row>
    <row r="389" spans="1:14" x14ac:dyDescent="0.2">
      <c r="A389" s="89" t="s">
        <v>259</v>
      </c>
      <c r="B389" s="89">
        <v>4128005</v>
      </c>
      <c r="C389" s="89" t="s">
        <v>7146</v>
      </c>
      <c r="D389" s="89" t="s">
        <v>7145</v>
      </c>
      <c r="E389" s="89">
        <v>653.09699999999998</v>
      </c>
      <c r="F389" s="89">
        <v>24749</v>
      </c>
      <c r="G389" s="89">
        <v>37.92</v>
      </c>
      <c r="H389" s="89">
        <v>25732</v>
      </c>
      <c r="I389" s="89">
        <v>99.32</v>
      </c>
      <c r="J389" s="89">
        <v>0.73899999999999999</v>
      </c>
      <c r="K389" s="89">
        <v>5.97</v>
      </c>
      <c r="L389" s="89">
        <v>205146173.68000001</v>
      </c>
      <c r="M389" s="89">
        <v>171261828.15000001</v>
      </c>
      <c r="N389" s="89">
        <v>86060.93</v>
      </c>
    </row>
    <row r="390" spans="1:14" x14ac:dyDescent="0.2">
      <c r="A390" s="89" t="s">
        <v>248</v>
      </c>
      <c r="B390" s="89">
        <v>4128104</v>
      </c>
      <c r="C390" s="89" t="s">
        <v>7144</v>
      </c>
      <c r="D390" s="89" t="s">
        <v>7143</v>
      </c>
      <c r="E390" s="89">
        <v>1233.9970000000001</v>
      </c>
      <c r="F390" s="89">
        <v>117095</v>
      </c>
      <c r="G390" s="89">
        <v>94.85</v>
      </c>
      <c r="H390" s="89">
        <v>123059</v>
      </c>
      <c r="I390" s="89">
        <v>99.19</v>
      </c>
      <c r="J390" s="89">
        <v>0.76100000000000001</v>
      </c>
      <c r="K390" s="89">
        <v>13.13</v>
      </c>
      <c r="L390" s="89">
        <v>782081262.21000004</v>
      </c>
      <c r="M390" s="89">
        <v>760232680.32000005</v>
      </c>
      <c r="N390" s="89">
        <v>43528.72</v>
      </c>
    </row>
    <row r="391" spans="1:14" x14ac:dyDescent="0.2">
      <c r="A391" s="89" t="s">
        <v>32</v>
      </c>
      <c r="B391" s="89">
        <v>4128203</v>
      </c>
      <c r="C391" s="89" t="s">
        <v>7142</v>
      </c>
      <c r="D391" s="89" t="s">
        <v>7141</v>
      </c>
      <c r="E391" s="89">
        <v>727.44299999999998</v>
      </c>
      <c r="F391" s="89">
        <v>55033</v>
      </c>
      <c r="G391" s="89">
        <v>76.430000000000007</v>
      </c>
      <c r="H391" s="89">
        <v>56560</v>
      </c>
      <c r="I391" s="89">
        <v>98.74</v>
      </c>
      <c r="J391" s="89">
        <v>0.74</v>
      </c>
      <c r="K391" s="89">
        <v>10.25</v>
      </c>
      <c r="L391" s="89">
        <v>321585464.85000002</v>
      </c>
      <c r="M391" s="89">
        <v>346428841.94</v>
      </c>
      <c r="N391" s="89">
        <v>40400.71</v>
      </c>
    </row>
    <row r="392" spans="1:14" x14ac:dyDescent="0.2">
      <c r="A392" s="89" t="s">
        <v>236</v>
      </c>
      <c r="B392" s="89">
        <v>4128302</v>
      </c>
      <c r="C392" s="89" t="s">
        <v>7140</v>
      </c>
      <c r="D392" s="89" t="s">
        <v>7139</v>
      </c>
      <c r="E392" s="89">
        <v>95.730999999999995</v>
      </c>
      <c r="F392" s="89">
        <v>2136</v>
      </c>
      <c r="G392" s="89">
        <v>22.53</v>
      </c>
      <c r="H392" s="89">
        <v>2106</v>
      </c>
      <c r="I392" s="89">
        <v>98.34</v>
      </c>
      <c r="J392" s="89">
        <v>0.72</v>
      </c>
      <c r="K392" s="89" t="s">
        <v>1228</v>
      </c>
      <c r="L392" s="89">
        <v>35806352.789999999</v>
      </c>
      <c r="M392" s="89">
        <v>31044213.75</v>
      </c>
      <c r="N392" s="89">
        <v>61640.73</v>
      </c>
    </row>
    <row r="393" spans="1:14" x14ac:dyDescent="0.2">
      <c r="A393" s="89" t="s">
        <v>129</v>
      </c>
      <c r="B393" s="89">
        <v>4128401</v>
      </c>
      <c r="C393" s="89" t="s">
        <v>7138</v>
      </c>
      <c r="D393" s="89" t="s">
        <v>7137</v>
      </c>
      <c r="E393" s="89">
        <v>235.85499999999999</v>
      </c>
      <c r="F393" s="89">
        <v>10406</v>
      </c>
      <c r="G393" s="89">
        <v>43.76</v>
      </c>
      <c r="H393" s="89">
        <v>10308</v>
      </c>
      <c r="I393" s="89">
        <v>99.28</v>
      </c>
      <c r="J393" s="89">
        <v>0.72099999999999997</v>
      </c>
      <c r="K393" s="89" t="s">
        <v>1228</v>
      </c>
      <c r="L393" s="89">
        <v>61027963.189999998</v>
      </c>
      <c r="M393" s="89">
        <v>54217214.700000003</v>
      </c>
      <c r="N393" s="89">
        <v>37963.93</v>
      </c>
    </row>
    <row r="394" spans="1:14" x14ac:dyDescent="0.2">
      <c r="A394" s="89" t="s">
        <v>41</v>
      </c>
      <c r="B394" s="89">
        <v>4128500</v>
      </c>
      <c r="C394" s="89" t="s">
        <v>7136</v>
      </c>
      <c r="D394" s="89" t="s">
        <v>7135</v>
      </c>
      <c r="E394" s="89">
        <v>397.685</v>
      </c>
      <c r="F394" s="89">
        <v>19188</v>
      </c>
      <c r="G394" s="89">
        <v>48.22</v>
      </c>
      <c r="H394" s="89">
        <v>19398</v>
      </c>
      <c r="I394" s="89">
        <v>100</v>
      </c>
      <c r="J394" s="89">
        <v>0.68700000000000006</v>
      </c>
      <c r="K394" s="89">
        <v>22.64</v>
      </c>
      <c r="L394" s="89">
        <v>111960106.94</v>
      </c>
      <c r="M394" s="89">
        <v>106037501.3</v>
      </c>
      <c r="N394" s="89">
        <v>39986.239999999998</v>
      </c>
    </row>
    <row r="395" spans="1:14" x14ac:dyDescent="0.2">
      <c r="A395" s="89" t="s">
        <v>40</v>
      </c>
      <c r="B395" s="89">
        <v>4128534</v>
      </c>
      <c r="C395" s="89" t="s">
        <v>7134</v>
      </c>
      <c r="D395" s="89" t="s">
        <v>7133</v>
      </c>
      <c r="E395" s="89">
        <v>819.33399999999995</v>
      </c>
      <c r="F395" s="89">
        <v>9681</v>
      </c>
      <c r="G395" s="89">
        <v>11.82</v>
      </c>
      <c r="H395" s="89">
        <v>9760</v>
      </c>
      <c r="I395" s="89">
        <v>98.75</v>
      </c>
      <c r="J395" s="89">
        <v>0.65</v>
      </c>
      <c r="K395" s="89">
        <v>23.81</v>
      </c>
      <c r="L395" s="89">
        <v>80621130.260000005</v>
      </c>
      <c r="M395" s="89">
        <v>62835457.280000001</v>
      </c>
      <c r="N395" s="89">
        <v>39126.519999999997</v>
      </c>
    </row>
    <row r="396" spans="1:14" x14ac:dyDescent="0.2">
      <c r="A396" s="89" t="s">
        <v>322</v>
      </c>
      <c r="B396" s="89">
        <v>4128559</v>
      </c>
      <c r="C396" s="89" t="s">
        <v>7132</v>
      </c>
      <c r="D396" s="89" t="s">
        <v>7131</v>
      </c>
      <c r="E396" s="89">
        <v>330.60199999999998</v>
      </c>
      <c r="F396" s="89">
        <v>8215</v>
      </c>
      <c r="G396" s="89">
        <v>25.12</v>
      </c>
      <c r="H396" s="89">
        <v>8178</v>
      </c>
      <c r="I396" s="89">
        <v>94.61</v>
      </c>
      <c r="J396" s="89">
        <v>0.69899999999999995</v>
      </c>
      <c r="K396" s="89" t="s">
        <v>1228</v>
      </c>
      <c r="L396" s="89">
        <v>62861471.75</v>
      </c>
      <c r="M396" s="89">
        <v>50668612.32</v>
      </c>
      <c r="N396" s="89">
        <v>40852.94</v>
      </c>
    </row>
    <row r="397" spans="1:14" x14ac:dyDescent="0.2">
      <c r="A397" s="89" t="s">
        <v>363</v>
      </c>
      <c r="B397" s="89">
        <v>4128609</v>
      </c>
      <c r="C397" s="89" t="s">
        <v>7130</v>
      </c>
      <c r="D397" s="89" t="s">
        <v>7129</v>
      </c>
      <c r="E397" s="89">
        <v>312.74400000000003</v>
      </c>
      <c r="F397" s="89">
        <v>7932</v>
      </c>
      <c r="G397" s="89">
        <v>25.44</v>
      </c>
      <c r="H397" s="89">
        <v>8077</v>
      </c>
      <c r="I397" s="89">
        <v>99.62</v>
      </c>
      <c r="J397" s="89">
        <v>0.72</v>
      </c>
      <c r="K397" s="89">
        <v>20.2</v>
      </c>
      <c r="L397" s="89">
        <v>72261267.579999998</v>
      </c>
      <c r="M397" s="89">
        <v>68405173.719999999</v>
      </c>
      <c r="N397" s="89">
        <v>76503.8</v>
      </c>
    </row>
    <row r="398" spans="1:14" x14ac:dyDescent="0.2">
      <c r="A398" s="89" t="s">
        <v>297</v>
      </c>
      <c r="B398" s="89">
        <v>4128625</v>
      </c>
      <c r="C398" s="89" t="s">
        <v>7128</v>
      </c>
      <c r="D398" s="89" t="s">
        <v>7127</v>
      </c>
      <c r="E398" s="89">
        <v>967.76300000000003</v>
      </c>
      <c r="F398" s="89">
        <v>3055</v>
      </c>
      <c r="G398" s="89">
        <v>3.16</v>
      </c>
      <c r="H398" s="89">
        <v>3067</v>
      </c>
      <c r="I398" s="89">
        <v>100</v>
      </c>
      <c r="J398" s="89">
        <v>0.67800000000000005</v>
      </c>
      <c r="K398" s="89" t="s">
        <v>1228</v>
      </c>
      <c r="L398" s="89">
        <v>56462728.299999997</v>
      </c>
      <c r="M398" s="89">
        <v>50528419.630000003</v>
      </c>
      <c r="N398" s="89">
        <v>48366.68</v>
      </c>
    </row>
    <row r="399" spans="1:14" x14ac:dyDescent="0.2">
      <c r="A399" s="89" t="s">
        <v>402</v>
      </c>
      <c r="B399" s="89">
        <v>4128633</v>
      </c>
      <c r="C399" s="89" t="s">
        <v>7126</v>
      </c>
      <c r="D399" s="89" t="s">
        <v>7125</v>
      </c>
      <c r="E399" s="89">
        <v>779.62800000000004</v>
      </c>
      <c r="F399" s="89">
        <v>5697</v>
      </c>
      <c r="G399" s="89">
        <v>7.33</v>
      </c>
      <c r="H399" s="89">
        <v>5744</v>
      </c>
      <c r="I399" s="89">
        <v>97.34</v>
      </c>
      <c r="J399" s="89">
        <v>0.54600000000000004</v>
      </c>
      <c r="K399" s="89" t="s">
        <v>1228</v>
      </c>
      <c r="L399" s="89">
        <v>45643892.670000002</v>
      </c>
      <c r="M399" s="89">
        <v>42697574.07</v>
      </c>
      <c r="N399" s="89">
        <v>20387.45</v>
      </c>
    </row>
    <row r="400" spans="1:14" x14ac:dyDescent="0.2">
      <c r="A400" s="89" t="s">
        <v>7069</v>
      </c>
      <c r="B400" s="89">
        <v>4128658</v>
      </c>
      <c r="C400" s="89" t="s">
        <v>7124</v>
      </c>
      <c r="D400" s="89" t="s">
        <v>7123</v>
      </c>
      <c r="E400" s="89">
        <v>248.583</v>
      </c>
      <c r="F400" s="89">
        <v>3811</v>
      </c>
      <c r="G400" s="89">
        <v>15.3</v>
      </c>
      <c r="H400" s="89">
        <v>3828</v>
      </c>
      <c r="I400" s="89">
        <v>100</v>
      </c>
      <c r="J400" s="89">
        <v>0.72199999999999998</v>
      </c>
      <c r="K400" s="89" t="s">
        <v>1228</v>
      </c>
      <c r="L400" s="89">
        <v>40345891.520000003</v>
      </c>
      <c r="M400" s="89">
        <v>40840340.420000002</v>
      </c>
      <c r="N400" s="89">
        <v>63389.93</v>
      </c>
    </row>
    <row r="401" spans="1:14" x14ac:dyDescent="0.2">
      <c r="A401" s="89" t="s">
        <v>390</v>
      </c>
      <c r="B401" s="89">
        <v>4128708</v>
      </c>
      <c r="C401" s="89" t="s">
        <v>7122</v>
      </c>
      <c r="D401" s="89" t="s">
        <v>7121</v>
      </c>
      <c r="E401" s="89">
        <v>308.08</v>
      </c>
      <c r="F401" s="89">
        <v>9706</v>
      </c>
      <c r="G401" s="89">
        <v>31.49</v>
      </c>
      <c r="H401" s="89">
        <v>10549</v>
      </c>
      <c r="I401" s="89">
        <v>97.79</v>
      </c>
      <c r="J401" s="89">
        <v>0.70199999999999996</v>
      </c>
      <c r="K401" s="89">
        <v>20.41</v>
      </c>
      <c r="L401" s="89">
        <v>73534641.909999996</v>
      </c>
      <c r="M401" s="89">
        <v>71561720.409999996</v>
      </c>
      <c r="N401" s="89">
        <v>65013.87</v>
      </c>
    </row>
    <row r="402" spans="1:14" x14ac:dyDescent="0.2">
      <c r="A402" s="89" t="s">
        <v>284</v>
      </c>
      <c r="B402" s="89">
        <v>4128807</v>
      </c>
      <c r="C402" s="89" t="s">
        <v>7120</v>
      </c>
      <c r="D402" s="89" t="s">
        <v>7119</v>
      </c>
      <c r="E402" s="89">
        <v>360.04399999999998</v>
      </c>
      <c r="F402" s="89">
        <v>5798</v>
      </c>
      <c r="G402" s="89">
        <v>16.12</v>
      </c>
      <c r="H402" s="89">
        <v>5835</v>
      </c>
      <c r="I402" s="89">
        <v>99.67</v>
      </c>
      <c r="J402" s="89">
        <v>0.70599999999999996</v>
      </c>
      <c r="K402" s="89" t="s">
        <v>1228</v>
      </c>
      <c r="L402" s="89">
        <v>59365335.600000001</v>
      </c>
      <c r="M402" s="89">
        <v>56195477.280000001</v>
      </c>
      <c r="N402" s="89">
        <v>23887.13</v>
      </c>
    </row>
    <row r="405" spans="1:14" x14ac:dyDescent="0.2">
      <c r="A405" s="89" t="s">
        <v>7118</v>
      </c>
    </row>
    <row r="406" spans="1:14" x14ac:dyDescent="0.2">
      <c r="A406" s="89" t="s">
        <v>7117</v>
      </c>
    </row>
    <row r="407" spans="1:14" x14ac:dyDescent="0.2">
      <c r="A407" s="89" t="s">
        <v>7116</v>
      </c>
    </row>
    <row r="408" spans="1:14" x14ac:dyDescent="0.2">
      <c r="A408" s="89" t="s">
        <v>7115</v>
      </c>
    </row>
    <row r="409" spans="1:14" x14ac:dyDescent="0.2">
      <c r="A409" s="89" t="s">
        <v>7114</v>
      </c>
    </row>
    <row r="410" spans="1:14" x14ac:dyDescent="0.2">
      <c r="A410" s="89" t="s">
        <v>7113</v>
      </c>
    </row>
    <row r="411" spans="1:14" x14ac:dyDescent="0.2">
      <c r="A411" s="89" t="s">
        <v>7112</v>
      </c>
    </row>
    <row r="412" spans="1:14" x14ac:dyDescent="0.2">
      <c r="A412" s="89" t="s">
        <v>7111</v>
      </c>
    </row>
    <row r="413" spans="1:14" x14ac:dyDescent="0.2">
      <c r="A413" s="89" t="s">
        <v>7110</v>
      </c>
    </row>
    <row r="414" spans="1:14" x14ac:dyDescent="0.2">
      <c r="A414" s="89" t="s">
        <v>7109</v>
      </c>
    </row>
    <row r="415" spans="1:14" x14ac:dyDescent="0.2">
      <c r="A415" s="89" t="s">
        <v>7108</v>
      </c>
    </row>
    <row r="416" spans="1:14" x14ac:dyDescent="0.2">
      <c r="A416" s="89" t="s">
        <v>7107</v>
      </c>
    </row>
    <row r="417" spans="1:1" x14ac:dyDescent="0.2">
      <c r="A417" s="89" t="s">
        <v>7106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C9A0-461B-4A4A-BC71-144284E3F419}">
  <dimension ref="A1:N403"/>
  <sheetViews>
    <sheetView workbookViewId="0">
      <selection activeCell="G28" sqref="G28"/>
    </sheetView>
  </sheetViews>
  <sheetFormatPr defaultRowHeight="12" x14ac:dyDescent="0.2"/>
  <cols>
    <col min="1" max="1" width="26.7109375" style="38" customWidth="1"/>
    <col min="2" max="4" width="11.7109375" style="39" customWidth="1"/>
    <col min="5" max="6" width="11.7109375" style="38" customWidth="1"/>
    <col min="7" max="7" width="11.7109375" style="40" customWidth="1"/>
    <col min="8" max="11" width="11.7109375" style="39" customWidth="1"/>
    <col min="12" max="13" width="11.7109375" style="38" customWidth="1"/>
    <col min="14" max="16384" width="9.140625" style="38"/>
  </cols>
  <sheetData>
    <row r="1" spans="1:14" s="89" customFormat="1" ht="19.5" x14ac:dyDescent="0.3">
      <c r="A1" s="138" t="s">
        <v>7096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 ht="17.25" customHeight="1" x14ac:dyDescent="0.2">
      <c r="A2" s="163" t="s">
        <v>7095</v>
      </c>
      <c r="B2" s="165" t="s">
        <v>7094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4" s="50" customFormat="1" ht="17.25" customHeight="1" x14ac:dyDescent="0.2">
      <c r="A3" s="164"/>
      <c r="B3" s="54">
        <v>2010</v>
      </c>
      <c r="C3" s="54">
        <v>2011</v>
      </c>
      <c r="D3" s="53">
        <v>2012</v>
      </c>
      <c r="E3" s="53">
        <v>2013</v>
      </c>
      <c r="F3" s="53">
        <v>2014</v>
      </c>
      <c r="G3" s="53">
        <v>2015</v>
      </c>
      <c r="H3" s="53">
        <v>2016</v>
      </c>
      <c r="I3" s="53">
        <v>2017</v>
      </c>
      <c r="J3" s="53">
        <v>2018</v>
      </c>
      <c r="K3" s="53">
        <v>2019</v>
      </c>
      <c r="L3" s="52">
        <v>2020</v>
      </c>
      <c r="M3" s="51">
        <v>2021</v>
      </c>
      <c r="N3" s="51">
        <v>2022</v>
      </c>
    </row>
    <row r="4" spans="1:14" ht="15" customHeight="1" x14ac:dyDescent="0.2">
      <c r="A4" s="38" t="s">
        <v>131</v>
      </c>
      <c r="B4" s="49">
        <v>0.56407700141575168</v>
      </c>
      <c r="C4" s="47">
        <v>0.5453778496409335</v>
      </c>
      <c r="D4" s="47">
        <v>0.51680960151915667</v>
      </c>
      <c r="E4" s="47">
        <v>0.5384993135727294</v>
      </c>
      <c r="F4" s="47">
        <v>0.56491833623848142</v>
      </c>
      <c r="G4" s="47">
        <v>0.63262386814136728</v>
      </c>
      <c r="H4" s="47">
        <v>0.63228916662599421</v>
      </c>
      <c r="I4" s="47">
        <v>0.63481531415034809</v>
      </c>
      <c r="J4" s="47">
        <v>0.61980948045604967</v>
      </c>
      <c r="K4" s="47">
        <v>0.65180705121497406</v>
      </c>
      <c r="L4" s="48">
        <v>0.65156887470375802</v>
      </c>
      <c r="M4" s="47">
        <v>0.69398484570270458</v>
      </c>
      <c r="N4" s="39">
        <v>0.75557039609927878</v>
      </c>
    </row>
    <row r="5" spans="1:14" ht="12.75" customHeight="1" x14ac:dyDescent="0.2">
      <c r="A5" s="38" t="s">
        <v>7093</v>
      </c>
      <c r="B5" s="40">
        <v>0.44702252275452325</v>
      </c>
      <c r="C5" s="39">
        <v>0.51774727045337499</v>
      </c>
      <c r="D5" s="46">
        <v>0.54219822259889006</v>
      </c>
      <c r="E5" s="39">
        <v>0.62402320282197887</v>
      </c>
      <c r="F5" s="39">
        <v>0.61340338346336065</v>
      </c>
      <c r="G5" s="39">
        <v>0.58026341917218172</v>
      </c>
      <c r="H5" s="39">
        <v>0.59700792916137324</v>
      </c>
      <c r="I5" s="46">
        <v>0.68840029846445672</v>
      </c>
      <c r="J5" s="39">
        <v>0.69522747515252481</v>
      </c>
      <c r="K5" s="39">
        <v>0.69379038133770765</v>
      </c>
      <c r="L5" s="45">
        <v>0.67694205309987032</v>
      </c>
      <c r="M5" s="39">
        <v>0.64804302597985686</v>
      </c>
      <c r="N5" s="39">
        <v>0.69505186206477942</v>
      </c>
    </row>
    <row r="6" spans="1:14" ht="12.75" customHeight="1" x14ac:dyDescent="0.2">
      <c r="A6" s="38" t="s">
        <v>405</v>
      </c>
      <c r="B6" s="40">
        <v>0.41218907477669214</v>
      </c>
      <c r="C6" s="39">
        <v>0.39040514079608774</v>
      </c>
      <c r="D6" s="39">
        <v>0.38284435341151735</v>
      </c>
      <c r="E6" s="39">
        <v>0.46841145987579974</v>
      </c>
      <c r="F6" s="39">
        <v>0.54175780869719159</v>
      </c>
      <c r="G6" s="39">
        <v>0.55755044495830874</v>
      </c>
      <c r="H6" s="39">
        <v>0.55591231785795558</v>
      </c>
      <c r="I6" s="39">
        <v>0.61342530392680816</v>
      </c>
      <c r="J6" s="39">
        <v>0.59386109360109829</v>
      </c>
      <c r="K6" s="39">
        <v>0.60161727495623918</v>
      </c>
      <c r="L6" s="45">
        <v>0.59952607767340782</v>
      </c>
      <c r="M6" s="39">
        <v>0.63719632024833683</v>
      </c>
      <c r="N6" s="39">
        <v>0.61475600286720866</v>
      </c>
    </row>
    <row r="7" spans="1:14" ht="12.75" customHeight="1" x14ac:dyDescent="0.2">
      <c r="A7" s="38" t="s">
        <v>6</v>
      </c>
      <c r="B7" s="40">
        <v>0.46560313918653567</v>
      </c>
      <c r="C7" s="39">
        <v>0.50093557178677572</v>
      </c>
      <c r="D7" s="39">
        <v>0.50554893173405524</v>
      </c>
      <c r="E7" s="39">
        <v>0.52758322471412422</v>
      </c>
      <c r="F7" s="46">
        <v>0.53124222660421117</v>
      </c>
      <c r="G7" s="39">
        <v>0.53629596489851716</v>
      </c>
      <c r="H7" s="39">
        <v>0.54938697335026665</v>
      </c>
      <c r="I7" s="39">
        <v>0.59062928206020515</v>
      </c>
      <c r="J7" s="39">
        <v>0.5928895122237835</v>
      </c>
      <c r="K7" s="39">
        <v>0.6335693730344345</v>
      </c>
      <c r="L7" s="45">
        <v>0.62274965975053653</v>
      </c>
      <c r="M7" s="39">
        <v>0.62891538512308487</v>
      </c>
      <c r="N7" s="39">
        <v>0.62592222354808857</v>
      </c>
    </row>
    <row r="8" spans="1:14" ht="12.75" customHeight="1" x14ac:dyDescent="0.2">
      <c r="A8" s="38" t="s">
        <v>250</v>
      </c>
      <c r="B8" s="40">
        <v>0.52746037653777278</v>
      </c>
      <c r="C8" s="39">
        <v>0.58325804352909982</v>
      </c>
      <c r="D8" s="39">
        <v>0.56894039136800156</v>
      </c>
      <c r="E8" s="39">
        <v>0.59070921323240866</v>
      </c>
      <c r="F8" s="39">
        <v>0.57473213765785081</v>
      </c>
      <c r="G8" s="39">
        <v>0.62996767501886486</v>
      </c>
      <c r="H8" s="39">
        <v>0.63854210586156024</v>
      </c>
      <c r="I8" s="39">
        <v>0.67205013834924732</v>
      </c>
      <c r="J8" s="39">
        <v>0.6910515827418382</v>
      </c>
      <c r="K8" s="39">
        <v>0.73973883970234289</v>
      </c>
      <c r="L8" s="45">
        <v>0.75979605378002935</v>
      </c>
      <c r="M8" s="39">
        <v>0.74667674184605204</v>
      </c>
      <c r="N8" s="39">
        <v>0.74494479954895543</v>
      </c>
    </row>
    <row r="9" spans="1:14" ht="12.75" customHeight="1" x14ac:dyDescent="0.2">
      <c r="A9" s="38" t="s">
        <v>297</v>
      </c>
      <c r="B9" s="40">
        <v>0.51674092964682972</v>
      </c>
      <c r="C9" s="39">
        <v>0.62090236287226741</v>
      </c>
      <c r="D9" s="39">
        <v>0.60484247055717111</v>
      </c>
      <c r="E9" s="39">
        <v>0.63757083705892426</v>
      </c>
      <c r="F9" s="39">
        <v>0.59763251675404416</v>
      </c>
      <c r="G9" s="39">
        <v>0.59099480363321499</v>
      </c>
      <c r="H9" s="39">
        <v>0.6541072773718849</v>
      </c>
      <c r="I9" s="39">
        <v>0.67611670612140251</v>
      </c>
      <c r="J9" s="39">
        <v>0.71527440697647948</v>
      </c>
      <c r="K9" s="39">
        <v>0.7497112776856153</v>
      </c>
      <c r="L9" s="45">
        <v>0.73644605393649287</v>
      </c>
      <c r="M9" s="39">
        <v>0.74074010556577408</v>
      </c>
      <c r="N9" s="39">
        <v>0.75700084919073429</v>
      </c>
    </row>
    <row r="10" spans="1:14" ht="12.75" customHeight="1" x14ac:dyDescent="0.2">
      <c r="A10" s="38" t="s">
        <v>224</v>
      </c>
      <c r="B10" s="40">
        <v>0.61542113778969909</v>
      </c>
      <c r="C10" s="39">
        <v>0.62627204552320481</v>
      </c>
      <c r="D10" s="39">
        <v>0.61529839330608616</v>
      </c>
      <c r="E10" s="39">
        <v>0.61672566382452187</v>
      </c>
      <c r="F10" s="39">
        <v>0.61761899871900228</v>
      </c>
      <c r="G10" s="39">
        <v>0.62168758303296379</v>
      </c>
      <c r="H10" s="39">
        <v>0.64343372331601845</v>
      </c>
      <c r="I10" s="39">
        <v>0.66109415963648299</v>
      </c>
      <c r="J10" s="39">
        <v>0.67096146694310665</v>
      </c>
      <c r="K10" s="39">
        <v>0.73346029386297096</v>
      </c>
      <c r="L10" s="45">
        <v>0.72169884790600802</v>
      </c>
      <c r="M10" s="39">
        <v>0.6819360693187656</v>
      </c>
      <c r="N10" s="39">
        <v>0.68877462205909723</v>
      </c>
    </row>
    <row r="11" spans="1:14" ht="12.75" customHeight="1" x14ac:dyDescent="0.2">
      <c r="A11" s="38" t="s">
        <v>274</v>
      </c>
      <c r="B11" s="40">
        <v>0.61446910077733008</v>
      </c>
      <c r="C11" s="39">
        <v>0.59431877705258018</v>
      </c>
      <c r="D11" s="39">
        <v>0.53084761980832895</v>
      </c>
      <c r="E11" s="39">
        <v>0.52566575267394822</v>
      </c>
      <c r="F11" s="39">
        <v>0.54450521125289197</v>
      </c>
      <c r="G11" s="39">
        <v>0.582694016416345</v>
      </c>
      <c r="H11" s="39">
        <v>0.60277441859483005</v>
      </c>
      <c r="I11" s="39">
        <v>0.65212971302637335</v>
      </c>
      <c r="J11" s="39">
        <v>0.69035759910695838</v>
      </c>
      <c r="K11" s="39">
        <v>0.7069708477892056</v>
      </c>
      <c r="L11" s="45">
        <v>0.68806261268678703</v>
      </c>
      <c r="M11" s="39">
        <v>0.70713959757004285</v>
      </c>
      <c r="N11" s="39">
        <v>0.71459994843346364</v>
      </c>
    </row>
    <row r="12" spans="1:14" ht="12.75" customHeight="1" x14ac:dyDescent="0.2">
      <c r="A12" s="38" t="s">
        <v>275</v>
      </c>
      <c r="B12" s="40">
        <v>0.68519692672597599</v>
      </c>
      <c r="C12" s="39">
        <v>0.65989594159429676</v>
      </c>
      <c r="D12" s="39">
        <v>0.64756916135159792</v>
      </c>
      <c r="E12" s="39">
        <v>0.67217854102731944</v>
      </c>
      <c r="F12" s="39">
        <v>0.65007854447118962</v>
      </c>
      <c r="G12" s="39">
        <v>0.63564396386506838</v>
      </c>
      <c r="H12" s="39">
        <v>0.61774078323950554</v>
      </c>
      <c r="I12" s="39">
        <v>0.66157555259995815</v>
      </c>
      <c r="J12" s="39">
        <v>0.68307555747019855</v>
      </c>
      <c r="K12" s="39">
        <v>0.73828173875314007</v>
      </c>
      <c r="L12" s="45">
        <v>0.7319672363408416</v>
      </c>
      <c r="M12" s="39">
        <v>0.75810472347450364</v>
      </c>
      <c r="N12" s="39">
        <v>0.75920039754839908</v>
      </c>
    </row>
    <row r="13" spans="1:14" ht="12.75" customHeight="1" x14ac:dyDescent="0.2">
      <c r="A13" s="38" t="s">
        <v>101</v>
      </c>
      <c r="B13" s="40">
        <v>0.59633111707007747</v>
      </c>
      <c r="C13" s="39">
        <v>0.60243452268295405</v>
      </c>
      <c r="D13" s="39">
        <v>0.63656074600755341</v>
      </c>
      <c r="E13" s="39">
        <v>0.61689732908038275</v>
      </c>
      <c r="F13" s="39">
        <v>0.63142696731610048</v>
      </c>
      <c r="G13" s="39">
        <v>0.612737717251162</v>
      </c>
      <c r="H13" s="39">
        <v>0.65005039713297819</v>
      </c>
      <c r="I13" s="39">
        <v>0.68729564922177566</v>
      </c>
      <c r="J13" s="39">
        <v>0.70506650424957107</v>
      </c>
      <c r="K13" s="39">
        <v>0.71872590758367094</v>
      </c>
      <c r="L13" s="45">
        <v>0.72884290028046417</v>
      </c>
      <c r="M13" s="39">
        <v>0.69390252229002225</v>
      </c>
      <c r="N13" s="39">
        <v>0.74697633600698554</v>
      </c>
    </row>
    <row r="14" spans="1:14" ht="12.75" customHeight="1" x14ac:dyDescent="0.2">
      <c r="A14" s="38" t="s">
        <v>261</v>
      </c>
      <c r="B14" s="40">
        <v>0.55930688026956288</v>
      </c>
      <c r="C14" s="39">
        <v>0.56543577698621161</v>
      </c>
      <c r="D14" s="39">
        <v>0.5318201005110833</v>
      </c>
      <c r="E14" s="39">
        <v>0.49453741275193708</v>
      </c>
      <c r="F14" s="39">
        <v>0.50533953194090253</v>
      </c>
      <c r="G14" s="39">
        <v>0.53852545099746107</v>
      </c>
      <c r="H14" s="39">
        <v>0.55469993556393316</v>
      </c>
      <c r="I14" s="39">
        <v>0.61917962232589607</v>
      </c>
      <c r="J14" s="39">
        <v>0.6250994272990239</v>
      </c>
      <c r="K14" s="39">
        <v>0.69859649006435054</v>
      </c>
      <c r="L14" s="45">
        <v>0.72773860879650831</v>
      </c>
      <c r="M14" s="39">
        <v>0.70616800956619541</v>
      </c>
      <c r="N14" s="39">
        <v>0.71318268533734708</v>
      </c>
    </row>
    <row r="15" spans="1:14" ht="12.75" customHeight="1" x14ac:dyDescent="0.2">
      <c r="A15" s="38" t="s">
        <v>365</v>
      </c>
      <c r="B15" s="40">
        <v>0.61433146526909355</v>
      </c>
      <c r="C15" s="39">
        <v>0.67044207495771124</v>
      </c>
      <c r="D15" s="39">
        <v>0.6650694926178301</v>
      </c>
      <c r="E15" s="39">
        <v>0.71335450079884255</v>
      </c>
      <c r="F15" s="39">
        <v>0.70491884533853122</v>
      </c>
      <c r="G15" s="39">
        <v>0.67233181858774083</v>
      </c>
      <c r="H15" s="39">
        <v>0.65435022890520633</v>
      </c>
      <c r="I15" s="39">
        <v>0.67765525548599259</v>
      </c>
      <c r="J15" s="39">
        <v>0.73048227470059945</v>
      </c>
      <c r="K15" s="39">
        <v>0.7792269468419234</v>
      </c>
      <c r="L15" s="45">
        <v>0.79242883390217855</v>
      </c>
      <c r="M15" s="39">
        <v>0.79009541592948984</v>
      </c>
      <c r="N15" s="39">
        <v>0.80232879915485389</v>
      </c>
    </row>
    <row r="16" spans="1:14" ht="12.75" customHeight="1" x14ac:dyDescent="0.2">
      <c r="A16" s="38" t="s">
        <v>339</v>
      </c>
      <c r="B16" s="40">
        <v>0.63021449833354559</v>
      </c>
      <c r="C16" s="39">
        <v>0.60252997249347651</v>
      </c>
      <c r="D16" s="39">
        <v>0.54843617356575625</v>
      </c>
      <c r="E16" s="39">
        <v>0.62122928172971748</v>
      </c>
      <c r="F16" s="39">
        <v>0.66965522008118017</v>
      </c>
      <c r="G16" s="39">
        <v>0.69081193270178476</v>
      </c>
      <c r="H16" s="39">
        <v>0.66400924579263521</v>
      </c>
      <c r="I16" s="39">
        <v>0.72103201351882318</v>
      </c>
      <c r="J16" s="39">
        <v>0.73946953360167</v>
      </c>
      <c r="K16" s="39">
        <v>0.7610517884362018</v>
      </c>
      <c r="L16" s="45">
        <v>0.74878808565617916</v>
      </c>
      <c r="M16" s="39">
        <v>0.7474501873661491</v>
      </c>
      <c r="N16" s="39">
        <v>0.7767573362066279</v>
      </c>
    </row>
    <row r="17" spans="1:14" ht="12.75" customHeight="1" x14ac:dyDescent="0.2">
      <c r="A17" s="38" t="s">
        <v>139</v>
      </c>
      <c r="B17" s="40">
        <v>0.65660607011820638</v>
      </c>
      <c r="C17" s="39">
        <v>0.66966822856591435</v>
      </c>
      <c r="D17" s="39">
        <v>0.66911587356441393</v>
      </c>
      <c r="E17" s="39">
        <v>0.66258355148835557</v>
      </c>
      <c r="F17" s="39">
        <v>0.66649859358295238</v>
      </c>
      <c r="G17" s="39">
        <v>0.69742265791372804</v>
      </c>
      <c r="H17" s="39">
        <v>0.68176956432880864</v>
      </c>
      <c r="I17" s="39">
        <v>0.6894212087576177</v>
      </c>
      <c r="J17" s="39">
        <v>0.69138318523582731</v>
      </c>
      <c r="K17" s="39">
        <v>0.70889383769867498</v>
      </c>
      <c r="L17" s="45">
        <v>0.70302295931428371</v>
      </c>
      <c r="M17" s="39">
        <v>0.71927552259108252</v>
      </c>
      <c r="N17" s="39">
        <v>0.70642879036144135</v>
      </c>
    </row>
    <row r="18" spans="1:14" ht="12.75" customHeight="1" x14ac:dyDescent="0.2">
      <c r="A18" s="38" t="s">
        <v>187</v>
      </c>
      <c r="B18" s="40">
        <v>0.64205939739279294</v>
      </c>
      <c r="C18" s="39">
        <v>0.60945857206409915</v>
      </c>
      <c r="D18" s="39">
        <v>0.61099230713139463</v>
      </c>
      <c r="E18" s="39">
        <v>0.59349752800388766</v>
      </c>
      <c r="F18" s="39">
        <v>0.64059765963733717</v>
      </c>
      <c r="G18" s="39">
        <v>0.66664131993608244</v>
      </c>
      <c r="H18" s="39">
        <v>0.68734042386213579</v>
      </c>
      <c r="I18" s="39">
        <v>0.71589031137125148</v>
      </c>
      <c r="J18" s="39">
        <v>0.73402932836799806</v>
      </c>
      <c r="K18" s="39">
        <v>0.75961278421997847</v>
      </c>
      <c r="L18" s="45">
        <v>0.75181460212779694</v>
      </c>
      <c r="M18" s="39">
        <v>0.74899389645213255</v>
      </c>
      <c r="N18" s="39">
        <v>0.78620065651691073</v>
      </c>
    </row>
    <row r="19" spans="1:14" ht="12.75" customHeight="1" x14ac:dyDescent="0.2">
      <c r="A19" s="38" t="s">
        <v>3</v>
      </c>
      <c r="B19" s="40">
        <v>0.47400831098841173</v>
      </c>
      <c r="C19" s="39">
        <v>0.45446240071208654</v>
      </c>
      <c r="D19" s="39">
        <v>0.41870597972551021</v>
      </c>
      <c r="E19" s="39">
        <v>0.40826879335793437</v>
      </c>
      <c r="F19" s="39">
        <v>0.46208294724149712</v>
      </c>
      <c r="G19" s="39">
        <v>0.49763033607087737</v>
      </c>
      <c r="H19" s="39">
        <v>0.47864301691354844</v>
      </c>
      <c r="I19" s="39">
        <v>0.48335250964571674</v>
      </c>
      <c r="J19" s="39">
        <v>0.48774323381638646</v>
      </c>
      <c r="K19" s="39">
        <v>0.50170056024615672</v>
      </c>
      <c r="L19" s="45">
        <v>0.54425355601085423</v>
      </c>
      <c r="M19" s="39">
        <v>0.58962938274543031</v>
      </c>
      <c r="N19" s="39">
        <v>0.64103441424407914</v>
      </c>
    </row>
    <row r="20" spans="1:14" ht="12.75" customHeight="1" x14ac:dyDescent="0.2">
      <c r="A20" s="38" t="s">
        <v>21</v>
      </c>
      <c r="B20" s="40">
        <v>0.56887973538562264</v>
      </c>
      <c r="C20" s="39">
        <v>0.59621523658475828</v>
      </c>
      <c r="D20" s="39">
        <v>0.56706834697850117</v>
      </c>
      <c r="E20" s="39">
        <v>0.63374560990164419</v>
      </c>
      <c r="F20" s="39">
        <v>0.64580641006274719</v>
      </c>
      <c r="G20" s="39">
        <v>0.64601011591733082</v>
      </c>
      <c r="H20" s="39">
        <v>0.6270835503091039</v>
      </c>
      <c r="I20" s="39">
        <v>0.63906284393182577</v>
      </c>
      <c r="J20" s="39">
        <v>0.6836386169544596</v>
      </c>
      <c r="K20" s="39">
        <v>0.71302397738918799</v>
      </c>
      <c r="L20" s="45">
        <v>0.72139733380136928</v>
      </c>
      <c r="M20" s="39">
        <v>0.71284716887780653</v>
      </c>
      <c r="N20" s="39">
        <v>0.71636449593687279</v>
      </c>
    </row>
    <row r="21" spans="1:14" ht="12.75" customHeight="1" x14ac:dyDescent="0.2">
      <c r="A21" s="38" t="s">
        <v>149</v>
      </c>
      <c r="B21" s="40">
        <v>0.7171732684324339</v>
      </c>
      <c r="C21" s="39">
        <v>0.72901879172834783</v>
      </c>
      <c r="D21" s="39">
        <v>0.74181755446952435</v>
      </c>
      <c r="E21" s="39">
        <v>0.74350382422564565</v>
      </c>
      <c r="F21" s="39">
        <v>0.74689071592478451</v>
      </c>
      <c r="G21" s="39">
        <v>0.74046676542830703</v>
      </c>
      <c r="H21" s="39">
        <v>0.7483522324687053</v>
      </c>
      <c r="I21" s="39">
        <v>0.75461860857179852</v>
      </c>
      <c r="J21" s="39">
        <v>0.7593525999723939</v>
      </c>
      <c r="K21" s="39">
        <v>0.77615682390021112</v>
      </c>
      <c r="L21" s="45">
        <v>0.76597466912491996</v>
      </c>
      <c r="M21" s="39">
        <v>0.77844189809985831</v>
      </c>
      <c r="N21" s="39">
        <v>0.78430913827426441</v>
      </c>
    </row>
    <row r="22" spans="1:14" ht="12.75" customHeight="1" x14ac:dyDescent="0.2">
      <c r="A22" s="38" t="s">
        <v>88</v>
      </c>
      <c r="B22" s="40">
        <v>0.70044568901493476</v>
      </c>
      <c r="C22" s="39">
        <v>0.72039970391635288</v>
      </c>
      <c r="D22" s="39">
        <v>0.71833036796307803</v>
      </c>
      <c r="E22" s="39">
        <v>0.72669220203350304</v>
      </c>
      <c r="F22" s="39">
        <v>0.72194180858009016</v>
      </c>
      <c r="G22" s="39">
        <v>0.71760599362011301</v>
      </c>
      <c r="H22" s="39">
        <v>0.7082813403886089</v>
      </c>
      <c r="I22" s="39">
        <v>0.73387945041652658</v>
      </c>
      <c r="J22" s="39">
        <v>0.74781466926875806</v>
      </c>
      <c r="K22" s="39">
        <v>0.78510513657869918</v>
      </c>
      <c r="L22" s="45">
        <v>0.77865661156318799</v>
      </c>
      <c r="M22" s="39">
        <v>0.78313426559080757</v>
      </c>
      <c r="N22" s="39">
        <v>0.81973294580938327</v>
      </c>
    </row>
    <row r="23" spans="1:14" ht="12.75" customHeight="1" x14ac:dyDescent="0.2">
      <c r="A23" s="38" t="s">
        <v>34</v>
      </c>
      <c r="B23" s="40">
        <v>0.5803747599126412</v>
      </c>
      <c r="C23" s="39">
        <v>0.61770009478508336</v>
      </c>
      <c r="D23" s="39">
        <v>0.60204380013042502</v>
      </c>
      <c r="E23" s="39">
        <v>0.62137691332308476</v>
      </c>
      <c r="F23" s="39">
        <v>0.65862164114900379</v>
      </c>
      <c r="G23" s="39">
        <v>0.68461414862361192</v>
      </c>
      <c r="H23" s="39">
        <v>0.69557573703664455</v>
      </c>
      <c r="I23" s="39">
        <v>0.70754315704067194</v>
      </c>
      <c r="J23" s="39">
        <v>0.71711991930682029</v>
      </c>
      <c r="K23" s="39">
        <v>0.75878632374062993</v>
      </c>
      <c r="L23" s="45">
        <v>0.75324479838174396</v>
      </c>
      <c r="M23" s="39">
        <v>0.75490194975987546</v>
      </c>
      <c r="N23" s="39">
        <v>0.79147991679128016</v>
      </c>
    </row>
    <row r="24" spans="1:14" ht="12.75" customHeight="1" x14ac:dyDescent="0.2">
      <c r="A24" s="38" t="s">
        <v>150</v>
      </c>
      <c r="B24" s="40">
        <v>0.52885200319501824</v>
      </c>
      <c r="C24" s="39">
        <v>0.54010753638483411</v>
      </c>
      <c r="D24" s="39">
        <v>0.51810925518220186</v>
      </c>
      <c r="E24" s="39">
        <v>0.61039704001039408</v>
      </c>
      <c r="F24" s="39">
        <v>0.61902177045159024</v>
      </c>
      <c r="G24" s="39">
        <v>0.68521811620379258</v>
      </c>
      <c r="H24" s="39">
        <v>0.60523472227817809</v>
      </c>
      <c r="I24" s="39">
        <v>0.63624626856835909</v>
      </c>
      <c r="J24" s="39">
        <v>0.64449791949201962</v>
      </c>
      <c r="K24" s="39">
        <v>0.67766605640924782</v>
      </c>
      <c r="L24" s="45">
        <v>0.68536611665661062</v>
      </c>
      <c r="M24" s="39">
        <v>0.72761637295397275</v>
      </c>
      <c r="N24" s="39">
        <v>0.74819221769247812</v>
      </c>
    </row>
    <row r="25" spans="1:14" ht="12.75" customHeight="1" x14ac:dyDescent="0.2">
      <c r="A25" s="38" t="s">
        <v>238</v>
      </c>
      <c r="B25" s="40">
        <v>0.58227085070237539</v>
      </c>
      <c r="C25" s="39">
        <v>0.63948444809783112</v>
      </c>
      <c r="D25" s="39">
        <v>0.64424202109582629</v>
      </c>
      <c r="E25" s="39">
        <v>0.65111204981236637</v>
      </c>
      <c r="F25" s="39">
        <v>0.64448153217253223</v>
      </c>
      <c r="G25" s="39">
        <v>0.66230206964285265</v>
      </c>
      <c r="H25" s="39">
        <v>0.67945777819328323</v>
      </c>
      <c r="I25" s="39">
        <v>0.73000890685721076</v>
      </c>
      <c r="J25" s="39">
        <v>0.746592150389353</v>
      </c>
      <c r="K25" s="39">
        <v>0.74285888658664179</v>
      </c>
      <c r="L25" s="45">
        <v>0.75549982704991392</v>
      </c>
      <c r="M25" s="39">
        <v>0.77558230044619858</v>
      </c>
      <c r="N25" s="39">
        <v>0.78736606409070786</v>
      </c>
    </row>
    <row r="26" spans="1:14" ht="12.75" customHeight="1" x14ac:dyDescent="0.2">
      <c r="A26" s="38" t="s">
        <v>7092</v>
      </c>
      <c r="B26" s="40">
        <v>0.69232900637275918</v>
      </c>
      <c r="C26" s="39">
        <v>0.71212578437041552</v>
      </c>
      <c r="D26" s="39">
        <v>0.69474923621931628</v>
      </c>
      <c r="E26" s="39">
        <v>0.72339511547190016</v>
      </c>
      <c r="F26" s="39">
        <v>0.73449803686124693</v>
      </c>
      <c r="G26" s="39">
        <v>0.75560277067563264</v>
      </c>
      <c r="H26" s="39">
        <v>0.75639756192393037</v>
      </c>
      <c r="I26" s="39">
        <v>0.77218281036857406</v>
      </c>
      <c r="J26" s="39">
        <v>0.77212663365474243</v>
      </c>
      <c r="K26" s="39">
        <v>0.80381067916433135</v>
      </c>
      <c r="L26" s="45">
        <v>0.79687988420371525</v>
      </c>
      <c r="M26" s="39">
        <v>0.80476115016111205</v>
      </c>
      <c r="N26" s="39">
        <v>0.82557003198348333</v>
      </c>
    </row>
    <row r="27" spans="1:14" ht="12.75" customHeight="1" x14ac:dyDescent="0.2">
      <c r="A27" s="38" t="s">
        <v>151</v>
      </c>
      <c r="B27" s="40">
        <v>0.50989020962379716</v>
      </c>
      <c r="C27" s="39">
        <v>0.62358269312819559</v>
      </c>
      <c r="D27" s="39">
        <v>0.63114188096553114</v>
      </c>
      <c r="E27" s="39">
        <v>0.6777949646097805</v>
      </c>
      <c r="F27" s="39">
        <v>0.60372054166615419</v>
      </c>
      <c r="G27" s="39">
        <v>0.54848807753840467</v>
      </c>
      <c r="H27" s="39">
        <v>0.58974120427125198</v>
      </c>
      <c r="I27" s="39">
        <v>0.6895787063016563</v>
      </c>
      <c r="J27" s="39">
        <v>0.60939836690795091</v>
      </c>
      <c r="K27" s="39">
        <v>0.69333712958374594</v>
      </c>
      <c r="L27" s="45">
        <v>0.68670922233389398</v>
      </c>
      <c r="M27" s="39">
        <v>0.77315498229902391</v>
      </c>
      <c r="N27" s="39">
        <v>0.79674080991056329</v>
      </c>
    </row>
    <row r="28" spans="1:14" ht="12.75" customHeight="1" x14ac:dyDescent="0.2">
      <c r="A28" s="38" t="s">
        <v>115</v>
      </c>
      <c r="B28" s="40">
        <v>0.60367879511169342</v>
      </c>
      <c r="C28" s="39">
        <v>0.64484244911257405</v>
      </c>
      <c r="D28" s="39">
        <v>0.61063089922986158</v>
      </c>
      <c r="E28" s="39">
        <v>0.67600794712571266</v>
      </c>
      <c r="F28" s="39">
        <v>0.68575930982098099</v>
      </c>
      <c r="G28" s="39">
        <v>0.65667300789950533</v>
      </c>
      <c r="H28" s="39">
        <v>0.65637678195515392</v>
      </c>
      <c r="I28" s="39">
        <v>0.69374467014822638</v>
      </c>
      <c r="J28" s="39">
        <v>0.71591589701489156</v>
      </c>
      <c r="K28" s="39">
        <v>0.73178940446682306</v>
      </c>
      <c r="L28" s="45">
        <v>0.75028779552968483</v>
      </c>
      <c r="M28" s="39">
        <v>0.74906169696208691</v>
      </c>
      <c r="N28" s="39">
        <v>0.76534303455059838</v>
      </c>
    </row>
    <row r="29" spans="1:14" ht="12.75" customHeight="1" x14ac:dyDescent="0.2">
      <c r="A29" s="38" t="s">
        <v>276</v>
      </c>
      <c r="B29" s="40">
        <v>0.63937155157030701</v>
      </c>
      <c r="C29" s="39">
        <v>0.64380870135262425</v>
      </c>
      <c r="D29" s="39">
        <v>0.64784183905129145</v>
      </c>
      <c r="E29" s="39">
        <v>0.68799092617085533</v>
      </c>
      <c r="F29" s="39">
        <v>0.6880235006190869</v>
      </c>
      <c r="G29" s="39">
        <v>0.70173429574634427</v>
      </c>
      <c r="H29" s="39">
        <v>0.69928136598199675</v>
      </c>
      <c r="I29" s="39">
        <v>0.72390949069386146</v>
      </c>
      <c r="J29" s="39">
        <v>0.73208173112215336</v>
      </c>
      <c r="K29" s="39">
        <v>0.76062518699327919</v>
      </c>
      <c r="L29" s="45">
        <v>0.74876255259379121</v>
      </c>
      <c r="M29" s="39">
        <v>0.7497926536797842</v>
      </c>
      <c r="N29" s="39">
        <v>0.76234811758342913</v>
      </c>
    </row>
    <row r="30" spans="1:14" ht="12.75" customHeight="1" x14ac:dyDescent="0.2">
      <c r="A30" s="38" t="s">
        <v>89</v>
      </c>
      <c r="B30" s="40">
        <v>0.68422865479203165</v>
      </c>
      <c r="C30" s="39">
        <v>0.6939289322940011</v>
      </c>
      <c r="D30" s="39">
        <v>0.69039887352459584</v>
      </c>
      <c r="E30" s="39">
        <v>0.72590056309066397</v>
      </c>
      <c r="F30" s="39">
        <v>0.74781452114731495</v>
      </c>
      <c r="G30" s="39">
        <v>0.74383519636111262</v>
      </c>
      <c r="H30" s="39">
        <v>0.73855416389304251</v>
      </c>
      <c r="I30" s="39">
        <v>0.74809952883375086</v>
      </c>
      <c r="J30" s="39">
        <v>0.73789812476613592</v>
      </c>
      <c r="K30" s="39">
        <v>0.76966176953771337</v>
      </c>
      <c r="L30" s="45">
        <v>0.76111959166889542</v>
      </c>
      <c r="M30" s="39">
        <v>0.76772818206556659</v>
      </c>
      <c r="N30" s="39">
        <v>0.76889257225075047</v>
      </c>
    </row>
    <row r="31" spans="1:14" ht="12.75" customHeight="1" x14ac:dyDescent="0.2">
      <c r="A31" s="38" t="s">
        <v>225</v>
      </c>
      <c r="B31" s="40">
        <v>0.7167904055967137</v>
      </c>
      <c r="C31" s="39">
        <v>0.75212705010990266</v>
      </c>
      <c r="D31" s="39">
        <v>0.76863176727581728</v>
      </c>
      <c r="E31" s="39">
        <v>0.78467394575375116</v>
      </c>
      <c r="F31" s="39">
        <v>0.78180516415485635</v>
      </c>
      <c r="G31" s="39">
        <v>0.70219511229856957</v>
      </c>
      <c r="H31" s="39">
        <v>0.71432021849986038</v>
      </c>
      <c r="I31" s="39">
        <v>0.74354847699800419</v>
      </c>
      <c r="J31" s="39">
        <v>0.79582008082158362</v>
      </c>
      <c r="K31" s="39">
        <v>0.80516942798047786</v>
      </c>
      <c r="L31" s="45">
        <v>0.79664572656162169</v>
      </c>
      <c r="M31" s="39">
        <v>0.73616759467706994</v>
      </c>
      <c r="N31" s="39">
        <v>0.6846285996120911</v>
      </c>
    </row>
    <row r="32" spans="1:14" ht="12.75" customHeight="1" x14ac:dyDescent="0.2">
      <c r="A32" s="38" t="s">
        <v>406</v>
      </c>
      <c r="B32" s="40">
        <v>0.63005848774054896</v>
      </c>
      <c r="C32" s="39">
        <v>0.62969907371008504</v>
      </c>
      <c r="D32" s="39">
        <v>0.58908052768997321</v>
      </c>
      <c r="E32" s="39">
        <v>0.65810526303521566</v>
      </c>
      <c r="F32" s="39">
        <v>0.69672162463308851</v>
      </c>
      <c r="G32" s="39">
        <v>0.72682948042079853</v>
      </c>
      <c r="H32" s="39">
        <v>0.72173502369037479</v>
      </c>
      <c r="I32" s="39">
        <v>0.76796757277076233</v>
      </c>
      <c r="J32" s="39">
        <v>0.76734363626138791</v>
      </c>
      <c r="K32" s="39">
        <v>0.77005205804174504</v>
      </c>
      <c r="L32" s="45">
        <v>0.74159844780144535</v>
      </c>
      <c r="M32" s="39">
        <v>0.70286426741205954</v>
      </c>
      <c r="N32" s="39">
        <v>0.69358039305014163</v>
      </c>
    </row>
    <row r="33" spans="1:14" ht="12.75" customHeight="1" x14ac:dyDescent="0.2">
      <c r="A33" s="38" t="s">
        <v>132</v>
      </c>
      <c r="B33" s="40">
        <v>0.59308954155897375</v>
      </c>
      <c r="C33" s="39">
        <v>0.61405581136779375</v>
      </c>
      <c r="D33" s="39">
        <v>0.63174878320592942</v>
      </c>
      <c r="E33" s="39">
        <v>0.63199872114540057</v>
      </c>
      <c r="F33" s="39">
        <v>0.65146821436250935</v>
      </c>
      <c r="G33" s="39">
        <v>0.68233485309106978</v>
      </c>
      <c r="H33" s="39">
        <v>0.69304741803056158</v>
      </c>
      <c r="I33" s="39">
        <v>0.70438120055720843</v>
      </c>
      <c r="J33" s="39">
        <v>0.69526813209767158</v>
      </c>
      <c r="K33" s="39">
        <v>0.72868412836574936</v>
      </c>
      <c r="L33" s="45">
        <v>0.72888980815944848</v>
      </c>
      <c r="M33" s="39">
        <v>0.74645416709359802</v>
      </c>
      <c r="N33" s="39">
        <v>0.73902372773546698</v>
      </c>
    </row>
    <row r="34" spans="1:14" ht="12.75" customHeight="1" x14ac:dyDescent="0.2">
      <c r="A34" s="38" t="s">
        <v>196</v>
      </c>
      <c r="B34" s="40">
        <v>0.58200260093450529</v>
      </c>
      <c r="C34" s="39">
        <v>0.59128061229442341</v>
      </c>
      <c r="D34" s="39">
        <v>0.63555068708763485</v>
      </c>
      <c r="E34" s="39">
        <v>0.62039528746950912</v>
      </c>
      <c r="F34" s="39">
        <v>0.62112509458224163</v>
      </c>
      <c r="G34" s="39">
        <v>0.6206489422666438</v>
      </c>
      <c r="H34" s="39">
        <v>0.63536792743488757</v>
      </c>
      <c r="I34" s="39">
        <v>0.64199477149487172</v>
      </c>
      <c r="J34" s="39">
        <v>0.65893141058557358</v>
      </c>
      <c r="K34" s="39">
        <v>0.70372696711763572</v>
      </c>
      <c r="L34" s="45">
        <v>0.72394198674202526</v>
      </c>
      <c r="M34" s="39">
        <v>0.72025143577624673</v>
      </c>
      <c r="N34" s="39">
        <v>0.7279074604881961</v>
      </c>
    </row>
    <row r="35" spans="1:14" ht="12.75" customHeight="1" x14ac:dyDescent="0.2">
      <c r="A35" s="38" t="s">
        <v>140</v>
      </c>
      <c r="B35" s="40">
        <v>0.55819787412180089</v>
      </c>
      <c r="C35" s="39">
        <v>0.56625715803824794</v>
      </c>
      <c r="D35" s="39">
        <v>0.64881319714881236</v>
      </c>
      <c r="E35" s="39">
        <v>0.63660555680464637</v>
      </c>
      <c r="F35" s="39">
        <v>0.64595787934768911</v>
      </c>
      <c r="G35" s="39">
        <v>0.69410631342874007</v>
      </c>
      <c r="H35" s="39">
        <v>0.66690452502159825</v>
      </c>
      <c r="I35" s="39">
        <v>0.64208901728615975</v>
      </c>
      <c r="J35" s="39">
        <v>0.64294235057891103</v>
      </c>
      <c r="K35" s="39">
        <v>0.69738903872777736</v>
      </c>
      <c r="L35" s="45">
        <v>0.67060903558059148</v>
      </c>
      <c r="M35" s="39">
        <v>0.68253097204076141</v>
      </c>
      <c r="N35" s="39">
        <v>0.70343327854735793</v>
      </c>
    </row>
    <row r="36" spans="1:14" ht="12.75" customHeight="1" x14ac:dyDescent="0.2">
      <c r="A36" s="38" t="s">
        <v>7091</v>
      </c>
      <c r="B36" s="40">
        <v>0.63682582346572791</v>
      </c>
      <c r="C36" s="39">
        <v>0.62240919732916511</v>
      </c>
      <c r="D36" s="39">
        <v>0.62206093101294713</v>
      </c>
      <c r="E36" s="39">
        <v>0.66513070364179516</v>
      </c>
      <c r="F36" s="39">
        <v>0.6922824529917645</v>
      </c>
      <c r="G36" s="39">
        <v>0.7177383504201309</v>
      </c>
      <c r="H36" s="39">
        <v>0.7106576422117965</v>
      </c>
      <c r="I36" s="39">
        <v>0.72749631411750837</v>
      </c>
      <c r="J36" s="39">
        <v>0.73231351205775264</v>
      </c>
      <c r="K36" s="39">
        <v>0.74626936895242268</v>
      </c>
      <c r="L36" s="45">
        <v>0.75035563157515439</v>
      </c>
      <c r="M36" s="39">
        <v>0.75143006445307259</v>
      </c>
      <c r="N36" s="39">
        <v>0.74562483846082284</v>
      </c>
    </row>
    <row r="37" spans="1:14" ht="12.75" customHeight="1" x14ac:dyDescent="0.2">
      <c r="A37" s="38" t="s">
        <v>366</v>
      </c>
      <c r="B37" s="40">
        <v>0.59128775401436007</v>
      </c>
      <c r="C37" s="39">
        <v>0.61641283670325142</v>
      </c>
      <c r="D37" s="39">
        <v>0.55883793343956789</v>
      </c>
      <c r="E37" s="39">
        <v>0.54005225055598927</v>
      </c>
      <c r="F37" s="39">
        <v>0.56178505735201234</v>
      </c>
      <c r="G37" s="39">
        <v>0.59433849659371674</v>
      </c>
      <c r="H37" s="39">
        <v>0.63049989684345198</v>
      </c>
      <c r="I37" s="39">
        <v>0.63458150829235971</v>
      </c>
      <c r="J37" s="39">
        <v>0.65792267600148469</v>
      </c>
      <c r="K37" s="39">
        <v>0.74909870382213972</v>
      </c>
      <c r="L37" s="45">
        <v>0.71726117128956146</v>
      </c>
      <c r="M37" s="39">
        <v>0.69860030837866305</v>
      </c>
      <c r="N37" s="39">
        <v>0.71352472229436226</v>
      </c>
    </row>
    <row r="38" spans="1:14" ht="12.75" customHeight="1" x14ac:dyDescent="0.2">
      <c r="A38" s="38" t="s">
        <v>102</v>
      </c>
      <c r="B38" s="40">
        <v>0.55140667738994076</v>
      </c>
      <c r="C38" s="39">
        <v>0.57659087393697173</v>
      </c>
      <c r="D38" s="39">
        <v>0.57618870143793777</v>
      </c>
      <c r="E38" s="39">
        <v>0.57652526226735124</v>
      </c>
      <c r="F38" s="39">
        <v>0.59763073053026072</v>
      </c>
      <c r="G38" s="39">
        <v>0.56756067776943719</v>
      </c>
      <c r="H38" s="39">
        <v>0.57451701608801387</v>
      </c>
      <c r="I38" s="39">
        <v>0.60127461474901289</v>
      </c>
      <c r="J38" s="39">
        <v>0.61794301488979297</v>
      </c>
      <c r="K38" s="39">
        <v>0.69257417702035118</v>
      </c>
      <c r="L38" s="45">
        <v>0.68825708706554167</v>
      </c>
      <c r="M38" s="39">
        <v>0.70647179363440193</v>
      </c>
      <c r="N38" s="39">
        <v>0.72617810156212614</v>
      </c>
    </row>
    <row r="39" spans="1:14" ht="12.75" customHeight="1" x14ac:dyDescent="0.2">
      <c r="A39" s="38" t="s">
        <v>27</v>
      </c>
      <c r="B39" s="40">
        <v>0.58978613948558267</v>
      </c>
      <c r="C39" s="39">
        <v>0.63989657895870966</v>
      </c>
      <c r="D39" s="39">
        <v>0.63495787727547992</v>
      </c>
      <c r="E39" s="39">
        <v>0.65617458737486778</v>
      </c>
      <c r="F39" s="39">
        <v>0.67799093880128647</v>
      </c>
      <c r="G39" s="39">
        <v>0.67737335386175879</v>
      </c>
      <c r="H39" s="39">
        <v>0.66874217536363123</v>
      </c>
      <c r="I39" s="39">
        <v>0.69253982400442882</v>
      </c>
      <c r="J39" s="39">
        <v>0.71463077744099801</v>
      </c>
      <c r="K39" s="39">
        <v>0.71655846751553465</v>
      </c>
      <c r="L39" s="45">
        <v>0.72321636674562118</v>
      </c>
      <c r="M39" s="39">
        <v>0.72522683714632696</v>
      </c>
      <c r="N39" s="39">
        <v>0.74669591372460831</v>
      </c>
    </row>
    <row r="40" spans="1:14" ht="12.75" customHeight="1" x14ac:dyDescent="0.2">
      <c r="A40" s="38" t="s">
        <v>251</v>
      </c>
      <c r="B40" s="40">
        <v>0.65196046078394698</v>
      </c>
      <c r="C40" s="39">
        <v>0.68770580046374341</v>
      </c>
      <c r="D40" s="39">
        <v>0.71918586316460098</v>
      </c>
      <c r="E40" s="39">
        <v>0.75955856263181598</v>
      </c>
      <c r="F40" s="39">
        <v>0.76421580464975092</v>
      </c>
      <c r="G40" s="39">
        <v>0.74217918822887652</v>
      </c>
      <c r="H40" s="39">
        <v>0.73392921431179303</v>
      </c>
      <c r="I40" s="39">
        <v>0.75598692986397964</v>
      </c>
      <c r="J40" s="39">
        <v>0.75234565728686942</v>
      </c>
      <c r="K40" s="39">
        <v>0.78156851683881889</v>
      </c>
      <c r="L40" s="45">
        <v>0.78434339573367706</v>
      </c>
      <c r="M40" s="39">
        <v>0.78521977321192715</v>
      </c>
      <c r="N40" s="39">
        <v>0.75493491037421956</v>
      </c>
    </row>
    <row r="41" spans="1:14" ht="12.75" customHeight="1" x14ac:dyDescent="0.2">
      <c r="A41" s="38" t="s">
        <v>351</v>
      </c>
      <c r="B41" s="40">
        <v>0.64145899599409684</v>
      </c>
      <c r="C41" s="39">
        <v>0.6614725347451057</v>
      </c>
      <c r="D41" s="39">
        <v>0.65970381378919241</v>
      </c>
      <c r="E41" s="39">
        <v>0.62726283753672607</v>
      </c>
      <c r="F41" s="39">
        <v>0.60323474169409297</v>
      </c>
      <c r="G41" s="39">
        <v>0.6215960332810796</v>
      </c>
      <c r="H41" s="39">
        <v>0.71863307906933238</v>
      </c>
      <c r="I41" s="39">
        <v>0.75886838778983401</v>
      </c>
      <c r="J41" s="39">
        <v>0.77740956649620951</v>
      </c>
      <c r="K41" s="39">
        <v>0.77098548842591486</v>
      </c>
      <c r="L41" s="45">
        <v>0.77916169978517102</v>
      </c>
      <c r="M41" s="39">
        <v>0.77313615844882799</v>
      </c>
      <c r="N41" s="39">
        <v>0.74941222175492295</v>
      </c>
    </row>
    <row r="42" spans="1:14" ht="12.75" customHeight="1" x14ac:dyDescent="0.2">
      <c r="A42" s="38" t="s">
        <v>63</v>
      </c>
      <c r="B42" s="40">
        <v>0.51889934836715235</v>
      </c>
      <c r="C42" s="39">
        <v>0.48784435097743811</v>
      </c>
      <c r="D42" s="39">
        <v>0.44690162536283889</v>
      </c>
      <c r="E42" s="39">
        <v>0.5604516285892106</v>
      </c>
      <c r="F42" s="39">
        <v>0.59032175592324854</v>
      </c>
      <c r="G42" s="39">
        <v>0.56035881763139284</v>
      </c>
      <c r="H42" s="39">
        <v>0.59785542850943973</v>
      </c>
      <c r="I42" s="39">
        <v>0.603840595296674</v>
      </c>
      <c r="J42" s="39">
        <v>0.65507824308126494</v>
      </c>
      <c r="K42" s="39">
        <v>0.70065905168559361</v>
      </c>
      <c r="L42" s="45">
        <v>0.73364251410803216</v>
      </c>
      <c r="M42" s="39">
        <v>0.72784986029497201</v>
      </c>
      <c r="N42" s="39">
        <v>0.72232678391250837</v>
      </c>
    </row>
    <row r="43" spans="1:14" ht="12.75" customHeight="1" x14ac:dyDescent="0.2">
      <c r="A43" s="38" t="s">
        <v>340</v>
      </c>
      <c r="B43" s="40">
        <v>0.58664458399380248</v>
      </c>
      <c r="C43" s="39">
        <v>0.6025614198241932</v>
      </c>
      <c r="D43" s="39">
        <v>0.61586452449985063</v>
      </c>
      <c r="E43" s="39">
        <v>0.60642478353128848</v>
      </c>
      <c r="F43" s="39">
        <v>0.61479812504466747</v>
      </c>
      <c r="G43" s="39">
        <v>0.6289503895162315</v>
      </c>
      <c r="H43" s="39">
        <v>0.66359526782975942</v>
      </c>
      <c r="I43" s="39">
        <v>0.68680747119990737</v>
      </c>
      <c r="J43" s="39">
        <v>0.69673319472882544</v>
      </c>
      <c r="K43" s="39">
        <v>0.73157606963985111</v>
      </c>
      <c r="L43" s="45">
        <v>0.73457873448300104</v>
      </c>
      <c r="M43" s="39">
        <v>0.73929781557615692</v>
      </c>
      <c r="N43" s="39">
        <v>0.74930680673009942</v>
      </c>
    </row>
    <row r="44" spans="1:14" ht="12.75" customHeight="1" x14ac:dyDescent="0.2">
      <c r="A44" s="38" t="s">
        <v>7</v>
      </c>
      <c r="B44" s="40">
        <v>0.36506367074655238</v>
      </c>
      <c r="C44" s="39">
        <v>0.43254302072781287</v>
      </c>
      <c r="D44" s="39">
        <v>0.46422738843816469</v>
      </c>
      <c r="E44" s="39">
        <v>0.49847013635434223</v>
      </c>
      <c r="F44" s="39">
        <v>0.55384578989802058</v>
      </c>
      <c r="G44" s="39">
        <v>0.49179868633999324</v>
      </c>
      <c r="H44" s="39">
        <v>0.57764933973248567</v>
      </c>
      <c r="I44" s="39">
        <v>0.5290816069044032</v>
      </c>
      <c r="J44" s="39">
        <v>0.54587413713416721</v>
      </c>
      <c r="K44" s="39">
        <v>0.59984418189368915</v>
      </c>
      <c r="L44" s="45">
        <v>0.62722485147751594</v>
      </c>
      <c r="M44" s="39">
        <v>0.62169269495429047</v>
      </c>
      <c r="N44" s="39">
        <v>0.63690490468379612</v>
      </c>
    </row>
    <row r="45" spans="1:14" ht="12.75" customHeight="1" x14ac:dyDescent="0.2">
      <c r="A45" s="38" t="s">
        <v>367</v>
      </c>
      <c r="B45" s="40">
        <v>0.66599075936724494</v>
      </c>
      <c r="C45" s="39">
        <v>0.71188356846137502</v>
      </c>
      <c r="D45" s="39">
        <v>0.62493801578599095</v>
      </c>
      <c r="E45" s="39">
        <v>0.63434589435076971</v>
      </c>
      <c r="F45" s="39">
        <v>0.61835861556361216</v>
      </c>
      <c r="G45" s="39">
        <v>0.62881988811308576</v>
      </c>
      <c r="H45" s="39">
        <v>0.66974337372961068</v>
      </c>
      <c r="I45" s="39">
        <v>0.70694370926596151</v>
      </c>
      <c r="J45" s="39">
        <v>0.6989304408931275</v>
      </c>
      <c r="K45" s="39">
        <v>0.68770164483826646</v>
      </c>
      <c r="L45" s="45">
        <v>0.66430500909854873</v>
      </c>
      <c r="M45" s="39">
        <v>0.74195509563849438</v>
      </c>
      <c r="N45" s="39">
        <v>0.71278477316191224</v>
      </c>
    </row>
    <row r="46" spans="1:14" ht="12.75" customHeight="1" x14ac:dyDescent="0.2">
      <c r="A46" s="38" t="s">
        <v>197</v>
      </c>
      <c r="B46" s="40">
        <v>0.54224649954990056</v>
      </c>
      <c r="C46" s="39">
        <v>0.57295203297897424</v>
      </c>
      <c r="D46" s="39">
        <v>0.63683365910463174</v>
      </c>
      <c r="E46" s="39">
        <v>0.68323415852209024</v>
      </c>
      <c r="F46" s="39">
        <v>0.66590555294404619</v>
      </c>
      <c r="G46" s="39">
        <v>0.64872098747806806</v>
      </c>
      <c r="H46" s="39">
        <v>0.66879988397315404</v>
      </c>
      <c r="I46" s="39">
        <v>0.7052402238368406</v>
      </c>
      <c r="J46" s="39">
        <v>0.65416329542130491</v>
      </c>
      <c r="K46" s="39">
        <v>0.70043689569296441</v>
      </c>
      <c r="L46" s="45">
        <v>0.69514365131639977</v>
      </c>
      <c r="M46" s="39">
        <v>0.72582388606331349</v>
      </c>
      <c r="N46" s="39">
        <v>0.73035693255316814</v>
      </c>
    </row>
    <row r="47" spans="1:14" ht="12.75" customHeight="1" x14ac:dyDescent="0.2">
      <c r="A47" s="38" t="s">
        <v>376</v>
      </c>
      <c r="B47" s="40">
        <v>0.63801819127231507</v>
      </c>
      <c r="C47" s="39">
        <v>0.56672472608808977</v>
      </c>
      <c r="D47" s="39">
        <v>0.55988373431160843</v>
      </c>
      <c r="E47" s="39">
        <v>0.70437293878679375</v>
      </c>
      <c r="F47" s="39">
        <v>0.70906416390086646</v>
      </c>
      <c r="G47" s="39">
        <v>0.72559815951259277</v>
      </c>
      <c r="H47" s="39">
        <v>0.71372932982064474</v>
      </c>
      <c r="I47" s="39">
        <v>0.74251224629324142</v>
      </c>
      <c r="J47" s="39">
        <v>0.74091984602256789</v>
      </c>
      <c r="K47" s="39">
        <v>0.74519487510351679</v>
      </c>
      <c r="L47" s="45">
        <v>0.80635956745034199</v>
      </c>
      <c r="M47" s="39">
        <v>0.75402536699759304</v>
      </c>
      <c r="N47" s="39">
        <v>0.76714545451065075</v>
      </c>
    </row>
    <row r="48" spans="1:14" ht="12.75" customHeight="1" x14ac:dyDescent="0.2">
      <c r="A48" s="38" t="s">
        <v>152</v>
      </c>
      <c r="B48" s="40">
        <v>0.61706305670383854</v>
      </c>
      <c r="C48" s="39">
        <v>0.61341370592666999</v>
      </c>
      <c r="D48" s="39">
        <v>0.60789708458452385</v>
      </c>
      <c r="E48" s="39">
        <v>0.65015357849224398</v>
      </c>
      <c r="F48" s="39">
        <v>0.63548977701706522</v>
      </c>
      <c r="G48" s="39">
        <v>0.6506981530572663</v>
      </c>
      <c r="H48" s="39">
        <v>0.68188175571480614</v>
      </c>
      <c r="I48" s="39">
        <v>0.70916828928667786</v>
      </c>
      <c r="J48" s="39">
        <v>0.73202350435175367</v>
      </c>
      <c r="K48" s="39">
        <v>0.74856053294779068</v>
      </c>
      <c r="L48" s="45">
        <v>0.72922723440878157</v>
      </c>
      <c r="M48" s="39">
        <v>0.73957568328619017</v>
      </c>
      <c r="N48" s="39">
        <v>0.76168538387160589</v>
      </c>
    </row>
    <row r="49" spans="1:14" ht="12.75" customHeight="1" x14ac:dyDescent="0.2">
      <c r="A49" s="38" t="s">
        <v>341</v>
      </c>
      <c r="B49" s="40">
        <v>0.61504931804185381</v>
      </c>
      <c r="C49" s="39">
        <v>0.67948214276322805</v>
      </c>
      <c r="D49" s="39">
        <v>0.59304850422570843</v>
      </c>
      <c r="E49" s="39">
        <v>0.59563937081995044</v>
      </c>
      <c r="F49" s="39">
        <v>0.57975010952348383</v>
      </c>
      <c r="G49" s="39">
        <v>0.62105137807491306</v>
      </c>
      <c r="H49" s="39">
        <v>0.63361999331646834</v>
      </c>
      <c r="I49" s="39">
        <v>0.67347648320656794</v>
      </c>
      <c r="J49" s="39">
        <v>0.66013659126817215</v>
      </c>
      <c r="K49" s="39">
        <v>0.70099411410485335</v>
      </c>
      <c r="L49" s="45">
        <v>0.69813538615664239</v>
      </c>
      <c r="M49" s="39">
        <v>0.76515914318966782</v>
      </c>
      <c r="N49" s="39">
        <v>0.80516044431753608</v>
      </c>
    </row>
    <row r="50" spans="1:14" ht="12.75" customHeight="1" x14ac:dyDescent="0.2">
      <c r="A50" s="38" t="s">
        <v>277</v>
      </c>
      <c r="B50" s="40">
        <v>0.62076987211708323</v>
      </c>
      <c r="C50" s="39">
        <v>0.67227166566994967</v>
      </c>
      <c r="D50" s="39">
        <v>0.63642643882631156</v>
      </c>
      <c r="E50" s="39">
        <v>0.65575515001159645</v>
      </c>
      <c r="F50" s="39">
        <v>0.65440812935061965</v>
      </c>
      <c r="G50" s="39">
        <v>0.62896707646529204</v>
      </c>
      <c r="H50" s="39">
        <v>0.60211486466178388</v>
      </c>
      <c r="I50" s="39">
        <v>0.60493269314627029</v>
      </c>
      <c r="J50" s="39">
        <v>0.64702337382372965</v>
      </c>
      <c r="K50" s="39">
        <v>0.67346998473707009</v>
      </c>
      <c r="L50" s="45">
        <v>0.67497690230642504</v>
      </c>
      <c r="M50" s="39">
        <v>0.65701994467442792</v>
      </c>
      <c r="N50" s="39">
        <v>0.67055130876947944</v>
      </c>
    </row>
    <row r="51" spans="1:14" ht="12.75" customHeight="1" x14ac:dyDescent="0.2">
      <c r="A51" s="38" t="s">
        <v>103</v>
      </c>
      <c r="B51" s="40">
        <v>0.62213398795876662</v>
      </c>
      <c r="C51" s="39">
        <v>0.55599876754387567</v>
      </c>
      <c r="D51" s="39">
        <v>0.55895079147329019</v>
      </c>
      <c r="E51" s="39">
        <v>0.61534347878477269</v>
      </c>
      <c r="F51" s="39">
        <v>0.68424506925362871</v>
      </c>
      <c r="G51" s="39">
        <v>0.65798162109999325</v>
      </c>
      <c r="H51" s="39">
        <v>0.64450426213743206</v>
      </c>
      <c r="I51" s="39">
        <v>0.63431630496572733</v>
      </c>
      <c r="J51" s="39">
        <v>0.67110732295672104</v>
      </c>
      <c r="K51" s="39">
        <v>0.68380740256436578</v>
      </c>
      <c r="L51" s="45">
        <v>0.75899578336713036</v>
      </c>
      <c r="M51" s="39">
        <v>0.76624902534051265</v>
      </c>
      <c r="N51" s="39">
        <v>0.79694390596124542</v>
      </c>
    </row>
    <row r="52" spans="1:14" ht="12.75" customHeight="1" x14ac:dyDescent="0.2">
      <c r="A52" s="38" t="s">
        <v>330</v>
      </c>
      <c r="B52" s="40">
        <v>0.76865964644691065</v>
      </c>
      <c r="C52" s="39">
        <v>0.79564697978004684</v>
      </c>
      <c r="D52" s="39">
        <v>0.77256831432105122</v>
      </c>
      <c r="E52" s="39">
        <v>0.76222270612339216</v>
      </c>
      <c r="F52" s="39">
        <v>0.76324676691322557</v>
      </c>
      <c r="G52" s="39">
        <v>0.79234560922484898</v>
      </c>
      <c r="H52" s="39">
        <v>0.80290473962161668</v>
      </c>
      <c r="I52" s="39">
        <v>0.82201801028529997</v>
      </c>
      <c r="J52" s="39">
        <v>0.81933966830240479</v>
      </c>
      <c r="K52" s="39">
        <v>0.8185061377059194</v>
      </c>
      <c r="L52" s="45">
        <v>0.81110012637107853</v>
      </c>
      <c r="M52" s="39">
        <v>0.82290857851994204</v>
      </c>
      <c r="N52" s="39">
        <v>0.8525203522253153</v>
      </c>
    </row>
    <row r="53" spans="1:14" ht="12.75" customHeight="1" x14ac:dyDescent="0.2">
      <c r="A53" s="38" t="s">
        <v>412</v>
      </c>
      <c r="B53" s="40">
        <v>0.60857975260962294</v>
      </c>
      <c r="C53" s="39">
        <v>0.63046076140316376</v>
      </c>
      <c r="D53" s="39">
        <v>0.6158752302697188</v>
      </c>
      <c r="E53" s="39">
        <v>0.62901328126620992</v>
      </c>
      <c r="F53" s="39">
        <v>0.58916766212800842</v>
      </c>
      <c r="G53" s="39">
        <v>0.53510003775932358</v>
      </c>
      <c r="H53" s="39">
        <v>0.53198178163635257</v>
      </c>
      <c r="I53" s="39">
        <v>0.58193155611852354</v>
      </c>
      <c r="J53" s="39">
        <v>0.66201774643013733</v>
      </c>
      <c r="K53" s="39">
        <v>0.69269612342415388</v>
      </c>
      <c r="L53" s="45">
        <v>0.71491924689428876</v>
      </c>
      <c r="M53" s="39">
        <v>0.72273811325107484</v>
      </c>
      <c r="N53" s="39">
        <v>0.73417075590365821</v>
      </c>
    </row>
    <row r="54" spans="1:14" ht="12.75" customHeight="1" x14ac:dyDescent="0.2">
      <c r="A54" s="38" t="s">
        <v>7090</v>
      </c>
      <c r="B54" s="40">
        <v>0.68893976486708386</v>
      </c>
      <c r="C54" s="39">
        <v>0.66325209247525663</v>
      </c>
      <c r="D54" s="39">
        <v>0.66785295920167842</v>
      </c>
      <c r="E54" s="39">
        <v>0.6776878878494722</v>
      </c>
      <c r="F54" s="39">
        <v>0.70598418643287963</v>
      </c>
      <c r="G54" s="39">
        <v>0.7080064686520271</v>
      </c>
      <c r="H54" s="39">
        <v>0.70400390861250539</v>
      </c>
      <c r="I54" s="39">
        <v>0.70642017295480553</v>
      </c>
      <c r="J54" s="39">
        <v>0.7036444177278085</v>
      </c>
      <c r="K54" s="39">
        <v>0.72258919833648549</v>
      </c>
      <c r="L54" s="45">
        <v>0.68143697465036246</v>
      </c>
      <c r="M54" s="39">
        <v>0.73649238607521017</v>
      </c>
      <c r="N54" s="39">
        <v>0.71722281615193773</v>
      </c>
    </row>
    <row r="55" spans="1:14" ht="12.75" customHeight="1" x14ac:dyDescent="0.2">
      <c r="A55" s="38" t="s">
        <v>141</v>
      </c>
      <c r="B55" s="40">
        <v>0.59571123776769042</v>
      </c>
      <c r="C55" s="39">
        <v>0.56358542097974451</v>
      </c>
      <c r="D55" s="39">
        <v>0.5701949364993889</v>
      </c>
      <c r="E55" s="39">
        <v>0.58029870273348527</v>
      </c>
      <c r="F55" s="39">
        <v>0.61229329815407441</v>
      </c>
      <c r="G55" s="39">
        <v>0.61283937992546866</v>
      </c>
      <c r="H55" s="39">
        <v>0.63342483903489444</v>
      </c>
      <c r="I55" s="39">
        <v>0.66140156985768828</v>
      </c>
      <c r="J55" s="39">
        <v>0.68969929992801848</v>
      </c>
      <c r="K55" s="39">
        <v>0.72453562815742156</v>
      </c>
      <c r="L55" s="45">
        <v>0.72563545195328139</v>
      </c>
      <c r="M55" s="39">
        <v>0.70942993037924706</v>
      </c>
      <c r="N55" s="39">
        <v>0.73716358819225769</v>
      </c>
    </row>
    <row r="56" spans="1:14" ht="12.75" customHeight="1" x14ac:dyDescent="0.2">
      <c r="A56" s="38" t="s">
        <v>104</v>
      </c>
      <c r="B56" s="40">
        <v>0.67790079737868714</v>
      </c>
      <c r="C56" s="39">
        <v>0.68247164552364936</v>
      </c>
      <c r="D56" s="39">
        <v>0.68245907490675428</v>
      </c>
      <c r="E56" s="39">
        <v>0.69744876014422752</v>
      </c>
      <c r="F56" s="39">
        <v>0.68952042947434611</v>
      </c>
      <c r="G56" s="39">
        <v>0.70495894961102568</v>
      </c>
      <c r="H56" s="39">
        <v>0.70939506386492246</v>
      </c>
      <c r="I56" s="39">
        <v>0.73939621798758104</v>
      </c>
      <c r="J56" s="39">
        <v>0.73879848463339481</v>
      </c>
      <c r="K56" s="39">
        <v>0.760912089138023</v>
      </c>
      <c r="L56" s="45">
        <v>0.75470936792937771</v>
      </c>
      <c r="M56" s="39">
        <v>0.76294842886031666</v>
      </c>
      <c r="N56" s="39">
        <v>0.77205684532657448</v>
      </c>
    </row>
    <row r="57" spans="1:14" ht="12.75" customHeight="1" x14ac:dyDescent="0.2">
      <c r="A57" s="38" t="s">
        <v>153</v>
      </c>
      <c r="B57" s="40">
        <v>0.67603815170200132</v>
      </c>
      <c r="C57" s="39">
        <v>0.70900953110552045</v>
      </c>
      <c r="D57" s="39">
        <v>0.68984740544695555</v>
      </c>
      <c r="E57" s="39">
        <v>0.72056468583373612</v>
      </c>
      <c r="F57" s="39">
        <v>0.74084743667857733</v>
      </c>
      <c r="G57" s="39">
        <v>0.76227960903295811</v>
      </c>
      <c r="H57" s="39">
        <v>0.74996721879443162</v>
      </c>
      <c r="I57" s="39">
        <v>0.72568818253479905</v>
      </c>
      <c r="J57" s="39">
        <v>0.72412231963390117</v>
      </c>
      <c r="K57" s="39">
        <v>0.77349316305429194</v>
      </c>
      <c r="L57" s="45">
        <v>0.7692083322017963</v>
      </c>
      <c r="M57" s="39">
        <v>0.81515659066061419</v>
      </c>
      <c r="N57" s="39">
        <v>0.80737069176020693</v>
      </c>
    </row>
    <row r="58" spans="1:14" ht="12.75" customHeight="1" x14ac:dyDescent="0.2">
      <c r="A58" s="38" t="s">
        <v>252</v>
      </c>
      <c r="B58" s="40">
        <v>0.55828976204922509</v>
      </c>
      <c r="C58" s="39">
        <v>0.59052619996417832</v>
      </c>
      <c r="D58" s="39">
        <v>0.6056749400243554</v>
      </c>
      <c r="E58" s="39">
        <v>0.64014749513554614</v>
      </c>
      <c r="F58" s="39">
        <v>0.66495766351245367</v>
      </c>
      <c r="G58" s="39">
        <v>0.68763534297346685</v>
      </c>
      <c r="H58" s="39">
        <v>0.70745771467918572</v>
      </c>
      <c r="I58" s="39">
        <v>0.71656707402902775</v>
      </c>
      <c r="J58" s="39">
        <v>0.71140750532890706</v>
      </c>
      <c r="K58" s="39">
        <v>0.70818733824680757</v>
      </c>
      <c r="L58" s="45">
        <v>0.71316804892033814</v>
      </c>
      <c r="M58" s="39">
        <v>0.7104951924648043</v>
      </c>
      <c r="N58" s="39">
        <v>0.71353047514565471</v>
      </c>
    </row>
    <row r="59" spans="1:14" ht="12.75" customHeight="1" x14ac:dyDescent="0.2">
      <c r="A59" s="38" t="s">
        <v>64</v>
      </c>
      <c r="B59" s="40">
        <v>0.50229494501933525</v>
      </c>
      <c r="C59" s="39">
        <v>0.48940728341414946</v>
      </c>
      <c r="D59" s="39">
        <v>0.47636292731387958</v>
      </c>
      <c r="E59" s="39">
        <v>0.5898687926145022</v>
      </c>
      <c r="F59" s="39">
        <v>0.55944235273686005</v>
      </c>
      <c r="G59" s="39">
        <v>0.59905021314100726</v>
      </c>
      <c r="H59" s="39">
        <v>0.59757057954049075</v>
      </c>
      <c r="I59" s="39">
        <v>0.70069326444952573</v>
      </c>
      <c r="J59" s="39">
        <v>0.68453309194457768</v>
      </c>
      <c r="K59" s="39">
        <v>0.69463022374192851</v>
      </c>
      <c r="L59" s="45">
        <v>0.67460462779167774</v>
      </c>
      <c r="M59" s="39">
        <v>0.68945567850263068</v>
      </c>
      <c r="N59" s="39">
        <v>0.69820548198520826</v>
      </c>
    </row>
    <row r="60" spans="1:14" ht="12.75" customHeight="1" x14ac:dyDescent="0.2">
      <c r="A60" s="38" t="s">
        <v>396</v>
      </c>
      <c r="B60" s="40">
        <v>0.56697904584653691</v>
      </c>
      <c r="C60" s="39">
        <v>0.61317056592507679</v>
      </c>
      <c r="D60" s="39">
        <v>0.57767708448699628</v>
      </c>
      <c r="E60" s="39">
        <v>0.62193356089604179</v>
      </c>
      <c r="F60" s="39">
        <v>0.6273649173037873</v>
      </c>
      <c r="G60" s="39">
        <v>0.64938761365425457</v>
      </c>
      <c r="H60" s="39">
        <v>0.67111547795742243</v>
      </c>
      <c r="I60" s="39">
        <v>0.66826991451894135</v>
      </c>
      <c r="J60" s="39">
        <v>0.65878864958764638</v>
      </c>
      <c r="K60" s="39">
        <v>0.70254692054901413</v>
      </c>
      <c r="L60" s="45">
        <v>0.69419796014031443</v>
      </c>
      <c r="M60" s="39">
        <v>0.71681942903178886</v>
      </c>
      <c r="N60" s="39">
        <v>0.72599707402557578</v>
      </c>
    </row>
    <row r="61" spans="1:14" ht="12.75" customHeight="1" x14ac:dyDescent="0.2">
      <c r="A61" s="38" t="s">
        <v>342</v>
      </c>
      <c r="B61" s="40">
        <v>0.59304793163225578</v>
      </c>
      <c r="C61" s="39">
        <v>0.60284531881467962</v>
      </c>
      <c r="D61" s="39">
        <v>0.61423373294939687</v>
      </c>
      <c r="E61" s="39">
        <v>0.64017861492348416</v>
      </c>
      <c r="F61" s="39">
        <v>0.67940335341665392</v>
      </c>
      <c r="G61" s="39">
        <v>0.64618829877665862</v>
      </c>
      <c r="H61" s="39">
        <v>0.66724964810940757</v>
      </c>
      <c r="I61" s="39">
        <v>0.70141250626346519</v>
      </c>
      <c r="J61" s="39">
        <v>0.7336953681926669</v>
      </c>
      <c r="K61" s="39">
        <v>0.73304268505095216</v>
      </c>
      <c r="L61" s="45">
        <v>0.72311020422472916</v>
      </c>
      <c r="M61" s="39">
        <v>0.76921922131159015</v>
      </c>
      <c r="N61" s="39">
        <v>0.7910606861406958</v>
      </c>
    </row>
    <row r="62" spans="1:14" ht="12.75" customHeight="1" x14ac:dyDescent="0.2">
      <c r="A62" s="38" t="s">
        <v>22</v>
      </c>
      <c r="B62" s="40">
        <v>0.49909419145729</v>
      </c>
      <c r="C62" s="39">
        <v>0.51339167762001015</v>
      </c>
      <c r="D62" s="39">
        <v>0.47837307765709752</v>
      </c>
      <c r="E62" s="39">
        <v>0.53364282108035566</v>
      </c>
      <c r="F62" s="39">
        <v>0.59336554571957023</v>
      </c>
      <c r="G62" s="39">
        <v>0.65219999386813599</v>
      </c>
      <c r="H62" s="39">
        <v>0.65673318467537478</v>
      </c>
      <c r="I62" s="39">
        <v>0.6449624621619493</v>
      </c>
      <c r="J62" s="39">
        <v>0.66749283924739711</v>
      </c>
      <c r="K62" s="39">
        <v>0.68986487807038854</v>
      </c>
      <c r="L62" s="45">
        <v>0.68309608413853429</v>
      </c>
      <c r="M62" s="39">
        <v>0.66942267145426282</v>
      </c>
      <c r="N62" s="39">
        <v>0.69266969045660487</v>
      </c>
    </row>
    <row r="63" spans="1:14" ht="12.75" customHeight="1" x14ac:dyDescent="0.2">
      <c r="A63" s="38" t="s">
        <v>16</v>
      </c>
      <c r="B63" s="40">
        <v>0.63065623291763284</v>
      </c>
      <c r="C63" s="39">
        <v>0.66602505437886261</v>
      </c>
      <c r="D63" s="39">
        <v>0.62474826255919924</v>
      </c>
      <c r="E63" s="39">
        <v>0.68104558832747963</v>
      </c>
      <c r="F63" s="39">
        <v>0.70613681227506941</v>
      </c>
      <c r="G63" s="39">
        <v>0.72590591747958444</v>
      </c>
      <c r="H63" s="39">
        <v>0.72222262913431956</v>
      </c>
      <c r="I63" s="39">
        <v>0.73512321758264021</v>
      </c>
      <c r="J63" s="39">
        <v>0.74155301513801675</v>
      </c>
      <c r="K63" s="39">
        <v>0.75305830317058475</v>
      </c>
      <c r="L63" s="45">
        <v>0.72784172986176399</v>
      </c>
      <c r="M63" s="39">
        <v>0.75896902432084412</v>
      </c>
      <c r="N63" s="39">
        <v>0.7756588543029751</v>
      </c>
    </row>
    <row r="64" spans="1:14" ht="12.75" customHeight="1" x14ac:dyDescent="0.2">
      <c r="A64" s="38" t="s">
        <v>407</v>
      </c>
      <c r="B64" s="40">
        <v>0.58755958908966366</v>
      </c>
      <c r="C64" s="39">
        <v>0.56328475614389217</v>
      </c>
      <c r="D64" s="39">
        <v>0.58345144632146284</v>
      </c>
      <c r="E64" s="39">
        <v>0.6332485308170569</v>
      </c>
      <c r="F64" s="39">
        <v>0.6498913923111086</v>
      </c>
      <c r="G64" s="39">
        <v>0.66366385361699021</v>
      </c>
      <c r="H64" s="39">
        <v>0.64937584559648598</v>
      </c>
      <c r="I64" s="39">
        <v>0.70027118585575643</v>
      </c>
      <c r="J64" s="39">
        <v>0.7108339142954655</v>
      </c>
      <c r="K64" s="39">
        <v>0.71993291427657358</v>
      </c>
      <c r="L64" s="45">
        <v>0.70931998250250283</v>
      </c>
      <c r="M64" s="39">
        <v>0.69709196272018659</v>
      </c>
      <c r="N64" s="39">
        <v>0.70377430873235103</v>
      </c>
    </row>
    <row r="65" spans="1:14" ht="12.75" customHeight="1" x14ac:dyDescent="0.2">
      <c r="A65" s="38" t="s">
        <v>239</v>
      </c>
      <c r="B65" s="40">
        <v>0.6789015310248776</v>
      </c>
      <c r="C65" s="39">
        <v>0.65165994041096431</v>
      </c>
      <c r="D65" s="39">
        <v>0.67853748154455584</v>
      </c>
      <c r="E65" s="39">
        <v>0.73865523654661536</v>
      </c>
      <c r="F65" s="39">
        <v>0.7679688111021904</v>
      </c>
      <c r="G65" s="39">
        <v>0.75948749152967521</v>
      </c>
      <c r="H65" s="39">
        <v>0.76830062845639169</v>
      </c>
      <c r="I65" s="39">
        <v>0.7989424148892067</v>
      </c>
      <c r="J65" s="39">
        <v>0.79335874472053936</v>
      </c>
      <c r="K65" s="39">
        <v>0.79293779447934931</v>
      </c>
      <c r="L65" s="45">
        <v>0.80639335996686012</v>
      </c>
      <c r="M65" s="39">
        <v>0.81594192212452532</v>
      </c>
      <c r="N65" s="39">
        <v>0.80822639554187459</v>
      </c>
    </row>
    <row r="66" spans="1:14" ht="12.75" customHeight="1" x14ac:dyDescent="0.2">
      <c r="A66" s="38" t="s">
        <v>46</v>
      </c>
      <c r="B66" s="40">
        <v>0.45868405468628648</v>
      </c>
      <c r="C66" s="39">
        <v>0.44410157466448136</v>
      </c>
      <c r="D66" s="39">
        <v>0.3753781780360424</v>
      </c>
      <c r="E66" s="39">
        <v>0.42289371722817481</v>
      </c>
      <c r="F66" s="39">
        <v>0.47907041669222922</v>
      </c>
      <c r="G66" s="39">
        <v>0.50604645245235813</v>
      </c>
      <c r="H66" s="39">
        <v>0.55241521571175278</v>
      </c>
      <c r="I66" s="39">
        <v>0.60785103374600391</v>
      </c>
      <c r="J66" s="39">
        <v>0.57542725232965231</v>
      </c>
      <c r="K66" s="39">
        <v>0.61379798261563134</v>
      </c>
      <c r="L66" s="45">
        <v>0.63956221059331009</v>
      </c>
      <c r="M66" s="39">
        <v>0.59958500347921251</v>
      </c>
      <c r="N66" s="39">
        <v>0.70144597591717517</v>
      </c>
    </row>
    <row r="67" spans="1:14" ht="12.75" customHeight="1" x14ac:dyDescent="0.2">
      <c r="A67" s="38" t="s">
        <v>65</v>
      </c>
      <c r="B67" s="40">
        <v>0.58000506764803672</v>
      </c>
      <c r="C67" s="39">
        <v>0.61307757824826459</v>
      </c>
      <c r="D67" s="39">
        <v>0.59731983950763823</v>
      </c>
      <c r="E67" s="39">
        <v>0.60854307941222086</v>
      </c>
      <c r="F67" s="39">
        <v>0.54498163946853018</v>
      </c>
      <c r="G67" s="39">
        <v>0.56127196854859485</v>
      </c>
      <c r="H67" s="39">
        <v>0.57887878117478098</v>
      </c>
      <c r="I67" s="39">
        <v>0.63666267166543211</v>
      </c>
      <c r="J67" s="39">
        <v>0.67525186671368687</v>
      </c>
      <c r="K67" s="39">
        <v>0.71323423885090165</v>
      </c>
      <c r="L67" s="45">
        <v>0.68935167469663039</v>
      </c>
      <c r="M67" s="39">
        <v>0.72869471462563251</v>
      </c>
      <c r="N67" s="39">
        <v>0.75860592604137567</v>
      </c>
    </row>
    <row r="68" spans="1:14" ht="12.75" customHeight="1" x14ac:dyDescent="0.2">
      <c r="A68" s="38" t="s">
        <v>394</v>
      </c>
      <c r="B68" s="40">
        <v>0.49233073403468869</v>
      </c>
      <c r="C68" s="39">
        <v>0.50057693040655549</v>
      </c>
      <c r="D68" s="39">
        <v>0.49015187164129231</v>
      </c>
      <c r="E68" s="39">
        <v>0.52500064594085682</v>
      </c>
      <c r="F68" s="39">
        <v>0.55931268048811866</v>
      </c>
      <c r="G68" s="39">
        <v>0.5569868945607247</v>
      </c>
      <c r="H68" s="39">
        <v>0.55604164510282317</v>
      </c>
      <c r="I68" s="39">
        <v>0.60140342762883325</v>
      </c>
      <c r="J68" s="39">
        <v>0.62352125371004774</v>
      </c>
      <c r="K68" s="39">
        <v>0.67270794629945019</v>
      </c>
      <c r="L68" s="45">
        <v>0.68301525625250781</v>
      </c>
      <c r="M68" s="39">
        <v>0.6767404842818171</v>
      </c>
      <c r="N68" s="39">
        <v>0.69487412702051932</v>
      </c>
    </row>
    <row r="69" spans="1:14" ht="12.75" customHeight="1" x14ac:dyDescent="0.2">
      <c r="A69" s="38" t="s">
        <v>368</v>
      </c>
      <c r="B69" s="40">
        <v>0.6062944792289332</v>
      </c>
      <c r="C69" s="39">
        <v>0.60539002493785532</v>
      </c>
      <c r="D69" s="39">
        <v>0.59807290111078781</v>
      </c>
      <c r="E69" s="39">
        <v>0.65991711219831717</v>
      </c>
      <c r="F69" s="39">
        <v>0.66983929046776414</v>
      </c>
      <c r="G69" s="39">
        <v>0.69213276740172847</v>
      </c>
      <c r="H69" s="39">
        <v>0.74463906717644035</v>
      </c>
      <c r="I69" s="39">
        <v>0.76281403096377476</v>
      </c>
      <c r="J69" s="39">
        <v>0.7661129904504792</v>
      </c>
      <c r="K69" s="39">
        <v>0.79151341799710151</v>
      </c>
      <c r="L69" s="45">
        <v>0.78483916462317138</v>
      </c>
      <c r="M69" s="39">
        <v>0.78320559640356946</v>
      </c>
      <c r="N69" s="39">
        <v>0.77582425106467545</v>
      </c>
    </row>
    <row r="70" spans="1:14" ht="12.75" customHeight="1" x14ac:dyDescent="0.2">
      <c r="A70" s="38" t="s">
        <v>343</v>
      </c>
      <c r="B70" s="40">
        <v>0.61174563803092097</v>
      </c>
      <c r="C70" s="39">
        <v>0.64992357941591761</v>
      </c>
      <c r="D70" s="39">
        <v>0.67575177164851763</v>
      </c>
      <c r="E70" s="39">
        <v>0.72856806305818467</v>
      </c>
      <c r="F70" s="39">
        <v>0.71809797951954579</v>
      </c>
      <c r="G70" s="39">
        <v>0.71169397145054736</v>
      </c>
      <c r="H70" s="39">
        <v>0.70537255636628748</v>
      </c>
      <c r="I70" s="39">
        <v>0.72750338818252336</v>
      </c>
      <c r="J70" s="39">
        <v>0.72798265390404004</v>
      </c>
      <c r="K70" s="39">
        <v>0.74197796413423711</v>
      </c>
      <c r="L70" s="45">
        <v>0.74824791408530578</v>
      </c>
      <c r="M70" s="39">
        <v>0.76552033284239795</v>
      </c>
      <c r="N70" s="39">
        <v>0.7926668024209903</v>
      </c>
    </row>
    <row r="71" spans="1:14" ht="12.75" customHeight="1" x14ac:dyDescent="0.2">
      <c r="A71" s="38" t="s">
        <v>7089</v>
      </c>
      <c r="B71" s="40">
        <v>0.67083017175214144</v>
      </c>
      <c r="C71" s="39">
        <v>0.67581755246089303</v>
      </c>
      <c r="D71" s="39">
        <v>0.66322961939451919</v>
      </c>
      <c r="E71" s="39">
        <v>0.6716293748515324</v>
      </c>
      <c r="F71" s="39">
        <v>0.73021770205757808</v>
      </c>
      <c r="G71" s="39">
        <v>0.72955419509600417</v>
      </c>
      <c r="H71" s="39">
        <v>0.71430784201714503</v>
      </c>
      <c r="I71" s="39">
        <v>0.72613697774194863</v>
      </c>
      <c r="J71" s="39">
        <v>0.70566750093300501</v>
      </c>
      <c r="K71" s="39">
        <v>0.76699977995764324</v>
      </c>
      <c r="L71" s="45">
        <v>0.77678378125159675</v>
      </c>
      <c r="M71" s="39">
        <v>0.78927759518169249</v>
      </c>
      <c r="N71" s="39">
        <v>0.83115106626037472</v>
      </c>
    </row>
    <row r="72" spans="1:14" ht="12.75" customHeight="1" x14ac:dyDescent="0.2">
      <c r="A72" s="38" t="s">
        <v>142</v>
      </c>
      <c r="B72" s="40">
        <v>0.60939082478285411</v>
      </c>
      <c r="C72" s="39">
        <v>0.65185790045769687</v>
      </c>
      <c r="D72" s="39">
        <v>0.64504292772669503</v>
      </c>
      <c r="E72" s="39">
        <v>0.63445375713000052</v>
      </c>
      <c r="F72" s="39">
        <v>0.64509710461173597</v>
      </c>
      <c r="G72" s="39">
        <v>0.63822519744491213</v>
      </c>
      <c r="H72" s="39">
        <v>0.6318983630111592</v>
      </c>
      <c r="I72" s="39">
        <v>0.67348343027909408</v>
      </c>
      <c r="J72" s="39">
        <v>0.67417781716582914</v>
      </c>
      <c r="K72" s="39">
        <v>0.69880969012282756</v>
      </c>
      <c r="L72" s="45">
        <v>0.66550417129009676</v>
      </c>
      <c r="M72" s="39">
        <v>0.6997152644386575</v>
      </c>
      <c r="N72" s="39">
        <v>0.70969052284695211</v>
      </c>
    </row>
    <row r="73" spans="1:14" ht="12.75" customHeight="1" x14ac:dyDescent="0.2">
      <c r="A73" s="38" t="s">
        <v>331</v>
      </c>
      <c r="B73" s="40">
        <v>0.71268042605536985</v>
      </c>
      <c r="C73" s="39">
        <v>0.7425262796871287</v>
      </c>
      <c r="D73" s="39">
        <v>0.74533960681251676</v>
      </c>
      <c r="E73" s="39">
        <v>0.76429227904366981</v>
      </c>
      <c r="F73" s="39">
        <v>0.77324546919533921</v>
      </c>
      <c r="G73" s="39">
        <v>0.77956182204908941</v>
      </c>
      <c r="H73" s="39">
        <v>0.79096257312023488</v>
      </c>
      <c r="I73" s="39">
        <v>0.80378175249647033</v>
      </c>
      <c r="J73" s="39">
        <v>0.81512106354020997</v>
      </c>
      <c r="K73" s="39">
        <v>0.82085748975808215</v>
      </c>
      <c r="L73" s="45">
        <v>0.80848726275767646</v>
      </c>
      <c r="M73" s="39">
        <v>0.82655435716644188</v>
      </c>
      <c r="N73" s="39">
        <v>0.83295179810232922</v>
      </c>
    </row>
    <row r="74" spans="1:14" ht="12.75" customHeight="1" x14ac:dyDescent="0.2">
      <c r="A74" s="38" t="s">
        <v>35</v>
      </c>
      <c r="B74" s="40">
        <v>0.6178295149506362</v>
      </c>
      <c r="C74" s="39">
        <v>0.62737704395736993</v>
      </c>
      <c r="D74" s="39">
        <v>0.65084863026957296</v>
      </c>
      <c r="E74" s="39">
        <v>0.64988726178487832</v>
      </c>
      <c r="F74" s="39">
        <v>0.65882660486793354</v>
      </c>
      <c r="G74" s="39">
        <v>0.65652344648910654</v>
      </c>
      <c r="H74" s="39">
        <v>0.65580744544173719</v>
      </c>
      <c r="I74" s="39">
        <v>0.66664909787403037</v>
      </c>
      <c r="J74" s="39">
        <v>0.67736004457356591</v>
      </c>
      <c r="K74" s="39">
        <v>0.71022817791760795</v>
      </c>
      <c r="L74" s="45">
        <v>0.73248819740619719</v>
      </c>
      <c r="M74" s="39">
        <v>0.7606249730553033</v>
      </c>
      <c r="N74" s="39">
        <v>0.80606672687411596</v>
      </c>
    </row>
    <row r="75" spans="1:14" ht="12.75" customHeight="1" x14ac:dyDescent="0.2">
      <c r="A75" s="38" t="s">
        <v>344</v>
      </c>
      <c r="B75" s="40">
        <v>0.62838686436826441</v>
      </c>
      <c r="C75" s="39">
        <v>0.58803974189569097</v>
      </c>
      <c r="D75" s="39">
        <v>0.56446180009535274</v>
      </c>
      <c r="E75" s="39">
        <v>0.62012822300243209</v>
      </c>
      <c r="F75" s="39">
        <v>0.5938428188073549</v>
      </c>
      <c r="G75" s="39">
        <v>0.6189248059309741</v>
      </c>
      <c r="H75" s="39">
        <v>0.62309999215862377</v>
      </c>
      <c r="I75" s="39">
        <v>0.64525929365608148</v>
      </c>
      <c r="J75" s="39">
        <v>0.6364672930673877</v>
      </c>
      <c r="K75" s="39">
        <v>0.67662126373983844</v>
      </c>
      <c r="L75" s="45">
        <v>0.71058623126847154</v>
      </c>
      <c r="M75" s="39">
        <v>0.71096616850195316</v>
      </c>
      <c r="N75" s="39">
        <v>0.72444694221991901</v>
      </c>
    </row>
    <row r="76" spans="1:14" ht="12.75" customHeight="1" x14ac:dyDescent="0.2">
      <c r="A76" s="38" t="s">
        <v>90</v>
      </c>
      <c r="B76" s="40">
        <v>0.51363280462105054</v>
      </c>
      <c r="C76" s="39">
        <v>0.56715015242839895</v>
      </c>
      <c r="D76" s="39">
        <v>0.56416761860956255</v>
      </c>
      <c r="E76" s="39">
        <v>0.61411543843278593</v>
      </c>
      <c r="F76" s="39">
        <v>0.61750499316610818</v>
      </c>
      <c r="G76" s="39">
        <v>0.6208407415996906</v>
      </c>
      <c r="H76" s="39">
        <v>0.64634029477759281</v>
      </c>
      <c r="I76" s="39">
        <v>0.69367496622688574</v>
      </c>
      <c r="J76" s="39">
        <v>0.70559744843839589</v>
      </c>
      <c r="K76" s="39">
        <v>0.77212577526141357</v>
      </c>
      <c r="L76" s="45">
        <v>0.74054890953530605</v>
      </c>
      <c r="M76" s="39">
        <v>0.77761361355575265</v>
      </c>
      <c r="N76" s="39">
        <v>0.77279777524379278</v>
      </c>
    </row>
    <row r="77" spans="1:14" ht="12.75" customHeight="1" x14ac:dyDescent="0.2">
      <c r="A77" s="38" t="s">
        <v>8</v>
      </c>
      <c r="B77" s="40">
        <v>0.32802315186717923</v>
      </c>
      <c r="C77" s="39">
        <v>0.34242292100142196</v>
      </c>
      <c r="D77" s="39">
        <v>0.37096671536731857</v>
      </c>
      <c r="E77" s="39">
        <v>0.42940767981267441</v>
      </c>
      <c r="F77" s="39">
        <v>0.43602572847832838</v>
      </c>
      <c r="G77" s="39">
        <v>0.47551028239265553</v>
      </c>
      <c r="H77" s="39">
        <v>0.45139709154828922</v>
      </c>
      <c r="I77" s="39">
        <v>0.53216262777284751</v>
      </c>
      <c r="J77" s="39">
        <v>0.5382492858596345</v>
      </c>
      <c r="K77" s="39">
        <v>0.61321415860600637</v>
      </c>
      <c r="L77" s="45">
        <v>0.61483379315417364</v>
      </c>
      <c r="M77" s="39">
        <v>0.58828109896249658</v>
      </c>
      <c r="N77" s="39">
        <v>0.6200867212095541</v>
      </c>
    </row>
    <row r="78" spans="1:14" ht="12.75" customHeight="1" x14ac:dyDescent="0.2">
      <c r="A78" s="38" t="s">
        <v>303</v>
      </c>
      <c r="B78" s="40">
        <v>0.69478859331671894</v>
      </c>
      <c r="C78" s="39">
        <v>0.68157388425304377</v>
      </c>
      <c r="D78" s="39">
        <v>0.67751196111354373</v>
      </c>
      <c r="E78" s="39">
        <v>0.69637751323766517</v>
      </c>
      <c r="F78" s="39">
        <v>0.70555215812923378</v>
      </c>
      <c r="G78" s="39">
        <v>0.70386373636165012</v>
      </c>
      <c r="H78" s="39">
        <v>0.71262737281241451</v>
      </c>
      <c r="I78" s="39">
        <v>0.77100315214690607</v>
      </c>
      <c r="J78" s="39">
        <v>0.73997173637604741</v>
      </c>
      <c r="K78" s="39">
        <v>0.75781142911712163</v>
      </c>
      <c r="L78" s="45">
        <v>0.7533652788113141</v>
      </c>
      <c r="M78" s="39">
        <v>0.78771635927694994</v>
      </c>
      <c r="N78" s="39">
        <v>0.78939491054792743</v>
      </c>
    </row>
    <row r="79" spans="1:14" ht="12.75" customHeight="1" x14ac:dyDescent="0.2">
      <c r="A79" s="38" t="s">
        <v>377</v>
      </c>
      <c r="B79" s="40">
        <v>0.62684386978204587</v>
      </c>
      <c r="C79" s="39">
        <v>0.61140353174065354</v>
      </c>
      <c r="D79" s="39">
        <v>0.65397802825095208</v>
      </c>
      <c r="E79" s="39">
        <v>0.73057400068613954</v>
      </c>
      <c r="F79" s="39">
        <v>0.72980197822570769</v>
      </c>
      <c r="G79" s="39">
        <v>0.70211853694050363</v>
      </c>
      <c r="H79" s="39">
        <v>0.70074240480118721</v>
      </c>
      <c r="I79" s="39">
        <v>0.74608171390815514</v>
      </c>
      <c r="J79" s="39">
        <v>0.74795561407451194</v>
      </c>
      <c r="K79" s="39">
        <v>0.77613766903633818</v>
      </c>
      <c r="L79" s="45">
        <v>0.78525304497802306</v>
      </c>
      <c r="M79" s="39">
        <v>0.77167268794654975</v>
      </c>
      <c r="N79" s="39">
        <v>0.77628559853271717</v>
      </c>
    </row>
    <row r="80" spans="1:14" ht="12.75" customHeight="1" x14ac:dyDescent="0.2">
      <c r="A80" s="38" t="s">
        <v>208</v>
      </c>
      <c r="B80" s="40">
        <v>0.72113986117506013</v>
      </c>
      <c r="C80" s="39">
        <v>0.73890874367786008</v>
      </c>
      <c r="D80" s="39">
        <v>0.74815447174419525</v>
      </c>
      <c r="E80" s="39">
        <v>0.75722094593725886</v>
      </c>
      <c r="F80" s="39">
        <v>0.77115601834014091</v>
      </c>
      <c r="G80" s="39">
        <v>0.75972559887171276</v>
      </c>
      <c r="H80" s="39">
        <v>0.76933489566758473</v>
      </c>
      <c r="I80" s="39">
        <v>0.79067404410963837</v>
      </c>
      <c r="J80" s="39">
        <v>0.78563174344822195</v>
      </c>
      <c r="K80" s="39">
        <v>0.80935281256310077</v>
      </c>
      <c r="L80" s="45">
        <v>0.79018722755129467</v>
      </c>
      <c r="M80" s="39">
        <v>0.81991195511455561</v>
      </c>
      <c r="N80" s="39">
        <v>0.81997444184265234</v>
      </c>
    </row>
    <row r="81" spans="1:14" ht="12.75" customHeight="1" x14ac:dyDescent="0.2">
      <c r="A81" s="38" t="s">
        <v>262</v>
      </c>
      <c r="B81" s="40">
        <v>0.62939466810933975</v>
      </c>
      <c r="C81" s="39">
        <v>0.65886332373496914</v>
      </c>
      <c r="D81" s="39">
        <v>0.66750124815294676</v>
      </c>
      <c r="E81" s="39">
        <v>0.66493412103821903</v>
      </c>
      <c r="F81" s="39">
        <v>0.66066310092390357</v>
      </c>
      <c r="G81" s="39">
        <v>0.65851022920612001</v>
      </c>
      <c r="H81" s="39">
        <v>0.68604495864807946</v>
      </c>
      <c r="I81" s="39">
        <v>0.71587021243205884</v>
      </c>
      <c r="J81" s="39">
        <v>0.70367387634729306</v>
      </c>
      <c r="K81" s="39">
        <v>0.73099234741741037</v>
      </c>
      <c r="L81" s="45">
        <v>0.73711954282373482</v>
      </c>
      <c r="M81" s="39">
        <v>0.75350369498881919</v>
      </c>
      <c r="N81" s="39">
        <v>0.78454513131987191</v>
      </c>
    </row>
    <row r="82" spans="1:14" ht="12.75" customHeight="1" x14ac:dyDescent="0.2">
      <c r="A82" s="38" t="s">
        <v>384</v>
      </c>
      <c r="B82" s="40">
        <v>0.48430175431193784</v>
      </c>
      <c r="C82" s="39">
        <v>0.49282126946370391</v>
      </c>
      <c r="D82" s="39">
        <v>0.48619247798255616</v>
      </c>
      <c r="E82" s="39">
        <v>0.48532751699605509</v>
      </c>
      <c r="F82" s="39">
        <v>0.48203808191310266</v>
      </c>
      <c r="G82" s="39">
        <v>0.50462786924364311</v>
      </c>
      <c r="H82" s="39">
        <v>0.54337871366838608</v>
      </c>
      <c r="I82" s="39">
        <v>0.54308920795801141</v>
      </c>
      <c r="J82" s="39">
        <v>0.57918127998194624</v>
      </c>
      <c r="K82" s="39">
        <v>0.63424608314063613</v>
      </c>
      <c r="L82" s="45">
        <v>0.63832581423038037</v>
      </c>
      <c r="M82" s="39">
        <v>0.66284729702385992</v>
      </c>
      <c r="N82" s="39">
        <v>0.71004109030009543</v>
      </c>
    </row>
    <row r="83" spans="1:14" ht="12.75" customHeight="1" x14ac:dyDescent="0.2">
      <c r="A83" s="38" t="s">
        <v>9</v>
      </c>
      <c r="B83" s="40">
        <v>0.54249622414296395</v>
      </c>
      <c r="C83" s="39">
        <v>0.55770817506774673</v>
      </c>
      <c r="D83" s="39">
        <v>0.55842255227220194</v>
      </c>
      <c r="E83" s="39">
        <v>0.5923228818176236</v>
      </c>
      <c r="F83" s="39">
        <v>0.63074352926955612</v>
      </c>
      <c r="G83" s="39">
        <v>0.66159344674940357</v>
      </c>
      <c r="H83" s="39">
        <v>0.67208479930692311</v>
      </c>
      <c r="I83" s="39">
        <v>0.68047129304447695</v>
      </c>
      <c r="J83" s="39">
        <v>0.67898774787273197</v>
      </c>
      <c r="K83" s="39">
        <v>0.70337890242388923</v>
      </c>
      <c r="L83" s="45">
        <v>0.68909414517249157</v>
      </c>
      <c r="M83" s="39">
        <v>0.71379708102924255</v>
      </c>
      <c r="N83" s="39">
        <v>0.74609869870649126</v>
      </c>
    </row>
    <row r="84" spans="1:14" ht="12.75" customHeight="1" x14ac:dyDescent="0.2">
      <c r="A84" s="38" t="s">
        <v>188</v>
      </c>
      <c r="B84" s="40">
        <v>0.72003779263311518</v>
      </c>
      <c r="C84" s="39">
        <v>0.72718127490675322</v>
      </c>
      <c r="D84" s="39">
        <v>0.72420170265443151</v>
      </c>
      <c r="E84" s="39">
        <v>0.71919975454327378</v>
      </c>
      <c r="F84" s="39">
        <v>0.70536602639017809</v>
      </c>
      <c r="G84" s="39">
        <v>0.70448433876407301</v>
      </c>
      <c r="H84" s="39">
        <v>0.71005376246120233</v>
      </c>
      <c r="I84" s="39">
        <v>0.73111108133667069</v>
      </c>
      <c r="J84" s="39">
        <v>0.72109534881504656</v>
      </c>
      <c r="K84" s="39">
        <v>0.73079145132648116</v>
      </c>
      <c r="L84" s="45">
        <v>0.7407429086729671</v>
      </c>
      <c r="M84" s="39">
        <v>0.75015913158934311</v>
      </c>
      <c r="N84" s="39">
        <v>0.77873391225673994</v>
      </c>
    </row>
    <row r="85" spans="1:14" ht="12.75" customHeight="1" x14ac:dyDescent="0.2">
      <c r="A85" s="38" t="s">
        <v>116</v>
      </c>
      <c r="B85" s="40">
        <v>0.58390570320263879</v>
      </c>
      <c r="C85" s="39">
        <v>0.52917764296708947</v>
      </c>
      <c r="D85" s="39">
        <v>0.51640578054455688</v>
      </c>
      <c r="E85" s="39">
        <v>0.5529242402513449</v>
      </c>
      <c r="F85" s="39">
        <v>0.5812060146989152</v>
      </c>
      <c r="G85" s="39">
        <v>0.61218188823242914</v>
      </c>
      <c r="H85" s="39">
        <v>0.58843903796646113</v>
      </c>
      <c r="I85" s="39">
        <v>0.56801979586989659</v>
      </c>
      <c r="J85" s="39">
        <v>0.59012686270865167</v>
      </c>
      <c r="K85" s="39">
        <v>0.64027521781293961</v>
      </c>
      <c r="L85" s="45">
        <v>0.68896932525105792</v>
      </c>
      <c r="M85" s="39">
        <v>0.65836640146614755</v>
      </c>
      <c r="N85" s="39">
        <v>0.68238382367676309</v>
      </c>
    </row>
    <row r="86" spans="1:14" ht="12.75" customHeight="1" x14ac:dyDescent="0.2">
      <c r="A86" s="38" t="s">
        <v>133</v>
      </c>
      <c r="B86" s="40">
        <v>0.52287736935336737</v>
      </c>
      <c r="C86" s="39">
        <v>0.58954778133955366</v>
      </c>
      <c r="D86" s="39">
        <v>0.6265677133773182</v>
      </c>
      <c r="E86" s="39">
        <v>0.60557257061615877</v>
      </c>
      <c r="F86" s="39">
        <v>0.59106274042146045</v>
      </c>
      <c r="G86" s="39">
        <v>0.60293510188287547</v>
      </c>
      <c r="H86" s="39">
        <v>0.62799564962033139</v>
      </c>
      <c r="I86" s="39">
        <v>0.63435676581079892</v>
      </c>
      <c r="J86" s="39">
        <v>0.66389802971534218</v>
      </c>
      <c r="K86" s="39">
        <v>0.6796109277157445</v>
      </c>
      <c r="L86" s="45">
        <v>0.68062409612151675</v>
      </c>
      <c r="M86" s="39">
        <v>0.69961958058096341</v>
      </c>
      <c r="N86" s="39">
        <v>0.71337516732988393</v>
      </c>
    </row>
    <row r="87" spans="1:14" ht="12.75" customHeight="1" x14ac:dyDescent="0.2">
      <c r="A87" s="38" t="s">
        <v>408</v>
      </c>
      <c r="B87" s="40">
        <v>0.54074547145600005</v>
      </c>
      <c r="C87" s="39">
        <v>0.53839983331447605</v>
      </c>
      <c r="D87" s="39">
        <v>0.53914780152648789</v>
      </c>
      <c r="E87" s="39">
        <v>0.60835467465687643</v>
      </c>
      <c r="F87" s="39">
        <v>0.64309972768594059</v>
      </c>
      <c r="G87" s="39">
        <v>0.65449963302145286</v>
      </c>
      <c r="H87" s="39">
        <v>0.66249302960781664</v>
      </c>
      <c r="I87" s="39">
        <v>0.69366710932958953</v>
      </c>
      <c r="J87" s="39">
        <v>0.67464625719385618</v>
      </c>
      <c r="K87" s="39">
        <v>0.7120402104595106</v>
      </c>
      <c r="L87" s="45">
        <v>0.67307031587031174</v>
      </c>
      <c r="M87" s="39">
        <v>0.68332777405676293</v>
      </c>
      <c r="N87" s="39">
        <v>0.66651655569079027</v>
      </c>
    </row>
    <row r="88" spans="1:14" ht="12.75" customHeight="1" x14ac:dyDescent="0.2">
      <c r="A88" s="38" t="s">
        <v>332</v>
      </c>
      <c r="B88" s="40">
        <v>0.67431703592927505</v>
      </c>
      <c r="C88" s="39">
        <v>0.67272621676602029</v>
      </c>
      <c r="D88" s="39">
        <v>0.68593095633028245</v>
      </c>
      <c r="E88" s="39">
        <v>0.72143198671233033</v>
      </c>
      <c r="F88" s="39">
        <v>0.72883079542450702</v>
      </c>
      <c r="G88" s="39">
        <v>0.70070958922788307</v>
      </c>
      <c r="H88" s="39">
        <v>0.68973185796462833</v>
      </c>
      <c r="I88" s="39">
        <v>0.74500960910454606</v>
      </c>
      <c r="J88" s="39">
        <v>0.75635693588555997</v>
      </c>
      <c r="K88" s="39">
        <v>0.7526564256406697</v>
      </c>
      <c r="L88" s="45">
        <v>0.74944183136405895</v>
      </c>
      <c r="M88" s="39">
        <v>0.7388934474497888</v>
      </c>
      <c r="N88" s="39">
        <v>0.76022826779592723</v>
      </c>
    </row>
    <row r="89" spans="1:14" ht="12.75" customHeight="1" x14ac:dyDescent="0.2">
      <c r="A89" s="38" t="s">
        <v>117</v>
      </c>
      <c r="B89" s="40">
        <v>0.67312069065049129</v>
      </c>
      <c r="C89" s="39">
        <v>0.7049731362754138</v>
      </c>
      <c r="D89" s="39">
        <v>0.70115553694804678</v>
      </c>
      <c r="E89" s="39">
        <v>0.72527284735364217</v>
      </c>
      <c r="F89" s="39">
        <v>0.72865673764685723</v>
      </c>
      <c r="G89" s="39">
        <v>0.71971970071994129</v>
      </c>
      <c r="H89" s="39">
        <v>0.72617794003071801</v>
      </c>
      <c r="I89" s="39">
        <v>0.73985232280444679</v>
      </c>
      <c r="J89" s="39">
        <v>0.74228894265564416</v>
      </c>
      <c r="K89" s="39">
        <v>0.76165003531618136</v>
      </c>
      <c r="L89" s="45">
        <v>0.76736787555954977</v>
      </c>
      <c r="M89" s="39">
        <v>0.7544633464084477</v>
      </c>
      <c r="N89" s="39">
        <v>0.78064283454314243</v>
      </c>
    </row>
    <row r="90" spans="1:14" ht="12.75" customHeight="1" x14ac:dyDescent="0.2">
      <c r="A90" s="38" t="s">
        <v>385</v>
      </c>
      <c r="B90" s="40">
        <v>0.49059108154267594</v>
      </c>
      <c r="C90" s="39">
        <v>0.5877630742108978</v>
      </c>
      <c r="D90" s="39">
        <v>0.51835532764835712</v>
      </c>
      <c r="E90" s="39">
        <v>0.51053859141002589</v>
      </c>
      <c r="F90" s="39">
        <v>0.51396397741466837</v>
      </c>
      <c r="G90" s="39">
        <v>0.53407679432424771</v>
      </c>
      <c r="H90" s="39">
        <v>0.58261342315151488</v>
      </c>
      <c r="I90" s="39">
        <v>0.61978804592159265</v>
      </c>
      <c r="J90" s="39">
        <v>0.63879029092586748</v>
      </c>
      <c r="K90" s="39">
        <v>0.68366462530495953</v>
      </c>
      <c r="L90" s="45">
        <v>0.69496004283810475</v>
      </c>
      <c r="M90" s="39">
        <v>0.68637084870867415</v>
      </c>
      <c r="N90" s="39">
        <v>0.72335236226574817</v>
      </c>
    </row>
    <row r="91" spans="1:14" ht="12.75" customHeight="1" x14ac:dyDescent="0.2">
      <c r="A91" s="38" t="s">
        <v>378</v>
      </c>
      <c r="B91" s="40">
        <v>0.60378727812839295</v>
      </c>
      <c r="C91" s="39">
        <v>0.64535766392522331</v>
      </c>
      <c r="D91" s="39">
        <v>0.66701986922295209</v>
      </c>
      <c r="E91" s="39">
        <v>0.69323900526359683</v>
      </c>
      <c r="F91" s="39">
        <v>0.70178520903328778</v>
      </c>
      <c r="G91" s="39">
        <v>0.72453598199164304</v>
      </c>
      <c r="H91" s="39">
        <v>0.73405688295593619</v>
      </c>
      <c r="I91" s="39">
        <v>0.74519917576726524</v>
      </c>
      <c r="J91" s="39">
        <v>0.75304530003822368</v>
      </c>
      <c r="K91" s="39">
        <v>0.76163156085473149</v>
      </c>
      <c r="L91" s="45">
        <v>0.75306354208356285</v>
      </c>
      <c r="M91" s="39">
        <v>0.76137764674658059</v>
      </c>
      <c r="N91" s="39">
        <v>0.75901279443353076</v>
      </c>
    </row>
    <row r="92" spans="1:14" ht="12.75" customHeight="1" x14ac:dyDescent="0.2">
      <c r="A92" s="38" t="s">
        <v>198</v>
      </c>
      <c r="B92" s="40">
        <v>0.50306888144165429</v>
      </c>
      <c r="C92" s="39">
        <v>0.54724908359432056</v>
      </c>
      <c r="D92" s="39">
        <v>0.49671484470808186</v>
      </c>
      <c r="E92" s="39">
        <v>0.54117092480709095</v>
      </c>
      <c r="F92" s="39">
        <v>0.5519709104372329</v>
      </c>
      <c r="G92" s="39">
        <v>0.55728802683437151</v>
      </c>
      <c r="H92" s="39">
        <v>0.51893239818946191</v>
      </c>
      <c r="I92" s="39">
        <v>0.63303514705200303</v>
      </c>
      <c r="J92" s="39">
        <v>0.67705776375518389</v>
      </c>
      <c r="K92" s="39">
        <v>0.72099528129374946</v>
      </c>
      <c r="L92" s="45">
        <v>0.70961164869697357</v>
      </c>
      <c r="M92" s="39">
        <v>0.69177807748764364</v>
      </c>
      <c r="N92" s="39">
        <v>0.6985636187372154</v>
      </c>
    </row>
    <row r="93" spans="1:14" ht="12.75" customHeight="1" x14ac:dyDescent="0.2">
      <c r="A93" s="38" t="s">
        <v>28</v>
      </c>
      <c r="B93" s="40">
        <v>0.54383127934769249</v>
      </c>
      <c r="C93" s="39">
        <v>0.56921563575606215</v>
      </c>
      <c r="D93" s="39">
        <v>0.57926476792991732</v>
      </c>
      <c r="E93" s="39">
        <v>0.56957871741085342</v>
      </c>
      <c r="F93" s="39">
        <v>0.6028908022133832</v>
      </c>
      <c r="G93" s="39">
        <v>0.61507143291639232</v>
      </c>
      <c r="H93" s="39">
        <v>0.64498631310956667</v>
      </c>
      <c r="I93" s="39">
        <v>0.67633338763649731</v>
      </c>
      <c r="J93" s="39">
        <v>0.67713812524088102</v>
      </c>
      <c r="K93" s="39">
        <v>0.69537465825464795</v>
      </c>
      <c r="L93" s="45">
        <v>0.68096672266912661</v>
      </c>
      <c r="M93" s="39">
        <v>0.67368620047092109</v>
      </c>
      <c r="N93" s="39">
        <v>0.70545803494836823</v>
      </c>
    </row>
    <row r="94" spans="1:14" ht="12.75" customHeight="1" x14ac:dyDescent="0.2">
      <c r="A94" s="38" t="s">
        <v>352</v>
      </c>
      <c r="B94" s="40">
        <v>0.64432016072890386</v>
      </c>
      <c r="C94" s="39">
        <v>0.67656849546171405</v>
      </c>
      <c r="D94" s="39">
        <v>0.61637390525956015</v>
      </c>
      <c r="E94" s="39">
        <v>0.64294717746582208</v>
      </c>
      <c r="F94" s="39">
        <v>0.62057616161727225</v>
      </c>
      <c r="G94" s="39">
        <v>0.67454892586951531</v>
      </c>
      <c r="H94" s="39">
        <v>0.66093151588073618</v>
      </c>
      <c r="I94" s="39">
        <v>0.73068072167588127</v>
      </c>
      <c r="J94" s="39">
        <v>0.73681567844593421</v>
      </c>
      <c r="K94" s="39">
        <v>0.7322752148092313</v>
      </c>
      <c r="L94" s="45">
        <v>0.72550192246226841</v>
      </c>
      <c r="M94" s="39">
        <v>0.74302078472336175</v>
      </c>
      <c r="N94" s="39">
        <v>0.76084035522233184</v>
      </c>
    </row>
    <row r="95" spans="1:14" ht="12.75" customHeight="1" x14ac:dyDescent="0.2">
      <c r="A95" s="38" t="s">
        <v>240</v>
      </c>
      <c r="B95" s="40">
        <v>0.61545226166593447</v>
      </c>
      <c r="C95" s="39">
        <v>0.66905152513126598</v>
      </c>
      <c r="D95" s="39">
        <v>0.68001214998731108</v>
      </c>
      <c r="E95" s="39">
        <v>0.67242152877776118</v>
      </c>
      <c r="F95" s="39">
        <v>0.66660998909579805</v>
      </c>
      <c r="G95" s="39">
        <v>0.6506981990417382</v>
      </c>
      <c r="H95" s="39">
        <v>0.66619218282501613</v>
      </c>
      <c r="I95" s="39">
        <v>0.70801343969189434</v>
      </c>
      <c r="J95" s="39">
        <v>0.72362447888407744</v>
      </c>
      <c r="K95" s="39">
        <v>0.73349925313570008</v>
      </c>
      <c r="L95" s="45">
        <v>0.72413051506328419</v>
      </c>
      <c r="M95" s="39">
        <v>0.74713347297421728</v>
      </c>
      <c r="N95" s="39">
        <v>0.75044744695325116</v>
      </c>
    </row>
    <row r="96" spans="1:14" ht="12.75" customHeight="1" x14ac:dyDescent="0.2">
      <c r="A96" s="38" t="s">
        <v>226</v>
      </c>
      <c r="B96" s="40">
        <v>0.62912483534628716</v>
      </c>
      <c r="C96" s="39">
        <v>0.66086178275140584</v>
      </c>
      <c r="D96" s="39">
        <v>0.67638497592167679</v>
      </c>
      <c r="E96" s="39">
        <v>0.70262435992856143</v>
      </c>
      <c r="F96" s="39">
        <v>0.68578568964828823</v>
      </c>
      <c r="G96" s="39">
        <v>0.64360880177382851</v>
      </c>
      <c r="H96" s="39">
        <v>0.61843290802584672</v>
      </c>
      <c r="I96" s="39">
        <v>0.65236136888066076</v>
      </c>
      <c r="J96" s="39">
        <v>0.69380462494040984</v>
      </c>
      <c r="K96" s="39">
        <v>0.74301180060153882</v>
      </c>
      <c r="L96" s="45">
        <v>0.7067748721909618</v>
      </c>
      <c r="M96" s="39">
        <v>0.66034521596793727</v>
      </c>
      <c r="N96" s="39">
        <v>0.69153600939316551</v>
      </c>
    </row>
    <row r="97" spans="1:14" ht="12.75" customHeight="1" x14ac:dyDescent="0.2">
      <c r="A97" s="38" t="s">
        <v>154</v>
      </c>
      <c r="B97" s="40">
        <v>0.53123429835573333</v>
      </c>
      <c r="C97" s="39">
        <v>0.62090256077042616</v>
      </c>
      <c r="D97" s="39">
        <v>0.62446206693725559</v>
      </c>
      <c r="E97" s="39">
        <v>0.58983259950198808</v>
      </c>
      <c r="F97" s="39">
        <v>0.58491096139771492</v>
      </c>
      <c r="G97" s="39">
        <v>0.60593640607285848</v>
      </c>
      <c r="H97" s="39">
        <v>0.64538730701657998</v>
      </c>
      <c r="I97" s="39">
        <v>0.70183517350709079</v>
      </c>
      <c r="J97" s="39">
        <v>0.71639248528365818</v>
      </c>
      <c r="K97" s="39">
        <v>0.76270050351826846</v>
      </c>
      <c r="L97" s="45">
        <v>0.76086840373969211</v>
      </c>
      <c r="M97" s="39">
        <v>0.75459972560928401</v>
      </c>
      <c r="N97" s="39">
        <v>0.7739679202745734</v>
      </c>
    </row>
    <row r="98" spans="1:14" ht="12.75" customHeight="1" x14ac:dyDescent="0.2">
      <c r="A98" s="38" t="s">
        <v>10</v>
      </c>
      <c r="B98" s="40">
        <v>0.8243585394491989</v>
      </c>
      <c r="C98" s="39">
        <v>0.84006687920684142</v>
      </c>
      <c r="D98" s="39">
        <v>0.8374515527112294</v>
      </c>
      <c r="E98" s="39">
        <v>0.8433279451099529</v>
      </c>
      <c r="F98" s="39">
        <v>0.84919121943948728</v>
      </c>
      <c r="G98" s="39">
        <v>0.8616737076335963</v>
      </c>
      <c r="H98" s="39">
        <v>0.86538754754541047</v>
      </c>
      <c r="I98" s="39">
        <v>0.86558663769100319</v>
      </c>
      <c r="J98" s="39">
        <v>0.87275024733702677</v>
      </c>
      <c r="K98" s="39">
        <v>0.87842085825865668</v>
      </c>
      <c r="L98" s="45">
        <v>0.87296310954403189</v>
      </c>
      <c r="M98" s="39">
        <v>0.88403078709324412</v>
      </c>
      <c r="N98" s="39">
        <v>0.90133007415909272</v>
      </c>
    </row>
    <row r="99" spans="1:14" ht="12.75" customHeight="1" x14ac:dyDescent="0.2">
      <c r="A99" s="38" t="s">
        <v>47</v>
      </c>
      <c r="B99" s="40">
        <v>0.41549357561423511</v>
      </c>
      <c r="C99" s="39">
        <v>0.47624235761529121</v>
      </c>
      <c r="D99" s="39">
        <v>0.44545911986356801</v>
      </c>
      <c r="E99" s="39">
        <v>0.4965258517700446</v>
      </c>
      <c r="F99" s="39">
        <v>0.55479511849741303</v>
      </c>
      <c r="G99" s="39">
        <v>0.53947546296461291</v>
      </c>
      <c r="H99" s="39">
        <v>0.54897351813225892</v>
      </c>
      <c r="I99" s="39">
        <v>0.60883414221393573</v>
      </c>
      <c r="J99" s="39">
        <v>0.62709037096510911</v>
      </c>
      <c r="K99" s="39">
        <v>0.6545765260628188</v>
      </c>
      <c r="L99" s="45">
        <v>0.63710204537141313</v>
      </c>
      <c r="M99" s="39">
        <v>0.64854202166567931</v>
      </c>
      <c r="N99" s="39">
        <v>0.70085411639745399</v>
      </c>
    </row>
    <row r="100" spans="1:14" ht="12.75" customHeight="1" x14ac:dyDescent="0.2">
      <c r="A100" s="38" t="s">
        <v>286</v>
      </c>
      <c r="B100" s="40">
        <v>0.60834455788105923</v>
      </c>
      <c r="C100" s="39">
        <v>0.61674646347409134</v>
      </c>
      <c r="D100" s="39">
        <v>0.6040495048581942</v>
      </c>
      <c r="E100" s="39">
        <v>0.65262385033169712</v>
      </c>
      <c r="F100" s="39">
        <v>0.66611108739363034</v>
      </c>
      <c r="G100" s="39">
        <v>0.68715418756522817</v>
      </c>
      <c r="H100" s="39">
        <v>0.67303376968991591</v>
      </c>
      <c r="I100" s="39">
        <v>0.70828870786049281</v>
      </c>
      <c r="J100" s="39">
        <v>0.72337337311724303</v>
      </c>
      <c r="K100" s="39">
        <v>0.77471370284083962</v>
      </c>
      <c r="L100" s="45">
        <v>0.78375668159730927</v>
      </c>
      <c r="M100" s="39">
        <v>0.76016483268869728</v>
      </c>
      <c r="N100" s="39">
        <v>0.78139498784043548</v>
      </c>
    </row>
    <row r="101" spans="1:14" ht="12.75" customHeight="1" x14ac:dyDescent="0.2">
      <c r="A101" s="38" t="s">
        <v>304</v>
      </c>
      <c r="B101" s="40">
        <v>0.4672115305186792</v>
      </c>
      <c r="C101" s="39">
        <v>0.53542155836183369</v>
      </c>
      <c r="D101" s="39">
        <v>0.49209589857512398</v>
      </c>
      <c r="E101" s="39">
        <v>0.50936506782617264</v>
      </c>
      <c r="F101" s="39">
        <v>0.54212354785192352</v>
      </c>
      <c r="G101" s="39">
        <v>0.58877152724746606</v>
      </c>
      <c r="H101" s="39">
        <v>0.64353835191927755</v>
      </c>
      <c r="I101" s="39">
        <v>0.64725892083920544</v>
      </c>
      <c r="J101" s="39">
        <v>0.66226286160560732</v>
      </c>
      <c r="K101" s="39">
        <v>0.69065108600380831</v>
      </c>
      <c r="L101" s="45">
        <v>0.70776080251180851</v>
      </c>
      <c r="M101" s="39">
        <v>0.68558834053274476</v>
      </c>
      <c r="N101" s="39">
        <v>0.65598061395261409</v>
      </c>
    </row>
    <row r="102" spans="1:14" ht="12.75" customHeight="1" x14ac:dyDescent="0.2">
      <c r="A102" s="38" t="s">
        <v>480</v>
      </c>
      <c r="B102" s="40">
        <v>0.53742861932028729</v>
      </c>
      <c r="C102" s="39">
        <v>0.569584038003355</v>
      </c>
      <c r="D102" s="39">
        <v>0.55852853510246436</v>
      </c>
      <c r="E102" s="39">
        <v>0.60119089865344977</v>
      </c>
      <c r="F102" s="39">
        <v>0.61366804745308146</v>
      </c>
      <c r="G102" s="39">
        <v>0.62965299254912022</v>
      </c>
      <c r="H102" s="39">
        <v>0.64187329999070597</v>
      </c>
      <c r="I102" s="39">
        <v>0.65312629884195816</v>
      </c>
      <c r="J102" s="39">
        <v>0.66987117085770409</v>
      </c>
      <c r="K102" s="39">
        <v>0.66980308111159215</v>
      </c>
      <c r="L102" s="45">
        <v>0.67256090427249404</v>
      </c>
      <c r="M102" s="39">
        <v>0.67584960478541267</v>
      </c>
      <c r="N102" s="39">
        <v>0.72044975523624621</v>
      </c>
    </row>
    <row r="103" spans="1:14" ht="12.75" customHeight="1" x14ac:dyDescent="0.2">
      <c r="A103" s="38" t="s">
        <v>353</v>
      </c>
      <c r="B103" s="40">
        <v>0.71344601416977438</v>
      </c>
      <c r="C103" s="39">
        <v>0.73870402974211891</v>
      </c>
      <c r="D103" s="39">
        <v>0.69563578836387874</v>
      </c>
      <c r="E103" s="39">
        <v>0.74167964782614237</v>
      </c>
      <c r="F103" s="39">
        <v>0.73219857059035942</v>
      </c>
      <c r="G103" s="39">
        <v>0.73792895471043973</v>
      </c>
      <c r="H103" s="39">
        <v>0.75236964067426981</v>
      </c>
      <c r="I103" s="39">
        <v>0.82528833408441971</v>
      </c>
      <c r="J103" s="39">
        <v>0.80201902448032059</v>
      </c>
      <c r="K103" s="39">
        <v>0.83490260916060122</v>
      </c>
      <c r="L103" s="45">
        <v>0.81767504864212048</v>
      </c>
      <c r="M103" s="39">
        <v>0.83892485862941146</v>
      </c>
      <c r="N103" s="39">
        <v>0.83676956910040534</v>
      </c>
    </row>
    <row r="104" spans="1:14" ht="12.75" customHeight="1" x14ac:dyDescent="0.2">
      <c r="A104" s="38" t="s">
        <v>298</v>
      </c>
      <c r="B104" s="40">
        <v>0.74009546055810616</v>
      </c>
      <c r="C104" s="39">
        <v>0.79155550734418501</v>
      </c>
      <c r="D104" s="39">
        <v>0.78940366499331038</v>
      </c>
      <c r="E104" s="39">
        <v>0.78980401959942526</v>
      </c>
      <c r="F104" s="39">
        <v>0.78539096122639196</v>
      </c>
      <c r="G104" s="39">
        <v>0.76720927107885817</v>
      </c>
      <c r="H104" s="39">
        <v>0.75503484833771795</v>
      </c>
      <c r="I104" s="39">
        <v>0.77611069790691223</v>
      </c>
      <c r="J104" s="39">
        <v>0.80490259102557504</v>
      </c>
      <c r="K104" s="39">
        <v>0.82822238564309891</v>
      </c>
      <c r="L104" s="45">
        <v>0.8626504243965849</v>
      </c>
      <c r="M104" s="39">
        <v>0.82737784237110146</v>
      </c>
      <c r="N104" s="39">
        <v>0.82635358862555508</v>
      </c>
    </row>
    <row r="105" spans="1:14" ht="12.75" customHeight="1" x14ac:dyDescent="0.2">
      <c r="A105" s="38" t="s">
        <v>209</v>
      </c>
      <c r="B105" s="40">
        <v>0.67279526511541599</v>
      </c>
      <c r="C105" s="39">
        <v>0.66812182393485975</v>
      </c>
      <c r="D105" s="39">
        <v>0.65541810579080828</v>
      </c>
      <c r="E105" s="39">
        <v>0.6511095327985138</v>
      </c>
      <c r="F105" s="39">
        <v>0.66984559728548498</v>
      </c>
      <c r="G105" s="39">
        <v>0.72358988774649768</v>
      </c>
      <c r="H105" s="39">
        <v>0.70643132361935235</v>
      </c>
      <c r="I105" s="39">
        <v>0.74122537812084877</v>
      </c>
      <c r="J105" s="39">
        <v>0.75380402496804833</v>
      </c>
      <c r="K105" s="39">
        <v>0.77550562412280499</v>
      </c>
      <c r="L105" s="45">
        <v>0.73936860120962544</v>
      </c>
      <c r="M105" s="39">
        <v>0.73707736037221305</v>
      </c>
      <c r="N105" s="39">
        <v>0.74377442559076778</v>
      </c>
    </row>
    <row r="106" spans="1:14" ht="12.75" customHeight="1" x14ac:dyDescent="0.2">
      <c r="A106" s="38" t="s">
        <v>402</v>
      </c>
      <c r="B106" s="40">
        <v>0.34771829604226262</v>
      </c>
      <c r="C106" s="39">
        <v>0.3971448287455619</v>
      </c>
      <c r="D106" s="39">
        <v>0.30187938895125094</v>
      </c>
      <c r="E106" s="39">
        <v>0.39297109160661137</v>
      </c>
      <c r="F106" s="39">
        <v>0.48307134651986677</v>
      </c>
      <c r="G106" s="39">
        <v>0.53903324878375025</v>
      </c>
      <c r="H106" s="39">
        <v>0.53271858024207797</v>
      </c>
      <c r="I106" s="39">
        <v>0.59118155469432399</v>
      </c>
      <c r="J106" s="39">
        <v>0.60388370784380785</v>
      </c>
      <c r="K106" s="39">
        <v>0.55997768661027947</v>
      </c>
      <c r="L106" s="45">
        <v>0.5481645679990832</v>
      </c>
      <c r="M106" s="39">
        <v>0.48402440936663482</v>
      </c>
      <c r="N106" s="39">
        <v>0.45917989755881128</v>
      </c>
    </row>
    <row r="107" spans="1:14" ht="12.75" customHeight="1" x14ac:dyDescent="0.2">
      <c r="A107" s="38" t="s">
        <v>354</v>
      </c>
      <c r="B107" s="40">
        <v>0.67618805114996139</v>
      </c>
      <c r="C107" s="39">
        <v>0.70052566001578309</v>
      </c>
      <c r="D107" s="39">
        <v>0.65047380675227406</v>
      </c>
      <c r="E107" s="39">
        <v>0.6627258907178557</v>
      </c>
      <c r="F107" s="39">
        <v>0.67411565292529729</v>
      </c>
      <c r="G107" s="39">
        <v>0.70842753159445826</v>
      </c>
      <c r="H107" s="39">
        <v>0.69884195141750938</v>
      </c>
      <c r="I107" s="39">
        <v>0.7124907848369807</v>
      </c>
      <c r="J107" s="39">
        <v>0.71157453864491627</v>
      </c>
      <c r="K107" s="39">
        <v>0.73169930206399891</v>
      </c>
      <c r="L107" s="45">
        <v>0.72877181977393146</v>
      </c>
      <c r="M107" s="39">
        <v>0.72663854272413941</v>
      </c>
      <c r="N107" s="39">
        <v>0.76144897599962613</v>
      </c>
    </row>
    <row r="108" spans="1:14" ht="12.75" customHeight="1" x14ac:dyDescent="0.2">
      <c r="A108" s="38" t="s">
        <v>199</v>
      </c>
      <c r="B108" s="40">
        <v>0.67187264522246259</v>
      </c>
      <c r="C108" s="39">
        <v>0.7221005912772821</v>
      </c>
      <c r="D108" s="39">
        <v>0.68269014740655554</v>
      </c>
      <c r="E108" s="39">
        <v>0.65388352439598751</v>
      </c>
      <c r="F108" s="39">
        <v>0.65289746808310845</v>
      </c>
      <c r="G108" s="39">
        <v>0.69339788503497957</v>
      </c>
      <c r="H108" s="39">
        <v>0.69602770422917482</v>
      </c>
      <c r="I108" s="39">
        <v>0.73513795471410692</v>
      </c>
      <c r="J108" s="39">
        <v>0.74528979333203849</v>
      </c>
      <c r="K108" s="39">
        <v>0.76300934323398228</v>
      </c>
      <c r="L108" s="45">
        <v>0.75194019945573576</v>
      </c>
      <c r="M108" s="39">
        <v>0.75715757434585418</v>
      </c>
      <c r="N108" s="39">
        <v>0.73386467711440595</v>
      </c>
    </row>
    <row r="109" spans="1:14" ht="12.75" customHeight="1" x14ac:dyDescent="0.2">
      <c r="A109" s="38" t="s">
        <v>305</v>
      </c>
      <c r="B109" s="40">
        <v>0.73116499926175493</v>
      </c>
      <c r="C109" s="39">
        <v>0.75342887911477829</v>
      </c>
      <c r="D109" s="39">
        <v>0.74866814993946473</v>
      </c>
      <c r="E109" s="39">
        <v>0.75917684933418494</v>
      </c>
      <c r="F109" s="39">
        <v>0.78602777426420722</v>
      </c>
      <c r="G109" s="39">
        <v>0.75673313886325089</v>
      </c>
      <c r="H109" s="39">
        <v>0.74537284966212125</v>
      </c>
      <c r="I109" s="39">
        <v>0.77800494597890701</v>
      </c>
      <c r="J109" s="39">
        <v>0.74242098400345657</v>
      </c>
      <c r="K109" s="39">
        <v>0.73411895867845256</v>
      </c>
      <c r="L109" s="45">
        <v>0.75986000975547807</v>
      </c>
      <c r="M109" s="39">
        <v>0.73128197859345834</v>
      </c>
      <c r="N109" s="39">
        <v>0.79103798808827108</v>
      </c>
    </row>
    <row r="110" spans="1:14" ht="12.75" customHeight="1" x14ac:dyDescent="0.2">
      <c r="A110" s="38" t="s">
        <v>278</v>
      </c>
      <c r="B110" s="40">
        <v>0.62911877414283068</v>
      </c>
      <c r="C110" s="39">
        <v>0.65319505479995177</v>
      </c>
      <c r="D110" s="39">
        <v>0.66163251311980953</v>
      </c>
      <c r="E110" s="39">
        <v>0.74341244328747924</v>
      </c>
      <c r="F110" s="39">
        <v>0.74083014947392434</v>
      </c>
      <c r="G110" s="39">
        <v>0.63199326362953734</v>
      </c>
      <c r="H110" s="39">
        <v>0.6362594722536512</v>
      </c>
      <c r="I110" s="39">
        <v>0.72869511021153988</v>
      </c>
      <c r="J110" s="39">
        <v>0.76046724154125067</v>
      </c>
      <c r="K110" s="39">
        <v>0.77392005459610813</v>
      </c>
      <c r="L110" s="45">
        <v>0.75687532508370436</v>
      </c>
      <c r="M110" s="39">
        <v>0.7681597563739776</v>
      </c>
      <c r="N110" s="39">
        <v>0.76215535532365364</v>
      </c>
    </row>
    <row r="111" spans="1:14" ht="12.75" customHeight="1" x14ac:dyDescent="0.2">
      <c r="A111" s="38" t="s">
        <v>80</v>
      </c>
      <c r="B111" s="40">
        <v>0.465269468104762</v>
      </c>
      <c r="C111" s="39">
        <v>0.49397643533610852</v>
      </c>
      <c r="D111" s="39">
        <v>0.45428565972954482</v>
      </c>
      <c r="E111" s="39">
        <v>0.51971990770632315</v>
      </c>
      <c r="F111" s="39">
        <v>0.53142398874323848</v>
      </c>
      <c r="G111" s="39">
        <v>0.58647181751803301</v>
      </c>
      <c r="H111" s="39">
        <v>0.56937342523445278</v>
      </c>
      <c r="I111" s="39">
        <v>0.6116071916545166</v>
      </c>
      <c r="J111" s="39">
        <v>0.65736936169234617</v>
      </c>
      <c r="K111" s="39">
        <v>0.68454431853825859</v>
      </c>
      <c r="L111" s="45">
        <v>0.69740759195168012</v>
      </c>
      <c r="M111" s="39">
        <v>0.68588746478853135</v>
      </c>
      <c r="N111" s="39">
        <v>0.74632382208507153</v>
      </c>
    </row>
    <row r="112" spans="1:14" ht="12.75" customHeight="1" x14ac:dyDescent="0.2">
      <c r="A112" s="38" t="s">
        <v>7088</v>
      </c>
      <c r="B112" s="40">
        <v>0.67014073022950882</v>
      </c>
      <c r="C112" s="39">
        <v>0.67827602209048399</v>
      </c>
      <c r="D112" s="39">
        <v>0.65710956667342768</v>
      </c>
      <c r="E112" s="39">
        <v>0.6887356557031844</v>
      </c>
      <c r="F112" s="39">
        <v>0.66993131376225046</v>
      </c>
      <c r="G112" s="39">
        <v>0.68108798672224857</v>
      </c>
      <c r="H112" s="39">
        <v>0.6747151426631417</v>
      </c>
      <c r="I112" s="39">
        <v>0.72108995926998209</v>
      </c>
      <c r="J112" s="39">
        <v>0.65247763360448596</v>
      </c>
      <c r="K112" s="39">
        <v>0.68687602515977275</v>
      </c>
      <c r="L112" s="45">
        <v>0.65064522122955193</v>
      </c>
      <c r="M112" s="39">
        <v>0.70764266242249407</v>
      </c>
      <c r="N112" s="39">
        <v>0.72415740384726168</v>
      </c>
    </row>
    <row r="113" spans="1:14" ht="12.75" customHeight="1" x14ac:dyDescent="0.2">
      <c r="A113" s="38" t="s">
        <v>178</v>
      </c>
      <c r="B113" s="40">
        <v>0.53120077358123707</v>
      </c>
      <c r="C113" s="39">
        <v>0.57054139588413155</v>
      </c>
      <c r="D113" s="39">
        <v>0.54923946269888679</v>
      </c>
      <c r="E113" s="39">
        <v>0.55602704087083299</v>
      </c>
      <c r="F113" s="39">
        <v>0.56311642882667234</v>
      </c>
      <c r="G113" s="39">
        <v>0.6128515973361871</v>
      </c>
      <c r="H113" s="39">
        <v>0.65365601109783478</v>
      </c>
      <c r="I113" s="39">
        <v>0.67722770463265558</v>
      </c>
      <c r="J113" s="39">
        <v>0.68159976724527949</v>
      </c>
      <c r="K113" s="39">
        <v>0.74057874156868364</v>
      </c>
      <c r="L113" s="45">
        <v>0.71600667294557507</v>
      </c>
      <c r="M113" s="39">
        <v>0.72126949852345679</v>
      </c>
      <c r="N113" s="39">
        <v>0.74861742459049552</v>
      </c>
    </row>
    <row r="114" spans="1:14" ht="12.75" customHeight="1" x14ac:dyDescent="0.2">
      <c r="A114" s="38" t="s">
        <v>7087</v>
      </c>
      <c r="B114" s="40">
        <v>0.52894088152503438</v>
      </c>
      <c r="C114" s="39">
        <v>0.57569755502345243</v>
      </c>
      <c r="D114" s="39">
        <v>0.57113261304503993</v>
      </c>
      <c r="E114" s="39">
        <v>0.61642197653375741</v>
      </c>
      <c r="F114" s="39">
        <v>0.64449349367598252</v>
      </c>
      <c r="G114" s="39">
        <v>0.67547903823788069</v>
      </c>
      <c r="H114" s="39">
        <v>0.69567233277724905</v>
      </c>
      <c r="I114" s="39">
        <v>0.70803003128935627</v>
      </c>
      <c r="J114" s="39">
        <v>0.72219661594850637</v>
      </c>
      <c r="K114" s="39">
        <v>0.74274520766296348</v>
      </c>
      <c r="L114" s="45">
        <v>0.72763157606325723</v>
      </c>
      <c r="M114" s="39">
        <v>0.74285121134779641</v>
      </c>
      <c r="N114" s="39">
        <v>0.71093384939777182</v>
      </c>
    </row>
    <row r="115" spans="1:14" ht="12.75" customHeight="1" x14ac:dyDescent="0.2">
      <c r="A115" s="38" t="s">
        <v>155</v>
      </c>
      <c r="B115" s="40">
        <v>0.59080519194035341</v>
      </c>
      <c r="C115" s="39">
        <v>0.60785515055279715</v>
      </c>
      <c r="D115" s="39">
        <v>0.60520706795669754</v>
      </c>
      <c r="E115" s="39">
        <v>0.55725340314536276</v>
      </c>
      <c r="F115" s="39">
        <v>0.52378609340575988</v>
      </c>
      <c r="G115" s="39">
        <v>0.59866700124667727</v>
      </c>
      <c r="H115" s="39">
        <v>0.61743061642459662</v>
      </c>
      <c r="I115" s="39">
        <v>0.73317143218157421</v>
      </c>
      <c r="J115" s="39">
        <v>0.70834520887910901</v>
      </c>
      <c r="K115" s="39">
        <v>0.74517330685305139</v>
      </c>
      <c r="L115" s="45">
        <v>0.71426924280658299</v>
      </c>
      <c r="M115" s="39">
        <v>0.7178925518730197</v>
      </c>
      <c r="N115" s="39">
        <v>0.71724689610999681</v>
      </c>
    </row>
    <row r="116" spans="1:14" ht="12.75" customHeight="1" x14ac:dyDescent="0.2">
      <c r="A116" s="38" t="s">
        <v>54</v>
      </c>
      <c r="B116" s="40">
        <v>0.58111356686877391</v>
      </c>
      <c r="C116" s="39">
        <v>0.54662850924449602</v>
      </c>
      <c r="D116" s="39">
        <v>0.53972651911272762</v>
      </c>
      <c r="E116" s="39">
        <v>0.60786985376954694</v>
      </c>
      <c r="F116" s="39">
        <v>0.62458737641306705</v>
      </c>
      <c r="G116" s="39">
        <v>0.6035449405353096</v>
      </c>
      <c r="H116" s="39">
        <v>0.58782164900912548</v>
      </c>
      <c r="I116" s="39">
        <v>0.61183728970703088</v>
      </c>
      <c r="J116" s="39">
        <v>0.60404710722144805</v>
      </c>
      <c r="K116" s="39">
        <v>0.68185059495893707</v>
      </c>
      <c r="L116" s="45">
        <v>0.70764565104292654</v>
      </c>
      <c r="M116" s="39">
        <v>0.74473333489473481</v>
      </c>
      <c r="N116" s="39">
        <v>0.76598019190540168</v>
      </c>
    </row>
    <row r="117" spans="1:14" ht="12.75" customHeight="1" x14ac:dyDescent="0.2">
      <c r="A117" s="38" t="s">
        <v>166</v>
      </c>
      <c r="B117" s="40">
        <v>0.51555514533747904</v>
      </c>
      <c r="C117" s="39">
        <v>0.57448716384943843</v>
      </c>
      <c r="D117" s="39">
        <v>0.59041087945170234</v>
      </c>
      <c r="E117" s="39">
        <v>0.60382109516065652</v>
      </c>
      <c r="F117" s="39">
        <v>0.61155533816996877</v>
      </c>
      <c r="G117" s="39">
        <v>0.6312427255531301</v>
      </c>
      <c r="H117" s="39">
        <v>0.64286801624188639</v>
      </c>
      <c r="I117" s="39">
        <v>0.71404559574010895</v>
      </c>
      <c r="J117" s="39">
        <v>0.72138120083467061</v>
      </c>
      <c r="K117" s="39">
        <v>0.72909918368727611</v>
      </c>
      <c r="L117" s="45">
        <v>0.68589811305908588</v>
      </c>
      <c r="M117" s="39">
        <v>0.73012116916623981</v>
      </c>
      <c r="N117" s="39">
        <v>0.73702142818771799</v>
      </c>
    </row>
    <row r="118" spans="1:14" ht="12.75" customHeight="1" x14ac:dyDescent="0.2">
      <c r="A118" s="38" t="s">
        <v>355</v>
      </c>
      <c r="B118" s="40">
        <v>0.66125718526842181</v>
      </c>
      <c r="C118" s="39">
        <v>0.66015505416502107</v>
      </c>
      <c r="D118" s="39">
        <v>0.62320204372061994</v>
      </c>
      <c r="E118" s="39">
        <v>0.63143280151336201</v>
      </c>
      <c r="F118" s="39">
        <v>0.6396756939857341</v>
      </c>
      <c r="G118" s="39">
        <v>0.65071978488998727</v>
      </c>
      <c r="H118" s="39">
        <v>0.68020266942911245</v>
      </c>
      <c r="I118" s="39">
        <v>0.71935926903047964</v>
      </c>
      <c r="J118" s="39">
        <v>0.73255539326779928</v>
      </c>
      <c r="K118" s="39">
        <v>0.74645632857580912</v>
      </c>
      <c r="L118" s="45">
        <v>0.72577504510059299</v>
      </c>
      <c r="M118" s="39">
        <v>0.73030909356094498</v>
      </c>
      <c r="N118" s="39">
        <v>0.73231070937562803</v>
      </c>
    </row>
    <row r="119" spans="1:14" ht="12.75" customHeight="1" x14ac:dyDescent="0.2">
      <c r="A119" s="38" t="s">
        <v>210</v>
      </c>
      <c r="B119" s="40">
        <v>0.72420390594931516</v>
      </c>
      <c r="C119" s="39">
        <v>0.72311209693347556</v>
      </c>
      <c r="D119" s="39">
        <v>0.71361974154006924</v>
      </c>
      <c r="E119" s="39">
        <v>0.70776518740686623</v>
      </c>
      <c r="F119" s="39">
        <v>0.72306709209575704</v>
      </c>
      <c r="G119" s="39">
        <v>0.73918115253757311</v>
      </c>
      <c r="H119" s="39">
        <v>0.73361952493439597</v>
      </c>
      <c r="I119" s="39">
        <v>0.7400274812829144</v>
      </c>
      <c r="J119" s="39">
        <v>0.74297432867699698</v>
      </c>
      <c r="K119" s="39">
        <v>0.77305974236840347</v>
      </c>
      <c r="L119" s="45">
        <v>0.77960311559952145</v>
      </c>
      <c r="M119" s="39">
        <v>0.78679436632922994</v>
      </c>
      <c r="N119" s="39">
        <v>0.78663743621356585</v>
      </c>
    </row>
    <row r="120" spans="1:14" ht="12.75" customHeight="1" x14ac:dyDescent="0.2">
      <c r="A120" s="38" t="s">
        <v>200</v>
      </c>
      <c r="B120" s="40">
        <v>0.61794536387259491</v>
      </c>
      <c r="C120" s="39">
        <v>0.66776445712634847</v>
      </c>
      <c r="D120" s="39">
        <v>0.66005917622939603</v>
      </c>
      <c r="E120" s="39">
        <v>0.69477462435160275</v>
      </c>
      <c r="F120" s="39">
        <v>0.65618662830957142</v>
      </c>
      <c r="G120" s="39">
        <v>0.6592911711454007</v>
      </c>
      <c r="H120" s="39">
        <v>0.66624998054643803</v>
      </c>
      <c r="I120" s="39">
        <v>0.70745988341244004</v>
      </c>
      <c r="J120" s="39">
        <v>0.67725365590353037</v>
      </c>
      <c r="K120" s="39">
        <v>0.74714318111046252</v>
      </c>
      <c r="L120" s="45">
        <v>0.7384642277224609</v>
      </c>
      <c r="M120" s="39">
        <v>0.76568761882641911</v>
      </c>
      <c r="N120" s="39">
        <v>0.76425394329325069</v>
      </c>
    </row>
    <row r="121" spans="1:14" ht="12.75" customHeight="1" x14ac:dyDescent="0.2">
      <c r="A121" s="38" t="s">
        <v>91</v>
      </c>
      <c r="B121" s="40">
        <v>0.59715813478947577</v>
      </c>
      <c r="C121" s="39">
        <v>0.62983127647080517</v>
      </c>
      <c r="D121" s="39">
        <v>0.63985474340630866</v>
      </c>
      <c r="E121" s="39">
        <v>0.64368172872809559</v>
      </c>
      <c r="F121" s="39">
        <v>0.64851055550219894</v>
      </c>
      <c r="G121" s="39">
        <v>0.6492379811149579</v>
      </c>
      <c r="H121" s="39">
        <v>0.65877697085029829</v>
      </c>
      <c r="I121" s="39">
        <v>0.6750557446744655</v>
      </c>
      <c r="J121" s="39">
        <v>0.64673158337970982</v>
      </c>
      <c r="K121" s="39">
        <v>0.67548643616225978</v>
      </c>
      <c r="L121" s="45">
        <v>0.68298272128343929</v>
      </c>
      <c r="M121" s="39">
        <v>0.73498735645170299</v>
      </c>
      <c r="N121" s="39">
        <v>0.7416064863928723</v>
      </c>
    </row>
    <row r="122" spans="1:14" ht="12.75" customHeight="1" x14ac:dyDescent="0.2">
      <c r="A122" s="38" t="s">
        <v>227</v>
      </c>
      <c r="B122" s="40">
        <v>0.70120520005695985</v>
      </c>
      <c r="C122" s="39">
        <v>0.71097718874415028</v>
      </c>
      <c r="D122" s="39">
        <v>0.70075270128323253</v>
      </c>
      <c r="E122" s="39">
        <v>0.75757105645998601</v>
      </c>
      <c r="F122" s="39">
        <v>0.73952420172125155</v>
      </c>
      <c r="G122" s="39">
        <v>0.74625676387545636</v>
      </c>
      <c r="H122" s="39">
        <v>0.74923917985633626</v>
      </c>
      <c r="I122" s="39">
        <v>0.75279170584124699</v>
      </c>
      <c r="J122" s="39">
        <v>0.75115158580186192</v>
      </c>
      <c r="K122" s="39">
        <v>0.78109374637491269</v>
      </c>
      <c r="L122" s="45">
        <v>0.76715756666190904</v>
      </c>
      <c r="M122" s="39">
        <v>0.72618238821587189</v>
      </c>
      <c r="N122" s="39">
        <v>0.69756227297161322</v>
      </c>
    </row>
    <row r="123" spans="1:14" ht="12.75" customHeight="1" x14ac:dyDescent="0.2">
      <c r="A123" s="38" t="s">
        <v>333</v>
      </c>
      <c r="B123" s="40">
        <v>0.6713091239698924</v>
      </c>
      <c r="C123" s="39">
        <v>0.68424618052027431</v>
      </c>
      <c r="D123" s="39">
        <v>0.65256349213941689</v>
      </c>
      <c r="E123" s="39">
        <v>0.61412615644078528</v>
      </c>
      <c r="F123" s="39">
        <v>0.61659529911107602</v>
      </c>
      <c r="G123" s="39">
        <v>0.67070635347861618</v>
      </c>
      <c r="H123" s="39">
        <v>0.70612504221293715</v>
      </c>
      <c r="I123" s="39">
        <v>0.73876223181100442</v>
      </c>
      <c r="J123" s="39">
        <v>0.7095675051227186</v>
      </c>
      <c r="K123" s="39">
        <v>0.7430048846359113</v>
      </c>
      <c r="L123" s="45">
        <v>0.74181069319335868</v>
      </c>
      <c r="M123" s="39">
        <v>0.78713601595719596</v>
      </c>
      <c r="N123" s="39">
        <v>0.79087811758217896</v>
      </c>
    </row>
    <row r="124" spans="1:14" ht="12.75" customHeight="1" x14ac:dyDescent="0.2">
      <c r="A124" s="38" t="s">
        <v>306</v>
      </c>
      <c r="B124" s="40">
        <v>0.65028630222403494</v>
      </c>
      <c r="C124" s="39">
        <v>0.67770284284101689</v>
      </c>
      <c r="D124" s="39">
        <v>0.68514557560577305</v>
      </c>
      <c r="E124" s="39">
        <v>0.69896093868285136</v>
      </c>
      <c r="F124" s="39">
        <v>0.68745396150956228</v>
      </c>
      <c r="G124" s="39">
        <v>0.68034234040608677</v>
      </c>
      <c r="H124" s="39">
        <v>0.68274339729364752</v>
      </c>
      <c r="I124" s="39">
        <v>0.70531364821747589</v>
      </c>
      <c r="J124" s="39">
        <v>0.71735150894692301</v>
      </c>
      <c r="K124" s="39">
        <v>0.74790422555754354</v>
      </c>
      <c r="L124" s="45">
        <v>0.73768050636372784</v>
      </c>
      <c r="M124" s="39">
        <v>0.76860980897520392</v>
      </c>
      <c r="N124" s="39">
        <v>0.77708044370574791</v>
      </c>
    </row>
    <row r="125" spans="1:14" ht="12.75" customHeight="1" x14ac:dyDescent="0.2">
      <c r="A125" s="38" t="s">
        <v>81</v>
      </c>
      <c r="B125" s="40">
        <v>0.47091362630870415</v>
      </c>
      <c r="C125" s="39">
        <v>0.54824191251580656</v>
      </c>
      <c r="D125" s="39">
        <v>0.52246906638045787</v>
      </c>
      <c r="E125" s="39">
        <v>0.51796337784307722</v>
      </c>
      <c r="F125" s="39">
        <v>0.53839614238495515</v>
      </c>
      <c r="G125" s="39">
        <v>0.52362479232624948</v>
      </c>
      <c r="H125" s="39">
        <v>0.55182095121871788</v>
      </c>
      <c r="I125" s="39">
        <v>0.5542188409839609</v>
      </c>
      <c r="J125" s="39">
        <v>0.58233978095604888</v>
      </c>
      <c r="K125" s="39">
        <v>0.61506103729190986</v>
      </c>
      <c r="L125" s="45">
        <v>0.64964853114596022</v>
      </c>
      <c r="M125" s="39">
        <v>0.66946130600598031</v>
      </c>
      <c r="N125" s="39">
        <v>0.68258857122212113</v>
      </c>
    </row>
    <row r="126" spans="1:14" ht="12.75" customHeight="1" x14ac:dyDescent="0.2">
      <c r="A126" s="38" t="s">
        <v>279</v>
      </c>
      <c r="B126" s="40">
        <v>0.54864050524026231</v>
      </c>
      <c r="C126" s="39">
        <v>0.58819734611818142</v>
      </c>
      <c r="D126" s="39">
        <v>0.56899458197770436</v>
      </c>
      <c r="E126" s="39">
        <v>0.59655834053417978</v>
      </c>
      <c r="F126" s="39">
        <v>0.60198681091001882</v>
      </c>
      <c r="G126" s="39">
        <v>0.57910182316457792</v>
      </c>
      <c r="H126" s="39">
        <v>0.57406831903237743</v>
      </c>
      <c r="I126" s="39">
        <v>0.60557071688666453</v>
      </c>
      <c r="J126" s="39">
        <v>0.65548515678109187</v>
      </c>
      <c r="K126" s="39">
        <v>0.66256980327078729</v>
      </c>
      <c r="L126" s="45">
        <v>0.66340617630259102</v>
      </c>
      <c r="M126" s="39">
        <v>0.64370568673385409</v>
      </c>
      <c r="N126" s="39">
        <v>0.64052895192328174</v>
      </c>
    </row>
    <row r="127" spans="1:14" ht="12.75" customHeight="1" x14ac:dyDescent="0.2">
      <c r="A127" s="38" t="s">
        <v>356</v>
      </c>
      <c r="B127" s="40">
        <v>0.71645609769036966</v>
      </c>
      <c r="C127" s="39">
        <v>0.72701933331118085</v>
      </c>
      <c r="D127" s="39">
        <v>0.70393839020989712</v>
      </c>
      <c r="E127" s="39">
        <v>0.72661725800622501</v>
      </c>
      <c r="F127" s="39">
        <v>0.7330808287641043</v>
      </c>
      <c r="G127" s="39">
        <v>0.72437745194929803</v>
      </c>
      <c r="H127" s="39">
        <v>0.72509203123136601</v>
      </c>
      <c r="I127" s="39">
        <v>0.75032067419893289</v>
      </c>
      <c r="J127" s="39">
        <v>0.74654971721407193</v>
      </c>
      <c r="K127" s="39">
        <v>0.78372499170493537</v>
      </c>
      <c r="L127" s="45">
        <v>0.76279828877569533</v>
      </c>
      <c r="M127" s="39">
        <v>0.81060298674029474</v>
      </c>
      <c r="N127" s="39">
        <v>0.81158552982647869</v>
      </c>
    </row>
    <row r="128" spans="1:14" ht="12.75" customHeight="1" x14ac:dyDescent="0.2">
      <c r="A128" s="38" t="s">
        <v>29</v>
      </c>
      <c r="B128" s="40">
        <v>0.51531483306770209</v>
      </c>
      <c r="C128" s="39">
        <v>0.5309184766035534</v>
      </c>
      <c r="D128" s="39">
        <v>0.5251970393025055</v>
      </c>
      <c r="E128" s="39">
        <v>0.55158516372550148</v>
      </c>
      <c r="F128" s="39">
        <v>0.55237227025027769</v>
      </c>
      <c r="G128" s="39">
        <v>0.54079205060552926</v>
      </c>
      <c r="H128" s="39">
        <v>0.55564015738734629</v>
      </c>
      <c r="I128" s="39">
        <v>0.59757782865039888</v>
      </c>
      <c r="J128" s="39">
        <v>0.59316701805697691</v>
      </c>
      <c r="K128" s="39">
        <v>0.66085494211769291</v>
      </c>
      <c r="L128" s="45">
        <v>0.64043765656038831</v>
      </c>
      <c r="M128" s="39">
        <v>0.68679706550632702</v>
      </c>
      <c r="N128" s="39">
        <v>0.68180927497082389</v>
      </c>
    </row>
    <row r="129" spans="1:14" ht="12.75" customHeight="1" x14ac:dyDescent="0.2">
      <c r="A129" s="38" t="s">
        <v>156</v>
      </c>
      <c r="B129" s="40">
        <v>0.62353567041640057</v>
      </c>
      <c r="C129" s="39">
        <v>0.68132208917636972</v>
      </c>
      <c r="D129" s="39">
        <v>0.64181463458114563</v>
      </c>
      <c r="E129" s="39">
        <v>0.54294198553340911</v>
      </c>
      <c r="F129" s="39">
        <v>0.54984528181410564</v>
      </c>
      <c r="G129" s="39">
        <v>0.56748849903802823</v>
      </c>
      <c r="H129" s="39">
        <v>0.63413720120269812</v>
      </c>
      <c r="I129" s="39">
        <v>0.64740886265774644</v>
      </c>
      <c r="J129" s="39">
        <v>0.68199536510007253</v>
      </c>
      <c r="K129" s="39">
        <v>0.72910712365283736</v>
      </c>
      <c r="L129" s="45">
        <v>0.72613879472886289</v>
      </c>
      <c r="M129" s="39">
        <v>0.6909724863792629</v>
      </c>
      <c r="N129" s="39">
        <v>0.73876714684099032</v>
      </c>
    </row>
    <row r="130" spans="1:14" ht="12.75" customHeight="1" x14ac:dyDescent="0.2">
      <c r="A130" s="38" t="s">
        <v>241</v>
      </c>
      <c r="B130" s="40">
        <v>0.60820261352422145</v>
      </c>
      <c r="C130" s="39">
        <v>0.65117367317752384</v>
      </c>
      <c r="D130" s="39">
        <v>0.64220667449107838</v>
      </c>
      <c r="E130" s="39">
        <v>0.65294208935150078</v>
      </c>
      <c r="F130" s="39">
        <v>0.63510470005943909</v>
      </c>
      <c r="G130" s="39">
        <v>0.65889274741059201</v>
      </c>
      <c r="H130" s="39">
        <v>0.65270810274551361</v>
      </c>
      <c r="I130" s="39">
        <v>0.69986339416955479</v>
      </c>
      <c r="J130" s="39">
        <v>0.72237817748828936</v>
      </c>
      <c r="K130" s="39">
        <v>0.74540981361675263</v>
      </c>
      <c r="L130" s="45">
        <v>0.74985384374692876</v>
      </c>
      <c r="M130" s="39">
        <v>0.75183632023357838</v>
      </c>
      <c r="N130" s="39">
        <v>0.75362696212997615</v>
      </c>
    </row>
    <row r="131" spans="1:14" ht="12.75" customHeight="1" x14ac:dyDescent="0.2">
      <c r="A131" s="38" t="s">
        <v>66</v>
      </c>
      <c r="B131" s="40">
        <v>0.41164251595615847</v>
      </c>
      <c r="C131" s="39">
        <v>0.48901005213281001</v>
      </c>
      <c r="D131" s="39">
        <v>0.45347447749680359</v>
      </c>
      <c r="E131" s="39">
        <v>0.55279412896556024</v>
      </c>
      <c r="F131" s="39">
        <v>0.51382888739869903</v>
      </c>
      <c r="G131" s="39">
        <v>0.51623702914147485</v>
      </c>
      <c r="H131" s="39">
        <v>0.51566701559513184</v>
      </c>
      <c r="I131" s="39">
        <v>0.57275109496534216</v>
      </c>
      <c r="J131" s="39">
        <v>0.62839276110157993</v>
      </c>
      <c r="K131" s="39">
        <v>0.71005183922673254</v>
      </c>
      <c r="L131" s="45">
        <v>0.7051594824709847</v>
      </c>
      <c r="M131" s="39">
        <v>0.69499028009037656</v>
      </c>
      <c r="N131" s="39">
        <v>0.74701296781794368</v>
      </c>
    </row>
    <row r="132" spans="1:14" ht="12.75" customHeight="1" x14ac:dyDescent="0.2">
      <c r="A132" s="38" t="s">
        <v>179</v>
      </c>
      <c r="B132" s="40">
        <v>0.47607283537869804</v>
      </c>
      <c r="C132" s="39">
        <v>0.52120384660493346</v>
      </c>
      <c r="D132" s="39">
        <v>0.52600891756972101</v>
      </c>
      <c r="E132" s="39">
        <v>0.55410012255877594</v>
      </c>
      <c r="F132" s="39">
        <v>0.57961495374108463</v>
      </c>
      <c r="G132" s="39">
        <v>0.62632118094929179</v>
      </c>
      <c r="H132" s="39">
        <v>0.64773972539273961</v>
      </c>
      <c r="I132" s="39">
        <v>0.65406578429191298</v>
      </c>
      <c r="J132" s="39">
        <v>0.64648697882323558</v>
      </c>
      <c r="K132" s="39">
        <v>0.69443813484811834</v>
      </c>
      <c r="L132" s="45">
        <v>0.71283305216165715</v>
      </c>
      <c r="M132" s="39">
        <v>0.68405870840383676</v>
      </c>
      <c r="N132" s="39">
        <v>0.71128489439292741</v>
      </c>
    </row>
    <row r="133" spans="1:14" ht="12.75" customHeight="1" x14ac:dyDescent="0.2">
      <c r="A133" s="38" t="s">
        <v>7086</v>
      </c>
      <c r="B133" s="40">
        <v>0.46880148548463524</v>
      </c>
      <c r="C133" s="39">
        <v>0.50205201977793834</v>
      </c>
      <c r="D133" s="39">
        <v>0.51914994687231486</v>
      </c>
      <c r="E133" s="39">
        <v>0.56213159215986197</v>
      </c>
      <c r="F133" s="39">
        <v>0.59421358950292014</v>
      </c>
      <c r="G133" s="39">
        <v>0.58807633505726431</v>
      </c>
      <c r="H133" s="39">
        <v>0.5958475589676907</v>
      </c>
      <c r="I133" s="39">
        <v>0.62083087616664179</v>
      </c>
      <c r="J133" s="39">
        <v>0.64866044231940456</v>
      </c>
      <c r="K133" s="39">
        <v>0.68246893755872373</v>
      </c>
      <c r="L133" s="45">
        <v>0.70339267630037572</v>
      </c>
      <c r="M133" s="39">
        <v>0.72879250572923304</v>
      </c>
      <c r="N133" s="39">
        <v>0.73618529627377727</v>
      </c>
    </row>
    <row r="134" spans="1:14" ht="12.75" customHeight="1" x14ac:dyDescent="0.2">
      <c r="A134" s="38" t="s">
        <v>287</v>
      </c>
      <c r="B134" s="40">
        <v>0.57631911179519724</v>
      </c>
      <c r="C134" s="39">
        <v>0.60974709824833928</v>
      </c>
      <c r="D134" s="39">
        <v>0.5888647321617394</v>
      </c>
      <c r="E134" s="39">
        <v>0.54020610738424679</v>
      </c>
      <c r="F134" s="39">
        <v>0.55822602801208931</v>
      </c>
      <c r="G134" s="39">
        <v>0.59429685855972558</v>
      </c>
      <c r="H134" s="39">
        <v>0.64721312170023526</v>
      </c>
      <c r="I134" s="39">
        <v>0.71177587710188206</v>
      </c>
      <c r="J134" s="39">
        <v>0.70172967253511065</v>
      </c>
      <c r="K134" s="39">
        <v>0.72624029882907903</v>
      </c>
      <c r="L134" s="45">
        <v>0.6725312715648043</v>
      </c>
      <c r="M134" s="39">
        <v>0.69458571897278443</v>
      </c>
      <c r="N134" s="39">
        <v>0.70129396038917313</v>
      </c>
    </row>
    <row r="135" spans="1:14" ht="12.75" customHeight="1" x14ac:dyDescent="0.2">
      <c r="A135" s="38" t="s">
        <v>7085</v>
      </c>
      <c r="B135" s="40">
        <v>0.58570248034071237</v>
      </c>
      <c r="C135" s="39">
        <v>0.60075281592918028</v>
      </c>
      <c r="D135" s="39">
        <v>0.56185299299324043</v>
      </c>
      <c r="E135" s="39">
        <v>0.58621412683697838</v>
      </c>
      <c r="F135" s="39">
        <v>0.61239371041011881</v>
      </c>
      <c r="G135" s="39">
        <v>0.60320204692266277</v>
      </c>
      <c r="H135" s="39">
        <v>0.61744102620423646</v>
      </c>
      <c r="I135" s="39">
        <v>0.63363706858065227</v>
      </c>
      <c r="J135" s="39">
        <v>0.64172700787061332</v>
      </c>
      <c r="K135" s="39">
        <v>0.68733573462230624</v>
      </c>
      <c r="L135" s="45">
        <v>0.67912330558574752</v>
      </c>
      <c r="M135" s="39">
        <v>0.73771677384918022</v>
      </c>
      <c r="N135" s="39">
        <v>0.75360075226213352</v>
      </c>
    </row>
    <row r="136" spans="1:14" ht="12.75" customHeight="1" x14ac:dyDescent="0.2">
      <c r="A136" s="38" t="s">
        <v>172</v>
      </c>
      <c r="B136" s="40">
        <v>0.55865411244943253</v>
      </c>
      <c r="C136" s="39">
        <v>0.56239433308994091</v>
      </c>
      <c r="D136" s="39">
        <v>0.60459946797420261</v>
      </c>
      <c r="E136" s="39">
        <v>0.65723147875282961</v>
      </c>
      <c r="F136" s="39">
        <v>0.6031620881163795</v>
      </c>
      <c r="G136" s="39">
        <v>0.62368913373694745</v>
      </c>
      <c r="H136" s="39">
        <v>0.62408836944381285</v>
      </c>
      <c r="I136" s="39">
        <v>0.64992358931652272</v>
      </c>
      <c r="J136" s="39">
        <v>0.66218168260735688</v>
      </c>
      <c r="K136" s="39">
        <v>0.70465422003354183</v>
      </c>
      <c r="L136" s="45">
        <v>0.74738231274258549</v>
      </c>
      <c r="M136" s="39">
        <v>0.74788695106819836</v>
      </c>
      <c r="N136" s="39">
        <v>0.65965073860989987</v>
      </c>
    </row>
    <row r="137" spans="1:14" ht="12.75" customHeight="1" x14ac:dyDescent="0.2">
      <c r="A137" s="38" t="s">
        <v>263</v>
      </c>
      <c r="B137" s="40">
        <v>0.68576217932073147</v>
      </c>
      <c r="C137" s="39">
        <v>0.69139534280776915</v>
      </c>
      <c r="D137" s="39">
        <v>0.67852937804878055</v>
      </c>
      <c r="E137" s="39">
        <v>0.68886077830788339</v>
      </c>
      <c r="F137" s="39">
        <v>0.7093273665005625</v>
      </c>
      <c r="G137" s="39">
        <v>0.67232961220770127</v>
      </c>
      <c r="H137" s="39">
        <v>0.69444865485518503</v>
      </c>
      <c r="I137" s="39">
        <v>0.71742207183042306</v>
      </c>
      <c r="J137" s="39">
        <v>0.70335636180869165</v>
      </c>
      <c r="K137" s="39">
        <v>0.73659527419639892</v>
      </c>
      <c r="L137" s="45">
        <v>0.74020764412305251</v>
      </c>
      <c r="M137" s="39">
        <v>0.73297605895360718</v>
      </c>
      <c r="N137" s="39">
        <v>0.68703312773107295</v>
      </c>
    </row>
    <row r="138" spans="1:14" ht="12.75" customHeight="1" x14ac:dyDescent="0.2">
      <c r="A138" s="38" t="s">
        <v>92</v>
      </c>
      <c r="B138" s="40">
        <v>0.5780841664459484</v>
      </c>
      <c r="C138" s="39">
        <v>0.63948197790822625</v>
      </c>
      <c r="D138" s="39">
        <v>0.64897126591462173</v>
      </c>
      <c r="E138" s="39">
        <v>0.64872488511921356</v>
      </c>
      <c r="F138" s="39">
        <v>0.63973056136877393</v>
      </c>
      <c r="G138" s="39">
        <v>0.66791205391911512</v>
      </c>
      <c r="H138" s="39">
        <v>0.70837822817278695</v>
      </c>
      <c r="I138" s="39">
        <v>0.67320263318439055</v>
      </c>
      <c r="J138" s="39">
        <v>0.65395068167355874</v>
      </c>
      <c r="K138" s="39">
        <v>0.66342569899927994</v>
      </c>
      <c r="L138" s="45">
        <v>0.68190475870133993</v>
      </c>
      <c r="M138" s="39">
        <v>0.62302308338351076</v>
      </c>
      <c r="N138" s="39">
        <v>0.72874473217607638</v>
      </c>
    </row>
    <row r="139" spans="1:14" ht="12.75" customHeight="1" x14ac:dyDescent="0.2">
      <c r="A139" s="38" t="s">
        <v>345</v>
      </c>
      <c r="B139" s="40">
        <v>0.61967251797438616</v>
      </c>
      <c r="C139" s="39">
        <v>0.65726832091026</v>
      </c>
      <c r="D139" s="39">
        <v>0.64899235114142051</v>
      </c>
      <c r="E139" s="39">
        <v>0.64600303042072038</v>
      </c>
      <c r="F139" s="39">
        <v>0.65370095813954798</v>
      </c>
      <c r="G139" s="39">
        <v>0.64553150084281263</v>
      </c>
      <c r="H139" s="39">
        <v>0.66115223151906033</v>
      </c>
      <c r="I139" s="39">
        <v>0.71243326355708569</v>
      </c>
      <c r="J139" s="39">
        <v>0.69770151419228277</v>
      </c>
      <c r="K139" s="39">
        <v>0.73186081769777322</v>
      </c>
      <c r="L139" s="45">
        <v>0.70635843040239354</v>
      </c>
      <c r="M139" s="39">
        <v>0.73818681558326771</v>
      </c>
      <c r="N139" s="39">
        <v>0.75536307813223236</v>
      </c>
    </row>
    <row r="140" spans="1:14" ht="12.75" customHeight="1" x14ac:dyDescent="0.2">
      <c r="A140" s="38" t="s">
        <v>55</v>
      </c>
      <c r="B140" s="40">
        <v>0.60481031488646975</v>
      </c>
      <c r="C140" s="39">
        <v>0.62450857307933882</v>
      </c>
      <c r="D140" s="39">
        <v>0.63281235768866395</v>
      </c>
      <c r="E140" s="39">
        <v>0.66703538145077224</v>
      </c>
      <c r="F140" s="39">
        <v>0.67813367681781145</v>
      </c>
      <c r="G140" s="39">
        <v>0.69639857655380799</v>
      </c>
      <c r="H140" s="39">
        <v>0.71123073156864791</v>
      </c>
      <c r="I140" s="39">
        <v>0.71580960281872852</v>
      </c>
      <c r="J140" s="39">
        <v>0.73741823908932425</v>
      </c>
      <c r="K140" s="39">
        <v>0.78263731108676771</v>
      </c>
      <c r="L140" s="45">
        <v>0.77107571536070507</v>
      </c>
      <c r="M140" s="39">
        <v>0.78475134256512247</v>
      </c>
      <c r="N140" s="39">
        <v>0.80012819891196851</v>
      </c>
    </row>
    <row r="141" spans="1:14" ht="12.75" customHeight="1" x14ac:dyDescent="0.2">
      <c r="A141" s="38" t="s">
        <v>397</v>
      </c>
      <c r="B141" s="40">
        <v>0.34939175888933754</v>
      </c>
      <c r="C141" s="39">
        <v>0.40500764229553271</v>
      </c>
      <c r="D141" s="39">
        <v>0.38251569380331346</v>
      </c>
      <c r="E141" s="39">
        <v>0.41641682411477249</v>
      </c>
      <c r="F141" s="39">
        <v>0.42034015510834927</v>
      </c>
      <c r="G141" s="39">
        <v>0.46599734420104372</v>
      </c>
      <c r="H141" s="39">
        <v>0.44749865371508646</v>
      </c>
      <c r="I141" s="39">
        <v>0.43488027556492764</v>
      </c>
      <c r="J141" s="39">
        <v>0.4628781579413892</v>
      </c>
      <c r="K141" s="39">
        <v>0.50203357472574961</v>
      </c>
      <c r="L141" s="45">
        <v>0.54941534906708034</v>
      </c>
      <c r="M141" s="39">
        <v>0.578977961388774</v>
      </c>
      <c r="N141" s="39">
        <v>0.57223014566624075</v>
      </c>
    </row>
    <row r="142" spans="1:14" ht="12.75" customHeight="1" x14ac:dyDescent="0.2">
      <c r="A142" s="38" t="s">
        <v>398</v>
      </c>
      <c r="B142" s="40">
        <v>0.46359630570259908</v>
      </c>
      <c r="C142" s="39">
        <v>0.50606814748491702</v>
      </c>
      <c r="D142" s="39">
        <v>0.49791005409976163</v>
      </c>
      <c r="E142" s="39">
        <v>0.54643090958890295</v>
      </c>
      <c r="F142" s="39">
        <v>0.55936426944641493</v>
      </c>
      <c r="G142" s="39">
        <v>0.58383117614946789</v>
      </c>
      <c r="H142" s="39">
        <v>0.58075343780087307</v>
      </c>
      <c r="I142" s="39">
        <v>0.62090697698079633</v>
      </c>
      <c r="J142" s="39">
        <v>0.62745013516601966</v>
      </c>
      <c r="K142" s="39">
        <v>0.66642076339693546</v>
      </c>
      <c r="L142" s="45">
        <v>0.64363609873820293</v>
      </c>
      <c r="M142" s="39">
        <v>0.68831177659985843</v>
      </c>
      <c r="N142" s="39">
        <v>0.69331455931280195</v>
      </c>
    </row>
    <row r="143" spans="1:14" ht="12.75" customHeight="1" x14ac:dyDescent="0.2">
      <c r="A143" s="38" t="s">
        <v>386</v>
      </c>
      <c r="B143" s="40">
        <v>0.61655747155396956</v>
      </c>
      <c r="C143" s="39">
        <v>0.63392045348351911</v>
      </c>
      <c r="D143" s="39">
        <v>0.57529845588242967</v>
      </c>
      <c r="E143" s="39">
        <v>0.64759550199735794</v>
      </c>
      <c r="F143" s="39">
        <v>0.63559969320998333</v>
      </c>
      <c r="G143" s="39">
        <v>0.6593294813995777</v>
      </c>
      <c r="H143" s="39">
        <v>0.65504833892180447</v>
      </c>
      <c r="I143" s="39">
        <v>0.66921490087521518</v>
      </c>
      <c r="J143" s="39">
        <v>0.71336148418657253</v>
      </c>
      <c r="K143" s="39">
        <v>0.73179439266283675</v>
      </c>
      <c r="L143" s="45">
        <v>0.7360543146723163</v>
      </c>
      <c r="M143" s="39">
        <v>0.72679850591823858</v>
      </c>
      <c r="N143" s="39">
        <v>0.77462767671834643</v>
      </c>
    </row>
    <row r="144" spans="1:14" ht="12.75" customHeight="1" x14ac:dyDescent="0.2">
      <c r="A144" s="38" t="s">
        <v>134</v>
      </c>
      <c r="B144" s="40">
        <v>0.60684723378515093</v>
      </c>
      <c r="C144" s="39">
        <v>0.59297552881017368</v>
      </c>
      <c r="D144" s="39">
        <v>0.59738813821360892</v>
      </c>
      <c r="E144" s="39">
        <v>0.62462453045945709</v>
      </c>
      <c r="F144" s="39">
        <v>0.63252935610212102</v>
      </c>
      <c r="G144" s="39">
        <v>0.62609359780182361</v>
      </c>
      <c r="H144" s="39">
        <v>0.64853910991469876</v>
      </c>
      <c r="I144" s="39">
        <v>0.70144058755800798</v>
      </c>
      <c r="J144" s="39">
        <v>0.70484669745627526</v>
      </c>
      <c r="K144" s="39">
        <v>0.71527500311037839</v>
      </c>
      <c r="L144" s="45">
        <v>0.7265415844011871</v>
      </c>
      <c r="M144" s="39">
        <v>0.72109664491491099</v>
      </c>
      <c r="N144" s="39">
        <v>0.75249749101924135</v>
      </c>
    </row>
    <row r="145" spans="1:14" ht="12.75" customHeight="1" x14ac:dyDescent="0.2">
      <c r="A145" s="38" t="s">
        <v>7084</v>
      </c>
      <c r="B145" s="40">
        <v>0.62451304311301159</v>
      </c>
      <c r="C145" s="39">
        <v>0.62161226692550409</v>
      </c>
      <c r="D145" s="39">
        <v>0.63607223256474654</v>
      </c>
      <c r="E145" s="39">
        <v>0.67893627080202146</v>
      </c>
      <c r="F145" s="39">
        <v>0.70689710457211874</v>
      </c>
      <c r="G145" s="39">
        <v>0.66987345721617964</v>
      </c>
      <c r="H145" s="39">
        <v>0.68607577531549691</v>
      </c>
      <c r="I145" s="39">
        <v>0.72610341859845706</v>
      </c>
      <c r="J145" s="39">
        <v>0.7369255125099885</v>
      </c>
      <c r="K145" s="39">
        <v>0.71157710122600237</v>
      </c>
      <c r="L145" s="45">
        <v>0.71538509095408165</v>
      </c>
      <c r="M145" s="39">
        <v>0.74546217683610472</v>
      </c>
      <c r="N145" s="39">
        <v>0.77188491756184419</v>
      </c>
    </row>
    <row r="146" spans="1:14" ht="12.75" customHeight="1" x14ac:dyDescent="0.2">
      <c r="A146" s="38" t="s">
        <v>111</v>
      </c>
      <c r="B146" s="40">
        <v>0.64899158857486738</v>
      </c>
      <c r="C146" s="39">
        <v>0.66768395699015881</v>
      </c>
      <c r="D146" s="39">
        <v>0.66656221693528983</v>
      </c>
      <c r="E146" s="39">
        <v>0.69225327274164383</v>
      </c>
      <c r="F146" s="39">
        <v>0.70032884611899171</v>
      </c>
      <c r="G146" s="39">
        <v>0.69726224509481594</v>
      </c>
      <c r="H146" s="39">
        <v>0.6889390751446981</v>
      </c>
      <c r="I146" s="39">
        <v>0.70823755553388013</v>
      </c>
      <c r="J146" s="39">
        <v>0.70998630224570647</v>
      </c>
      <c r="K146" s="39">
        <v>0.75378846177793546</v>
      </c>
      <c r="L146" s="45">
        <v>0.75035824663869954</v>
      </c>
      <c r="M146" s="39">
        <v>0.77142487302496077</v>
      </c>
      <c r="N146" s="39">
        <v>0.78238177029794043</v>
      </c>
    </row>
    <row r="147" spans="1:14" ht="12.75" customHeight="1" x14ac:dyDescent="0.2">
      <c r="A147" s="38" t="s">
        <v>299</v>
      </c>
      <c r="B147" s="40">
        <v>0.62369370637170785</v>
      </c>
      <c r="C147" s="39">
        <v>0.61073570245953246</v>
      </c>
      <c r="D147" s="39">
        <v>0.58499740445939818</v>
      </c>
      <c r="E147" s="39">
        <v>0.54075027818205179</v>
      </c>
      <c r="F147" s="39">
        <v>0.57252714951961992</v>
      </c>
      <c r="G147" s="39">
        <v>0.55126150749519198</v>
      </c>
      <c r="H147" s="39">
        <v>0.57258596051399369</v>
      </c>
      <c r="I147" s="39">
        <v>0.60435521761555033</v>
      </c>
      <c r="J147" s="39">
        <v>0.65053659408149811</v>
      </c>
      <c r="K147" s="39">
        <v>0.70820709547100968</v>
      </c>
      <c r="L147" s="45">
        <v>0.6998848155735703</v>
      </c>
      <c r="M147" s="39">
        <v>0.69505667179237784</v>
      </c>
      <c r="N147" s="39">
        <v>0.68889970188518446</v>
      </c>
    </row>
    <row r="148" spans="1:14" ht="12.75" customHeight="1" x14ac:dyDescent="0.2">
      <c r="A148" s="38" t="s">
        <v>189</v>
      </c>
      <c r="B148" s="40">
        <v>0.67400910119064716</v>
      </c>
      <c r="C148" s="39">
        <v>0.6704759585381358</v>
      </c>
      <c r="D148" s="39">
        <v>0.6748742678991424</v>
      </c>
      <c r="E148" s="39">
        <v>0.61936239255840853</v>
      </c>
      <c r="F148" s="39">
        <v>0.6586134918315425</v>
      </c>
      <c r="G148" s="39">
        <v>0.64552332780945865</v>
      </c>
      <c r="H148" s="39">
        <v>0.67385839793126057</v>
      </c>
      <c r="I148" s="39">
        <v>0.71630654539416538</v>
      </c>
      <c r="J148" s="39">
        <v>0.72756392435598227</v>
      </c>
      <c r="K148" s="39">
        <v>0.79241139753581369</v>
      </c>
      <c r="L148" s="45">
        <v>0.79963968205181024</v>
      </c>
      <c r="M148" s="39">
        <v>0.78755975449454729</v>
      </c>
      <c r="N148" s="39">
        <v>0.78301186361775876</v>
      </c>
    </row>
    <row r="149" spans="1:14" ht="12.75" customHeight="1" x14ac:dyDescent="0.2">
      <c r="A149" s="38" t="s">
        <v>346</v>
      </c>
      <c r="B149" s="40">
        <v>0.62753154671853262</v>
      </c>
      <c r="C149" s="39">
        <v>0.7042778326163095</v>
      </c>
      <c r="D149" s="39">
        <v>0.68064382862971395</v>
      </c>
      <c r="E149" s="39">
        <v>0.74130981600586843</v>
      </c>
      <c r="F149" s="39">
        <v>0.72825977373817941</v>
      </c>
      <c r="G149" s="39">
        <v>0.72325149827078805</v>
      </c>
      <c r="H149" s="39">
        <v>0.71426898144268025</v>
      </c>
      <c r="I149" s="39">
        <v>0.72687901777696295</v>
      </c>
      <c r="J149" s="39">
        <v>0.75219327835208227</v>
      </c>
      <c r="K149" s="39">
        <v>0.77570539933149008</v>
      </c>
      <c r="L149" s="45">
        <v>0.76062447649270715</v>
      </c>
      <c r="M149" s="39">
        <v>0.71021398118127188</v>
      </c>
      <c r="N149" s="39">
        <v>0.74817726050309064</v>
      </c>
    </row>
    <row r="150" spans="1:14" ht="12.75" customHeight="1" x14ac:dyDescent="0.2">
      <c r="A150" s="38" t="s">
        <v>48</v>
      </c>
      <c r="B150" s="40">
        <v>0.47277729184198858</v>
      </c>
      <c r="C150" s="39">
        <v>0.49934030535204593</v>
      </c>
      <c r="D150" s="39">
        <v>0.48710848570211268</v>
      </c>
      <c r="E150" s="39">
        <v>0.51453229130419498</v>
      </c>
      <c r="F150" s="39">
        <v>0.53585541333299236</v>
      </c>
      <c r="G150" s="39">
        <v>0.51543847969717682</v>
      </c>
      <c r="H150" s="39">
        <v>0.51319045874883551</v>
      </c>
      <c r="I150" s="39">
        <v>0.56759683178022891</v>
      </c>
      <c r="J150" s="39">
        <v>0.59951988400431278</v>
      </c>
      <c r="K150" s="39">
        <v>0.62971337019699125</v>
      </c>
      <c r="L150" s="45">
        <v>0.62329992745052365</v>
      </c>
      <c r="M150" s="39">
        <v>0.63453600604126648</v>
      </c>
      <c r="N150" s="39">
        <v>0.62709996101070908</v>
      </c>
    </row>
    <row r="151" spans="1:14" ht="12.75" customHeight="1" x14ac:dyDescent="0.2">
      <c r="A151" s="38" t="s">
        <v>56</v>
      </c>
      <c r="B151" s="40">
        <v>0.5655943241653697</v>
      </c>
      <c r="C151" s="39">
        <v>0.5993869877941681</v>
      </c>
      <c r="D151" s="39">
        <v>0.57640980942341991</v>
      </c>
      <c r="E151" s="39">
        <v>0.61280088384690667</v>
      </c>
      <c r="F151" s="39">
        <v>0.61985490907578289</v>
      </c>
      <c r="G151" s="39">
        <v>0.62823236592795262</v>
      </c>
      <c r="H151" s="39">
        <v>0.63195751419763935</v>
      </c>
      <c r="I151" s="39">
        <v>0.67877820275720435</v>
      </c>
      <c r="J151" s="39">
        <v>0.67175338661014294</v>
      </c>
      <c r="K151" s="39">
        <v>0.71641423913946134</v>
      </c>
      <c r="L151" s="45">
        <v>0.72107829289780379</v>
      </c>
      <c r="M151" s="39">
        <v>0.75208496575817951</v>
      </c>
      <c r="N151" s="39">
        <v>0.75648205671881108</v>
      </c>
    </row>
    <row r="152" spans="1:14" ht="12.75" customHeight="1" x14ac:dyDescent="0.2">
      <c r="A152" s="38" t="s">
        <v>57</v>
      </c>
      <c r="B152" s="40">
        <v>0.47685273603041733</v>
      </c>
      <c r="C152" s="39">
        <v>0.47709658641750852</v>
      </c>
      <c r="D152" s="39">
        <v>0.47245472700969565</v>
      </c>
      <c r="E152" s="39">
        <v>0.47912560145915717</v>
      </c>
      <c r="F152" s="39">
        <v>0.51978199234343425</v>
      </c>
      <c r="G152" s="39">
        <v>0.51960011642675663</v>
      </c>
      <c r="H152" s="39">
        <v>0.52277628822795752</v>
      </c>
      <c r="I152" s="39">
        <v>0.56401795144419564</v>
      </c>
      <c r="J152" s="39">
        <v>0.55363998634413025</v>
      </c>
      <c r="K152" s="39">
        <v>0.6506367751777532</v>
      </c>
      <c r="L152" s="45">
        <v>0.64431082593708922</v>
      </c>
      <c r="M152" s="39">
        <v>0.6514087052085481</v>
      </c>
      <c r="N152" s="39">
        <v>0.70106313686013688</v>
      </c>
    </row>
    <row r="153" spans="1:14" ht="12.75" customHeight="1" x14ac:dyDescent="0.2">
      <c r="A153" s="38" t="s">
        <v>228</v>
      </c>
      <c r="B153" s="40">
        <v>0.51232695372270387</v>
      </c>
      <c r="C153" s="39">
        <v>0.56833888877602845</v>
      </c>
      <c r="D153" s="39">
        <v>0.65003666193060361</v>
      </c>
      <c r="E153" s="39">
        <v>0.70869953432230248</v>
      </c>
      <c r="F153" s="39">
        <v>0.68673529848632076</v>
      </c>
      <c r="G153" s="39">
        <v>0.65498845141579176</v>
      </c>
      <c r="H153" s="39">
        <v>0.6548271538280116</v>
      </c>
      <c r="I153" s="39">
        <v>0.68969497882606812</v>
      </c>
      <c r="J153" s="39">
        <v>0.71844463259236957</v>
      </c>
      <c r="K153" s="39">
        <v>0.7583671722473091</v>
      </c>
      <c r="L153" s="45">
        <v>0.74286747731203528</v>
      </c>
      <c r="M153" s="39">
        <v>0.76657619876784799</v>
      </c>
      <c r="N153" s="39">
        <v>0.75690931123073657</v>
      </c>
    </row>
    <row r="154" spans="1:14" ht="12.75" customHeight="1" x14ac:dyDescent="0.2">
      <c r="A154" s="38" t="s">
        <v>211</v>
      </c>
      <c r="B154" s="40">
        <v>0.65350913480256301</v>
      </c>
      <c r="C154" s="39">
        <v>0.66156462953592843</v>
      </c>
      <c r="D154" s="39">
        <v>0.70696422106334067</v>
      </c>
      <c r="E154" s="39">
        <v>0.71005488576871778</v>
      </c>
      <c r="F154" s="39">
        <v>0.72636258032401468</v>
      </c>
      <c r="G154" s="39">
        <v>0.7296197564804543</v>
      </c>
      <c r="H154" s="39">
        <v>0.72155161141377311</v>
      </c>
      <c r="I154" s="39">
        <v>0.72006762308049377</v>
      </c>
      <c r="J154" s="39">
        <v>0.71422906494826621</v>
      </c>
      <c r="K154" s="39">
        <v>0.70306727833947136</v>
      </c>
      <c r="L154" s="45">
        <v>0.73151917348972828</v>
      </c>
      <c r="M154" s="39">
        <v>0.73996535923422846</v>
      </c>
      <c r="N154" s="39">
        <v>0.76237876625604439</v>
      </c>
    </row>
    <row r="155" spans="1:14" ht="12.75" customHeight="1" x14ac:dyDescent="0.2">
      <c r="A155" s="38" t="s">
        <v>49</v>
      </c>
      <c r="B155" s="40">
        <v>0.52689973601790008</v>
      </c>
      <c r="C155" s="39">
        <v>0.53739299713596111</v>
      </c>
      <c r="D155" s="39">
        <v>0.51186870085484959</v>
      </c>
      <c r="E155" s="39">
        <v>0.5129000141219292</v>
      </c>
      <c r="F155" s="39">
        <v>0.52687386367702904</v>
      </c>
      <c r="G155" s="39">
        <v>0.4566843640580926</v>
      </c>
      <c r="H155" s="39">
        <v>0.47283848294321201</v>
      </c>
      <c r="I155" s="39">
        <v>0.57103409004104133</v>
      </c>
      <c r="J155" s="39">
        <v>0.58863038374754273</v>
      </c>
      <c r="K155" s="39">
        <v>0.65314322886211107</v>
      </c>
      <c r="L155" s="45">
        <v>0.63305185787554308</v>
      </c>
      <c r="M155" s="39">
        <v>0.66119127721337223</v>
      </c>
      <c r="N155" s="39">
        <v>0.65888649069585303</v>
      </c>
    </row>
    <row r="156" spans="1:14" ht="12.75" customHeight="1" x14ac:dyDescent="0.2">
      <c r="A156" s="38" t="s">
        <v>280</v>
      </c>
      <c r="B156" s="40">
        <v>0.61887694940744198</v>
      </c>
      <c r="C156" s="39">
        <v>0.63672198281406178</v>
      </c>
      <c r="D156" s="39">
        <v>0.60765500977851972</v>
      </c>
      <c r="E156" s="39">
        <v>0.61444582432830719</v>
      </c>
      <c r="F156" s="39">
        <v>0.58293837165509521</v>
      </c>
      <c r="G156" s="39">
        <v>0.57572248431811601</v>
      </c>
      <c r="H156" s="39">
        <v>0.6122119516122001</v>
      </c>
      <c r="I156" s="39">
        <v>0.64752056521942003</v>
      </c>
      <c r="J156" s="39">
        <v>0.68719981785548701</v>
      </c>
      <c r="K156" s="39">
        <v>0.69287208740420037</v>
      </c>
      <c r="L156" s="45">
        <v>0.6959564192746942</v>
      </c>
      <c r="M156" s="39">
        <v>0.71262058468608158</v>
      </c>
      <c r="N156" s="39">
        <v>0.71563932273963893</v>
      </c>
    </row>
    <row r="157" spans="1:14" ht="12.75" customHeight="1" x14ac:dyDescent="0.2">
      <c r="A157" s="38" t="s">
        <v>334</v>
      </c>
      <c r="B157" s="40">
        <v>0.57936953878066844</v>
      </c>
      <c r="C157" s="39">
        <v>0.62827694541670376</v>
      </c>
      <c r="D157" s="39">
        <v>0.61408824373640902</v>
      </c>
      <c r="E157" s="39">
        <v>0.55861032415080292</v>
      </c>
      <c r="F157" s="39">
        <v>0.59220732321026759</v>
      </c>
      <c r="G157" s="39">
        <v>0.56196408747561311</v>
      </c>
      <c r="H157" s="39">
        <v>0.5842368189093422</v>
      </c>
      <c r="I157" s="39">
        <v>0.62279292817289089</v>
      </c>
      <c r="J157" s="39">
        <v>0.59339234179557709</v>
      </c>
      <c r="K157" s="39">
        <v>0.7118532230318837</v>
      </c>
      <c r="L157" s="45">
        <v>0.68712333539042703</v>
      </c>
      <c r="M157" s="39">
        <v>0.73835878677673783</v>
      </c>
      <c r="N157" s="39">
        <v>0.75756310189424692</v>
      </c>
    </row>
    <row r="158" spans="1:14" ht="12.75" customHeight="1" x14ac:dyDescent="0.2">
      <c r="A158" s="38" t="s">
        <v>58</v>
      </c>
      <c r="B158" s="40">
        <v>0.6188355632658874</v>
      </c>
      <c r="C158" s="39">
        <v>0.64889160210766728</v>
      </c>
      <c r="D158" s="39">
        <v>0.6627300678270972</v>
      </c>
      <c r="E158" s="39">
        <v>0.69019122923908904</v>
      </c>
      <c r="F158" s="39">
        <v>0.68673510714110064</v>
      </c>
      <c r="G158" s="39">
        <v>0.684241625416938</v>
      </c>
      <c r="H158" s="39">
        <v>0.71357758150041761</v>
      </c>
      <c r="I158" s="39">
        <v>0.7410340210576708</v>
      </c>
      <c r="J158" s="39">
        <v>0.74035416547329158</v>
      </c>
      <c r="K158" s="39">
        <v>0.75501472275045367</v>
      </c>
      <c r="L158" s="45">
        <v>0.7520163807562148</v>
      </c>
      <c r="M158" s="39">
        <v>0.76960603385641768</v>
      </c>
      <c r="N158" s="39">
        <v>0.79302589906283771</v>
      </c>
    </row>
    <row r="159" spans="1:14" ht="12.75" customHeight="1" x14ac:dyDescent="0.2">
      <c r="A159" s="38" t="s">
        <v>72</v>
      </c>
      <c r="B159" s="40">
        <v>0.58939747388221064</v>
      </c>
      <c r="C159" s="39">
        <v>0.57094904053306406</v>
      </c>
      <c r="D159" s="39">
        <v>0.54690485414938628</v>
      </c>
      <c r="E159" s="39">
        <v>0.597743100725182</v>
      </c>
      <c r="F159" s="39">
        <v>0.62372049699480547</v>
      </c>
      <c r="G159" s="39">
        <v>0.65943603338154588</v>
      </c>
      <c r="H159" s="39">
        <v>0.68993970726257237</v>
      </c>
      <c r="I159" s="39">
        <v>0.73392267164098113</v>
      </c>
      <c r="J159" s="39">
        <v>0.7220610773184527</v>
      </c>
      <c r="K159" s="39">
        <v>0.7213165977214383</v>
      </c>
      <c r="L159" s="45">
        <v>0.71463738204048488</v>
      </c>
      <c r="M159" s="39">
        <v>0.74285464924736522</v>
      </c>
      <c r="N159" s="39">
        <v>0.72710866663495333</v>
      </c>
    </row>
    <row r="160" spans="1:14" ht="12.75" customHeight="1" x14ac:dyDescent="0.2">
      <c r="A160" s="38" t="s">
        <v>190</v>
      </c>
      <c r="B160" s="40">
        <v>0.50913863171475826</v>
      </c>
      <c r="C160" s="39">
        <v>0.49945917814108537</v>
      </c>
      <c r="D160" s="39">
        <v>0.54000771086096189</v>
      </c>
      <c r="E160" s="39">
        <v>0.5308420556216924</v>
      </c>
      <c r="F160" s="39">
        <v>0.55962895626467379</v>
      </c>
      <c r="G160" s="39">
        <v>0.5862443212460805</v>
      </c>
      <c r="H160" s="39">
        <v>0.59487958204432911</v>
      </c>
      <c r="I160" s="39">
        <v>0.66393628076525957</v>
      </c>
      <c r="J160" s="39">
        <v>0.69730300506209819</v>
      </c>
      <c r="K160" s="39">
        <v>0.7264855052394904</v>
      </c>
      <c r="L160" s="45">
        <v>0.71914313606956748</v>
      </c>
      <c r="M160" s="39">
        <v>0.72251054470742426</v>
      </c>
      <c r="N160" s="39">
        <v>0.74290208566138904</v>
      </c>
    </row>
    <row r="161" spans="1:14" ht="12.75" customHeight="1" x14ac:dyDescent="0.2">
      <c r="A161" s="38" t="s">
        <v>307</v>
      </c>
      <c r="B161" s="40">
        <v>0.69238653477458267</v>
      </c>
      <c r="C161" s="39">
        <v>0.71077002130435352</v>
      </c>
      <c r="D161" s="39">
        <v>0.70167795797895227</v>
      </c>
      <c r="E161" s="39">
        <v>0.7157432071183113</v>
      </c>
      <c r="F161" s="39">
        <v>0.73196734569181932</v>
      </c>
      <c r="G161" s="39">
        <v>0.69402609900914314</v>
      </c>
      <c r="H161" s="39">
        <v>0.7324327415911096</v>
      </c>
      <c r="I161" s="39">
        <v>0.74429882600074126</v>
      </c>
      <c r="J161" s="39">
        <v>0.74586905246050572</v>
      </c>
      <c r="K161" s="39">
        <v>0.795413072390874</v>
      </c>
      <c r="L161" s="45">
        <v>0.77738928125330986</v>
      </c>
      <c r="M161" s="39">
        <v>0.83233458452517162</v>
      </c>
      <c r="N161" s="39">
        <v>0.80270768647134083</v>
      </c>
    </row>
    <row r="162" spans="1:14" ht="12.75" customHeight="1" x14ac:dyDescent="0.2">
      <c r="A162" s="38" t="s">
        <v>143</v>
      </c>
      <c r="B162" s="40">
        <v>0.58010497688529072</v>
      </c>
      <c r="C162" s="39">
        <v>0.56771909618335936</v>
      </c>
      <c r="D162" s="39">
        <v>0.52366812745486258</v>
      </c>
      <c r="E162" s="39">
        <v>0.56327022695017803</v>
      </c>
      <c r="F162" s="39">
        <v>0.58171612583623056</v>
      </c>
      <c r="G162" s="39">
        <v>0.64659652858493277</v>
      </c>
      <c r="H162" s="39">
        <v>0.62419791985676676</v>
      </c>
      <c r="I162" s="39">
        <v>0.61363925186569712</v>
      </c>
      <c r="J162" s="39">
        <v>0.57718549997040902</v>
      </c>
      <c r="K162" s="39">
        <v>0.62704554333561446</v>
      </c>
      <c r="L162" s="45">
        <v>0.65960753903910152</v>
      </c>
      <c r="M162" s="39">
        <v>0.6998430447605698</v>
      </c>
      <c r="N162" s="39">
        <v>0.71491728690837242</v>
      </c>
    </row>
    <row r="163" spans="1:14" ht="12.75" customHeight="1" x14ac:dyDescent="0.2">
      <c r="A163" s="38" t="s">
        <v>201</v>
      </c>
      <c r="B163" s="40">
        <v>0.70739240951650262</v>
      </c>
      <c r="C163" s="39">
        <v>0.70780447915155642</v>
      </c>
      <c r="D163" s="39">
        <v>0.70671464264240236</v>
      </c>
      <c r="E163" s="39">
        <v>0.67314262376948275</v>
      </c>
      <c r="F163" s="39">
        <v>0.66853877369635306</v>
      </c>
      <c r="G163" s="39">
        <v>0.65482813692643249</v>
      </c>
      <c r="H163" s="39">
        <v>0.66485197589074108</v>
      </c>
      <c r="I163" s="39">
        <v>0.65912420328591159</v>
      </c>
      <c r="J163" s="39">
        <v>0.68614416387416111</v>
      </c>
      <c r="K163" s="39">
        <v>0.75228067712417657</v>
      </c>
      <c r="L163" s="45">
        <v>0.72725692224021643</v>
      </c>
      <c r="M163" s="39">
        <v>0.72066384285059815</v>
      </c>
      <c r="N163" s="39">
        <v>0.70240597316732289</v>
      </c>
    </row>
    <row r="164" spans="1:14" ht="12.75" customHeight="1" x14ac:dyDescent="0.2">
      <c r="A164" s="38" t="s">
        <v>7083</v>
      </c>
      <c r="B164" s="40">
        <v>0.48292099466786159</v>
      </c>
      <c r="C164" s="39">
        <v>0.58961066357847836</v>
      </c>
      <c r="D164" s="39">
        <v>0.65564909285358264</v>
      </c>
      <c r="E164" s="39">
        <v>0.69164113265220184</v>
      </c>
      <c r="F164" s="39">
        <v>0.72638895705646667</v>
      </c>
      <c r="G164" s="39">
        <v>0.73355102072825318</v>
      </c>
      <c r="H164" s="39">
        <v>0.71577740437368131</v>
      </c>
      <c r="I164" s="39">
        <v>0.74070576291206847</v>
      </c>
      <c r="J164" s="39">
        <v>0.74409551941447949</v>
      </c>
      <c r="K164" s="39">
        <v>0.77668092916355247</v>
      </c>
      <c r="L164" s="45">
        <v>0.773280471864775</v>
      </c>
      <c r="M164" s="39">
        <v>0.77611178023238947</v>
      </c>
      <c r="N164" s="39">
        <v>0.79435927889054503</v>
      </c>
    </row>
    <row r="165" spans="1:14" ht="12.75" customHeight="1" x14ac:dyDescent="0.2">
      <c r="A165" s="38" t="s">
        <v>11</v>
      </c>
      <c r="B165" s="40">
        <v>0.37281998009447714</v>
      </c>
      <c r="C165" s="39">
        <v>0.38719191332024772</v>
      </c>
      <c r="D165" s="39">
        <v>0.33929362988300399</v>
      </c>
      <c r="E165" s="39">
        <v>0.41494389339739141</v>
      </c>
      <c r="F165" s="39">
        <v>0.43710915549526635</v>
      </c>
      <c r="G165" s="39">
        <v>0.46730126260606347</v>
      </c>
      <c r="H165" s="39">
        <v>0.50795735292512856</v>
      </c>
      <c r="I165" s="39">
        <v>0.53009630904700389</v>
      </c>
      <c r="J165" s="39">
        <v>0.57812358057678814</v>
      </c>
      <c r="K165" s="39">
        <v>0.57951815121542138</v>
      </c>
      <c r="L165" s="45">
        <v>0.59325923036025907</v>
      </c>
      <c r="M165" s="39">
        <v>0.58513728181474256</v>
      </c>
      <c r="N165" s="39">
        <v>0.60388870566794883</v>
      </c>
    </row>
    <row r="166" spans="1:14" ht="12.75" customHeight="1" x14ac:dyDescent="0.2">
      <c r="A166" s="38" t="s">
        <v>7082</v>
      </c>
      <c r="B166" s="40">
        <v>0.49483076294882505</v>
      </c>
      <c r="C166" s="39">
        <v>0.54671371586303674</v>
      </c>
      <c r="D166" s="39">
        <v>0.49565012399030461</v>
      </c>
      <c r="E166" s="39">
        <v>0.52536025047853796</v>
      </c>
      <c r="F166" s="39">
        <v>0.5050467412022549</v>
      </c>
      <c r="G166" s="39">
        <v>0.56577774233309353</v>
      </c>
      <c r="H166" s="39">
        <v>0.60561329619969451</v>
      </c>
      <c r="I166" s="39">
        <v>0.65705145976870716</v>
      </c>
      <c r="J166" s="39">
        <v>0.67178456688402477</v>
      </c>
      <c r="K166" s="39">
        <v>0.68527127921863296</v>
      </c>
      <c r="L166" s="45">
        <v>0.66312967720114679</v>
      </c>
      <c r="M166" s="39">
        <v>0.6344894706823988</v>
      </c>
      <c r="N166" s="39">
        <v>0.6935796003875816</v>
      </c>
    </row>
    <row r="167" spans="1:14" ht="12.75" customHeight="1" x14ac:dyDescent="0.2">
      <c r="A167" s="38" t="s">
        <v>50</v>
      </c>
      <c r="B167" s="40">
        <v>0.46545004326917105</v>
      </c>
      <c r="C167" s="39">
        <v>0.51593580488528534</v>
      </c>
      <c r="D167" s="39">
        <v>0.49592428909337843</v>
      </c>
      <c r="E167" s="39">
        <v>0.49019496246265692</v>
      </c>
      <c r="F167" s="39">
        <v>0.49416288792208246</v>
      </c>
      <c r="G167" s="39">
        <v>0.51222762932261223</v>
      </c>
      <c r="H167" s="39">
        <v>0.53441558508892506</v>
      </c>
      <c r="I167" s="39">
        <v>0.58556757201794463</v>
      </c>
      <c r="J167" s="39">
        <v>0.60005273514885482</v>
      </c>
      <c r="K167" s="39">
        <v>0.63115196820481934</v>
      </c>
      <c r="L167" s="45">
        <v>0.6832086421389828</v>
      </c>
      <c r="M167" s="39">
        <v>0.7110033705733233</v>
      </c>
      <c r="N167" s="39">
        <v>0.73258719775825509</v>
      </c>
    </row>
    <row r="168" spans="1:14" ht="12.75" customHeight="1" x14ac:dyDescent="0.2">
      <c r="A168" s="38" t="s">
        <v>157</v>
      </c>
      <c r="B168" s="40">
        <v>0.62105924545651825</v>
      </c>
      <c r="C168" s="39">
        <v>0.67026732495377683</v>
      </c>
      <c r="D168" s="39">
        <v>0.66975389633881965</v>
      </c>
      <c r="E168" s="39">
        <v>0.66820405517191916</v>
      </c>
      <c r="F168" s="39">
        <v>0.6857497772954888</v>
      </c>
      <c r="G168" s="39">
        <v>0.69374196972010049</v>
      </c>
      <c r="H168" s="39">
        <v>0.71425899129574244</v>
      </c>
      <c r="I168" s="39">
        <v>0.73955749614273458</v>
      </c>
      <c r="J168" s="39">
        <v>0.75660905400957423</v>
      </c>
      <c r="K168" s="39">
        <v>0.75915809385327016</v>
      </c>
      <c r="L168" s="45">
        <v>0.73632415769580728</v>
      </c>
      <c r="M168" s="39">
        <v>0.74634477243641539</v>
      </c>
      <c r="N168" s="39">
        <v>0.747149728902328</v>
      </c>
    </row>
    <row r="169" spans="1:14" ht="12.75" customHeight="1" x14ac:dyDescent="0.2">
      <c r="A169" s="38" t="s">
        <v>300</v>
      </c>
      <c r="B169" s="40">
        <v>0.6642954903225694</v>
      </c>
      <c r="C169" s="39">
        <v>0.70056860933181031</v>
      </c>
      <c r="D169" s="39">
        <v>0.69014864830057243</v>
      </c>
      <c r="E169" s="39">
        <v>0.66545103663621241</v>
      </c>
      <c r="F169" s="39">
        <v>0.68981694569569874</v>
      </c>
      <c r="G169" s="39">
        <v>0.70020467873833214</v>
      </c>
      <c r="H169" s="39">
        <v>0.74752235379557985</v>
      </c>
      <c r="I169" s="39">
        <v>0.74898789422860279</v>
      </c>
      <c r="J169" s="39">
        <v>0.75956991764135484</v>
      </c>
      <c r="K169" s="39">
        <v>0.74835475211830815</v>
      </c>
      <c r="L169" s="45">
        <v>0.76214818185828903</v>
      </c>
      <c r="M169" s="39">
        <v>0.75400003118149039</v>
      </c>
      <c r="N169" s="39">
        <v>0.75804703352384395</v>
      </c>
    </row>
    <row r="170" spans="1:14" ht="12.75" customHeight="1" x14ac:dyDescent="0.2">
      <c r="A170" s="38" t="s">
        <v>212</v>
      </c>
      <c r="B170" s="40">
        <v>0.78172527452447238</v>
      </c>
      <c r="C170" s="39">
        <v>0.70807914698877861</v>
      </c>
      <c r="D170" s="39">
        <v>0.70438798486185394</v>
      </c>
      <c r="E170" s="39">
        <v>0.77375678543237891</v>
      </c>
      <c r="F170" s="39">
        <v>0.78436878543144795</v>
      </c>
      <c r="G170" s="39">
        <v>0.73771343843141912</v>
      </c>
      <c r="H170" s="39">
        <v>0.75560736982366139</v>
      </c>
      <c r="I170" s="39">
        <v>0.79371440921648795</v>
      </c>
      <c r="J170" s="39">
        <v>0.74411338640599789</v>
      </c>
      <c r="K170" s="39">
        <v>0.77555429642147944</v>
      </c>
      <c r="L170" s="45">
        <v>0.73484922626758564</v>
      </c>
      <c r="M170" s="39">
        <v>0.77686987753770709</v>
      </c>
      <c r="N170" s="39">
        <v>0.77041922743319668</v>
      </c>
    </row>
    <row r="171" spans="1:14" ht="12.75" customHeight="1" x14ac:dyDescent="0.2">
      <c r="A171" s="38" t="s">
        <v>167</v>
      </c>
      <c r="B171" s="40">
        <v>0.62516399762239183</v>
      </c>
      <c r="C171" s="39">
        <v>0.62324255718675081</v>
      </c>
      <c r="D171" s="39">
        <v>0.61917889432335882</v>
      </c>
      <c r="E171" s="39">
        <v>0.62605706298409325</v>
      </c>
      <c r="F171" s="39">
        <v>0.69646788337456444</v>
      </c>
      <c r="G171" s="39">
        <v>0.70286630957774143</v>
      </c>
      <c r="H171" s="39">
        <v>0.69129581924259254</v>
      </c>
      <c r="I171" s="39">
        <v>0.70499048512177886</v>
      </c>
      <c r="J171" s="39">
        <v>0.69312033139471152</v>
      </c>
      <c r="K171" s="39">
        <v>0.70819832246695447</v>
      </c>
      <c r="L171" s="45">
        <v>0.71013027097669668</v>
      </c>
      <c r="M171" s="39">
        <v>0.70647271990756888</v>
      </c>
      <c r="N171" s="39">
        <v>0.7060738519844566</v>
      </c>
    </row>
    <row r="172" spans="1:14" ht="12.75" customHeight="1" x14ac:dyDescent="0.2">
      <c r="A172" s="38" t="s">
        <v>144</v>
      </c>
      <c r="B172" s="40">
        <v>0.59041624083899036</v>
      </c>
      <c r="C172" s="39">
        <v>0.65606723668512812</v>
      </c>
      <c r="D172" s="39">
        <v>0.67755221544019062</v>
      </c>
      <c r="E172" s="39">
        <v>0.67652772048818832</v>
      </c>
      <c r="F172" s="39">
        <v>0.69926787665964119</v>
      </c>
      <c r="G172" s="39">
        <v>0.69950035464204297</v>
      </c>
      <c r="H172" s="39">
        <v>0.70822434223636777</v>
      </c>
      <c r="I172" s="39">
        <v>0.72875717214696734</v>
      </c>
      <c r="J172" s="39">
        <v>0.73769178228395471</v>
      </c>
      <c r="K172" s="39">
        <v>0.75683354607351305</v>
      </c>
      <c r="L172" s="45">
        <v>0.74813426762744861</v>
      </c>
      <c r="M172" s="39">
        <v>0.74553686776594663</v>
      </c>
      <c r="N172" s="39">
        <v>0.75374710411463741</v>
      </c>
    </row>
    <row r="173" spans="1:14" ht="12.75" customHeight="1" x14ac:dyDescent="0.2">
      <c r="A173" s="38" t="s">
        <v>93</v>
      </c>
      <c r="B173" s="40">
        <v>0.65234603797229485</v>
      </c>
      <c r="C173" s="39">
        <v>0.65063021787292041</v>
      </c>
      <c r="D173" s="39">
        <v>0.66622908098498701</v>
      </c>
      <c r="E173" s="39">
        <v>0.68918458951305217</v>
      </c>
      <c r="F173" s="39">
        <v>0.6942560220495464</v>
      </c>
      <c r="G173" s="39">
        <v>0.72959060864065395</v>
      </c>
      <c r="H173" s="39">
        <v>0.73803775270082272</v>
      </c>
      <c r="I173" s="39">
        <v>0.72218325023750152</v>
      </c>
      <c r="J173" s="39">
        <v>0.72259988151506593</v>
      </c>
      <c r="K173" s="39">
        <v>0.76417454327646261</v>
      </c>
      <c r="L173" s="45">
        <v>0.78655331534237416</v>
      </c>
      <c r="M173" s="39">
        <v>0.80431376529245846</v>
      </c>
      <c r="N173" s="39">
        <v>0.78351517736642318</v>
      </c>
    </row>
    <row r="174" spans="1:14" ht="12.75" customHeight="1" x14ac:dyDescent="0.2">
      <c r="A174" s="38" t="s">
        <v>36</v>
      </c>
      <c r="B174" s="40">
        <v>0.56448267319521106</v>
      </c>
      <c r="C174" s="39">
        <v>0.58223925660010289</v>
      </c>
      <c r="D174" s="39">
        <v>0.59038629508488416</v>
      </c>
      <c r="E174" s="39">
        <v>0.61567126988991705</v>
      </c>
      <c r="F174" s="39">
        <v>0.59550711950380097</v>
      </c>
      <c r="G174" s="39">
        <v>0.59530822802644734</v>
      </c>
      <c r="H174" s="39">
        <v>0.60190228851980743</v>
      </c>
      <c r="I174" s="39">
        <v>0.6646476634070021</v>
      </c>
      <c r="J174" s="39">
        <v>0.70308586198805145</v>
      </c>
      <c r="K174" s="39">
        <v>0.72863102915418543</v>
      </c>
      <c r="L174" s="45">
        <v>0.73489520644093886</v>
      </c>
      <c r="M174" s="39">
        <v>0.75774839738524591</v>
      </c>
      <c r="N174" s="39">
        <v>0.78052209661567729</v>
      </c>
    </row>
    <row r="175" spans="1:14" ht="12.75" customHeight="1" x14ac:dyDescent="0.2">
      <c r="A175" s="38" t="s">
        <v>202</v>
      </c>
      <c r="B175" s="40">
        <v>0.66230498481856348</v>
      </c>
      <c r="C175" s="39">
        <v>0.70040308796171502</v>
      </c>
      <c r="D175" s="39">
        <v>0.73023493788904015</v>
      </c>
      <c r="E175" s="39">
        <v>0.75927213470132282</v>
      </c>
      <c r="F175" s="39">
        <v>0.74674063860805351</v>
      </c>
      <c r="G175" s="39">
        <v>0.7352188608014304</v>
      </c>
      <c r="H175" s="39">
        <v>0.748182778747292</v>
      </c>
      <c r="I175" s="39">
        <v>0.76355363267381093</v>
      </c>
      <c r="J175" s="39">
        <v>0.78166435332795869</v>
      </c>
      <c r="K175" s="39">
        <v>0.78923372119349988</v>
      </c>
      <c r="L175" s="45">
        <v>0.7756168239554343</v>
      </c>
      <c r="M175" s="39">
        <v>0.7886722117701096</v>
      </c>
      <c r="N175" s="39">
        <v>0.80278532149177406</v>
      </c>
    </row>
    <row r="176" spans="1:14" ht="12.75" customHeight="1" x14ac:dyDescent="0.2">
      <c r="A176" s="38" t="s">
        <v>253</v>
      </c>
      <c r="B176" s="40">
        <v>0.64983128816746971</v>
      </c>
      <c r="C176" s="39">
        <v>0.68122410395664978</v>
      </c>
      <c r="D176" s="39">
        <v>0.66496118980391916</v>
      </c>
      <c r="E176" s="39">
        <v>0.70627227467727349</v>
      </c>
      <c r="F176" s="39">
        <v>0.71861748454574459</v>
      </c>
      <c r="G176" s="39">
        <v>0.68176592861454066</v>
      </c>
      <c r="H176" s="39">
        <v>0.68601342519936814</v>
      </c>
      <c r="I176" s="39">
        <v>0.67852900733781085</v>
      </c>
      <c r="J176" s="39">
        <v>0.72184536964225587</v>
      </c>
      <c r="K176" s="39">
        <v>0.74998344975168996</v>
      </c>
      <c r="L176" s="45">
        <v>0.74465348479284332</v>
      </c>
      <c r="M176" s="39">
        <v>0.74456136920563576</v>
      </c>
      <c r="N176" s="39">
        <v>0.77429274153285033</v>
      </c>
    </row>
    <row r="177" spans="1:14" ht="12.75" customHeight="1" x14ac:dyDescent="0.2">
      <c r="A177" s="38" t="s">
        <v>168</v>
      </c>
      <c r="B177" s="40">
        <v>0.57801644427706844</v>
      </c>
      <c r="C177" s="39">
        <v>0.55446290301512369</v>
      </c>
      <c r="D177" s="39">
        <v>0.47244956330104754</v>
      </c>
      <c r="E177" s="39">
        <v>0.56925545008299416</v>
      </c>
      <c r="F177" s="39">
        <v>0.58521971182883104</v>
      </c>
      <c r="G177" s="39">
        <v>0.62545163273952731</v>
      </c>
      <c r="H177" s="39">
        <v>0.61267116761050833</v>
      </c>
      <c r="I177" s="39">
        <v>0.64086376193875561</v>
      </c>
      <c r="J177" s="39">
        <v>0.63111556231292487</v>
      </c>
      <c r="K177" s="39">
        <v>0.65998082645230449</v>
      </c>
      <c r="L177" s="45">
        <v>0.64876970069767292</v>
      </c>
      <c r="M177" s="39">
        <v>0.57052328935335062</v>
      </c>
      <c r="N177" s="39">
        <v>0.59702436622683919</v>
      </c>
    </row>
    <row r="178" spans="1:14" ht="12.75" customHeight="1" x14ac:dyDescent="0.2">
      <c r="A178" s="38" t="s">
        <v>213</v>
      </c>
      <c r="B178" s="40">
        <v>0.69750823245636984</v>
      </c>
      <c r="C178" s="39">
        <v>0.72133672386631709</v>
      </c>
      <c r="D178" s="39">
        <v>0.735652162043408</v>
      </c>
      <c r="E178" s="39">
        <v>0.73371597827134194</v>
      </c>
      <c r="F178" s="39">
        <v>0.73390950999532567</v>
      </c>
      <c r="G178" s="39">
        <v>0.72387677480363699</v>
      </c>
      <c r="H178" s="39">
        <v>0.72994575267007733</v>
      </c>
      <c r="I178" s="39">
        <v>0.7625301893330857</v>
      </c>
      <c r="J178" s="39">
        <v>0.77042487151554051</v>
      </c>
      <c r="K178" s="39">
        <v>0.76911829373813578</v>
      </c>
      <c r="L178" s="45">
        <v>0.78186585061512137</v>
      </c>
      <c r="M178" s="39">
        <v>0.78856006488228692</v>
      </c>
      <c r="N178" s="39">
        <v>0.77508001481897448</v>
      </c>
    </row>
    <row r="179" spans="1:14" ht="12.75" customHeight="1" x14ac:dyDescent="0.2">
      <c r="A179" s="38" t="s">
        <v>158</v>
      </c>
      <c r="B179" s="40">
        <v>0.43139453490165108</v>
      </c>
      <c r="C179" s="39">
        <v>0.45655132747076471</v>
      </c>
      <c r="D179" s="39">
        <v>0.49037614881419955</v>
      </c>
      <c r="E179" s="39">
        <v>0.55912023551536127</v>
      </c>
      <c r="F179" s="39">
        <v>0.59705916939824555</v>
      </c>
      <c r="G179" s="39">
        <v>0.64927847339782707</v>
      </c>
      <c r="H179" s="39">
        <v>0.67995952148464278</v>
      </c>
      <c r="I179" s="39">
        <v>0.71401519274127523</v>
      </c>
      <c r="J179" s="39">
        <v>0.66716153453397442</v>
      </c>
      <c r="K179" s="39">
        <v>0.71275010079812262</v>
      </c>
      <c r="L179" s="45">
        <v>0.72032206101728369</v>
      </c>
      <c r="M179" s="39">
        <v>0.64898364034357459</v>
      </c>
      <c r="N179" s="39">
        <v>0.67465077051777111</v>
      </c>
    </row>
    <row r="180" spans="1:14" ht="12.75" customHeight="1" x14ac:dyDescent="0.2">
      <c r="A180" s="38" t="s">
        <v>229</v>
      </c>
      <c r="B180" s="40">
        <v>0.66599157989929603</v>
      </c>
      <c r="C180" s="39">
        <v>0.68478500247905216</v>
      </c>
      <c r="D180" s="39">
        <v>0.66722210330707943</v>
      </c>
      <c r="E180" s="39">
        <v>0.66845761891881728</v>
      </c>
      <c r="F180" s="39">
        <v>0.60675905712421574</v>
      </c>
      <c r="G180" s="39">
        <v>0.60142169800503809</v>
      </c>
      <c r="H180" s="39">
        <v>0.65053781835878466</v>
      </c>
      <c r="I180" s="39">
        <v>0.75147581067248426</v>
      </c>
      <c r="J180" s="39">
        <v>0.75865416543567055</v>
      </c>
      <c r="K180" s="39">
        <v>0.75595821651481421</v>
      </c>
      <c r="L180" s="45">
        <v>0.73756500072834996</v>
      </c>
      <c r="M180" s="39">
        <v>0.70564252956446161</v>
      </c>
      <c r="N180" s="39">
        <v>0.74463372927949434</v>
      </c>
    </row>
    <row r="181" spans="1:14" ht="12.75" customHeight="1" x14ac:dyDescent="0.2">
      <c r="A181" s="38" t="s">
        <v>118</v>
      </c>
      <c r="B181" s="40">
        <v>0.58091475455258956</v>
      </c>
      <c r="C181" s="39">
        <v>0.58657399740074134</v>
      </c>
      <c r="D181" s="39">
        <v>0.57851253182262763</v>
      </c>
      <c r="E181" s="39">
        <v>0.62370813393672953</v>
      </c>
      <c r="F181" s="39">
        <v>0.63662199784281881</v>
      </c>
      <c r="G181" s="39">
        <v>0.64855377025239402</v>
      </c>
      <c r="H181" s="39">
        <v>0.63088077906295981</v>
      </c>
      <c r="I181" s="39">
        <v>0.61247925073935783</v>
      </c>
      <c r="J181" s="39">
        <v>0.61829199300487636</v>
      </c>
      <c r="K181" s="39">
        <v>0.62819261126059223</v>
      </c>
      <c r="L181" s="45">
        <v>0.64021576287726445</v>
      </c>
      <c r="M181" s="39">
        <v>0.67117658219621223</v>
      </c>
      <c r="N181" s="39">
        <v>0.67959968693396589</v>
      </c>
    </row>
    <row r="182" spans="1:14" ht="12.75" customHeight="1" x14ac:dyDescent="0.2">
      <c r="A182" s="38" t="s">
        <v>335</v>
      </c>
      <c r="B182" s="40">
        <v>0.67548639721874693</v>
      </c>
      <c r="C182" s="39">
        <v>0.70598915149128683</v>
      </c>
      <c r="D182" s="39">
        <v>0.70206606682233053</v>
      </c>
      <c r="E182" s="39">
        <v>0.69698234709359408</v>
      </c>
      <c r="F182" s="39">
        <v>0.69920589823403179</v>
      </c>
      <c r="G182" s="39">
        <v>0.69633709363508267</v>
      </c>
      <c r="H182" s="39">
        <v>0.68254725725817433</v>
      </c>
      <c r="I182" s="39">
        <v>0.71484902587737353</v>
      </c>
      <c r="J182" s="39">
        <v>0.71614919574970415</v>
      </c>
      <c r="K182" s="39">
        <v>0.73881194748251122</v>
      </c>
      <c r="L182" s="45">
        <v>0.74650258875145614</v>
      </c>
      <c r="M182" s="39">
        <v>0.75261538568274478</v>
      </c>
      <c r="N182" s="39">
        <v>0.75324070464213833</v>
      </c>
    </row>
    <row r="183" spans="1:14" ht="12.75" customHeight="1" x14ac:dyDescent="0.2">
      <c r="A183" s="38" t="s">
        <v>173</v>
      </c>
      <c r="B183" s="40">
        <v>0.66369821966924991</v>
      </c>
      <c r="C183" s="39">
        <v>0.64827433015417546</v>
      </c>
      <c r="D183" s="39">
        <v>0.65820790309827826</v>
      </c>
      <c r="E183" s="39">
        <v>0.68528041690258379</v>
      </c>
      <c r="F183" s="39">
        <v>0.71905971762506438</v>
      </c>
      <c r="G183" s="39">
        <v>0.72236707374506093</v>
      </c>
      <c r="H183" s="39">
        <v>0.73966799220547463</v>
      </c>
      <c r="I183" s="39">
        <v>0.74987264724618397</v>
      </c>
      <c r="J183" s="39">
        <v>0.75995268799075311</v>
      </c>
      <c r="K183" s="39">
        <v>0.78487379096752941</v>
      </c>
      <c r="L183" s="45">
        <v>0.78846969012664847</v>
      </c>
      <c r="M183" s="39">
        <v>0.8093243974481682</v>
      </c>
      <c r="N183" s="39">
        <v>0.80169034574204812</v>
      </c>
    </row>
    <row r="184" spans="1:14" ht="12.75" customHeight="1" x14ac:dyDescent="0.2">
      <c r="A184" s="38" t="s">
        <v>135</v>
      </c>
      <c r="B184" s="40">
        <v>0.61191875380611815</v>
      </c>
      <c r="C184" s="39">
        <v>0.64629079907743037</v>
      </c>
      <c r="D184" s="39">
        <v>0.66842728370503979</v>
      </c>
      <c r="E184" s="39">
        <v>0.65663664719618131</v>
      </c>
      <c r="F184" s="39">
        <v>0.65462070225745805</v>
      </c>
      <c r="G184" s="39">
        <v>0.63930569173389173</v>
      </c>
      <c r="H184" s="39">
        <v>0.62746338649072719</v>
      </c>
      <c r="I184" s="39">
        <v>0.62255974044585194</v>
      </c>
      <c r="J184" s="39">
        <v>0.67850026391385077</v>
      </c>
      <c r="K184" s="39">
        <v>0.70975177145434742</v>
      </c>
      <c r="L184" s="45">
        <v>0.69208861566106983</v>
      </c>
      <c r="M184" s="39">
        <v>0.7232964157510996</v>
      </c>
      <c r="N184" s="39">
        <v>0.70187999349931651</v>
      </c>
    </row>
    <row r="185" spans="1:14" ht="12.75" customHeight="1" x14ac:dyDescent="0.2">
      <c r="A185" s="38" t="s">
        <v>254</v>
      </c>
      <c r="B185" s="40">
        <v>0.61443328624065841</v>
      </c>
      <c r="C185" s="39">
        <v>0.67862751688210954</v>
      </c>
      <c r="D185" s="39">
        <v>0.63818449611929784</v>
      </c>
      <c r="E185" s="39">
        <v>0.67176954455428828</v>
      </c>
      <c r="F185" s="39">
        <v>0.66043262947573422</v>
      </c>
      <c r="G185" s="39">
        <v>0.63685011788506352</v>
      </c>
      <c r="H185" s="39">
        <v>0.65532112280821819</v>
      </c>
      <c r="I185" s="39">
        <v>0.66498370558641917</v>
      </c>
      <c r="J185" s="39">
        <v>0.69474804166052906</v>
      </c>
      <c r="K185" s="39">
        <v>0.73756330569439632</v>
      </c>
      <c r="L185" s="45">
        <v>0.73889290252869844</v>
      </c>
      <c r="M185" s="39">
        <v>0.76043250690272002</v>
      </c>
      <c r="N185" s="39">
        <v>0.76121863969366066</v>
      </c>
    </row>
    <row r="186" spans="1:14" ht="12.75" customHeight="1" x14ac:dyDescent="0.2">
      <c r="A186" s="38" t="s">
        <v>214</v>
      </c>
      <c r="B186" s="40">
        <v>0.65447423165595031</v>
      </c>
      <c r="C186" s="39">
        <v>0.6515975500271397</v>
      </c>
      <c r="D186" s="39">
        <v>0.68951164623833272</v>
      </c>
      <c r="E186" s="39">
        <v>0.75610766499462223</v>
      </c>
      <c r="F186" s="39">
        <v>0.76161454999142275</v>
      </c>
      <c r="G186" s="39">
        <v>0.69981260918290777</v>
      </c>
      <c r="H186" s="39">
        <v>0.75227950398118715</v>
      </c>
      <c r="I186" s="39">
        <v>0.75054179005609967</v>
      </c>
      <c r="J186" s="39">
        <v>0.76744152106091168</v>
      </c>
      <c r="K186" s="39">
        <v>0.79980006396888959</v>
      </c>
      <c r="L186" s="45">
        <v>0.80111886083783757</v>
      </c>
      <c r="M186" s="39">
        <v>0.79412924624229742</v>
      </c>
      <c r="N186" s="39">
        <v>0.80126571493941912</v>
      </c>
    </row>
    <row r="187" spans="1:14" ht="12.75" customHeight="1" x14ac:dyDescent="0.2">
      <c r="A187" s="38" t="s">
        <v>159</v>
      </c>
      <c r="B187" s="40">
        <v>0.68891669781870446</v>
      </c>
      <c r="C187" s="39">
        <v>0.69693453520204773</v>
      </c>
      <c r="D187" s="39">
        <v>0.71104805875152355</v>
      </c>
      <c r="E187" s="39">
        <v>0.67726315739655563</v>
      </c>
      <c r="F187" s="39">
        <v>0.72117411419919708</v>
      </c>
      <c r="G187" s="39">
        <v>0.74467712298356659</v>
      </c>
      <c r="H187" s="39">
        <v>0.71914077133840149</v>
      </c>
      <c r="I187" s="39">
        <v>0.71921142619431355</v>
      </c>
      <c r="J187" s="39">
        <v>0.72677290145690454</v>
      </c>
      <c r="K187" s="39">
        <v>0.76686201996824632</v>
      </c>
      <c r="L187" s="45">
        <v>0.74235064342486146</v>
      </c>
      <c r="M187" s="39">
        <v>0.7681867522845689</v>
      </c>
      <c r="N187" s="39">
        <v>0.76196962874763086</v>
      </c>
    </row>
    <row r="188" spans="1:14" ht="12.75" customHeight="1" x14ac:dyDescent="0.2">
      <c r="A188" s="38" t="s">
        <v>17</v>
      </c>
      <c r="B188" s="40">
        <v>0.54477862678417444</v>
      </c>
      <c r="C188" s="39">
        <v>0.56678893040136979</v>
      </c>
      <c r="D188" s="39">
        <v>0.56036733445605069</v>
      </c>
      <c r="E188" s="39">
        <v>0.61968823398665296</v>
      </c>
      <c r="F188" s="39">
        <v>0.66879032121437565</v>
      </c>
      <c r="G188" s="39">
        <v>0.71765448872921234</v>
      </c>
      <c r="H188" s="39">
        <v>0.70964469926766205</v>
      </c>
      <c r="I188" s="39">
        <v>0.73458715237974348</v>
      </c>
      <c r="J188" s="39">
        <v>0.73535905884585739</v>
      </c>
      <c r="K188" s="39">
        <v>0.73148513027858542</v>
      </c>
      <c r="L188" s="45">
        <v>0.69263907893552001</v>
      </c>
      <c r="M188" s="39">
        <v>0.68459862310991326</v>
      </c>
      <c r="N188" s="39">
        <v>0.71381465344425532</v>
      </c>
    </row>
    <row r="189" spans="1:14" ht="12.75" customHeight="1" x14ac:dyDescent="0.2">
      <c r="A189" s="38" t="s">
        <v>73</v>
      </c>
      <c r="B189" s="40">
        <v>0.3547785143755493</v>
      </c>
      <c r="C189" s="39">
        <v>0.39485741862789525</v>
      </c>
      <c r="D189" s="39">
        <v>0.42844833696476292</v>
      </c>
      <c r="E189" s="39">
        <v>0.47177669214972778</v>
      </c>
      <c r="F189" s="39">
        <v>0.54793012857361223</v>
      </c>
      <c r="G189" s="39">
        <v>0.56620863412656519</v>
      </c>
      <c r="H189" s="39">
        <v>0.58302586007385138</v>
      </c>
      <c r="I189" s="39">
        <v>0.60700246915683731</v>
      </c>
      <c r="J189" s="39">
        <v>0.60885200370764403</v>
      </c>
      <c r="K189" s="39">
        <v>0.62664461478240796</v>
      </c>
      <c r="L189" s="45">
        <v>0.61579816112486407</v>
      </c>
      <c r="M189" s="39">
        <v>0.6404061779618585</v>
      </c>
      <c r="N189" s="39">
        <v>0.68906649184649982</v>
      </c>
    </row>
    <row r="190" spans="1:14" ht="12.75" customHeight="1" x14ac:dyDescent="0.2">
      <c r="A190" s="38" t="s">
        <v>82</v>
      </c>
      <c r="B190" s="40">
        <v>0.64214562783050189</v>
      </c>
      <c r="C190" s="39">
        <v>0.67747637033281904</v>
      </c>
      <c r="D190" s="39">
        <v>0.65557609596734523</v>
      </c>
      <c r="E190" s="39">
        <v>0.66762983988561997</v>
      </c>
      <c r="F190" s="39">
        <v>0.67836136176913042</v>
      </c>
      <c r="G190" s="39">
        <v>0.693597797681203</v>
      </c>
      <c r="H190" s="39">
        <v>0.71702612671253763</v>
      </c>
      <c r="I190" s="39">
        <v>0.71373797761696289</v>
      </c>
      <c r="J190" s="39">
        <v>0.71435740268604764</v>
      </c>
      <c r="K190" s="39">
        <v>0.72773281501771392</v>
      </c>
      <c r="L190" s="45">
        <v>0.72642148408109619</v>
      </c>
      <c r="M190" s="39">
        <v>0.75150646122946407</v>
      </c>
      <c r="N190" s="39">
        <v>0.75703366773555913</v>
      </c>
    </row>
    <row r="191" spans="1:14" ht="12.75" customHeight="1" x14ac:dyDescent="0.2">
      <c r="A191" s="38" t="s">
        <v>119</v>
      </c>
      <c r="B191" s="40">
        <v>0.53905322977074299</v>
      </c>
      <c r="C191" s="39">
        <v>0.53929720642541057</v>
      </c>
      <c r="D191" s="39">
        <v>0.56092112546847994</v>
      </c>
      <c r="E191" s="39">
        <v>0.61363970843603044</v>
      </c>
      <c r="F191" s="39">
        <v>0.6547613949959582</v>
      </c>
      <c r="G191" s="39">
        <v>0.63709519421573713</v>
      </c>
      <c r="H191" s="39">
        <v>0.6425228469963441</v>
      </c>
      <c r="I191" s="39">
        <v>0.63803850134623152</v>
      </c>
      <c r="J191" s="39">
        <v>0.65243562246121956</v>
      </c>
      <c r="K191" s="39">
        <v>0.67582337547735738</v>
      </c>
      <c r="L191" s="45">
        <v>0.6641509269703626</v>
      </c>
      <c r="M191" s="39">
        <v>0.69020439196352612</v>
      </c>
      <c r="N191" s="39">
        <v>0.69967586727386799</v>
      </c>
    </row>
    <row r="192" spans="1:14" ht="12.75" customHeight="1" x14ac:dyDescent="0.2">
      <c r="A192" s="38" t="s">
        <v>160</v>
      </c>
      <c r="B192" s="40">
        <v>0.633725769242376</v>
      </c>
      <c r="C192" s="39">
        <v>0.66000281330678423</v>
      </c>
      <c r="D192" s="39">
        <v>0.65457656833806743</v>
      </c>
      <c r="E192" s="39">
        <v>0.62833670541683073</v>
      </c>
      <c r="F192" s="39">
        <v>0.65453019571534021</v>
      </c>
      <c r="G192" s="39">
        <v>0.63642522047019578</v>
      </c>
      <c r="H192" s="39">
        <v>0.70320272146784857</v>
      </c>
      <c r="I192" s="39">
        <v>0.72311534735195393</v>
      </c>
      <c r="J192" s="39">
        <v>0.7137362268505073</v>
      </c>
      <c r="K192" s="39">
        <v>0.71078752454591909</v>
      </c>
      <c r="L192" s="45">
        <v>0.69220230809702876</v>
      </c>
      <c r="M192" s="39">
        <v>0.74098260051581366</v>
      </c>
      <c r="N192" s="39">
        <v>0.74436213760088077</v>
      </c>
    </row>
    <row r="193" spans="1:14" ht="12.75" customHeight="1" x14ac:dyDescent="0.2">
      <c r="A193" s="38" t="s">
        <v>7081</v>
      </c>
      <c r="B193" s="40">
        <v>0.5380385085226933</v>
      </c>
      <c r="C193" s="39">
        <v>0.59041435188014058</v>
      </c>
      <c r="D193" s="39">
        <v>0.58370434404139271</v>
      </c>
      <c r="E193" s="39">
        <v>0.62684076284357204</v>
      </c>
      <c r="F193" s="39">
        <v>0.66025796992072561</v>
      </c>
      <c r="G193" s="39">
        <v>0.68537013937436531</v>
      </c>
      <c r="H193" s="39">
        <v>0.68436914566681395</v>
      </c>
      <c r="I193" s="39">
        <v>0.69744742401564264</v>
      </c>
      <c r="J193" s="39">
        <v>0.68876258392433976</v>
      </c>
      <c r="K193" s="39">
        <v>0.70570234530431097</v>
      </c>
      <c r="L193" s="45">
        <v>0.71254519849084763</v>
      </c>
      <c r="M193" s="39">
        <v>0.7319757802901522</v>
      </c>
      <c r="N193" s="39">
        <v>0.76352797791060201</v>
      </c>
    </row>
    <row r="194" spans="1:14" ht="12.75" customHeight="1" x14ac:dyDescent="0.2">
      <c r="A194" s="38" t="s">
        <v>288</v>
      </c>
      <c r="B194" s="40">
        <v>0.68066029648563531</v>
      </c>
      <c r="C194" s="39">
        <v>0.66982060200809102</v>
      </c>
      <c r="D194" s="39">
        <v>0.65967222027966255</v>
      </c>
      <c r="E194" s="39">
        <v>0.62550708653415732</v>
      </c>
      <c r="F194" s="39">
        <v>0.61549929149403804</v>
      </c>
      <c r="G194" s="39">
        <v>0.62058815460710492</v>
      </c>
      <c r="H194" s="39">
        <v>0.61646832159060239</v>
      </c>
      <c r="I194" s="39">
        <v>0.6652062860447252</v>
      </c>
      <c r="J194" s="39">
        <v>0.69116789595583139</v>
      </c>
      <c r="K194" s="39">
        <v>0.71456642087138211</v>
      </c>
      <c r="L194" s="45">
        <v>0.69248198317590737</v>
      </c>
      <c r="M194" s="39">
        <v>0.73452186352842574</v>
      </c>
      <c r="N194" s="39">
        <v>0.75071954696853016</v>
      </c>
    </row>
    <row r="195" spans="1:14" ht="12.75" customHeight="1" x14ac:dyDescent="0.2">
      <c r="A195" s="38" t="s">
        <v>191</v>
      </c>
      <c r="B195" s="40">
        <v>0.74620288011910285</v>
      </c>
      <c r="C195" s="39">
        <v>0.77016262034110861</v>
      </c>
      <c r="D195" s="39">
        <v>0.74434633730791688</v>
      </c>
      <c r="E195" s="39">
        <v>0.7289554669788455</v>
      </c>
      <c r="F195" s="39">
        <v>0.71033311067107474</v>
      </c>
      <c r="G195" s="39">
        <v>0.71409233582989595</v>
      </c>
      <c r="H195" s="39">
        <v>0.72244942284708602</v>
      </c>
      <c r="I195" s="39">
        <v>0.71041527390849424</v>
      </c>
      <c r="J195" s="39">
        <v>0.7242694447698218</v>
      </c>
      <c r="K195" s="39">
        <v>0.76378219854059914</v>
      </c>
      <c r="L195" s="45">
        <v>0.74397896463498381</v>
      </c>
      <c r="M195" s="39">
        <v>0.75228788766286525</v>
      </c>
      <c r="N195" s="39">
        <v>0.70943366898669302</v>
      </c>
    </row>
    <row r="196" spans="1:14" ht="12.75" customHeight="1" x14ac:dyDescent="0.2">
      <c r="A196" s="38" t="s">
        <v>105</v>
      </c>
      <c r="B196" s="40">
        <v>0.75040712697768186</v>
      </c>
      <c r="C196" s="39">
        <v>0.75255489148894028</v>
      </c>
      <c r="D196" s="39">
        <v>0.75220220611726185</v>
      </c>
      <c r="E196" s="39">
        <v>0.7674698098529017</v>
      </c>
      <c r="F196" s="39">
        <v>0.77014646065534864</v>
      </c>
      <c r="G196" s="39">
        <v>0.77213730714063633</v>
      </c>
      <c r="H196" s="39">
        <v>0.77941678819915117</v>
      </c>
      <c r="I196" s="39">
        <v>0.80227188744528621</v>
      </c>
      <c r="J196" s="39">
        <v>0.79551655081382577</v>
      </c>
      <c r="K196" s="39">
        <v>0.80844164979424782</v>
      </c>
      <c r="L196" s="45">
        <v>0.80508711045378745</v>
      </c>
      <c r="M196" s="39">
        <v>0.80058008253929103</v>
      </c>
      <c r="N196" s="39">
        <v>0.81793821133764855</v>
      </c>
    </row>
    <row r="197" spans="1:14" ht="12.75" customHeight="1" x14ac:dyDescent="0.2">
      <c r="A197" s="38" t="s">
        <v>255</v>
      </c>
      <c r="B197" s="40">
        <v>0.53081106713333792</v>
      </c>
      <c r="C197" s="39">
        <v>0.56644526910101156</v>
      </c>
      <c r="D197" s="39">
        <v>0.58237988744018698</v>
      </c>
      <c r="E197" s="39">
        <v>0.60644285827346545</v>
      </c>
      <c r="F197" s="39">
        <v>0.62006898124575993</v>
      </c>
      <c r="G197" s="39">
        <v>0.62224878210290757</v>
      </c>
      <c r="H197" s="39">
        <v>0.63824390354158822</v>
      </c>
      <c r="I197" s="39">
        <v>0.64664144316248207</v>
      </c>
      <c r="J197" s="39">
        <v>0.68057284772983218</v>
      </c>
      <c r="K197" s="39">
        <v>0.71343957765884014</v>
      </c>
      <c r="L197" s="45">
        <v>0.73803059331378729</v>
      </c>
      <c r="M197" s="39">
        <v>0.70078134164728445</v>
      </c>
      <c r="N197" s="39">
        <v>0.70300440720686819</v>
      </c>
    </row>
    <row r="198" spans="1:14" ht="12.75" customHeight="1" x14ac:dyDescent="0.2">
      <c r="A198" s="38" t="s">
        <v>161</v>
      </c>
      <c r="B198" s="40">
        <v>0.58267130694586211</v>
      </c>
      <c r="C198" s="39">
        <v>0.58616158203541602</v>
      </c>
      <c r="D198" s="39">
        <v>0.63541736327409215</v>
      </c>
      <c r="E198" s="39">
        <v>0.61126258222525942</v>
      </c>
      <c r="F198" s="39">
        <v>0.62874049229608031</v>
      </c>
      <c r="G198" s="39">
        <v>0.67979829268864445</v>
      </c>
      <c r="H198" s="39">
        <v>0.64944245547134305</v>
      </c>
      <c r="I198" s="39">
        <v>0.66977439256550531</v>
      </c>
      <c r="J198" s="39">
        <v>0.67379044465996341</v>
      </c>
      <c r="K198" s="39">
        <v>0.73672584779424055</v>
      </c>
      <c r="L198" s="45">
        <v>0.73939238893056147</v>
      </c>
      <c r="M198" s="39">
        <v>0.73738700334912843</v>
      </c>
      <c r="N198" s="39">
        <v>0.75849301380671585</v>
      </c>
    </row>
    <row r="199" spans="1:14" ht="12.75" customHeight="1" x14ac:dyDescent="0.2">
      <c r="A199" s="38" t="s">
        <v>106</v>
      </c>
      <c r="B199" s="40">
        <v>0.57492150784649443</v>
      </c>
      <c r="C199" s="39">
        <v>0.64493517184766569</v>
      </c>
      <c r="D199" s="39">
        <v>0.58782794494861634</v>
      </c>
      <c r="E199" s="39">
        <v>0.58359043595151683</v>
      </c>
      <c r="F199" s="39">
        <v>0.58044070563418915</v>
      </c>
      <c r="G199" s="39">
        <v>0.60988452441478902</v>
      </c>
      <c r="H199" s="39">
        <v>0.65100161007687096</v>
      </c>
      <c r="I199" s="39">
        <v>0.63450881786501334</v>
      </c>
      <c r="J199" s="39">
        <v>0.61530218245047064</v>
      </c>
      <c r="K199" s="39">
        <v>0.65134485164560341</v>
      </c>
      <c r="L199" s="45">
        <v>0.62947144705742408</v>
      </c>
      <c r="M199" s="39">
        <v>0.65475258895767863</v>
      </c>
      <c r="N199" s="39">
        <v>0.68147075046336436</v>
      </c>
    </row>
    <row r="200" spans="1:14" ht="12.75" customHeight="1" x14ac:dyDescent="0.2">
      <c r="A200" s="38" t="s">
        <v>392</v>
      </c>
      <c r="B200" s="40">
        <v>0.63945917983331724</v>
      </c>
      <c r="C200" s="39">
        <v>0.65896327152480605</v>
      </c>
      <c r="D200" s="39">
        <v>0.59855187226465478</v>
      </c>
      <c r="E200" s="39">
        <v>0.6038069163095211</v>
      </c>
      <c r="F200" s="39">
        <v>0.65778723395597638</v>
      </c>
      <c r="G200" s="39">
        <v>0.67727823481357008</v>
      </c>
      <c r="H200" s="39">
        <v>0.689007000277302</v>
      </c>
      <c r="I200" s="39">
        <v>0.69436573926613365</v>
      </c>
      <c r="J200" s="39">
        <v>0.75243296455991582</v>
      </c>
      <c r="K200" s="39">
        <v>0.78364504881185282</v>
      </c>
      <c r="L200" s="45">
        <v>0.78523985872340452</v>
      </c>
      <c r="M200" s="39">
        <v>0.79479270018068837</v>
      </c>
      <c r="N200" s="39">
        <v>0.80052045392240456</v>
      </c>
    </row>
    <row r="201" spans="1:14" ht="12.75" customHeight="1" x14ac:dyDescent="0.2">
      <c r="A201" s="38" t="s">
        <v>256</v>
      </c>
      <c r="B201" s="40">
        <v>0.66313024927835817</v>
      </c>
      <c r="C201" s="39">
        <v>0.69604646854088503</v>
      </c>
      <c r="D201" s="39">
        <v>0.67460917634155171</v>
      </c>
      <c r="E201" s="39">
        <v>0.67285053954633545</v>
      </c>
      <c r="F201" s="39">
        <v>0.65117831980230634</v>
      </c>
      <c r="G201" s="39">
        <v>0.64348085628251195</v>
      </c>
      <c r="H201" s="39">
        <v>0.66985588505254878</v>
      </c>
      <c r="I201" s="39">
        <v>0.68754185514612376</v>
      </c>
      <c r="J201" s="39">
        <v>0.72311148364208944</v>
      </c>
      <c r="K201" s="39">
        <v>0.7466941413093231</v>
      </c>
      <c r="L201" s="45">
        <v>0.7603679329080365</v>
      </c>
      <c r="M201" s="39">
        <v>0.72331496908996062</v>
      </c>
      <c r="N201" s="39">
        <v>0.791679178189303</v>
      </c>
    </row>
    <row r="202" spans="1:14" ht="12.75" customHeight="1" x14ac:dyDescent="0.2">
      <c r="A202" s="38" t="s">
        <v>215</v>
      </c>
      <c r="B202" s="40">
        <v>0.59294290555741502</v>
      </c>
      <c r="C202" s="39">
        <v>0.62859013776082751</v>
      </c>
      <c r="D202" s="39">
        <v>0.69416399209731183</v>
      </c>
      <c r="E202" s="39">
        <v>0.66913632961436054</v>
      </c>
      <c r="F202" s="39">
        <v>0.69888009394523509</v>
      </c>
      <c r="G202" s="39">
        <v>0.69708309343800945</v>
      </c>
      <c r="H202" s="39">
        <v>0.71634774493884679</v>
      </c>
      <c r="I202" s="39">
        <v>0.72323764464611828</v>
      </c>
      <c r="J202" s="39">
        <v>0.73451235545588267</v>
      </c>
      <c r="K202" s="39">
        <v>0.76578098282468943</v>
      </c>
      <c r="L202" s="45">
        <v>0.75730118483848707</v>
      </c>
      <c r="M202" s="39">
        <v>0.74650267421082261</v>
      </c>
      <c r="N202" s="39">
        <v>0.73809694664151149</v>
      </c>
    </row>
    <row r="203" spans="1:14" ht="12.75" customHeight="1" x14ac:dyDescent="0.2">
      <c r="A203" s="38" t="s">
        <v>7080</v>
      </c>
      <c r="B203" s="40">
        <v>0.71146249255994742</v>
      </c>
      <c r="C203" s="39">
        <v>0.72571857802857098</v>
      </c>
      <c r="D203" s="39">
        <v>0.71531171350052947</v>
      </c>
      <c r="E203" s="39">
        <v>0.71245438778261538</v>
      </c>
      <c r="F203" s="39">
        <v>0.70916942925958348</v>
      </c>
      <c r="G203" s="39">
        <v>0.70271853869389622</v>
      </c>
      <c r="H203" s="39">
        <v>0.72362880975190791</v>
      </c>
      <c r="I203" s="39">
        <v>0.75426817722074835</v>
      </c>
      <c r="J203" s="39">
        <v>0.76525664551315653</v>
      </c>
      <c r="K203" s="39">
        <v>0.79896009635343879</v>
      </c>
      <c r="L203" s="45">
        <v>0.79725772094746494</v>
      </c>
      <c r="M203" s="39">
        <v>0.81094026036423195</v>
      </c>
      <c r="N203" s="39">
        <v>0.82811917333345308</v>
      </c>
    </row>
    <row r="204" spans="1:14" ht="12.75" customHeight="1" x14ac:dyDescent="0.2">
      <c r="A204" s="38" t="s">
        <v>409</v>
      </c>
      <c r="B204" s="40">
        <v>0.50825637546567559</v>
      </c>
      <c r="C204" s="39">
        <v>0.5184161257539901</v>
      </c>
      <c r="D204" s="39">
        <v>0.50008147898351307</v>
      </c>
      <c r="E204" s="39">
        <v>0.5360923178574396</v>
      </c>
      <c r="F204" s="39">
        <v>0.56571321685772213</v>
      </c>
      <c r="G204" s="39">
        <v>0.63882249880373698</v>
      </c>
      <c r="H204" s="39">
        <v>0.65066658168410141</v>
      </c>
      <c r="I204" s="39">
        <v>0.69468252594473812</v>
      </c>
      <c r="J204" s="39">
        <v>0.6529756768395244</v>
      </c>
      <c r="K204" s="39">
        <v>0.6430981670409065</v>
      </c>
      <c r="L204" s="45">
        <v>0.64196142440035875</v>
      </c>
      <c r="M204" s="39">
        <v>0.65564129284709649</v>
      </c>
      <c r="N204" s="39">
        <v>0.68659988920166182</v>
      </c>
    </row>
    <row r="205" spans="1:14" ht="12.75" customHeight="1" x14ac:dyDescent="0.2">
      <c r="A205" s="38" t="s">
        <v>357</v>
      </c>
      <c r="B205" s="40">
        <v>0.53973167578502423</v>
      </c>
      <c r="C205" s="39">
        <v>0.59685516303778485</v>
      </c>
      <c r="D205" s="39">
        <v>0.57842881092669896</v>
      </c>
      <c r="E205" s="39">
        <v>0.60873750538371896</v>
      </c>
      <c r="F205" s="39">
        <v>0.64656183190325811</v>
      </c>
      <c r="G205" s="39">
        <v>0.61511343907164218</v>
      </c>
      <c r="H205" s="39">
        <v>0.64034848297751223</v>
      </c>
      <c r="I205" s="39">
        <v>0.67990030093596776</v>
      </c>
      <c r="J205" s="39">
        <v>0.61507688905412483</v>
      </c>
      <c r="K205" s="39">
        <v>0.60918797541419434</v>
      </c>
      <c r="L205" s="45">
        <v>0.57885893119072762</v>
      </c>
      <c r="M205" s="39">
        <v>0.58766600555858617</v>
      </c>
      <c r="N205" s="39">
        <v>0.66128415995346157</v>
      </c>
    </row>
    <row r="206" spans="1:14" ht="12.75" customHeight="1" x14ac:dyDescent="0.2">
      <c r="A206" s="38" t="s">
        <v>387</v>
      </c>
      <c r="B206" s="40">
        <v>0.46586830935629409</v>
      </c>
      <c r="C206" s="39">
        <v>0.52700177920397506</v>
      </c>
      <c r="D206" s="39">
        <v>0.56658552002319551</v>
      </c>
      <c r="E206" s="39">
        <v>0.63217442479441333</v>
      </c>
      <c r="F206" s="39">
        <v>0.63765351316977581</v>
      </c>
      <c r="G206" s="39">
        <v>0.62617580225512182</v>
      </c>
      <c r="H206" s="39">
        <v>0.64502616166028215</v>
      </c>
      <c r="I206" s="39">
        <v>0.6723803384061916</v>
      </c>
      <c r="J206" s="39">
        <v>0.6906888940043231</v>
      </c>
      <c r="K206" s="39">
        <v>0.74965411038176077</v>
      </c>
      <c r="L206" s="45">
        <v>0.7216630739991724</v>
      </c>
      <c r="M206" s="39">
        <v>0.71597984794880221</v>
      </c>
      <c r="N206" s="39">
        <v>0.74734939163495229</v>
      </c>
    </row>
    <row r="207" spans="1:14" ht="12.75" customHeight="1" x14ac:dyDescent="0.2">
      <c r="A207" s="38" t="s">
        <v>74</v>
      </c>
      <c r="B207" s="40">
        <v>0.47180351945764776</v>
      </c>
      <c r="C207" s="39">
        <v>0.47447402123251975</v>
      </c>
      <c r="D207" s="39">
        <v>0.47842323630243172</v>
      </c>
      <c r="E207" s="39">
        <v>0.47925989309819855</v>
      </c>
      <c r="F207" s="39">
        <v>0.48448694028868494</v>
      </c>
      <c r="G207" s="39">
        <v>0.51386002471882264</v>
      </c>
      <c r="H207" s="39">
        <v>0.57830000183821795</v>
      </c>
      <c r="I207" s="39">
        <v>0.60259106285353714</v>
      </c>
      <c r="J207" s="39">
        <v>0.63378634125991795</v>
      </c>
      <c r="K207" s="39">
        <v>0.68801122081779031</v>
      </c>
      <c r="L207" s="45">
        <v>0.66900758158748774</v>
      </c>
      <c r="M207" s="39">
        <v>0.69721074936622784</v>
      </c>
      <c r="N207" s="39">
        <v>0.66894323685091683</v>
      </c>
    </row>
    <row r="208" spans="1:14" ht="12.75" customHeight="1" x14ac:dyDescent="0.2">
      <c r="A208" s="38" t="s">
        <v>308</v>
      </c>
      <c r="B208" s="40">
        <v>0.67631520148388236</v>
      </c>
      <c r="C208" s="39">
        <v>0.68454857013841031</v>
      </c>
      <c r="D208" s="39">
        <v>0.70452995750900149</v>
      </c>
      <c r="E208" s="39">
        <v>0.75342102547266687</v>
      </c>
      <c r="F208" s="39">
        <v>0.77683079615845385</v>
      </c>
      <c r="G208" s="39">
        <v>0.77028137195249669</v>
      </c>
      <c r="H208" s="39">
        <v>0.76732111868687414</v>
      </c>
      <c r="I208" s="39">
        <v>0.77868641123516802</v>
      </c>
      <c r="J208" s="39">
        <v>0.78675846244703085</v>
      </c>
      <c r="K208" s="39">
        <v>0.79760971217372134</v>
      </c>
      <c r="L208" s="45">
        <v>0.79525337952209763</v>
      </c>
      <c r="M208" s="39">
        <v>0.81909656313391999</v>
      </c>
      <c r="N208" s="39">
        <v>0.822854160873698</v>
      </c>
    </row>
    <row r="209" spans="1:14" ht="12.75" customHeight="1" x14ac:dyDescent="0.2">
      <c r="A209" s="38" t="s">
        <v>301</v>
      </c>
      <c r="B209" s="40">
        <v>0.59135501869142837</v>
      </c>
      <c r="C209" s="39">
        <v>0.58799421885327441</v>
      </c>
      <c r="D209" s="39">
        <v>0.54034463303905056</v>
      </c>
      <c r="E209" s="39">
        <v>0.53935247386292218</v>
      </c>
      <c r="F209" s="39">
        <v>0.5397184560004612</v>
      </c>
      <c r="G209" s="39">
        <v>0.56722811686765373</v>
      </c>
      <c r="H209" s="39">
        <v>0.56630806356295438</v>
      </c>
      <c r="I209" s="39">
        <v>0.63280147535264941</v>
      </c>
      <c r="J209" s="39">
        <v>0.63783857408821687</v>
      </c>
      <c r="K209" s="39">
        <v>0.72294700986196891</v>
      </c>
      <c r="L209" s="45">
        <v>0.72462164294523568</v>
      </c>
      <c r="M209" s="39">
        <v>0.72687073177252304</v>
      </c>
      <c r="N209" s="39">
        <v>0.7039421447628853</v>
      </c>
    </row>
    <row r="210" spans="1:14" ht="12.75" customHeight="1" x14ac:dyDescent="0.2">
      <c r="A210" s="38" t="s">
        <v>203</v>
      </c>
      <c r="B210" s="40">
        <v>0.66821980169330553</v>
      </c>
      <c r="C210" s="39">
        <v>0.68351051557162534</v>
      </c>
      <c r="D210" s="39">
        <v>0.6775397025788461</v>
      </c>
      <c r="E210" s="39">
        <v>0.70263373485294911</v>
      </c>
      <c r="F210" s="39">
        <v>0.70555864985782879</v>
      </c>
      <c r="G210" s="39">
        <v>0.70482294878403018</v>
      </c>
      <c r="H210" s="39">
        <v>0.70868289344133917</v>
      </c>
      <c r="I210" s="39">
        <v>0.74083457357504923</v>
      </c>
      <c r="J210" s="39">
        <v>0.75538479797392599</v>
      </c>
      <c r="K210" s="39">
        <v>0.77130096879494003</v>
      </c>
      <c r="L210" s="45">
        <v>0.77402804335860564</v>
      </c>
      <c r="M210" s="39">
        <v>0.79212561590745711</v>
      </c>
      <c r="N210" s="39">
        <v>0.80582819873993772</v>
      </c>
    </row>
    <row r="211" spans="1:14" ht="12.75" customHeight="1" x14ac:dyDescent="0.2">
      <c r="A211" s="38" t="s">
        <v>180</v>
      </c>
      <c r="B211" s="40">
        <v>0.67049264523234964</v>
      </c>
      <c r="C211" s="39">
        <v>0.64460911612969418</v>
      </c>
      <c r="D211" s="39">
        <v>0.64134009947764958</v>
      </c>
      <c r="E211" s="39">
        <v>0.65906185546037166</v>
      </c>
      <c r="F211" s="39">
        <v>0.68711728512744719</v>
      </c>
      <c r="G211" s="39">
        <v>0.66286111630751243</v>
      </c>
      <c r="H211" s="39">
        <v>0.67962302117328621</v>
      </c>
      <c r="I211" s="39">
        <v>0.7033816422835294</v>
      </c>
      <c r="J211" s="39">
        <v>0.72698868845347642</v>
      </c>
      <c r="K211" s="39">
        <v>0.70927887146798074</v>
      </c>
      <c r="L211" s="45">
        <v>0.70820523015981751</v>
      </c>
      <c r="M211" s="39">
        <v>0.70550416224233992</v>
      </c>
      <c r="N211" s="39">
        <v>0.73619879438339664</v>
      </c>
    </row>
    <row r="212" spans="1:14" ht="12.75" customHeight="1" x14ac:dyDescent="0.2">
      <c r="A212" s="38" t="s">
        <v>289</v>
      </c>
      <c r="B212" s="40">
        <v>0.60028240320844484</v>
      </c>
      <c r="C212" s="39">
        <v>0.62714635039831812</v>
      </c>
      <c r="D212" s="39">
        <v>0.64279418150373258</v>
      </c>
      <c r="E212" s="39">
        <v>0.67092452724338025</v>
      </c>
      <c r="F212" s="39">
        <v>0.66737739779751337</v>
      </c>
      <c r="G212" s="39">
        <v>0.66916219194900284</v>
      </c>
      <c r="H212" s="39">
        <v>0.69929881948200856</v>
      </c>
      <c r="I212" s="39">
        <v>0.69763884684134891</v>
      </c>
      <c r="J212" s="39">
        <v>0.71798499825798989</v>
      </c>
      <c r="K212" s="39">
        <v>0.73656716858093996</v>
      </c>
      <c r="L212" s="45">
        <v>0.72599901071179629</v>
      </c>
      <c r="M212" s="39">
        <v>0.70135861181451009</v>
      </c>
      <c r="N212" s="39">
        <v>0.71005891776958807</v>
      </c>
    </row>
    <row r="213" spans="1:14" ht="12.75" customHeight="1" x14ac:dyDescent="0.2">
      <c r="A213" s="38" t="s">
        <v>242</v>
      </c>
      <c r="B213" s="40">
        <v>0.47583803107573069</v>
      </c>
      <c r="C213" s="39">
        <v>0.52581034815179695</v>
      </c>
      <c r="D213" s="39">
        <v>0.53180081989756245</v>
      </c>
      <c r="E213" s="39">
        <v>0.5450810800581577</v>
      </c>
      <c r="F213" s="39">
        <v>0.56673163494930556</v>
      </c>
      <c r="G213" s="39">
        <v>0.57453706607230437</v>
      </c>
      <c r="H213" s="39">
        <v>0.57137143352153374</v>
      </c>
      <c r="I213" s="39">
        <v>0.56887103976346987</v>
      </c>
      <c r="J213" s="39">
        <v>0.57274196343119288</v>
      </c>
      <c r="K213" s="39">
        <v>0.61330534191289765</v>
      </c>
      <c r="L213" s="45">
        <v>0.65579498327713281</v>
      </c>
      <c r="M213" s="39">
        <v>0.66322475826261973</v>
      </c>
      <c r="N213" s="39">
        <v>0.68504159391135833</v>
      </c>
    </row>
    <row r="214" spans="1:14" ht="12.75" customHeight="1" x14ac:dyDescent="0.2">
      <c r="A214" s="38" t="s">
        <v>192</v>
      </c>
      <c r="B214" s="40">
        <v>0.76853245907939216</v>
      </c>
      <c r="C214" s="39">
        <v>0.7789452310728765</v>
      </c>
      <c r="D214" s="39">
        <v>0.78348474661526923</v>
      </c>
      <c r="E214" s="39">
        <v>0.79611131870470242</v>
      </c>
      <c r="F214" s="39">
        <v>0.79705268203342883</v>
      </c>
      <c r="G214" s="39">
        <v>0.79948278444455667</v>
      </c>
      <c r="H214" s="39">
        <v>0.80359506563460326</v>
      </c>
      <c r="I214" s="39">
        <v>0.81076374125214701</v>
      </c>
      <c r="J214" s="39">
        <v>0.80615338030717743</v>
      </c>
      <c r="K214" s="39">
        <v>0.82456933399055643</v>
      </c>
      <c r="L214" s="45">
        <v>0.81058502795872045</v>
      </c>
      <c r="M214" s="39">
        <v>0.83452146451887688</v>
      </c>
      <c r="N214" s="39">
        <v>0.8463961733077543</v>
      </c>
    </row>
    <row r="215" spans="1:14" ht="12.75" customHeight="1" x14ac:dyDescent="0.2">
      <c r="A215" s="38" t="s">
        <v>388</v>
      </c>
      <c r="B215" s="40">
        <v>0.56219887448803396</v>
      </c>
      <c r="C215" s="39">
        <v>0.58995029672841426</v>
      </c>
      <c r="D215" s="39">
        <v>0.58167129690839159</v>
      </c>
      <c r="E215" s="39">
        <v>0.63310565468938207</v>
      </c>
      <c r="F215" s="39">
        <v>0.64824089309605448</v>
      </c>
      <c r="G215" s="39">
        <v>0.65305107022129871</v>
      </c>
      <c r="H215" s="39">
        <v>0.67039487587954449</v>
      </c>
      <c r="I215" s="39">
        <v>0.71159128453069054</v>
      </c>
      <c r="J215" s="39">
        <v>0.73987840926603177</v>
      </c>
      <c r="K215" s="39">
        <v>0.76217561534891409</v>
      </c>
      <c r="L215" s="45">
        <v>0.72928977956299745</v>
      </c>
      <c r="M215" s="39">
        <v>0.75364581306084466</v>
      </c>
      <c r="N215" s="39">
        <v>0.7066225225345848</v>
      </c>
    </row>
    <row r="216" spans="1:14" ht="12.75" customHeight="1" x14ac:dyDescent="0.2">
      <c r="A216" s="38" t="s">
        <v>324</v>
      </c>
      <c r="B216" s="40">
        <v>0.69855743909002399</v>
      </c>
      <c r="C216" s="39">
        <v>0.72156961713305223</v>
      </c>
      <c r="D216" s="39">
        <v>0.70226430299995679</v>
      </c>
      <c r="E216" s="39">
        <v>0.76360506579630671</v>
      </c>
      <c r="F216" s="39">
        <v>0.74609736205159949</v>
      </c>
      <c r="G216" s="39">
        <v>0.75976189314020715</v>
      </c>
      <c r="H216" s="39">
        <v>0.76204791139668859</v>
      </c>
      <c r="I216" s="39">
        <v>0.7977714969541152</v>
      </c>
      <c r="J216" s="39">
        <v>0.7697905113385507</v>
      </c>
      <c r="K216" s="39">
        <v>0.81844843397217515</v>
      </c>
      <c r="L216" s="45">
        <v>0.80350289057802549</v>
      </c>
      <c r="M216" s="39">
        <v>0.80556376499068616</v>
      </c>
      <c r="N216" s="39">
        <v>0.80348576783097403</v>
      </c>
    </row>
    <row r="217" spans="1:14" ht="12.75" customHeight="1" x14ac:dyDescent="0.2">
      <c r="A217" s="38" t="s">
        <v>358</v>
      </c>
      <c r="B217" s="40">
        <v>0.59164113077268976</v>
      </c>
      <c r="C217" s="39">
        <v>0.58428372971617226</v>
      </c>
      <c r="D217" s="39">
        <v>0.5665805104644156</v>
      </c>
      <c r="E217" s="39">
        <v>0.59525701611222193</v>
      </c>
      <c r="F217" s="39">
        <v>0.61887596790758359</v>
      </c>
      <c r="G217" s="39">
        <v>0.68868949287152048</v>
      </c>
      <c r="H217" s="39">
        <v>0.6922909609300244</v>
      </c>
      <c r="I217" s="39">
        <v>0.72990605675135711</v>
      </c>
      <c r="J217" s="39">
        <v>0.72056566603074879</v>
      </c>
      <c r="K217" s="39">
        <v>0.73495438861880391</v>
      </c>
      <c r="L217" s="45">
        <v>0.75361043652659154</v>
      </c>
      <c r="M217" s="39">
        <v>0.78925550239719622</v>
      </c>
      <c r="N217" s="39">
        <v>0.7703448682779227</v>
      </c>
    </row>
    <row r="218" spans="1:14" ht="12.75" customHeight="1" x14ac:dyDescent="0.2">
      <c r="A218" s="38" t="s">
        <v>395</v>
      </c>
      <c r="B218" s="40">
        <v>0.51732412012864326</v>
      </c>
      <c r="C218" s="39">
        <v>0.52924977061955258</v>
      </c>
      <c r="D218" s="39">
        <v>0.44741065560104926</v>
      </c>
      <c r="E218" s="39">
        <v>0.50057197555034283</v>
      </c>
      <c r="F218" s="39">
        <v>0.5520485778405364</v>
      </c>
      <c r="G218" s="39">
        <v>0.52218020519383779</v>
      </c>
      <c r="H218" s="39">
        <v>0.67233889010306103</v>
      </c>
      <c r="I218" s="39">
        <v>0.6474236944678543</v>
      </c>
      <c r="J218" s="39">
        <v>0.65036968990985233</v>
      </c>
      <c r="K218" s="39">
        <v>0.67429148969398423</v>
      </c>
      <c r="L218" s="45">
        <v>0.69772806881867899</v>
      </c>
      <c r="M218" s="39">
        <v>0.73961529797723602</v>
      </c>
      <c r="N218" s="39">
        <v>0.77134155469772148</v>
      </c>
    </row>
    <row r="219" spans="1:14" ht="12.75" customHeight="1" x14ac:dyDescent="0.2">
      <c r="A219" s="38" t="s">
        <v>204</v>
      </c>
      <c r="B219" s="40">
        <v>0.62404584328729606</v>
      </c>
      <c r="C219" s="39">
        <v>0.62812540076844681</v>
      </c>
      <c r="D219" s="39">
        <v>0.67097726131505597</v>
      </c>
      <c r="E219" s="39">
        <v>0.70640322688316282</v>
      </c>
      <c r="F219" s="39">
        <v>0.68640280817168176</v>
      </c>
      <c r="G219" s="39">
        <v>0.6964409763045073</v>
      </c>
      <c r="H219" s="39">
        <v>0.68536212441305289</v>
      </c>
      <c r="I219" s="39">
        <v>0.63995410833804256</v>
      </c>
      <c r="J219" s="39">
        <v>0.64707776692410113</v>
      </c>
      <c r="K219" s="39">
        <v>0.73051743061043239</v>
      </c>
      <c r="L219" s="45">
        <v>0.76756723475151389</v>
      </c>
      <c r="M219" s="39">
        <v>0.77105524809663117</v>
      </c>
      <c r="N219" s="39">
        <v>0.72064206327388447</v>
      </c>
    </row>
    <row r="220" spans="1:14" ht="12.75" customHeight="1" x14ac:dyDescent="0.2">
      <c r="A220" s="38" t="s">
        <v>309</v>
      </c>
      <c r="B220" s="40">
        <v>0.64035690948289592</v>
      </c>
      <c r="C220" s="39">
        <v>0.68127904835145225</v>
      </c>
      <c r="D220" s="39">
        <v>0.67241479024145701</v>
      </c>
      <c r="E220" s="39">
        <v>0.65953196874484821</v>
      </c>
      <c r="F220" s="39">
        <v>0.69217685856440936</v>
      </c>
      <c r="G220" s="39">
        <v>0.71465373798472365</v>
      </c>
      <c r="H220" s="39">
        <v>0.75614309070687247</v>
      </c>
      <c r="I220" s="39">
        <v>0.79592908045515853</v>
      </c>
      <c r="J220" s="39">
        <v>0.7847601768950182</v>
      </c>
      <c r="K220" s="39">
        <v>0.78813322927557206</v>
      </c>
      <c r="L220" s="45">
        <v>0.79150982462287434</v>
      </c>
      <c r="M220" s="39">
        <v>0.78334505362643025</v>
      </c>
      <c r="N220" s="39">
        <v>0.80130133222077893</v>
      </c>
    </row>
    <row r="221" spans="1:14" ht="12.75" customHeight="1" x14ac:dyDescent="0.2">
      <c r="A221" s="38" t="s">
        <v>399</v>
      </c>
      <c r="B221" s="40">
        <v>0.56150605505022677</v>
      </c>
      <c r="C221" s="39">
        <v>0.54842850333109761</v>
      </c>
      <c r="D221" s="39">
        <v>0.58083007620478122</v>
      </c>
      <c r="E221" s="39">
        <v>0.61210924262597322</v>
      </c>
      <c r="F221" s="39">
        <v>0.6409040683553705</v>
      </c>
      <c r="G221" s="39">
        <v>0.64476679862047759</v>
      </c>
      <c r="H221" s="39">
        <v>0.60706583722857543</v>
      </c>
      <c r="I221" s="39">
        <v>0.60449790118723667</v>
      </c>
      <c r="J221" s="39">
        <v>0.58596785249260896</v>
      </c>
      <c r="K221" s="39">
        <v>0.58499239756905397</v>
      </c>
      <c r="L221" s="45">
        <v>0.58173702551338857</v>
      </c>
      <c r="M221" s="39">
        <v>0.65175751926765724</v>
      </c>
      <c r="N221" s="39">
        <v>0.66679243798824606</v>
      </c>
    </row>
    <row r="222" spans="1:14" ht="12.75" customHeight="1" x14ac:dyDescent="0.2">
      <c r="A222" s="38" t="s">
        <v>75</v>
      </c>
      <c r="B222" s="40">
        <v>0.51939925894558547</v>
      </c>
      <c r="C222" s="39">
        <v>0.50243157736861799</v>
      </c>
      <c r="D222" s="39">
        <v>0.50096541891717916</v>
      </c>
      <c r="E222" s="39">
        <v>0.52715985869086956</v>
      </c>
      <c r="F222" s="39">
        <v>0.56407884637801509</v>
      </c>
      <c r="G222" s="39">
        <v>0.5920803026648499</v>
      </c>
      <c r="H222" s="39">
        <v>0.57491874809347254</v>
      </c>
      <c r="I222" s="39">
        <v>0.63564652224442708</v>
      </c>
      <c r="J222" s="39">
        <v>0.65508642088924629</v>
      </c>
      <c r="K222" s="39">
        <v>0.67694687905972417</v>
      </c>
      <c r="L222" s="45">
        <v>0.73281496549560821</v>
      </c>
      <c r="M222" s="39">
        <v>0.71735929934326992</v>
      </c>
      <c r="N222" s="39">
        <v>0.70239034479517126</v>
      </c>
    </row>
    <row r="223" spans="1:14" ht="12.75" customHeight="1" x14ac:dyDescent="0.2">
      <c r="A223" s="38" t="s">
        <v>181</v>
      </c>
      <c r="B223" s="40">
        <v>0.56071880021948661</v>
      </c>
      <c r="C223" s="39">
        <v>0.57820640940262125</v>
      </c>
      <c r="D223" s="39">
        <v>0.60116186231893121</v>
      </c>
      <c r="E223" s="39">
        <v>0.60865440987395769</v>
      </c>
      <c r="F223" s="39">
        <v>0.62407347936185575</v>
      </c>
      <c r="G223" s="39">
        <v>0.6187888756030494</v>
      </c>
      <c r="H223" s="39">
        <v>0.6452477766418262</v>
      </c>
      <c r="I223" s="39">
        <v>0.63156082769652511</v>
      </c>
      <c r="J223" s="39">
        <v>0.66765868143411311</v>
      </c>
      <c r="K223" s="39">
        <v>0.72740683462223121</v>
      </c>
      <c r="L223" s="45">
        <v>0.71644117901923632</v>
      </c>
      <c r="M223" s="39">
        <v>0.70797320747028181</v>
      </c>
      <c r="N223" s="39">
        <v>0.73166199569699586</v>
      </c>
    </row>
    <row r="224" spans="1:14" ht="12.75" customHeight="1" x14ac:dyDescent="0.2">
      <c r="A224" s="38" t="s">
        <v>310</v>
      </c>
      <c r="B224" s="40">
        <v>0.73332028798718873</v>
      </c>
      <c r="C224" s="39">
        <v>0.72517865062265452</v>
      </c>
      <c r="D224" s="39">
        <v>0.71489714097713242</v>
      </c>
      <c r="E224" s="39">
        <v>0.74380058747136812</v>
      </c>
      <c r="F224" s="39">
        <v>0.76339521869914539</v>
      </c>
      <c r="G224" s="39">
        <v>0.76427447251664871</v>
      </c>
      <c r="H224" s="39">
        <v>0.77554442319609285</v>
      </c>
      <c r="I224" s="39">
        <v>0.79242060548104387</v>
      </c>
      <c r="J224" s="39">
        <v>0.79366824779203993</v>
      </c>
      <c r="K224" s="39">
        <v>0.79901303721892269</v>
      </c>
      <c r="L224" s="45">
        <v>0.78825332748766186</v>
      </c>
      <c r="M224" s="39">
        <v>0.82028137658049083</v>
      </c>
      <c r="N224" s="39">
        <v>0.81348051737939453</v>
      </c>
    </row>
    <row r="225" spans="1:14" ht="12.75" customHeight="1" x14ac:dyDescent="0.2">
      <c r="A225" s="38" t="s">
        <v>7079</v>
      </c>
      <c r="B225" s="40">
        <v>0.6764210647828971</v>
      </c>
      <c r="C225" s="39">
        <v>0.73849887692218363</v>
      </c>
      <c r="D225" s="39">
        <v>0.72004424813268109</v>
      </c>
      <c r="E225" s="39">
        <v>0.76354537961391922</v>
      </c>
      <c r="F225" s="39">
        <v>0.73642322318609532</v>
      </c>
      <c r="G225" s="39">
        <v>0.71912755376635318</v>
      </c>
      <c r="H225" s="39">
        <v>0.72857656439080298</v>
      </c>
      <c r="I225" s="39">
        <v>0.77179950399956765</v>
      </c>
      <c r="J225" s="39">
        <v>0.7702403468990382</v>
      </c>
      <c r="K225" s="39">
        <v>0.77959703873678643</v>
      </c>
      <c r="L225" s="45">
        <v>0.76954117165426705</v>
      </c>
      <c r="M225" s="39">
        <v>0.79835419860256829</v>
      </c>
      <c r="N225" s="39">
        <v>0.78841797163511418</v>
      </c>
    </row>
    <row r="226" spans="1:14" ht="12.75" customHeight="1" x14ac:dyDescent="0.2">
      <c r="A226" s="38" t="s">
        <v>264</v>
      </c>
      <c r="B226" s="40">
        <v>0.64747988378518018</v>
      </c>
      <c r="C226" s="39">
        <v>0.63971800897384712</v>
      </c>
      <c r="D226" s="39">
        <v>0.61394579212140876</v>
      </c>
      <c r="E226" s="39">
        <v>0.65568953377982286</v>
      </c>
      <c r="F226" s="39">
        <v>0.61007869718369012</v>
      </c>
      <c r="G226" s="39">
        <v>0.60856101226892723</v>
      </c>
      <c r="H226" s="39">
        <v>0.60922340993719448</v>
      </c>
      <c r="I226" s="39">
        <v>0.69231541762729398</v>
      </c>
      <c r="J226" s="39">
        <v>0.70791680882488384</v>
      </c>
      <c r="K226" s="39">
        <v>0.75574151058070582</v>
      </c>
      <c r="L226" s="45">
        <v>0.75136493995476739</v>
      </c>
      <c r="M226" s="39">
        <v>0.73718093721126854</v>
      </c>
      <c r="N226" s="39">
        <v>0.75034407437521589</v>
      </c>
    </row>
    <row r="227" spans="1:14" ht="12.75" customHeight="1" x14ac:dyDescent="0.2">
      <c r="A227" s="38" t="s">
        <v>94</v>
      </c>
      <c r="B227" s="40">
        <v>0.69922865527814071</v>
      </c>
      <c r="C227" s="39">
        <v>0.6237434800609819</v>
      </c>
      <c r="D227" s="39">
        <v>0.63002262830290279</v>
      </c>
      <c r="E227" s="39">
        <v>0.67185123662001489</v>
      </c>
      <c r="F227" s="39">
        <v>0.68138971769752166</v>
      </c>
      <c r="G227" s="39">
        <v>0.65268478004532626</v>
      </c>
      <c r="H227" s="39">
        <v>0.64679575034296766</v>
      </c>
      <c r="I227" s="39">
        <v>0.73668810345753044</v>
      </c>
      <c r="J227" s="39">
        <v>0.72518368747634643</v>
      </c>
      <c r="K227" s="39">
        <v>0.74364536213006183</v>
      </c>
      <c r="L227" s="45">
        <v>0.7590093476671812</v>
      </c>
      <c r="M227" s="39">
        <v>0.68956948110131633</v>
      </c>
      <c r="N227" s="39">
        <v>0.70500151051482263</v>
      </c>
    </row>
    <row r="228" spans="1:14" ht="12.75" customHeight="1" x14ac:dyDescent="0.2">
      <c r="A228" s="38" t="s">
        <v>311</v>
      </c>
      <c r="B228" s="40">
        <v>0.63460121499045419</v>
      </c>
      <c r="C228" s="39">
        <v>0.66105883133436383</v>
      </c>
      <c r="D228" s="39">
        <v>0.64960493891758564</v>
      </c>
      <c r="E228" s="39">
        <v>0.68005313712139925</v>
      </c>
      <c r="F228" s="39">
        <v>0.68237159921777868</v>
      </c>
      <c r="G228" s="39">
        <v>0.65369514044258359</v>
      </c>
      <c r="H228" s="39">
        <v>0.64769836585969121</v>
      </c>
      <c r="I228" s="39">
        <v>0.66028046633268045</v>
      </c>
      <c r="J228" s="39">
        <v>0.67306068974432287</v>
      </c>
      <c r="K228" s="39">
        <v>0.68701121906341867</v>
      </c>
      <c r="L228" s="45">
        <v>0.71224001312828589</v>
      </c>
      <c r="M228" s="39">
        <v>0.72633058247850046</v>
      </c>
      <c r="N228" s="39">
        <v>0.74729465180517129</v>
      </c>
    </row>
    <row r="229" spans="1:14" ht="12.75" customHeight="1" x14ac:dyDescent="0.2">
      <c r="A229" s="38" t="s">
        <v>243</v>
      </c>
      <c r="B229" s="40">
        <v>0.55787124993723636</v>
      </c>
      <c r="C229" s="39">
        <v>0.60641471007161918</v>
      </c>
      <c r="D229" s="39">
        <v>0.59696018498372083</v>
      </c>
      <c r="E229" s="39">
        <v>0.62947826512090421</v>
      </c>
      <c r="F229" s="39">
        <v>0.64573395303357095</v>
      </c>
      <c r="G229" s="39">
        <v>0.63557157909797468</v>
      </c>
      <c r="H229" s="39">
        <v>0.64603697863457743</v>
      </c>
      <c r="I229" s="39">
        <v>0.67006994296910172</v>
      </c>
      <c r="J229" s="39">
        <v>0.6744903843503921</v>
      </c>
      <c r="K229" s="39">
        <v>0.67644714809767192</v>
      </c>
      <c r="L229" s="45">
        <v>0.70018402617359132</v>
      </c>
      <c r="M229" s="39">
        <v>0.70157007944245342</v>
      </c>
      <c r="N229" s="39">
        <v>0.71164101102338295</v>
      </c>
    </row>
    <row r="230" spans="1:14" ht="12.75" customHeight="1" x14ac:dyDescent="0.2">
      <c r="A230" s="38" t="s">
        <v>400</v>
      </c>
      <c r="B230" s="40">
        <v>0.44118747192179858</v>
      </c>
      <c r="C230" s="39">
        <v>0.45054648998635677</v>
      </c>
      <c r="D230" s="39">
        <v>0.48944507446807234</v>
      </c>
      <c r="E230" s="39">
        <v>0.51990162268797602</v>
      </c>
      <c r="F230" s="39">
        <v>0.52188134888528059</v>
      </c>
      <c r="G230" s="39">
        <v>0.52011239744560889</v>
      </c>
      <c r="H230" s="39">
        <v>0.54435343296641647</v>
      </c>
      <c r="I230" s="39">
        <v>0.55673281137092456</v>
      </c>
      <c r="J230" s="39">
        <v>0.57632910513437097</v>
      </c>
      <c r="K230" s="39">
        <v>0.59002135898811481</v>
      </c>
      <c r="L230" s="45">
        <v>0.59451040447057035</v>
      </c>
      <c r="M230" s="39">
        <v>0.61105110861962675</v>
      </c>
      <c r="N230" s="39">
        <v>0.60184614185115304</v>
      </c>
    </row>
    <row r="231" spans="1:14" ht="12.75" customHeight="1" x14ac:dyDescent="0.2">
      <c r="A231" s="38" t="s">
        <v>479</v>
      </c>
      <c r="B231" s="40">
        <v>0.59796720697625505</v>
      </c>
      <c r="C231" s="39">
        <v>0.60314868835593949</v>
      </c>
      <c r="D231" s="39">
        <v>0.58933960897690318</v>
      </c>
      <c r="E231" s="39">
        <v>0.6256360070832</v>
      </c>
      <c r="F231" s="39">
        <v>0.63391120672477064</v>
      </c>
      <c r="G231" s="39">
        <v>0.64869909819883931</v>
      </c>
      <c r="H231" s="39">
        <v>0.68628550709416791</v>
      </c>
      <c r="I231" s="39">
        <v>0.68372522879149311</v>
      </c>
      <c r="J231" s="39">
        <v>0.69655459079309656</v>
      </c>
      <c r="K231" s="39">
        <v>0.70112383873948358</v>
      </c>
      <c r="L231" s="45">
        <v>0.71482849076625843</v>
      </c>
      <c r="M231" s="39">
        <v>0.73554961272759867</v>
      </c>
      <c r="N231" s="39">
        <v>0.762649523415042</v>
      </c>
    </row>
    <row r="232" spans="1:14" ht="12.75" customHeight="1" x14ac:dyDescent="0.2">
      <c r="A232" s="38" t="s">
        <v>95</v>
      </c>
      <c r="B232" s="40">
        <v>0.62385056402892924</v>
      </c>
      <c r="C232" s="39">
        <v>0.64829797465036487</v>
      </c>
      <c r="D232" s="39">
        <v>0.5926152626047555</v>
      </c>
      <c r="E232" s="39">
        <v>0.58517710426139991</v>
      </c>
      <c r="F232" s="39">
        <v>0.60311958603964122</v>
      </c>
      <c r="G232" s="39">
        <v>0.55073539753202383</v>
      </c>
      <c r="H232" s="39">
        <v>0.59370613889162549</v>
      </c>
      <c r="I232" s="39">
        <v>0.65112691935372091</v>
      </c>
      <c r="J232" s="39">
        <v>0.65932983135589407</v>
      </c>
      <c r="K232" s="39">
        <v>0.69441508955120046</v>
      </c>
      <c r="L232" s="45">
        <v>0.71284494367211426</v>
      </c>
      <c r="M232" s="39">
        <v>0.70963868152237797</v>
      </c>
      <c r="N232" s="39">
        <v>0.71644038305974567</v>
      </c>
    </row>
    <row r="233" spans="1:14" ht="12.75" customHeight="1" x14ac:dyDescent="0.2">
      <c r="A233" s="38" t="s">
        <v>265</v>
      </c>
      <c r="B233" s="40">
        <v>0.63808191401331926</v>
      </c>
      <c r="C233" s="39">
        <v>0.63437948788742637</v>
      </c>
      <c r="D233" s="39">
        <v>0.65341692590389777</v>
      </c>
      <c r="E233" s="39">
        <v>0.62081436005298818</v>
      </c>
      <c r="F233" s="39">
        <v>0.6192907175179384</v>
      </c>
      <c r="G233" s="39">
        <v>0.60434347363645258</v>
      </c>
      <c r="H233" s="39">
        <v>0.69748291994371747</v>
      </c>
      <c r="I233" s="39">
        <v>0.72750459764209852</v>
      </c>
      <c r="J233" s="39">
        <v>0.74658680398160338</v>
      </c>
      <c r="K233" s="39">
        <v>0.79658054929723232</v>
      </c>
      <c r="L233" s="45">
        <v>0.79950413500983197</v>
      </c>
      <c r="M233" s="39">
        <v>0.75177780268062122</v>
      </c>
      <c r="N233" s="39">
        <v>0.79873088361206557</v>
      </c>
    </row>
    <row r="234" spans="1:14" ht="12.75" customHeight="1" x14ac:dyDescent="0.2">
      <c r="A234" s="38" t="s">
        <v>120</v>
      </c>
      <c r="B234" s="40">
        <v>0.73167704545879142</v>
      </c>
      <c r="C234" s="39">
        <v>0.68173251733349216</v>
      </c>
      <c r="D234" s="39">
        <v>0.64906315346473364</v>
      </c>
      <c r="E234" s="39">
        <v>0.66839172111115008</v>
      </c>
      <c r="F234" s="39">
        <v>0.61563476200707978</v>
      </c>
      <c r="G234" s="39">
        <v>0.70639511002622146</v>
      </c>
      <c r="H234" s="39">
        <v>0.67430973647276993</v>
      </c>
      <c r="I234" s="39">
        <v>0.80394726067308631</v>
      </c>
      <c r="J234" s="39">
        <v>0.70305227734336306</v>
      </c>
      <c r="K234" s="39">
        <v>0.71573894051884557</v>
      </c>
      <c r="L234" s="45">
        <v>0.72764277747600647</v>
      </c>
      <c r="M234" s="39">
        <v>0.67328994787802454</v>
      </c>
      <c r="N234" s="39">
        <v>0.69448898744535292</v>
      </c>
    </row>
    <row r="235" spans="1:14" ht="12.75" customHeight="1" x14ac:dyDescent="0.2">
      <c r="A235" s="38" t="s">
        <v>336</v>
      </c>
      <c r="B235" s="40">
        <v>0.67127853863102882</v>
      </c>
      <c r="C235" s="39">
        <v>0.66744791424965089</v>
      </c>
      <c r="D235" s="39">
        <v>0.68010514866261851</v>
      </c>
      <c r="E235" s="39">
        <v>0.71801653240473051</v>
      </c>
      <c r="F235" s="39">
        <v>0.70030857609014152</v>
      </c>
      <c r="G235" s="39">
        <v>0.72366738017571308</v>
      </c>
      <c r="H235" s="39">
        <v>0.72354996413807893</v>
      </c>
      <c r="I235" s="39">
        <v>0.76916004146069206</v>
      </c>
      <c r="J235" s="39">
        <v>0.76871591359221514</v>
      </c>
      <c r="K235" s="39">
        <v>0.79488949549424726</v>
      </c>
      <c r="L235" s="45">
        <v>0.7822834575935147</v>
      </c>
      <c r="M235" s="39">
        <v>0.79236370251861521</v>
      </c>
      <c r="N235" s="39">
        <v>0.7914940325789912</v>
      </c>
    </row>
    <row r="236" spans="1:14" ht="12.75" customHeight="1" x14ac:dyDescent="0.2">
      <c r="A236" s="38" t="s">
        <v>257</v>
      </c>
      <c r="B236" s="40">
        <v>0.56153644740202435</v>
      </c>
      <c r="C236" s="39">
        <v>0.54274478815656846</v>
      </c>
      <c r="D236" s="39">
        <v>0.55783435238563139</v>
      </c>
      <c r="E236" s="39">
        <v>0.62344146830488334</v>
      </c>
      <c r="F236" s="39">
        <v>0.67852961055425898</v>
      </c>
      <c r="G236" s="39">
        <v>0.64998085286042873</v>
      </c>
      <c r="H236" s="39">
        <v>0.66459919811837997</v>
      </c>
      <c r="I236" s="39">
        <v>0.68024781222172326</v>
      </c>
      <c r="J236" s="39">
        <v>0.70075686152111449</v>
      </c>
      <c r="K236" s="39">
        <v>0.73531574768925945</v>
      </c>
      <c r="L236" s="45">
        <v>0.73777097180179119</v>
      </c>
      <c r="M236" s="39">
        <v>0.73764199033931088</v>
      </c>
      <c r="N236" s="39">
        <v>0.71958930551977207</v>
      </c>
    </row>
    <row r="237" spans="1:14" ht="12.75" customHeight="1" x14ac:dyDescent="0.2">
      <c r="A237" s="38" t="s">
        <v>216</v>
      </c>
      <c r="B237" s="40">
        <v>0.65257934408524532</v>
      </c>
      <c r="C237" s="39">
        <v>0.6734015303955454</v>
      </c>
      <c r="D237" s="39">
        <v>0.66350596188125821</v>
      </c>
      <c r="E237" s="39">
        <v>0.67396494866726508</v>
      </c>
      <c r="F237" s="39">
        <v>0.66010584717942911</v>
      </c>
      <c r="G237" s="39">
        <v>0.67412915017931507</v>
      </c>
      <c r="H237" s="39">
        <v>0.67544720602923836</v>
      </c>
      <c r="I237" s="39">
        <v>0.72684079900622256</v>
      </c>
      <c r="J237" s="39">
        <v>0.72516923828316937</v>
      </c>
      <c r="K237" s="39">
        <v>0.75077733788182133</v>
      </c>
      <c r="L237" s="45">
        <v>0.76185137778886836</v>
      </c>
      <c r="M237" s="39">
        <v>0.75893922577694495</v>
      </c>
      <c r="N237" s="39">
        <v>0.77922251501033102</v>
      </c>
    </row>
    <row r="238" spans="1:14" ht="12.75" customHeight="1" x14ac:dyDescent="0.2">
      <c r="A238" s="38" t="s">
        <v>359</v>
      </c>
      <c r="B238" s="40">
        <v>0.58960859356213569</v>
      </c>
      <c r="C238" s="39">
        <v>0.65627530989395211</v>
      </c>
      <c r="D238" s="39">
        <v>0.56978427055609315</v>
      </c>
      <c r="E238" s="39">
        <v>0.58224903639663694</v>
      </c>
      <c r="F238" s="39">
        <v>0.59000473424511868</v>
      </c>
      <c r="G238" s="39">
        <v>0.63315610764920971</v>
      </c>
      <c r="H238" s="39">
        <v>0.63523398599304015</v>
      </c>
      <c r="I238" s="39">
        <v>0.66441678750727784</v>
      </c>
      <c r="J238" s="39">
        <v>0.63617457784855025</v>
      </c>
      <c r="K238" s="39">
        <v>0.64950483637500034</v>
      </c>
      <c r="L238" s="45">
        <v>0.67649340044584916</v>
      </c>
      <c r="M238" s="39">
        <v>0.69670389799744437</v>
      </c>
      <c r="N238" s="39">
        <v>0.73457731888697475</v>
      </c>
    </row>
    <row r="239" spans="1:14" ht="12.75" customHeight="1" x14ac:dyDescent="0.2">
      <c r="A239" s="38" t="s">
        <v>121</v>
      </c>
      <c r="B239" s="40">
        <v>0.50775879837643567</v>
      </c>
      <c r="C239" s="39">
        <v>0.55992592811258957</v>
      </c>
      <c r="D239" s="39">
        <v>0.51678778418505433</v>
      </c>
      <c r="E239" s="39">
        <v>0.55092585884908385</v>
      </c>
      <c r="F239" s="39">
        <v>0.60118830293048064</v>
      </c>
      <c r="G239" s="39">
        <v>0.66666845338757053</v>
      </c>
      <c r="H239" s="39">
        <v>0.68205551969846923</v>
      </c>
      <c r="I239" s="39">
        <v>0.77484139616833758</v>
      </c>
      <c r="J239" s="39">
        <v>0.65748290309831037</v>
      </c>
      <c r="K239" s="39">
        <v>0.71730778743886281</v>
      </c>
      <c r="L239" s="45">
        <v>0.75029474339458957</v>
      </c>
      <c r="M239" s="39">
        <v>0.74012257916593527</v>
      </c>
      <c r="N239" s="39">
        <v>0.71708984081295968</v>
      </c>
    </row>
    <row r="240" spans="1:14" ht="12.75" customHeight="1" x14ac:dyDescent="0.2">
      <c r="A240" s="38" t="s">
        <v>83</v>
      </c>
      <c r="B240" s="40">
        <v>0.38928987056881859</v>
      </c>
      <c r="C240" s="39">
        <v>0.41083649115426546</v>
      </c>
      <c r="D240" s="39">
        <v>0.35651284450010218</v>
      </c>
      <c r="E240" s="39">
        <v>0.46017677677562502</v>
      </c>
      <c r="F240" s="39">
        <v>0.48874865976843535</v>
      </c>
      <c r="G240" s="39">
        <v>0.52710922936406135</v>
      </c>
      <c r="H240" s="39">
        <v>0.49694111122155943</v>
      </c>
      <c r="I240" s="39">
        <v>0.53958742542715876</v>
      </c>
      <c r="J240" s="39">
        <v>0.50050483052369799</v>
      </c>
      <c r="K240" s="39">
        <v>0.58436903043738919</v>
      </c>
      <c r="L240" s="45">
        <v>0.58956155339698246</v>
      </c>
      <c r="M240" s="39">
        <v>0.59823603021097271</v>
      </c>
      <c r="N240" s="39">
        <v>0.62501000696995146</v>
      </c>
    </row>
    <row r="241" spans="1:14" ht="12.75" customHeight="1" x14ac:dyDescent="0.2">
      <c r="A241" s="38" t="s">
        <v>290</v>
      </c>
      <c r="B241" s="40">
        <v>0.62981452045690667</v>
      </c>
      <c r="C241" s="39">
        <v>0.64306238464582288</v>
      </c>
      <c r="D241" s="39">
        <v>0.66169349080313022</v>
      </c>
      <c r="E241" s="39">
        <v>0.67222014614020409</v>
      </c>
      <c r="F241" s="39">
        <v>0.69517164742206328</v>
      </c>
      <c r="G241" s="39">
        <v>0.68778957274423969</v>
      </c>
      <c r="H241" s="39">
        <v>0.69598864963951534</v>
      </c>
      <c r="I241" s="39">
        <v>0.70005272920101547</v>
      </c>
      <c r="J241" s="39">
        <v>0.75296715613109066</v>
      </c>
      <c r="K241" s="39">
        <v>0.74530276100983439</v>
      </c>
      <c r="L241" s="45">
        <v>0.77866006568172408</v>
      </c>
      <c r="M241" s="39">
        <v>0.78636539413467332</v>
      </c>
      <c r="N241" s="39">
        <v>0.8179941361319315</v>
      </c>
    </row>
    <row r="242" spans="1:14" ht="12.75" customHeight="1" x14ac:dyDescent="0.2">
      <c r="A242" s="38" t="s">
        <v>266</v>
      </c>
      <c r="B242" s="40">
        <v>0.67226534534693938</v>
      </c>
      <c r="C242" s="39">
        <v>0.63564371149125531</v>
      </c>
      <c r="D242" s="39">
        <v>0.63632829427102811</v>
      </c>
      <c r="E242" s="39">
        <v>0.60302902257055846</v>
      </c>
      <c r="F242" s="39">
        <v>0.65277530217525948</v>
      </c>
      <c r="G242" s="39">
        <v>0.64796430455354759</v>
      </c>
      <c r="H242" s="39">
        <v>0.6596761184486859</v>
      </c>
      <c r="I242" s="39">
        <v>0.71492151049491992</v>
      </c>
      <c r="J242" s="39">
        <v>0.70205537170933396</v>
      </c>
      <c r="K242" s="39">
        <v>0.7387511419125018</v>
      </c>
      <c r="L242" s="45">
        <v>0.71902914689911002</v>
      </c>
      <c r="M242" s="39">
        <v>0.74199911469994706</v>
      </c>
      <c r="N242" s="39">
        <v>0.77135593764081589</v>
      </c>
    </row>
    <row r="243" spans="1:14" ht="12.75" customHeight="1" x14ac:dyDescent="0.2">
      <c r="A243" s="38" t="s">
        <v>369</v>
      </c>
      <c r="B243" s="40">
        <v>0.6252685910343635</v>
      </c>
      <c r="C243" s="39">
        <v>0.66873792660721432</v>
      </c>
      <c r="D243" s="39">
        <v>0.66969445175432185</v>
      </c>
      <c r="E243" s="39">
        <v>0.6676662349337521</v>
      </c>
      <c r="F243" s="39">
        <v>0.65177203977211373</v>
      </c>
      <c r="G243" s="39">
        <v>0.65032552820353307</v>
      </c>
      <c r="H243" s="39">
        <v>0.68927284316967585</v>
      </c>
      <c r="I243" s="39">
        <v>0.71462632301307139</v>
      </c>
      <c r="J243" s="39">
        <v>0.70137999233631321</v>
      </c>
      <c r="K243" s="39">
        <v>0.71719588114942689</v>
      </c>
      <c r="L243" s="45">
        <v>0.71808863465151551</v>
      </c>
      <c r="M243" s="39">
        <v>0.72803001337214912</v>
      </c>
      <c r="N243" s="39">
        <v>0.71502457733188596</v>
      </c>
    </row>
    <row r="244" spans="1:14" ht="12.75" customHeight="1" x14ac:dyDescent="0.2">
      <c r="A244" s="38" t="s">
        <v>122</v>
      </c>
      <c r="B244" s="40">
        <v>0.43131764389904736</v>
      </c>
      <c r="C244" s="39">
        <v>0.5084896527918058</v>
      </c>
      <c r="D244" s="39">
        <v>0.50229066922156951</v>
      </c>
      <c r="E244" s="39">
        <v>0.50999179077933932</v>
      </c>
      <c r="F244" s="39">
        <v>0.52034534051242365</v>
      </c>
      <c r="G244" s="39">
        <v>0.557623683727685</v>
      </c>
      <c r="H244" s="39">
        <v>0.59802375066791058</v>
      </c>
      <c r="I244" s="39">
        <v>0.65979308394175973</v>
      </c>
      <c r="J244" s="39">
        <v>0.6778146210665561</v>
      </c>
      <c r="K244" s="39">
        <v>0.68283493966244391</v>
      </c>
      <c r="L244" s="45">
        <v>0.65813378503796527</v>
      </c>
      <c r="M244" s="39">
        <v>0.68162534313898127</v>
      </c>
      <c r="N244" s="39">
        <v>0.68991083436035072</v>
      </c>
    </row>
    <row r="245" spans="1:14" ht="12.75" customHeight="1" x14ac:dyDescent="0.2">
      <c r="A245" s="38" t="s">
        <v>325</v>
      </c>
      <c r="B245" s="40">
        <v>0.7267692969615599</v>
      </c>
      <c r="C245" s="39">
        <v>0.72267859015160829</v>
      </c>
      <c r="D245" s="39">
        <v>0.72120032166955739</v>
      </c>
      <c r="E245" s="39">
        <v>0.7229601481747826</v>
      </c>
      <c r="F245" s="39">
        <v>0.69723421139393249</v>
      </c>
      <c r="G245" s="39">
        <v>0.72803786026838713</v>
      </c>
      <c r="H245" s="39">
        <v>0.75012245368880726</v>
      </c>
      <c r="I245" s="39">
        <v>0.77736523855038742</v>
      </c>
      <c r="J245" s="39">
        <v>0.75671008456819211</v>
      </c>
      <c r="K245" s="39">
        <v>0.72951498615107246</v>
      </c>
      <c r="L245" s="45">
        <v>0.74316594625527965</v>
      </c>
      <c r="M245" s="39">
        <v>0.76983645087120112</v>
      </c>
      <c r="N245" s="39">
        <v>0.79721386271654959</v>
      </c>
    </row>
    <row r="246" spans="1:14" ht="12.75" customHeight="1" x14ac:dyDescent="0.2">
      <c r="A246" s="38" t="s">
        <v>76</v>
      </c>
      <c r="B246" s="40">
        <v>0.59002679127189794</v>
      </c>
      <c r="C246" s="39">
        <v>0.56027625143831139</v>
      </c>
      <c r="D246" s="39">
        <v>0.52852191315878849</v>
      </c>
      <c r="E246" s="39">
        <v>0.56667508156800939</v>
      </c>
      <c r="F246" s="39">
        <v>0.60519131486799016</v>
      </c>
      <c r="G246" s="39">
        <v>0.63624538652133367</v>
      </c>
      <c r="H246" s="39">
        <v>0.65294365864409787</v>
      </c>
      <c r="I246" s="39">
        <v>0.65648731668364879</v>
      </c>
      <c r="J246" s="39">
        <v>0.64565982416898537</v>
      </c>
      <c r="K246" s="39">
        <v>0.6622365133425715</v>
      </c>
      <c r="L246" s="45">
        <v>0.66944626032185139</v>
      </c>
      <c r="M246" s="39">
        <v>0.6776273193527057</v>
      </c>
      <c r="N246" s="39">
        <v>0.70321589487352076</v>
      </c>
    </row>
    <row r="247" spans="1:14" ht="12.75" customHeight="1" x14ac:dyDescent="0.2">
      <c r="A247" s="38" t="s">
        <v>162</v>
      </c>
      <c r="B247" s="40">
        <v>0.6936136377224934</v>
      </c>
      <c r="C247" s="39">
        <v>0.70101620826726307</v>
      </c>
      <c r="D247" s="39">
        <v>0.68890407890427896</v>
      </c>
      <c r="E247" s="39">
        <v>0.71618765718233457</v>
      </c>
      <c r="F247" s="39">
        <v>0.74518885368833121</v>
      </c>
      <c r="G247" s="39">
        <v>0.75500181993429261</v>
      </c>
      <c r="H247" s="39">
        <v>0.7549454939121697</v>
      </c>
      <c r="I247" s="39">
        <v>0.75702341975114651</v>
      </c>
      <c r="J247" s="39">
        <v>0.76281330710957296</v>
      </c>
      <c r="K247" s="39">
        <v>0.79034490200845464</v>
      </c>
      <c r="L247" s="45">
        <v>0.73828290374387695</v>
      </c>
      <c r="M247" s="39">
        <v>0.71469750381831199</v>
      </c>
      <c r="N247" s="39">
        <v>0.65798958713632638</v>
      </c>
    </row>
    <row r="248" spans="1:14" ht="12.75" customHeight="1" x14ac:dyDescent="0.2">
      <c r="A248" s="38" t="s">
        <v>182</v>
      </c>
      <c r="B248" s="40">
        <v>0.44308055053193557</v>
      </c>
      <c r="C248" s="39">
        <v>0.48467872598725653</v>
      </c>
      <c r="D248" s="39">
        <v>0.5014735692482214</v>
      </c>
      <c r="E248" s="39">
        <v>0.56670643955384525</v>
      </c>
      <c r="F248" s="39">
        <v>0.62392116411241572</v>
      </c>
      <c r="G248" s="39">
        <v>0.70139471371221196</v>
      </c>
      <c r="H248" s="39">
        <v>0.55976218515074982</v>
      </c>
      <c r="I248" s="39">
        <v>0.61534101527768847</v>
      </c>
      <c r="J248" s="39">
        <v>0.61888225312147715</v>
      </c>
      <c r="K248" s="39">
        <v>0.75936727624753253</v>
      </c>
      <c r="L248" s="45">
        <v>0.79259841015424259</v>
      </c>
      <c r="M248" s="39">
        <v>0.75148797177001081</v>
      </c>
      <c r="N248" s="39">
        <v>0.77933044929580308</v>
      </c>
    </row>
    <row r="249" spans="1:14" ht="12.75" customHeight="1" x14ac:dyDescent="0.2">
      <c r="A249" s="38" t="s">
        <v>217</v>
      </c>
      <c r="B249" s="40">
        <v>0.67444012082431415</v>
      </c>
      <c r="C249" s="39">
        <v>0.68366226326942137</v>
      </c>
      <c r="D249" s="39">
        <v>0.65287636538194327</v>
      </c>
      <c r="E249" s="39">
        <v>0.64531101852005246</v>
      </c>
      <c r="F249" s="39">
        <v>0.66206490895400594</v>
      </c>
      <c r="G249" s="39">
        <v>0.67215440046081898</v>
      </c>
      <c r="H249" s="39">
        <v>0.67683874406667854</v>
      </c>
      <c r="I249" s="39">
        <v>0.72718722035395944</v>
      </c>
      <c r="J249" s="39">
        <v>0.73600743517021583</v>
      </c>
      <c r="K249" s="39">
        <v>0.74107085415482221</v>
      </c>
      <c r="L249" s="45">
        <v>0.74024215812601513</v>
      </c>
      <c r="M249" s="39">
        <v>0.77853929071100414</v>
      </c>
      <c r="N249" s="39">
        <v>0.77148470643935729</v>
      </c>
    </row>
    <row r="250" spans="1:14" ht="12.75" customHeight="1" x14ac:dyDescent="0.2">
      <c r="A250" s="38" t="s">
        <v>312</v>
      </c>
      <c r="B250" s="40">
        <v>0.58860504782561318</v>
      </c>
      <c r="C250" s="39">
        <v>0.63372691120635283</v>
      </c>
      <c r="D250" s="39">
        <v>0.63147460200375871</v>
      </c>
      <c r="E250" s="39">
        <v>0.61272236074422259</v>
      </c>
      <c r="F250" s="39">
        <v>0.62659132347217728</v>
      </c>
      <c r="G250" s="39">
        <v>0.60892383483561952</v>
      </c>
      <c r="H250" s="39">
        <v>0.6529439678983181</v>
      </c>
      <c r="I250" s="39">
        <v>0.70290624754973041</v>
      </c>
      <c r="J250" s="39">
        <v>0.73586220400096936</v>
      </c>
      <c r="K250" s="39">
        <v>0.73080686124705851</v>
      </c>
      <c r="L250" s="45">
        <v>0.73857572661081816</v>
      </c>
      <c r="M250" s="39">
        <v>0.75400282469794766</v>
      </c>
      <c r="N250" s="39">
        <v>0.73935085496977304</v>
      </c>
    </row>
    <row r="251" spans="1:14" ht="12.75" customHeight="1" x14ac:dyDescent="0.2">
      <c r="A251" s="38" t="s">
        <v>7078</v>
      </c>
      <c r="B251" s="40">
        <v>0.59604220173300548</v>
      </c>
      <c r="C251" s="39">
        <v>0.59115144516440921</v>
      </c>
      <c r="D251" s="39">
        <v>0.5905674495744152</v>
      </c>
      <c r="E251" s="39">
        <v>0.61245766389808998</v>
      </c>
      <c r="F251" s="39">
        <v>0.64163473434525187</v>
      </c>
      <c r="G251" s="39">
        <v>0.65673474859977754</v>
      </c>
      <c r="H251" s="39">
        <v>0.67867554111290518</v>
      </c>
      <c r="I251" s="39">
        <v>0.6830488023434732</v>
      </c>
      <c r="J251" s="39">
        <v>0.68644849783660222</v>
      </c>
      <c r="K251" s="39">
        <v>0.70323601225713572</v>
      </c>
      <c r="L251" s="45">
        <v>0.70849921187957365</v>
      </c>
      <c r="M251" s="39">
        <v>0.71853262613863256</v>
      </c>
      <c r="N251" s="39">
        <v>0.72775616173075386</v>
      </c>
    </row>
    <row r="252" spans="1:14" ht="12.75" customHeight="1" x14ac:dyDescent="0.2">
      <c r="A252" s="38" t="s">
        <v>389</v>
      </c>
      <c r="B252" s="40">
        <v>0.47981951138814677</v>
      </c>
      <c r="C252" s="39">
        <v>0.54300522888735669</v>
      </c>
      <c r="D252" s="39">
        <v>0.52771747063394103</v>
      </c>
      <c r="E252" s="39">
        <v>0.53687931221860707</v>
      </c>
      <c r="F252" s="39">
        <v>0.54842587357820438</v>
      </c>
      <c r="G252" s="39">
        <v>0.52021351583907405</v>
      </c>
      <c r="H252" s="39">
        <v>0.57159986653317785</v>
      </c>
      <c r="I252" s="39">
        <v>0.60590080039195326</v>
      </c>
      <c r="J252" s="39">
        <v>0.62482688857519209</v>
      </c>
      <c r="K252" s="39">
        <v>0.67203814295014885</v>
      </c>
      <c r="L252" s="45">
        <v>0.65828996833179654</v>
      </c>
      <c r="M252" s="39">
        <v>0.6800899343888287</v>
      </c>
      <c r="N252" s="39">
        <v>0.69221343676488123</v>
      </c>
    </row>
    <row r="253" spans="1:14" ht="12.75" customHeight="1" x14ac:dyDescent="0.2">
      <c r="A253" s="38" t="s">
        <v>23</v>
      </c>
      <c r="B253" s="40">
        <v>0.58698584508481233</v>
      </c>
      <c r="C253" s="39">
        <v>0.60797362337966743</v>
      </c>
      <c r="D253" s="39">
        <v>0.6200736562571677</v>
      </c>
      <c r="E253" s="39">
        <v>0.63296062744365378</v>
      </c>
      <c r="F253" s="39">
        <v>0.64100715800633057</v>
      </c>
      <c r="G253" s="39">
        <v>0.65584863388512638</v>
      </c>
      <c r="H253" s="39">
        <v>0.68268189616764852</v>
      </c>
      <c r="I253" s="39">
        <v>0.72602330402809956</v>
      </c>
      <c r="J253" s="39">
        <v>0.732344910075588</v>
      </c>
      <c r="K253" s="39">
        <v>0.74874514504026068</v>
      </c>
      <c r="L253" s="45">
        <v>0.73946644331583455</v>
      </c>
      <c r="M253" s="39">
        <v>0.75705480976611794</v>
      </c>
      <c r="N253" s="39">
        <v>0.78253149081331064</v>
      </c>
    </row>
    <row r="254" spans="1:14" ht="12.75" customHeight="1" x14ac:dyDescent="0.2">
      <c r="A254" s="38" t="s">
        <v>77</v>
      </c>
      <c r="B254" s="40">
        <v>0.47861291159813613</v>
      </c>
      <c r="C254" s="39">
        <v>0.55409435858305478</v>
      </c>
      <c r="D254" s="39">
        <v>0.5092023558119646</v>
      </c>
      <c r="E254" s="39">
        <v>0.55141428095610934</v>
      </c>
      <c r="F254" s="39">
        <v>0.56849853523189398</v>
      </c>
      <c r="G254" s="39">
        <v>0.58478899025649467</v>
      </c>
      <c r="H254" s="39">
        <v>0.61151184253207103</v>
      </c>
      <c r="I254" s="39">
        <v>0.63542714494679642</v>
      </c>
      <c r="J254" s="39">
        <v>0.65228429917978836</v>
      </c>
      <c r="K254" s="39">
        <v>0.67586641965929084</v>
      </c>
      <c r="L254" s="45">
        <v>0.68756754109673313</v>
      </c>
      <c r="M254" s="39">
        <v>0.68246978393255742</v>
      </c>
      <c r="N254" s="39">
        <v>0.73323891752762005</v>
      </c>
    </row>
    <row r="255" spans="1:14" ht="12.75" customHeight="1" x14ac:dyDescent="0.2">
      <c r="A255" s="38" t="s">
        <v>326</v>
      </c>
      <c r="B255" s="40">
        <v>0.73976718211441705</v>
      </c>
      <c r="C255" s="39">
        <v>0.76644375638688089</v>
      </c>
      <c r="D255" s="39">
        <v>0.75228078567190881</v>
      </c>
      <c r="E255" s="39">
        <v>0.78414719240036124</v>
      </c>
      <c r="F255" s="39">
        <v>0.79770246232010589</v>
      </c>
      <c r="G255" s="39">
        <v>0.81023716298801907</v>
      </c>
      <c r="H255" s="39">
        <v>0.81977958570451837</v>
      </c>
      <c r="I255" s="39">
        <v>0.83005381531229039</v>
      </c>
      <c r="J255" s="39">
        <v>0.85366234767077109</v>
      </c>
      <c r="K255" s="39">
        <v>0.83903831812473728</v>
      </c>
      <c r="L255" s="45">
        <v>0.85211193553644005</v>
      </c>
      <c r="M255" s="39">
        <v>0.85959981558106147</v>
      </c>
      <c r="N255" s="39">
        <v>0.86956527090519942</v>
      </c>
    </row>
    <row r="256" spans="1:14" ht="12.75" customHeight="1" x14ac:dyDescent="0.2">
      <c r="A256" s="38" t="s">
        <v>267</v>
      </c>
      <c r="B256" s="40">
        <v>0.64079069546279011</v>
      </c>
      <c r="C256" s="39">
        <v>0.70944212898704428</v>
      </c>
      <c r="D256" s="39">
        <v>0.68323962648757064</v>
      </c>
      <c r="E256" s="39">
        <v>0.69164230947531935</v>
      </c>
      <c r="F256" s="39">
        <v>0.68706627695580025</v>
      </c>
      <c r="G256" s="39">
        <v>0.71133419408116449</v>
      </c>
      <c r="H256" s="39">
        <v>0.71453835936696175</v>
      </c>
      <c r="I256" s="39">
        <v>0.7393125082523021</v>
      </c>
      <c r="J256" s="39">
        <v>0.77906987702783426</v>
      </c>
      <c r="K256" s="39">
        <v>0.78041843063131189</v>
      </c>
      <c r="L256" s="45">
        <v>0.75093307483939542</v>
      </c>
      <c r="M256" s="39">
        <v>0.78720651028129607</v>
      </c>
      <c r="N256" s="39">
        <v>0.800945968011335</v>
      </c>
    </row>
    <row r="257" spans="1:14" ht="12.75" customHeight="1" x14ac:dyDescent="0.2">
      <c r="A257" s="38" t="s">
        <v>230</v>
      </c>
      <c r="B257" s="40">
        <v>0.68567928097264053</v>
      </c>
      <c r="C257" s="39">
        <v>0.69436089629264475</v>
      </c>
      <c r="D257" s="39">
        <v>0.69170519702301003</v>
      </c>
      <c r="E257" s="39">
        <v>0.69387247643064465</v>
      </c>
      <c r="F257" s="39">
        <v>0.6506350317044175</v>
      </c>
      <c r="G257" s="39">
        <v>0.63032659596366425</v>
      </c>
      <c r="H257" s="39">
        <v>0.63435759772075473</v>
      </c>
      <c r="I257" s="39">
        <v>0.64887110892679722</v>
      </c>
      <c r="J257" s="39">
        <v>0.65990827637012683</v>
      </c>
      <c r="K257" s="39">
        <v>0.68572082533647427</v>
      </c>
      <c r="L257" s="45">
        <v>0.6874259173650562</v>
      </c>
      <c r="M257" s="39">
        <v>0.69668729653715167</v>
      </c>
      <c r="N257" s="39">
        <v>0.75181705105081953</v>
      </c>
    </row>
    <row r="258" spans="1:14" ht="12.75" customHeight="1" x14ac:dyDescent="0.2">
      <c r="A258" s="38" t="s">
        <v>7077</v>
      </c>
      <c r="B258" s="40">
        <v>0.60709984170821973</v>
      </c>
      <c r="C258" s="39">
        <v>0.62419971420065634</v>
      </c>
      <c r="D258" s="39">
        <v>0.61158693773837902</v>
      </c>
      <c r="E258" s="39">
        <v>0.64065449149058307</v>
      </c>
      <c r="F258" s="39">
        <v>0.63323232162047061</v>
      </c>
      <c r="G258" s="39">
        <v>0.65521121741462907</v>
      </c>
      <c r="H258" s="39">
        <v>0.66431117772367765</v>
      </c>
      <c r="I258" s="39">
        <v>0.6780671270519264</v>
      </c>
      <c r="J258" s="39">
        <v>0.66824134578304406</v>
      </c>
      <c r="K258" s="39">
        <v>0.7123323606657469</v>
      </c>
      <c r="L258" s="45">
        <v>0.70629454441827788</v>
      </c>
      <c r="M258" s="39">
        <v>0.71773078315110828</v>
      </c>
      <c r="N258" s="39">
        <v>0.7389200689530484</v>
      </c>
    </row>
    <row r="259" spans="1:14" ht="12.75" customHeight="1" x14ac:dyDescent="0.2">
      <c r="A259" s="38" t="s">
        <v>231</v>
      </c>
      <c r="B259" s="40">
        <v>0.5571175585131084</v>
      </c>
      <c r="C259" s="39">
        <v>0.61873202329963217</v>
      </c>
      <c r="D259" s="39">
        <v>0.59250231065835834</v>
      </c>
      <c r="E259" s="39">
        <v>0.6318002409361686</v>
      </c>
      <c r="F259" s="39">
        <v>0.61567975146144827</v>
      </c>
      <c r="G259" s="39">
        <v>0.62364814713084449</v>
      </c>
      <c r="H259" s="39">
        <v>0.64492613499510332</v>
      </c>
      <c r="I259" s="39">
        <v>0.73910022642440854</v>
      </c>
      <c r="J259" s="39">
        <v>0.7487352422105551</v>
      </c>
      <c r="K259" s="39">
        <v>0.77472453877310432</v>
      </c>
      <c r="L259" s="45">
        <v>0.76801529955607706</v>
      </c>
      <c r="M259" s="39">
        <v>0.69697080359404007</v>
      </c>
      <c r="N259" s="39">
        <v>0.75778477099147123</v>
      </c>
    </row>
    <row r="260" spans="1:14" ht="12.75" customHeight="1" x14ac:dyDescent="0.2">
      <c r="A260" s="38" t="s">
        <v>232</v>
      </c>
      <c r="B260" s="40">
        <v>0.65162964732299244</v>
      </c>
      <c r="C260" s="39">
        <v>0.69214116088473021</v>
      </c>
      <c r="D260" s="39">
        <v>0.71793252504343708</v>
      </c>
      <c r="E260" s="39">
        <v>0.73504139310236993</v>
      </c>
      <c r="F260" s="39">
        <v>0.74620686509131529</v>
      </c>
      <c r="G260" s="39">
        <v>0.75240571687310054</v>
      </c>
      <c r="H260" s="39">
        <v>0.75709811713100716</v>
      </c>
      <c r="I260" s="39">
        <v>0.77517435252583411</v>
      </c>
      <c r="J260" s="39">
        <v>0.76819726355669038</v>
      </c>
      <c r="K260" s="39">
        <v>0.78761942505902072</v>
      </c>
      <c r="L260" s="45">
        <v>0.77601169468395159</v>
      </c>
      <c r="M260" s="39">
        <v>0.8165218381228474</v>
      </c>
      <c r="N260" s="39">
        <v>0.79767833220252948</v>
      </c>
    </row>
    <row r="261" spans="1:14" ht="12.75" customHeight="1" x14ac:dyDescent="0.2">
      <c r="A261" s="38" t="s">
        <v>313</v>
      </c>
      <c r="B261" s="40">
        <v>0.70640649303601055</v>
      </c>
      <c r="C261" s="39">
        <v>0.65770458831212142</v>
      </c>
      <c r="D261" s="39">
        <v>0.63239881708014556</v>
      </c>
      <c r="E261" s="39">
        <v>0.66388056337633761</v>
      </c>
      <c r="F261" s="39">
        <v>0.70218301414681594</v>
      </c>
      <c r="G261" s="39">
        <v>0.7227991374873689</v>
      </c>
      <c r="H261" s="39">
        <v>0.73324225836481383</v>
      </c>
      <c r="I261" s="39">
        <v>0.77551409588738629</v>
      </c>
      <c r="J261" s="39">
        <v>0.77821308157592617</v>
      </c>
      <c r="K261" s="39">
        <v>0.80133837274676811</v>
      </c>
      <c r="L261" s="45">
        <v>0.79756382343047483</v>
      </c>
      <c r="M261" s="39">
        <v>0.76517448987078518</v>
      </c>
      <c r="N261" s="39">
        <v>0.76899646626889118</v>
      </c>
    </row>
    <row r="262" spans="1:14" ht="12.75" customHeight="1" x14ac:dyDescent="0.2">
      <c r="A262" s="38" t="s">
        <v>379</v>
      </c>
      <c r="B262" s="40">
        <v>0.67616986450934069</v>
      </c>
      <c r="C262" s="39">
        <v>0.70526567546013175</v>
      </c>
      <c r="D262" s="39">
        <v>0.73629939787443976</v>
      </c>
      <c r="E262" s="39">
        <v>0.77290551834449139</v>
      </c>
      <c r="F262" s="39">
        <v>0.7907607552554633</v>
      </c>
      <c r="G262" s="39">
        <v>0.78516208962123957</v>
      </c>
      <c r="H262" s="39">
        <v>0.79900986462711765</v>
      </c>
      <c r="I262" s="39">
        <v>0.79682249520304682</v>
      </c>
      <c r="J262" s="39">
        <v>0.79466414520664852</v>
      </c>
      <c r="K262" s="39">
        <v>0.81808862505528401</v>
      </c>
      <c r="L262" s="45">
        <v>0.81877699522300562</v>
      </c>
      <c r="M262" s="39">
        <v>0.82922617595107917</v>
      </c>
      <c r="N262" s="39">
        <v>0.83029531835002202</v>
      </c>
    </row>
    <row r="263" spans="1:14" ht="12.75" customHeight="1" x14ac:dyDescent="0.2">
      <c r="A263" s="38" t="s">
        <v>30</v>
      </c>
      <c r="B263" s="40">
        <v>0.58452132194225226</v>
      </c>
      <c r="C263" s="39">
        <v>0.65647252837033443</v>
      </c>
      <c r="D263" s="39">
        <v>0.68307136821821768</v>
      </c>
      <c r="E263" s="39">
        <v>0.7302906103948742</v>
      </c>
      <c r="F263" s="39">
        <v>0.73827131672422341</v>
      </c>
      <c r="G263" s="39">
        <v>0.74819334120784742</v>
      </c>
      <c r="H263" s="39">
        <v>0.74730556392829328</v>
      </c>
      <c r="I263" s="39">
        <v>0.77556887748913006</v>
      </c>
      <c r="J263" s="39">
        <v>0.74121802010195248</v>
      </c>
      <c r="K263" s="39">
        <v>0.7485591056123716</v>
      </c>
      <c r="L263" s="45">
        <v>0.73840358654373262</v>
      </c>
      <c r="M263" s="39">
        <v>0.73959941006845842</v>
      </c>
      <c r="N263" s="39">
        <v>0.73475371850736304</v>
      </c>
    </row>
    <row r="264" spans="1:14" ht="12.75" customHeight="1" x14ac:dyDescent="0.2">
      <c r="A264" s="38" t="s">
        <v>393</v>
      </c>
      <c r="B264" s="40">
        <v>0.6216033121475717</v>
      </c>
      <c r="C264" s="39">
        <v>0.66644312635341052</v>
      </c>
      <c r="D264" s="39">
        <v>0.62153484332335551</v>
      </c>
      <c r="E264" s="39">
        <v>0.63505328944583705</v>
      </c>
      <c r="F264" s="39">
        <v>0.59928890330546947</v>
      </c>
      <c r="G264" s="39">
        <v>0.63756031050255613</v>
      </c>
      <c r="H264" s="39">
        <v>0.64403045236518341</v>
      </c>
      <c r="I264" s="39">
        <v>0.68499849604708229</v>
      </c>
      <c r="J264" s="39">
        <v>0.67533377794906257</v>
      </c>
      <c r="K264" s="39">
        <v>0.72097113717247119</v>
      </c>
      <c r="L264" s="45">
        <v>0.71135670111510452</v>
      </c>
      <c r="M264" s="39">
        <v>0.71591490893364995</v>
      </c>
      <c r="N264" s="39">
        <v>0.74902496403753338</v>
      </c>
    </row>
    <row r="265" spans="1:14" ht="12.75" customHeight="1" x14ac:dyDescent="0.2">
      <c r="A265" s="38" t="s">
        <v>244</v>
      </c>
      <c r="B265" s="40">
        <v>0.61556816908198109</v>
      </c>
      <c r="C265" s="39">
        <v>0.68159137156576255</v>
      </c>
      <c r="D265" s="39">
        <v>0.69545072242367156</v>
      </c>
      <c r="E265" s="39">
        <v>0.63357581077030023</v>
      </c>
      <c r="F265" s="39">
        <v>0.6478046707545656</v>
      </c>
      <c r="G265" s="39">
        <v>0.67627908952045068</v>
      </c>
      <c r="H265" s="39">
        <v>0.70638235850699271</v>
      </c>
      <c r="I265" s="39">
        <v>0.70204728196693977</v>
      </c>
      <c r="J265" s="39">
        <v>0.71302336591901716</v>
      </c>
      <c r="K265" s="39">
        <v>0.72438435346732877</v>
      </c>
      <c r="L265" s="45">
        <v>0.74491133471464011</v>
      </c>
      <c r="M265" s="39">
        <v>0.76048089865789825</v>
      </c>
      <c r="N265" s="39">
        <v>0.74921070467068829</v>
      </c>
    </row>
    <row r="266" spans="1:14" ht="12.75" customHeight="1" x14ac:dyDescent="0.2">
      <c r="A266" s="38" t="s">
        <v>281</v>
      </c>
      <c r="B266" s="40">
        <v>0.67471537145748073</v>
      </c>
      <c r="C266" s="39">
        <v>0.7352834212595627</v>
      </c>
      <c r="D266" s="39">
        <v>0.71145267656039424</v>
      </c>
      <c r="E266" s="39">
        <v>0.69996722995410032</v>
      </c>
      <c r="F266" s="39">
        <v>0.66274445655187275</v>
      </c>
      <c r="G266" s="39">
        <v>0.6574442739967602</v>
      </c>
      <c r="H266" s="39">
        <v>0.66682342885424184</v>
      </c>
      <c r="I266" s="39">
        <v>0.69470637126084966</v>
      </c>
      <c r="J266" s="39">
        <v>0.69808868045020145</v>
      </c>
      <c r="K266" s="39">
        <v>0.69866530802909421</v>
      </c>
      <c r="L266" s="45">
        <v>0.71498711813845139</v>
      </c>
      <c r="M266" s="39">
        <v>0.74094724221350761</v>
      </c>
      <c r="N266" s="39">
        <v>0.74505788987877297</v>
      </c>
    </row>
    <row r="267" spans="1:14" ht="12.75" customHeight="1" x14ac:dyDescent="0.2">
      <c r="A267" s="38" t="s">
        <v>282</v>
      </c>
      <c r="B267" s="40">
        <v>0.64056907692912668</v>
      </c>
      <c r="C267" s="39">
        <v>0.66057361967508144</v>
      </c>
      <c r="D267" s="39">
        <v>0.63119054125679186</v>
      </c>
      <c r="E267" s="39">
        <v>0.65063322991899097</v>
      </c>
      <c r="F267" s="39">
        <v>0.67733188208000195</v>
      </c>
      <c r="G267" s="39">
        <v>0.69270652170202907</v>
      </c>
      <c r="H267" s="39">
        <v>0.66381806125962628</v>
      </c>
      <c r="I267" s="39">
        <v>0.70483514131842995</v>
      </c>
      <c r="J267" s="39">
        <v>0.68975006557748542</v>
      </c>
      <c r="K267" s="39">
        <v>0.70506863732942737</v>
      </c>
      <c r="L267" s="45">
        <v>0.69143782838236501</v>
      </c>
      <c r="M267" s="39">
        <v>0.75486459030349773</v>
      </c>
      <c r="N267" s="39">
        <v>0.74855208177953669</v>
      </c>
    </row>
    <row r="268" spans="1:14" ht="12.75" customHeight="1" x14ac:dyDescent="0.2">
      <c r="A268" s="38" t="s">
        <v>7076</v>
      </c>
      <c r="B268" s="40">
        <v>0.58607745652810295</v>
      </c>
      <c r="C268" s="39">
        <v>0.63772124409890674</v>
      </c>
      <c r="D268" s="39">
        <v>0.61538156827228896</v>
      </c>
      <c r="E268" s="39">
        <v>0.66682591888936693</v>
      </c>
      <c r="F268" s="39">
        <v>0.68776619108990056</v>
      </c>
      <c r="G268" s="39">
        <v>0.68504999987665049</v>
      </c>
      <c r="H268" s="39">
        <v>0.68380979321480495</v>
      </c>
      <c r="I268" s="39">
        <v>0.7120279659818346</v>
      </c>
      <c r="J268" s="39">
        <v>0.69431562248798839</v>
      </c>
      <c r="K268" s="39">
        <v>0.71891178815267198</v>
      </c>
      <c r="L268" s="45">
        <v>0.71477489134052841</v>
      </c>
      <c r="M268" s="39">
        <v>0.69361202571088976</v>
      </c>
      <c r="N268" s="39">
        <v>0.76022114019869658</v>
      </c>
    </row>
    <row r="269" spans="1:14" ht="12.75" customHeight="1" x14ac:dyDescent="0.2">
      <c r="A269" s="38" t="s">
        <v>18</v>
      </c>
      <c r="B269" s="40">
        <v>0.64704381599534599</v>
      </c>
      <c r="C269" s="39">
        <v>0.64290359298234423</v>
      </c>
      <c r="D269" s="39">
        <v>0.65938931009570767</v>
      </c>
      <c r="E269" s="39">
        <v>0.7434411885039186</v>
      </c>
      <c r="F269" s="39">
        <v>0.72991658013291827</v>
      </c>
      <c r="G269" s="39">
        <v>0.72093055142778095</v>
      </c>
      <c r="H269" s="39">
        <v>0.69712170759786574</v>
      </c>
      <c r="I269" s="39">
        <v>0.7628132552266238</v>
      </c>
      <c r="J269" s="39">
        <v>0.7314293704040159</v>
      </c>
      <c r="K269" s="39">
        <v>0.76989378912510986</v>
      </c>
      <c r="L269" s="45">
        <v>0.75256318731015892</v>
      </c>
      <c r="M269" s="39">
        <v>0.76511282562076133</v>
      </c>
      <c r="N269" s="39">
        <v>0.7461066007388274</v>
      </c>
    </row>
    <row r="270" spans="1:14" ht="12.75" customHeight="1" x14ac:dyDescent="0.2">
      <c r="A270" s="38" t="s">
        <v>12</v>
      </c>
      <c r="B270" s="40">
        <v>0.64730031623222928</v>
      </c>
      <c r="C270" s="39">
        <v>0.65890700210346109</v>
      </c>
      <c r="D270" s="39">
        <v>0.66415851954152993</v>
      </c>
      <c r="E270" s="39">
        <v>0.69713187084338391</v>
      </c>
      <c r="F270" s="39">
        <v>0.7106947867619805</v>
      </c>
      <c r="G270" s="39">
        <v>0.74411788727846095</v>
      </c>
      <c r="H270" s="39">
        <v>0.74446451119523049</v>
      </c>
      <c r="I270" s="39">
        <v>0.75992214966328353</v>
      </c>
      <c r="J270" s="39">
        <v>0.76596512665640448</v>
      </c>
      <c r="K270" s="39">
        <v>0.78042231687139996</v>
      </c>
      <c r="L270" s="45">
        <v>0.77584581870497893</v>
      </c>
      <c r="M270" s="39">
        <v>0.78869073213545626</v>
      </c>
      <c r="N270" s="39">
        <v>0.80073927492629382</v>
      </c>
    </row>
    <row r="271" spans="1:14" ht="12.75" customHeight="1" x14ac:dyDescent="0.2">
      <c r="A271" s="38" t="s">
        <v>370</v>
      </c>
      <c r="B271" s="40">
        <v>0.64522831445293283</v>
      </c>
      <c r="C271" s="39">
        <v>0.66646001848012226</v>
      </c>
      <c r="D271" s="39">
        <v>0.63829317636434835</v>
      </c>
      <c r="E271" s="39">
        <v>0.62766719825089112</v>
      </c>
      <c r="F271" s="39">
        <v>0.6122875426640858</v>
      </c>
      <c r="G271" s="39">
        <v>0.608744358917095</v>
      </c>
      <c r="H271" s="39">
        <v>0.61475004483651008</v>
      </c>
      <c r="I271" s="39">
        <v>0.70873111422993917</v>
      </c>
      <c r="J271" s="39">
        <v>0.74628479307563256</v>
      </c>
      <c r="K271" s="39">
        <v>0.75671988830190695</v>
      </c>
      <c r="L271" s="45">
        <v>0.7605572170152598</v>
      </c>
      <c r="M271" s="39">
        <v>0.75311539298192687</v>
      </c>
      <c r="N271" s="39">
        <v>0.75477346369468135</v>
      </c>
    </row>
    <row r="272" spans="1:14" ht="12.75" customHeight="1" x14ac:dyDescent="0.2">
      <c r="A272" s="38" t="s">
        <v>169</v>
      </c>
      <c r="B272" s="40">
        <v>0.59125416675651576</v>
      </c>
      <c r="C272" s="39">
        <v>0.60551681518950728</v>
      </c>
      <c r="D272" s="39">
        <v>0.58893370467939676</v>
      </c>
      <c r="E272" s="39">
        <v>0.61851811262363343</v>
      </c>
      <c r="F272" s="39">
        <v>0.65309970133288031</v>
      </c>
      <c r="G272" s="39">
        <v>0.68590327845015908</v>
      </c>
      <c r="H272" s="39">
        <v>0.6958499155844885</v>
      </c>
      <c r="I272" s="39">
        <v>0.69010068029438365</v>
      </c>
      <c r="J272" s="39">
        <v>0.68875036129035117</v>
      </c>
      <c r="K272" s="39">
        <v>0.70438959657398137</v>
      </c>
      <c r="L272" s="45">
        <v>0.75782318269031546</v>
      </c>
      <c r="M272" s="39">
        <v>0.75578159993539595</v>
      </c>
      <c r="N272" s="39">
        <v>0.70782612955540125</v>
      </c>
    </row>
    <row r="273" spans="1:14" ht="12.75" customHeight="1" x14ac:dyDescent="0.2">
      <c r="A273" s="38" t="s">
        <v>67</v>
      </c>
      <c r="B273" s="40">
        <v>0.4656269918503777</v>
      </c>
      <c r="C273" s="39">
        <v>0.4711168845628757</v>
      </c>
      <c r="D273" s="39">
        <v>0.48357874991143274</v>
      </c>
      <c r="E273" s="39">
        <v>0.52657940223728517</v>
      </c>
      <c r="F273" s="39">
        <v>0.55130774022060358</v>
      </c>
      <c r="G273" s="39">
        <v>0.57591360442784312</v>
      </c>
      <c r="H273" s="39">
        <v>0.60192669356019868</v>
      </c>
      <c r="I273" s="39">
        <v>0.64329667738311747</v>
      </c>
      <c r="J273" s="39">
        <v>0.64540565168416908</v>
      </c>
      <c r="K273" s="39">
        <v>0.68700024474755728</v>
      </c>
      <c r="L273" s="45">
        <v>0.67744038498213788</v>
      </c>
      <c r="M273" s="39">
        <v>0.67772825816707771</v>
      </c>
      <c r="N273" s="39">
        <v>0.70328978550041388</v>
      </c>
    </row>
    <row r="274" spans="1:14" ht="12.75" customHeight="1" x14ac:dyDescent="0.2">
      <c r="A274" s="38" t="s">
        <v>37</v>
      </c>
      <c r="B274" s="40">
        <v>0.5196634568783004</v>
      </c>
      <c r="C274" s="39">
        <v>0.57844153653748298</v>
      </c>
      <c r="D274" s="39">
        <v>0.56649544295991483</v>
      </c>
      <c r="E274" s="39">
        <v>0.5999595914239082</v>
      </c>
      <c r="F274" s="39">
        <v>0.59742873037606625</v>
      </c>
      <c r="G274" s="39">
        <v>0.5955766997856885</v>
      </c>
      <c r="H274" s="39">
        <v>0.59270305954422076</v>
      </c>
      <c r="I274" s="39">
        <v>0.66131050525459301</v>
      </c>
      <c r="J274" s="39">
        <v>0.64314221423813434</v>
      </c>
      <c r="K274" s="39">
        <v>0.6955502001788384</v>
      </c>
      <c r="L274" s="45">
        <v>0.69341673215415123</v>
      </c>
      <c r="M274" s="39">
        <v>0.7126158743848453</v>
      </c>
      <c r="N274" s="39">
        <v>0.73995733085106885</v>
      </c>
    </row>
    <row r="275" spans="1:14" ht="12.75" customHeight="1" x14ac:dyDescent="0.2">
      <c r="A275" s="38" t="s">
        <v>13</v>
      </c>
      <c r="B275" s="40">
        <v>0.45976192739545857</v>
      </c>
      <c r="C275" s="39">
        <v>0.50877506027064467</v>
      </c>
      <c r="D275" s="39">
        <v>0.47874157909734816</v>
      </c>
      <c r="E275" s="39">
        <v>0.50682391700050589</v>
      </c>
      <c r="F275" s="39">
        <v>0.50959058181949191</v>
      </c>
      <c r="G275" s="39">
        <v>0.55871694016593898</v>
      </c>
      <c r="H275" s="39">
        <v>0.56827874109164156</v>
      </c>
      <c r="I275" s="39">
        <v>0.59888462802851194</v>
      </c>
      <c r="J275" s="39">
        <v>0.58101952691124559</v>
      </c>
      <c r="K275" s="39">
        <v>0.62394337308478465</v>
      </c>
      <c r="L275" s="45">
        <v>0.6227020534134855</v>
      </c>
      <c r="M275" s="39">
        <v>0.64883501406958188</v>
      </c>
      <c r="N275" s="39">
        <v>0.68932757178879012</v>
      </c>
    </row>
    <row r="276" spans="1:14" ht="12.75" customHeight="1" x14ac:dyDescent="0.2">
      <c r="A276" s="38" t="s">
        <v>68</v>
      </c>
      <c r="B276" s="40">
        <v>0.60926226834563524</v>
      </c>
      <c r="C276" s="39">
        <v>0.62659144489290519</v>
      </c>
      <c r="D276" s="39">
        <v>0.60755074843499823</v>
      </c>
      <c r="E276" s="39">
        <v>0.65513700713535783</v>
      </c>
      <c r="F276" s="39">
        <v>0.67410030678804767</v>
      </c>
      <c r="G276" s="39">
        <v>0.69186747281446659</v>
      </c>
      <c r="H276" s="39">
        <v>0.69513343954631124</v>
      </c>
      <c r="I276" s="39">
        <v>0.71386443668104282</v>
      </c>
      <c r="J276" s="39">
        <v>0.72502965174504996</v>
      </c>
      <c r="K276" s="39">
        <v>0.75278117516282406</v>
      </c>
      <c r="L276" s="45">
        <v>0.74848314473037914</v>
      </c>
      <c r="M276" s="39">
        <v>0.76668929309193323</v>
      </c>
      <c r="N276" s="39">
        <v>0.73610478046847572</v>
      </c>
    </row>
    <row r="277" spans="1:14" ht="12.75" customHeight="1" x14ac:dyDescent="0.2">
      <c r="A277" s="38" t="s">
        <v>96</v>
      </c>
      <c r="B277" s="40">
        <v>0.6142173117198747</v>
      </c>
      <c r="C277" s="39">
        <v>0.62154875695081102</v>
      </c>
      <c r="D277" s="39">
        <v>0.69434314368739092</v>
      </c>
      <c r="E277" s="39">
        <v>0.71196046047918149</v>
      </c>
      <c r="F277" s="39">
        <v>0.69968656603513546</v>
      </c>
      <c r="G277" s="39">
        <v>0.63698870940642482</v>
      </c>
      <c r="H277" s="39">
        <v>0.67881554037810587</v>
      </c>
      <c r="I277" s="39">
        <v>0.68681763690905984</v>
      </c>
      <c r="J277" s="39">
        <v>0.71045682791806186</v>
      </c>
      <c r="K277" s="39">
        <v>0.70634512125100468</v>
      </c>
      <c r="L277" s="45">
        <v>0.75802635422788001</v>
      </c>
      <c r="M277" s="39">
        <v>0.76180078029472265</v>
      </c>
      <c r="N277" s="39">
        <v>0.76835356898562568</v>
      </c>
    </row>
    <row r="278" spans="1:14" ht="12.75" customHeight="1" x14ac:dyDescent="0.2">
      <c r="A278" s="38" t="s">
        <v>291</v>
      </c>
      <c r="B278" s="40">
        <v>0.58475083702660402</v>
      </c>
      <c r="C278" s="39">
        <v>0.60072452309245727</v>
      </c>
      <c r="D278" s="39">
        <v>0.64435091772474229</v>
      </c>
      <c r="E278" s="39">
        <v>0.70259508113139324</v>
      </c>
      <c r="F278" s="39">
        <v>0.71731078849719054</v>
      </c>
      <c r="G278" s="39">
        <v>0.66717771644459034</v>
      </c>
      <c r="H278" s="39">
        <v>0.63447816644321486</v>
      </c>
      <c r="I278" s="39">
        <v>0.65370472325200946</v>
      </c>
      <c r="J278" s="39">
        <v>0.68354721660201445</v>
      </c>
      <c r="K278" s="39">
        <v>0.7436690770660066</v>
      </c>
      <c r="L278" s="45">
        <v>0.72489678582956485</v>
      </c>
      <c r="M278" s="39">
        <v>0.71671064733710077</v>
      </c>
      <c r="N278" s="39">
        <v>0.72470352770444613</v>
      </c>
    </row>
    <row r="279" spans="1:14" ht="12.75" customHeight="1" x14ac:dyDescent="0.2">
      <c r="A279" s="38" t="s">
        <v>371</v>
      </c>
      <c r="B279" s="40">
        <v>0.57517078623222617</v>
      </c>
      <c r="C279" s="39">
        <v>0.61846264714257071</v>
      </c>
      <c r="D279" s="39">
        <v>0.63557652954369404</v>
      </c>
      <c r="E279" s="39">
        <v>0.68377760778388852</v>
      </c>
      <c r="F279" s="39">
        <v>0.67973863064930828</v>
      </c>
      <c r="G279" s="39">
        <v>0.6791054731242091</v>
      </c>
      <c r="H279" s="39">
        <v>0.68911189415012553</v>
      </c>
      <c r="I279" s="39">
        <v>0.72521098931217987</v>
      </c>
      <c r="J279" s="39">
        <v>0.72763246899870182</v>
      </c>
      <c r="K279" s="39">
        <v>0.73933352194980506</v>
      </c>
      <c r="L279" s="45">
        <v>0.71543879233433094</v>
      </c>
      <c r="M279" s="39">
        <v>0.76192349430709638</v>
      </c>
      <c r="N279" s="39">
        <v>0.72711476193915925</v>
      </c>
    </row>
    <row r="280" spans="1:14" ht="12.75" customHeight="1" x14ac:dyDescent="0.2">
      <c r="A280" s="38" t="s">
        <v>43</v>
      </c>
      <c r="B280" s="40">
        <v>0.60752596759034072</v>
      </c>
      <c r="C280" s="39">
        <v>0.65465757277179659</v>
      </c>
      <c r="D280" s="39">
        <v>0.68423633704325793</v>
      </c>
      <c r="E280" s="39">
        <v>0.71143521602779913</v>
      </c>
      <c r="F280" s="39">
        <v>0.71550974707643566</v>
      </c>
      <c r="G280" s="39">
        <v>0.72604792687786912</v>
      </c>
      <c r="H280" s="39">
        <v>0.72850082632793567</v>
      </c>
      <c r="I280" s="39">
        <v>0.73409579437943562</v>
      </c>
      <c r="J280" s="39">
        <v>0.7352641750582688</v>
      </c>
      <c r="K280" s="39">
        <v>0.75123941633369185</v>
      </c>
      <c r="L280" s="45">
        <v>0.7382368235900717</v>
      </c>
      <c r="M280" s="39">
        <v>0.76015221319526127</v>
      </c>
      <c r="N280" s="39">
        <v>0.79579616067857539</v>
      </c>
    </row>
    <row r="281" spans="1:14" ht="12.75" customHeight="1" x14ac:dyDescent="0.2">
      <c r="A281" s="38" t="s">
        <v>401</v>
      </c>
      <c r="B281" s="40">
        <v>0.53513667730544656</v>
      </c>
      <c r="C281" s="39">
        <v>0.55524965865469011</v>
      </c>
      <c r="D281" s="39">
        <v>0.57608568220659395</v>
      </c>
      <c r="E281" s="39">
        <v>0.54563491553817334</v>
      </c>
      <c r="F281" s="39">
        <v>0.60455569607110704</v>
      </c>
      <c r="G281" s="39">
        <v>0.64220432726954568</v>
      </c>
      <c r="H281" s="39">
        <v>0.62575729538270475</v>
      </c>
      <c r="I281" s="39">
        <v>0.65361669130029842</v>
      </c>
      <c r="J281" s="39">
        <v>0.62384831871596746</v>
      </c>
      <c r="K281" s="39">
        <v>0.61782087810896891</v>
      </c>
      <c r="L281" s="45">
        <v>0.57101309871941652</v>
      </c>
      <c r="M281" s="39">
        <v>0.61747344762564393</v>
      </c>
      <c r="N281" s="39">
        <v>0.62137823521997515</v>
      </c>
    </row>
    <row r="282" spans="1:14" ht="12.75" customHeight="1" x14ac:dyDescent="0.2">
      <c r="A282" s="38" t="s">
        <v>107</v>
      </c>
      <c r="B282" s="40">
        <v>0.62166255538945137</v>
      </c>
      <c r="C282" s="39">
        <v>0.60696532890779042</v>
      </c>
      <c r="D282" s="39">
        <v>0.59183143973283014</v>
      </c>
      <c r="E282" s="39">
        <v>0.68167594162715306</v>
      </c>
      <c r="F282" s="39">
        <v>0.69246709185593447</v>
      </c>
      <c r="G282" s="39">
        <v>0.6771285914011439</v>
      </c>
      <c r="H282" s="39">
        <v>0.65919882389732998</v>
      </c>
      <c r="I282" s="39">
        <v>0.66424216248698664</v>
      </c>
      <c r="J282" s="39">
        <v>0.65443763023021073</v>
      </c>
      <c r="K282" s="39">
        <v>0.66097076469694305</v>
      </c>
      <c r="L282" s="45">
        <v>0.65800919741133679</v>
      </c>
      <c r="M282" s="39">
        <v>0.65457191123241121</v>
      </c>
      <c r="N282" s="39">
        <v>0.68574907122737427</v>
      </c>
    </row>
    <row r="283" spans="1:14" ht="12.75" customHeight="1" x14ac:dyDescent="0.2">
      <c r="A283" s="38" t="s">
        <v>7075</v>
      </c>
      <c r="B283" s="40">
        <v>0.52873427827298791</v>
      </c>
      <c r="C283" s="39">
        <v>0.60053382076555151</v>
      </c>
      <c r="D283" s="39">
        <v>0.59259629220932175</v>
      </c>
      <c r="E283" s="39">
        <v>0.65575983843284968</v>
      </c>
      <c r="F283" s="39">
        <v>0.63892753727382623</v>
      </c>
      <c r="G283" s="39">
        <v>0.63442881112909255</v>
      </c>
      <c r="H283" s="39">
        <v>0.65723008782156411</v>
      </c>
      <c r="I283" s="39">
        <v>0.66386849038946771</v>
      </c>
      <c r="J283" s="39">
        <v>0.62527702619913872</v>
      </c>
      <c r="K283" s="39">
        <v>0.62676319606805964</v>
      </c>
      <c r="L283" s="45">
        <v>0.68934130628207313</v>
      </c>
      <c r="M283" s="39">
        <v>0.7728586646440645</v>
      </c>
      <c r="N283" s="39">
        <v>0.81760485455891807</v>
      </c>
    </row>
    <row r="284" spans="1:14" ht="12.75" customHeight="1" x14ac:dyDescent="0.2">
      <c r="A284" s="38" t="s">
        <v>84</v>
      </c>
      <c r="B284" s="40">
        <v>0.59014743713268358</v>
      </c>
      <c r="C284" s="39">
        <v>0.60832312265560018</v>
      </c>
      <c r="D284" s="39">
        <v>0.52726344666008307</v>
      </c>
      <c r="E284" s="39">
        <v>0.62630878487695407</v>
      </c>
      <c r="F284" s="39">
        <v>0.65346087967333588</v>
      </c>
      <c r="G284" s="39">
        <v>0.6824185774090169</v>
      </c>
      <c r="H284" s="39">
        <v>0.71657390751372885</v>
      </c>
      <c r="I284" s="39">
        <v>0.75120749882630522</v>
      </c>
      <c r="J284" s="39">
        <v>0.72226498471243472</v>
      </c>
      <c r="K284" s="39">
        <v>0.76051501659727927</v>
      </c>
      <c r="L284" s="45">
        <v>0.71956342310669152</v>
      </c>
      <c r="M284" s="39">
        <v>0.7602839584351847</v>
      </c>
      <c r="N284" s="39">
        <v>0.791663280658785</v>
      </c>
    </row>
    <row r="285" spans="1:14" ht="12.75" customHeight="1" x14ac:dyDescent="0.2">
      <c r="A285" s="38" t="s">
        <v>292</v>
      </c>
      <c r="B285" s="40">
        <v>0.69064985035529514</v>
      </c>
      <c r="C285" s="39">
        <v>0.67745168727349137</v>
      </c>
      <c r="D285" s="39">
        <v>0.68777535600773021</v>
      </c>
      <c r="E285" s="39">
        <v>0.74412707756706309</v>
      </c>
      <c r="F285" s="39">
        <v>0.74955605694502736</v>
      </c>
      <c r="G285" s="39">
        <v>0.68309268052555439</v>
      </c>
      <c r="H285" s="39">
        <v>0.64548500069207548</v>
      </c>
      <c r="I285" s="39">
        <v>0.69734932783146863</v>
      </c>
      <c r="J285" s="39">
        <v>0.72659037723929509</v>
      </c>
      <c r="K285" s="39">
        <v>0.80392036736960681</v>
      </c>
      <c r="L285" s="45">
        <v>0.73414397411374921</v>
      </c>
      <c r="M285" s="39">
        <v>0.76555024305298236</v>
      </c>
      <c r="N285" s="39">
        <v>0.79205509893001658</v>
      </c>
    </row>
    <row r="286" spans="1:14" ht="12.75" customHeight="1" x14ac:dyDescent="0.2">
      <c r="A286" s="38" t="s">
        <v>31</v>
      </c>
      <c r="B286" s="40">
        <v>0.62097888903131315</v>
      </c>
      <c r="C286" s="39">
        <v>0.60224363205763487</v>
      </c>
      <c r="D286" s="39">
        <v>0.56968526590008572</v>
      </c>
      <c r="E286" s="39">
        <v>0.59967428624512775</v>
      </c>
      <c r="F286" s="39">
        <v>0.60015687008718599</v>
      </c>
      <c r="G286" s="39">
        <v>0.62188585301504273</v>
      </c>
      <c r="H286" s="39">
        <v>0.67203840531246328</v>
      </c>
      <c r="I286" s="39">
        <v>0.71715616918665137</v>
      </c>
      <c r="J286" s="39">
        <v>0.74389218708295235</v>
      </c>
      <c r="K286" s="39">
        <v>0.73015976669875793</v>
      </c>
      <c r="L286" s="45">
        <v>0.73496111172031175</v>
      </c>
      <c r="M286" s="39">
        <v>0.76101738759604454</v>
      </c>
      <c r="N286" s="39">
        <v>0.74999072938379518</v>
      </c>
    </row>
    <row r="287" spans="1:14" ht="12.75" customHeight="1" x14ac:dyDescent="0.2">
      <c r="A287" s="38" t="s">
        <v>97</v>
      </c>
      <c r="B287" s="40">
        <v>0.50961126272813928</v>
      </c>
      <c r="C287" s="39">
        <v>0.64880039547682689</v>
      </c>
      <c r="D287" s="39">
        <v>0.65065979678255192</v>
      </c>
      <c r="E287" s="39">
        <v>0.67314171300891623</v>
      </c>
      <c r="F287" s="39">
        <v>0.65320863524090944</v>
      </c>
      <c r="G287" s="39">
        <v>0.65478483320170222</v>
      </c>
      <c r="H287" s="39">
        <v>0.62019361808380502</v>
      </c>
      <c r="I287" s="39">
        <v>0.68402471208773308</v>
      </c>
      <c r="J287" s="39">
        <v>0.62784543294303774</v>
      </c>
      <c r="K287" s="39">
        <v>0.70185690081260343</v>
      </c>
      <c r="L287" s="45">
        <v>0.71872072471275927</v>
      </c>
      <c r="M287" s="39">
        <v>0.73254971475429542</v>
      </c>
      <c r="N287" s="39">
        <v>0.73680362888916962</v>
      </c>
    </row>
    <row r="288" spans="1:14" ht="12.75" customHeight="1" x14ac:dyDescent="0.2">
      <c r="A288" s="38" t="s">
        <v>7074</v>
      </c>
      <c r="B288" s="40">
        <v>0.59299402019625569</v>
      </c>
      <c r="C288" s="39">
        <v>0.67294542123386358</v>
      </c>
      <c r="D288" s="39">
        <v>0.67779876936011119</v>
      </c>
      <c r="E288" s="39">
        <v>0.64396358639509266</v>
      </c>
      <c r="F288" s="39">
        <v>0.60061798698768809</v>
      </c>
      <c r="G288" s="39">
        <v>0.60487046490046625</v>
      </c>
      <c r="H288" s="39">
        <v>0.65826323191402247</v>
      </c>
      <c r="I288" s="39">
        <v>0.74122514391460292</v>
      </c>
      <c r="J288" s="39">
        <v>0.7310629170011258</v>
      </c>
      <c r="K288" s="39">
        <v>0.69735024334640228</v>
      </c>
      <c r="L288" s="45">
        <v>0.68150191427699414</v>
      </c>
      <c r="M288" s="39">
        <v>0.75226908961202454</v>
      </c>
      <c r="N288" s="39">
        <v>0.76684203849903054</v>
      </c>
    </row>
    <row r="289" spans="1:14" ht="12.75" customHeight="1" x14ac:dyDescent="0.2">
      <c r="A289" s="38" t="s">
        <v>218</v>
      </c>
      <c r="B289" s="40">
        <v>0.62296965749632083</v>
      </c>
      <c r="C289" s="39">
        <v>0.64224002032755401</v>
      </c>
      <c r="D289" s="39">
        <v>0.65617656503758792</v>
      </c>
      <c r="E289" s="39">
        <v>0.67893080255525895</v>
      </c>
      <c r="F289" s="39">
        <v>0.62585082268613734</v>
      </c>
      <c r="G289" s="39">
        <v>0.64783543812355715</v>
      </c>
      <c r="H289" s="39">
        <v>0.65434984801366225</v>
      </c>
      <c r="I289" s="39">
        <v>0.71029946286897128</v>
      </c>
      <c r="J289" s="39">
        <v>0.70634858805415413</v>
      </c>
      <c r="K289" s="39">
        <v>0.6534222317952264</v>
      </c>
      <c r="L289" s="45">
        <v>0.69483163286217053</v>
      </c>
      <c r="M289" s="39">
        <v>0.67205541876734232</v>
      </c>
      <c r="N289" s="39">
        <v>0.66686812949767216</v>
      </c>
    </row>
    <row r="290" spans="1:14" ht="12.75" customHeight="1" x14ac:dyDescent="0.2">
      <c r="A290" s="38" t="s">
        <v>108</v>
      </c>
      <c r="B290" s="40">
        <v>0.57852705588655207</v>
      </c>
      <c r="C290" s="39">
        <v>0.59846656916300622</v>
      </c>
      <c r="D290" s="39">
        <v>0.62870760667368464</v>
      </c>
      <c r="E290" s="39">
        <v>0.59828548425665951</v>
      </c>
      <c r="F290" s="39">
        <v>0.61059402363889703</v>
      </c>
      <c r="G290" s="39">
        <v>0.61103331584468457</v>
      </c>
      <c r="H290" s="39">
        <v>0.61818265064602695</v>
      </c>
      <c r="I290" s="39">
        <v>0.65677049554928557</v>
      </c>
      <c r="J290" s="39">
        <v>0.67401377161788611</v>
      </c>
      <c r="K290" s="39">
        <v>0.72429459453334311</v>
      </c>
      <c r="L290" s="45">
        <v>0.70222613609721041</v>
      </c>
      <c r="M290" s="39">
        <v>0.65109578719482741</v>
      </c>
      <c r="N290" s="39">
        <v>0.6569505687463163</v>
      </c>
    </row>
    <row r="291" spans="1:14" ht="12.75" customHeight="1" x14ac:dyDescent="0.2">
      <c r="A291" s="38" t="s">
        <v>59</v>
      </c>
      <c r="B291" s="40">
        <v>0.57402105201805964</v>
      </c>
      <c r="C291" s="39">
        <v>0.59811195823427754</v>
      </c>
      <c r="D291" s="39">
        <v>0.59811140823896702</v>
      </c>
      <c r="E291" s="39">
        <v>0.63440867296041337</v>
      </c>
      <c r="F291" s="39">
        <v>0.63355004321880004</v>
      </c>
      <c r="G291" s="39">
        <v>0.65304784764206369</v>
      </c>
      <c r="H291" s="39">
        <v>0.663531666172398</v>
      </c>
      <c r="I291" s="39">
        <v>0.68633795158337796</v>
      </c>
      <c r="J291" s="39">
        <v>0.69275990088754125</v>
      </c>
      <c r="K291" s="39">
        <v>0.72184500626143677</v>
      </c>
      <c r="L291" s="45">
        <v>0.73272833585780983</v>
      </c>
      <c r="M291" s="39">
        <v>0.73789165333039064</v>
      </c>
      <c r="N291" s="39">
        <v>0.76949036686521943</v>
      </c>
    </row>
    <row r="292" spans="1:14" ht="12.75" customHeight="1" x14ac:dyDescent="0.2">
      <c r="A292" s="38" t="s">
        <v>245</v>
      </c>
      <c r="B292" s="40">
        <v>0.61059104296215805</v>
      </c>
      <c r="C292" s="39">
        <v>0.67523794688817873</v>
      </c>
      <c r="D292" s="39">
        <v>0.63542728462586096</v>
      </c>
      <c r="E292" s="39">
        <v>0.63804613689363243</v>
      </c>
      <c r="F292" s="39">
        <v>0.60459769967574595</v>
      </c>
      <c r="G292" s="39">
        <v>0.63102762559629888</v>
      </c>
      <c r="H292" s="39">
        <v>0.65315468794155607</v>
      </c>
      <c r="I292" s="39">
        <v>0.64415091762189036</v>
      </c>
      <c r="J292" s="39">
        <v>0.69309232586224401</v>
      </c>
      <c r="K292" s="39">
        <v>0.73928484477464129</v>
      </c>
      <c r="L292" s="45">
        <v>0.77490699803577423</v>
      </c>
      <c r="M292" s="39">
        <v>0.77962436346956876</v>
      </c>
      <c r="N292" s="39">
        <v>0.77100091359875045</v>
      </c>
    </row>
    <row r="293" spans="1:14" ht="12.75" customHeight="1" x14ac:dyDescent="0.2">
      <c r="A293" s="38" t="s">
        <v>174</v>
      </c>
      <c r="B293" s="40">
        <v>0.61194703240301396</v>
      </c>
      <c r="C293" s="39">
        <v>0.67120886278998737</v>
      </c>
      <c r="D293" s="39">
        <v>0.70698428385506817</v>
      </c>
      <c r="E293" s="39">
        <v>0.66417461368189068</v>
      </c>
      <c r="F293" s="39">
        <v>0.69227221806650496</v>
      </c>
      <c r="G293" s="39">
        <v>0.69944996875746168</v>
      </c>
      <c r="H293" s="39">
        <v>0.71151085108008505</v>
      </c>
      <c r="I293" s="39">
        <v>0.72659977692153987</v>
      </c>
      <c r="J293" s="39">
        <v>0.74305866194637282</v>
      </c>
      <c r="K293" s="39">
        <v>0.76498773758018068</v>
      </c>
      <c r="L293" s="45">
        <v>0.74572855195813503</v>
      </c>
      <c r="M293" s="39">
        <v>0.72653655522352079</v>
      </c>
      <c r="N293" s="39">
        <v>0.72725546549064912</v>
      </c>
    </row>
    <row r="294" spans="1:14" ht="12.75" customHeight="1" x14ac:dyDescent="0.2">
      <c r="A294" s="38" t="s">
        <v>4</v>
      </c>
      <c r="B294" s="40">
        <v>0.70214623663501297</v>
      </c>
      <c r="C294" s="39">
        <v>0.70604144116377965</v>
      </c>
      <c r="D294" s="39">
        <v>0.72828172803752267</v>
      </c>
      <c r="E294" s="39">
        <v>0.74465013377958256</v>
      </c>
      <c r="F294" s="39">
        <v>0.75682992583516651</v>
      </c>
      <c r="G294" s="39">
        <v>0.75168681608123633</v>
      </c>
      <c r="H294" s="39">
        <v>0.76313372551783765</v>
      </c>
      <c r="I294" s="39">
        <v>0.79333596579582277</v>
      </c>
      <c r="J294" s="39">
        <v>0.8222828867328712</v>
      </c>
      <c r="K294" s="39">
        <v>0.83174851834511365</v>
      </c>
      <c r="L294" s="45">
        <v>0.83263872641059977</v>
      </c>
      <c r="M294" s="39">
        <v>0.83902889562597061</v>
      </c>
      <c r="N294" s="39">
        <v>0.8547224570658235</v>
      </c>
    </row>
    <row r="295" spans="1:14" ht="12.75" customHeight="1" x14ac:dyDescent="0.2">
      <c r="A295" s="38" t="s">
        <v>327</v>
      </c>
      <c r="B295" s="40">
        <v>0.70009840016916469</v>
      </c>
      <c r="C295" s="39">
        <v>0.73692822803178826</v>
      </c>
      <c r="D295" s="39">
        <v>0.75252563430833608</v>
      </c>
      <c r="E295" s="39">
        <v>0.79655884073003091</v>
      </c>
      <c r="F295" s="39">
        <v>0.77896837468434743</v>
      </c>
      <c r="G295" s="39">
        <v>0.71573694612836525</v>
      </c>
      <c r="H295" s="39">
        <v>0.67669355776672591</v>
      </c>
      <c r="I295" s="39">
        <v>0.7240455013792354</v>
      </c>
      <c r="J295" s="39">
        <v>0.70191716913670088</v>
      </c>
      <c r="K295" s="39">
        <v>0.77944805394804462</v>
      </c>
      <c r="L295" s="45">
        <v>0.76644765763131917</v>
      </c>
      <c r="M295" s="39">
        <v>0.81564924870979694</v>
      </c>
      <c r="N295" s="39">
        <v>0.81394736728818351</v>
      </c>
    </row>
    <row r="296" spans="1:14" ht="12.75" customHeight="1" x14ac:dyDescent="0.2">
      <c r="A296" s="38" t="s">
        <v>85</v>
      </c>
      <c r="B296" s="40">
        <v>0.58728095988377726</v>
      </c>
      <c r="C296" s="39">
        <v>0.62916258390729085</v>
      </c>
      <c r="D296" s="39">
        <v>0.61451365313799844</v>
      </c>
      <c r="E296" s="39">
        <v>0.66208829711825024</v>
      </c>
      <c r="F296" s="39">
        <v>0.67945408533956797</v>
      </c>
      <c r="G296" s="39">
        <v>0.67741771906353276</v>
      </c>
      <c r="H296" s="39">
        <v>0.69650967831515054</v>
      </c>
      <c r="I296" s="39">
        <v>0.71923890705145188</v>
      </c>
      <c r="J296" s="39">
        <v>0.70657329147031511</v>
      </c>
      <c r="K296" s="39">
        <v>0.72049932761698832</v>
      </c>
      <c r="L296" s="45">
        <v>0.71253842804581924</v>
      </c>
      <c r="M296" s="39">
        <v>0.70750257308888942</v>
      </c>
      <c r="N296" s="39">
        <v>0.73788182700052529</v>
      </c>
    </row>
    <row r="297" spans="1:14" ht="12.75" customHeight="1" x14ac:dyDescent="0.2">
      <c r="A297" s="38" t="s">
        <v>293</v>
      </c>
      <c r="B297" s="40">
        <v>0.5011626514582832</v>
      </c>
      <c r="C297" s="39">
        <v>0.54568555181334344</v>
      </c>
      <c r="D297" s="39">
        <v>0.58082411435752113</v>
      </c>
      <c r="E297" s="39">
        <v>0.61189372828753907</v>
      </c>
      <c r="F297" s="39">
        <v>0.63705412261480077</v>
      </c>
      <c r="G297" s="39">
        <v>0.63297640393946553</v>
      </c>
      <c r="H297" s="39">
        <v>0.65534953391905948</v>
      </c>
      <c r="I297" s="39">
        <v>0.64557285063238856</v>
      </c>
      <c r="J297" s="39">
        <v>0.65301632219846617</v>
      </c>
      <c r="K297" s="39">
        <v>0.69251963546181405</v>
      </c>
      <c r="L297" s="45">
        <v>0.68904972707932599</v>
      </c>
      <c r="M297" s="39">
        <v>0.69247306979705536</v>
      </c>
      <c r="N297" s="39">
        <v>0.73496186015292497</v>
      </c>
    </row>
    <row r="298" spans="1:14" ht="12.75" customHeight="1" x14ac:dyDescent="0.2">
      <c r="A298" s="38" t="s">
        <v>205</v>
      </c>
      <c r="B298" s="40">
        <v>0.54895229880139962</v>
      </c>
      <c r="C298" s="39">
        <v>0.55232319472031188</v>
      </c>
      <c r="D298" s="39">
        <v>0.55265195465759631</v>
      </c>
      <c r="E298" s="39">
        <v>0.55876092510467001</v>
      </c>
      <c r="F298" s="39">
        <v>0.57035647537546463</v>
      </c>
      <c r="G298" s="39">
        <v>0.63229441334266079</v>
      </c>
      <c r="H298" s="39">
        <v>0.69077805759806676</v>
      </c>
      <c r="I298" s="39">
        <v>0.69495765425405842</v>
      </c>
      <c r="J298" s="39">
        <v>0.68555628120959211</v>
      </c>
      <c r="K298" s="39">
        <v>0.73631295929580087</v>
      </c>
      <c r="L298" s="45">
        <v>0.72890431231785635</v>
      </c>
      <c r="M298" s="39">
        <v>0.71340908100075062</v>
      </c>
      <c r="N298" s="39">
        <v>0.71344771803272111</v>
      </c>
    </row>
    <row r="299" spans="1:14" ht="12.75" customHeight="1" x14ac:dyDescent="0.2">
      <c r="A299" s="38" t="s">
        <v>19</v>
      </c>
      <c r="B299" s="40">
        <v>0.52209909930602494</v>
      </c>
      <c r="C299" s="39">
        <v>0.55191462585104245</v>
      </c>
      <c r="D299" s="39">
        <v>0.56901397283292743</v>
      </c>
      <c r="E299" s="39">
        <v>0.63593995797838587</v>
      </c>
      <c r="F299" s="39">
        <v>0.63901896187285046</v>
      </c>
      <c r="G299" s="39">
        <v>0.65537826378342601</v>
      </c>
      <c r="H299" s="39">
        <v>0.65006295392797186</v>
      </c>
      <c r="I299" s="39">
        <v>0.66930755024707744</v>
      </c>
      <c r="J299" s="39">
        <v>0.62546683199139153</v>
      </c>
      <c r="K299" s="39">
        <v>0.67681385418770734</v>
      </c>
      <c r="L299" s="45">
        <v>0.68140264054776722</v>
      </c>
      <c r="M299" s="39">
        <v>0.692903257343775</v>
      </c>
      <c r="N299" s="39">
        <v>0.71895664803008164</v>
      </c>
    </row>
    <row r="300" spans="1:14" ht="12.75" customHeight="1" x14ac:dyDescent="0.2">
      <c r="A300" s="38" t="s">
        <v>314</v>
      </c>
      <c r="B300" s="40">
        <v>0.56097525051173747</v>
      </c>
      <c r="C300" s="39">
        <v>0.51881882095295795</v>
      </c>
      <c r="D300" s="39">
        <v>0.47350640791787479</v>
      </c>
      <c r="E300" s="39">
        <v>0.56830417508844522</v>
      </c>
      <c r="F300" s="39">
        <v>0.57905652394550222</v>
      </c>
      <c r="G300" s="39">
        <v>0.55650742986749069</v>
      </c>
      <c r="H300" s="39">
        <v>0.59345811254395708</v>
      </c>
      <c r="I300" s="39">
        <v>0.57905093707958644</v>
      </c>
      <c r="J300" s="39">
        <v>0.5581806400842152</v>
      </c>
      <c r="K300" s="39">
        <v>0.54255893338364103</v>
      </c>
      <c r="L300" s="45">
        <v>0.55244069101857918</v>
      </c>
      <c r="M300" s="39">
        <v>0.60610405317086979</v>
      </c>
      <c r="N300" s="39">
        <v>0.64626794817209254</v>
      </c>
    </row>
    <row r="301" spans="1:14" ht="12.75" customHeight="1" x14ac:dyDescent="0.2">
      <c r="A301" s="38" t="s">
        <v>123</v>
      </c>
      <c r="B301" s="40">
        <v>0.51633780331561763</v>
      </c>
      <c r="C301" s="39">
        <v>0.5337662720434998</v>
      </c>
      <c r="D301" s="39">
        <v>0.49962451467404162</v>
      </c>
      <c r="E301" s="39">
        <v>0.57453982840817808</v>
      </c>
      <c r="F301" s="39">
        <v>0.61518554139082826</v>
      </c>
      <c r="G301" s="39">
        <v>0.66811253882433752</v>
      </c>
      <c r="H301" s="39">
        <v>0.66588519791758694</v>
      </c>
      <c r="I301" s="39">
        <v>0.64483461712916423</v>
      </c>
      <c r="J301" s="39">
        <v>0.65263391401251336</v>
      </c>
      <c r="K301" s="39">
        <v>0.72031051803098267</v>
      </c>
      <c r="L301" s="45">
        <v>0.68772008137683083</v>
      </c>
      <c r="M301" s="39">
        <v>0.70544287820104057</v>
      </c>
      <c r="N301" s="39">
        <v>0.71282153539858406</v>
      </c>
    </row>
    <row r="302" spans="1:14" ht="12.75" customHeight="1" x14ac:dyDescent="0.2">
      <c r="A302" s="38" t="s">
        <v>411</v>
      </c>
      <c r="B302" s="40">
        <v>0.67793106643262269</v>
      </c>
      <c r="C302" s="39">
        <v>0.75125098161767678</v>
      </c>
      <c r="D302" s="39">
        <v>0.73180057462204606</v>
      </c>
      <c r="E302" s="39">
        <v>0.64283687419479474</v>
      </c>
      <c r="F302" s="39">
        <v>0.61621834696516853</v>
      </c>
      <c r="G302" s="39">
        <v>0.64002381390359719</v>
      </c>
      <c r="H302" s="39">
        <v>0.59635273203603012</v>
      </c>
      <c r="I302" s="39">
        <v>0.68547968520179647</v>
      </c>
      <c r="J302" s="39">
        <v>0.67980458596457671</v>
      </c>
      <c r="K302" s="39">
        <v>0.75759672018904312</v>
      </c>
      <c r="L302" s="45">
        <v>0.77101906561252453</v>
      </c>
      <c r="M302" s="39">
        <v>0.72374358312606724</v>
      </c>
      <c r="N302" s="39">
        <v>0.68155026751583359</v>
      </c>
    </row>
    <row r="303" spans="1:14" ht="12.75" customHeight="1" x14ac:dyDescent="0.2">
      <c r="A303" s="38" t="s">
        <v>372</v>
      </c>
      <c r="B303" s="40">
        <v>0.6751160496709887</v>
      </c>
      <c r="C303" s="39">
        <v>0.69238865074083267</v>
      </c>
      <c r="D303" s="39">
        <v>0.66681035246441089</v>
      </c>
      <c r="E303" s="39">
        <v>0.66858101143224535</v>
      </c>
      <c r="F303" s="39">
        <v>0.6842889142798646</v>
      </c>
      <c r="G303" s="39">
        <v>0.71168351549887632</v>
      </c>
      <c r="H303" s="39">
        <v>0.72901275772326446</v>
      </c>
      <c r="I303" s="39">
        <v>0.73191078775948037</v>
      </c>
      <c r="J303" s="39">
        <v>0.7391449365646543</v>
      </c>
      <c r="K303" s="39">
        <v>0.76773706185917423</v>
      </c>
      <c r="L303" s="45">
        <v>0.76145251711247008</v>
      </c>
      <c r="M303" s="39">
        <v>0.78121388847153972</v>
      </c>
      <c r="N303" s="39">
        <v>0.77019354386588856</v>
      </c>
    </row>
    <row r="304" spans="1:14" ht="12.75" customHeight="1" x14ac:dyDescent="0.2">
      <c r="A304" s="38" t="s">
        <v>60</v>
      </c>
      <c r="B304" s="40">
        <v>0.59363755118007855</v>
      </c>
      <c r="C304" s="39">
        <v>0.6183688567447394</v>
      </c>
      <c r="D304" s="39">
        <v>0.6296007346354191</v>
      </c>
      <c r="E304" s="39">
        <v>0.64296381924390034</v>
      </c>
      <c r="F304" s="39">
        <v>0.65352907581976083</v>
      </c>
      <c r="G304" s="39">
        <v>0.65442395016822341</v>
      </c>
      <c r="H304" s="39">
        <v>0.62736525586469327</v>
      </c>
      <c r="I304" s="39">
        <v>0.642578941432698</v>
      </c>
      <c r="J304" s="39">
        <v>0.66009035181318643</v>
      </c>
      <c r="K304" s="39">
        <v>0.72485913966302284</v>
      </c>
      <c r="L304" s="45">
        <v>0.73481503176804575</v>
      </c>
      <c r="M304" s="39">
        <v>0.72504355278299959</v>
      </c>
      <c r="N304" s="39">
        <v>0.73508218464033492</v>
      </c>
    </row>
    <row r="305" spans="1:14" ht="12.75" customHeight="1" x14ac:dyDescent="0.2">
      <c r="A305" s="38" t="s">
        <v>360</v>
      </c>
      <c r="B305" s="40">
        <v>0.63088891572671901</v>
      </c>
      <c r="C305" s="39">
        <v>0.61173308026640871</v>
      </c>
      <c r="D305" s="39">
        <v>0.60310163136786432</v>
      </c>
      <c r="E305" s="39">
        <v>0.64663625638729572</v>
      </c>
      <c r="F305" s="39">
        <v>0.68192597379587838</v>
      </c>
      <c r="G305" s="39">
        <v>0.70204880528252211</v>
      </c>
      <c r="H305" s="39">
        <v>0.70244892431685901</v>
      </c>
      <c r="I305" s="39">
        <v>0.73047529233720498</v>
      </c>
      <c r="J305" s="39">
        <v>0.74429387563889227</v>
      </c>
      <c r="K305" s="39">
        <v>0.76810535052065887</v>
      </c>
      <c r="L305" s="45">
        <v>0.77343106393293104</v>
      </c>
      <c r="M305" s="39">
        <v>0.77611803393006662</v>
      </c>
      <c r="N305" s="39">
        <v>0.78958529732992655</v>
      </c>
    </row>
    <row r="306" spans="1:14" ht="12.75" customHeight="1" x14ac:dyDescent="0.2">
      <c r="A306" s="38" t="s">
        <v>51</v>
      </c>
      <c r="B306" s="40">
        <v>0.47020735465755453</v>
      </c>
      <c r="C306" s="39">
        <v>0.51853004842401729</v>
      </c>
      <c r="D306" s="39">
        <v>0.49047387741394483</v>
      </c>
      <c r="E306" s="39">
        <v>0.53082803343851714</v>
      </c>
      <c r="F306" s="39">
        <v>0.5455408951821562</v>
      </c>
      <c r="G306" s="39">
        <v>0.57437111656146278</v>
      </c>
      <c r="H306" s="39">
        <v>0.5902791437069983</v>
      </c>
      <c r="I306" s="39">
        <v>0.6309158006471739</v>
      </c>
      <c r="J306" s="39">
        <v>0.65141397246565402</v>
      </c>
      <c r="K306" s="39">
        <v>0.6856868579434573</v>
      </c>
      <c r="L306" s="45">
        <v>0.65156408114584807</v>
      </c>
      <c r="M306" s="39">
        <v>0.66611609629683688</v>
      </c>
      <c r="N306" s="39">
        <v>0.68103546169170814</v>
      </c>
    </row>
    <row r="307" spans="1:14" ht="12.75" customHeight="1" x14ac:dyDescent="0.2">
      <c r="A307" s="38" t="s">
        <v>69</v>
      </c>
      <c r="B307" s="40">
        <v>0.43524301476298172</v>
      </c>
      <c r="C307" s="39">
        <v>0.48140162351279797</v>
      </c>
      <c r="D307" s="39">
        <v>0.44374841882964411</v>
      </c>
      <c r="E307" s="39">
        <v>0.51579135492111083</v>
      </c>
      <c r="F307" s="39">
        <v>0.51789109087647056</v>
      </c>
      <c r="G307" s="39">
        <v>0.5551850763344609</v>
      </c>
      <c r="H307" s="39">
        <v>0.55574958602034774</v>
      </c>
      <c r="I307" s="39">
        <v>0.57639768680308556</v>
      </c>
      <c r="J307" s="39">
        <v>0.60343458640368097</v>
      </c>
      <c r="K307" s="39">
        <v>0.64411026262889326</v>
      </c>
      <c r="L307" s="45">
        <v>0.67761314941234074</v>
      </c>
      <c r="M307" s="39">
        <v>0.6804562347459262</v>
      </c>
      <c r="N307" s="39">
        <v>0.71921090115546038</v>
      </c>
    </row>
    <row r="308" spans="1:14" ht="12.75" customHeight="1" x14ac:dyDescent="0.2">
      <c r="A308" s="38" t="s">
        <v>145</v>
      </c>
      <c r="B308" s="40">
        <v>0.65152708126256698</v>
      </c>
      <c r="C308" s="39">
        <v>0.65459327517398214</v>
      </c>
      <c r="D308" s="39">
        <v>0.63146351133557366</v>
      </c>
      <c r="E308" s="39">
        <v>0.65115047195409259</v>
      </c>
      <c r="F308" s="39">
        <v>0.65587333781441448</v>
      </c>
      <c r="G308" s="39">
        <v>0.63016128213109879</v>
      </c>
      <c r="H308" s="39">
        <v>0.61388767891227081</v>
      </c>
      <c r="I308" s="39">
        <v>0.68760484168953973</v>
      </c>
      <c r="J308" s="39">
        <v>0.71958530106139629</v>
      </c>
      <c r="K308" s="39">
        <v>0.74842734875935391</v>
      </c>
      <c r="L308" s="45">
        <v>0.75073861821208254</v>
      </c>
      <c r="M308" s="39">
        <v>0.74277319347757287</v>
      </c>
      <c r="N308" s="39">
        <v>0.73858426593720328</v>
      </c>
    </row>
    <row r="309" spans="1:14" ht="12.75" customHeight="1" x14ac:dyDescent="0.2">
      <c r="A309" s="38" t="s">
        <v>136</v>
      </c>
      <c r="B309" s="40">
        <v>0.54167406988892275</v>
      </c>
      <c r="C309" s="39">
        <v>0.55567028371609173</v>
      </c>
      <c r="D309" s="39">
        <v>0.5631426480493732</v>
      </c>
      <c r="E309" s="39">
        <v>0.58576245855239095</v>
      </c>
      <c r="F309" s="39">
        <v>0.63916754850798407</v>
      </c>
      <c r="G309" s="39">
        <v>0.63297274431639938</v>
      </c>
      <c r="H309" s="39">
        <v>0.63186777548151618</v>
      </c>
      <c r="I309" s="39">
        <v>0.64522942604555344</v>
      </c>
      <c r="J309" s="39">
        <v>0.65531718346646717</v>
      </c>
      <c r="K309" s="39">
        <v>0.70310203896377621</v>
      </c>
      <c r="L309" s="45">
        <v>0.7008898159336675</v>
      </c>
      <c r="M309" s="39">
        <v>0.68107087235843766</v>
      </c>
      <c r="N309" s="39">
        <v>0.73017777805551198</v>
      </c>
    </row>
    <row r="310" spans="1:14" ht="12.75" customHeight="1" x14ac:dyDescent="0.2">
      <c r="A310" s="38" t="s">
        <v>7073</v>
      </c>
      <c r="B310" s="40">
        <v>0.58345163904534059</v>
      </c>
      <c r="C310" s="39">
        <v>0.60952039764755117</v>
      </c>
      <c r="D310" s="39">
        <v>0.58236239545932844</v>
      </c>
      <c r="E310" s="39">
        <v>0.62201509354486395</v>
      </c>
      <c r="F310" s="39">
        <v>0.62953451958620865</v>
      </c>
      <c r="G310" s="39">
        <v>0.66059102749161724</v>
      </c>
      <c r="H310" s="39">
        <v>0.66745890550121079</v>
      </c>
      <c r="I310" s="39">
        <v>0.6992755801043522</v>
      </c>
      <c r="J310" s="39">
        <v>0.70433313717020052</v>
      </c>
      <c r="K310" s="39">
        <v>0.71810454643301158</v>
      </c>
      <c r="L310" s="45">
        <v>0.68826408351443957</v>
      </c>
      <c r="M310" s="39">
        <v>0.69944656088822743</v>
      </c>
      <c r="N310" s="39">
        <v>0.74817722453352753</v>
      </c>
    </row>
    <row r="311" spans="1:14" ht="12.75" customHeight="1" x14ac:dyDescent="0.2">
      <c r="A311" s="38" t="s">
        <v>183</v>
      </c>
      <c r="B311" s="40">
        <v>0.69454730117078067</v>
      </c>
      <c r="C311" s="39">
        <v>0.68728271500793214</v>
      </c>
      <c r="D311" s="39">
        <v>0.65754425252355209</v>
      </c>
      <c r="E311" s="39">
        <v>0.71845582802623886</v>
      </c>
      <c r="F311" s="39">
        <v>0.70900466043050281</v>
      </c>
      <c r="G311" s="39">
        <v>0.73414346609129122</v>
      </c>
      <c r="H311" s="39">
        <v>0.71583998954641237</v>
      </c>
      <c r="I311" s="39">
        <v>0.72450817045424831</v>
      </c>
      <c r="J311" s="39">
        <v>0.71097360546521315</v>
      </c>
      <c r="K311" s="39">
        <v>0.7597265350925908</v>
      </c>
      <c r="L311" s="45">
        <v>0.70782435061491988</v>
      </c>
      <c r="M311" s="39">
        <v>0.72432951117643574</v>
      </c>
      <c r="N311" s="39">
        <v>0.6817355647527652</v>
      </c>
    </row>
    <row r="312" spans="1:14" ht="12.75" customHeight="1" x14ac:dyDescent="0.2">
      <c r="A312" s="38" t="s">
        <v>86</v>
      </c>
      <c r="B312" s="40">
        <v>0.58434679694659319</v>
      </c>
      <c r="C312" s="39">
        <v>0.61394060942812489</v>
      </c>
      <c r="D312" s="39">
        <v>0.53862341303055561</v>
      </c>
      <c r="E312" s="39">
        <v>0.5808210352623272</v>
      </c>
      <c r="F312" s="39">
        <v>0.58247118583236368</v>
      </c>
      <c r="G312" s="39">
        <v>0.5771696360823223</v>
      </c>
      <c r="H312" s="39">
        <v>0.55406987075875447</v>
      </c>
      <c r="I312" s="39">
        <v>0.6298432157860655</v>
      </c>
      <c r="J312" s="39">
        <v>0.62395237406629345</v>
      </c>
      <c r="K312" s="39">
        <v>0.659314770549004</v>
      </c>
      <c r="L312" s="45">
        <v>0.65770682262479807</v>
      </c>
      <c r="M312" s="39">
        <v>0.68215934160462932</v>
      </c>
      <c r="N312" s="39">
        <v>0.6975695280486679</v>
      </c>
    </row>
    <row r="313" spans="1:14" ht="12.75" customHeight="1" x14ac:dyDescent="0.2">
      <c r="A313" s="38" t="s">
        <v>184</v>
      </c>
      <c r="B313" s="40">
        <v>0.50768995690436991</v>
      </c>
      <c r="C313" s="39">
        <v>0.56390866114262794</v>
      </c>
      <c r="D313" s="39">
        <v>0.55447150205969564</v>
      </c>
      <c r="E313" s="39">
        <v>0.60028633851331958</v>
      </c>
      <c r="F313" s="39">
        <v>0.62305917823173662</v>
      </c>
      <c r="G313" s="39">
        <v>0.68856268877059656</v>
      </c>
      <c r="H313" s="39">
        <v>0.60866789602549931</v>
      </c>
      <c r="I313" s="39">
        <v>0.6471870501740592</v>
      </c>
      <c r="J313" s="39">
        <v>0.6679340156201391</v>
      </c>
      <c r="K313" s="39">
        <v>0.72377938861626701</v>
      </c>
      <c r="L313" s="45">
        <v>0.73152306259666433</v>
      </c>
      <c r="M313" s="39">
        <v>0.65106698899303672</v>
      </c>
      <c r="N313" s="39">
        <v>0.7127845899634967</v>
      </c>
    </row>
    <row r="314" spans="1:14" ht="12.75" customHeight="1" x14ac:dyDescent="0.2">
      <c r="A314" s="38" t="s">
        <v>403</v>
      </c>
      <c r="B314" s="40">
        <v>0.43729200575205079</v>
      </c>
      <c r="C314" s="39">
        <v>0.47315944791728209</v>
      </c>
      <c r="D314" s="39">
        <v>0.46019229989143279</v>
      </c>
      <c r="E314" s="39">
        <v>0.49356006810944075</v>
      </c>
      <c r="F314" s="39">
        <v>0.55448687198725588</v>
      </c>
      <c r="G314" s="39">
        <v>0.6116790614792974</v>
      </c>
      <c r="H314" s="39">
        <v>0.62950518766192165</v>
      </c>
      <c r="I314" s="39">
        <v>0.65552218800884876</v>
      </c>
      <c r="J314" s="39">
        <v>0.66124811905459058</v>
      </c>
      <c r="K314" s="39">
        <v>0.66576665659723877</v>
      </c>
      <c r="L314" s="45">
        <v>0.67230651471455471</v>
      </c>
      <c r="M314" s="39">
        <v>0.66810846065447704</v>
      </c>
      <c r="N314" s="39">
        <v>0.68589963567591783</v>
      </c>
    </row>
    <row r="315" spans="1:14" ht="12.75" customHeight="1" x14ac:dyDescent="0.2">
      <c r="A315" s="38" t="s">
        <v>7072</v>
      </c>
      <c r="B315" s="40">
        <v>0.60216897748145948</v>
      </c>
      <c r="C315" s="39">
        <v>0.61372561119892144</v>
      </c>
      <c r="D315" s="39">
        <v>0.63049411224864904</v>
      </c>
      <c r="E315" s="39">
        <v>0.69109455351492566</v>
      </c>
      <c r="F315" s="39">
        <v>0.72067893400172445</v>
      </c>
      <c r="G315" s="39">
        <v>0.74121114990512671</v>
      </c>
      <c r="H315" s="39">
        <v>0.74839503449338129</v>
      </c>
      <c r="I315" s="39">
        <v>0.76124138995953772</v>
      </c>
      <c r="J315" s="39">
        <v>0.76863900461117751</v>
      </c>
      <c r="K315" s="39">
        <v>0.79010668759792235</v>
      </c>
      <c r="L315" s="45">
        <v>0.78386390861366595</v>
      </c>
      <c r="M315" s="39">
        <v>0.79111921969081711</v>
      </c>
      <c r="N315" s="39">
        <v>0.80955337208518774</v>
      </c>
    </row>
    <row r="316" spans="1:14" ht="12.75" customHeight="1" x14ac:dyDescent="0.2">
      <c r="A316" s="38" t="s">
        <v>98</v>
      </c>
      <c r="B316" s="40">
        <v>0.70755824768169884</v>
      </c>
      <c r="C316" s="39">
        <v>0.71495913670898936</v>
      </c>
      <c r="D316" s="39">
        <v>0.71843109057294541</v>
      </c>
      <c r="E316" s="39">
        <v>0.73180506475832774</v>
      </c>
      <c r="F316" s="39">
        <v>0.72572258846471482</v>
      </c>
      <c r="G316" s="39">
        <v>0.73316199695178341</v>
      </c>
      <c r="H316" s="39">
        <v>0.7385687970854945</v>
      </c>
      <c r="I316" s="39">
        <v>0.75477649389461554</v>
      </c>
      <c r="J316" s="39">
        <v>0.75423160377339593</v>
      </c>
      <c r="K316" s="39">
        <v>0.77388318366109365</v>
      </c>
      <c r="L316" s="45">
        <v>0.78501850440379073</v>
      </c>
      <c r="M316" s="39">
        <v>0.79825766292128308</v>
      </c>
      <c r="N316" s="39">
        <v>0.80490950145181106</v>
      </c>
    </row>
    <row r="317" spans="1:14" ht="12.75" customHeight="1" x14ac:dyDescent="0.2">
      <c r="A317" s="38" t="s">
        <v>258</v>
      </c>
      <c r="B317" s="40">
        <v>0.55366779258182353</v>
      </c>
      <c r="C317" s="39">
        <v>0.62010584319221851</v>
      </c>
      <c r="D317" s="39">
        <v>0.61922959103136188</v>
      </c>
      <c r="E317" s="39">
        <v>0.62650944672178843</v>
      </c>
      <c r="F317" s="39">
        <v>0.63781680146142572</v>
      </c>
      <c r="G317" s="39">
        <v>0.6315867459964164</v>
      </c>
      <c r="H317" s="39">
        <v>0.64132923478126636</v>
      </c>
      <c r="I317" s="39">
        <v>0.64326945949737491</v>
      </c>
      <c r="J317" s="39">
        <v>0.69025529984617506</v>
      </c>
      <c r="K317" s="39">
        <v>0.73268890543380527</v>
      </c>
      <c r="L317" s="45">
        <v>0.72155575157210217</v>
      </c>
      <c r="M317" s="39">
        <v>0.71918917174177066</v>
      </c>
      <c r="N317" s="39">
        <v>0.71398516931419154</v>
      </c>
    </row>
    <row r="318" spans="1:14" ht="12.75" customHeight="1" x14ac:dyDescent="0.2">
      <c r="A318" s="38" t="s">
        <v>268</v>
      </c>
      <c r="B318" s="40">
        <v>0.6741233697046608</v>
      </c>
      <c r="C318" s="39">
        <v>0.72704505275114906</v>
      </c>
      <c r="D318" s="39">
        <v>0.71612091551404233</v>
      </c>
      <c r="E318" s="39">
        <v>0.78132254622118902</v>
      </c>
      <c r="F318" s="39">
        <v>0.73179373602709641</v>
      </c>
      <c r="G318" s="39">
        <v>0.72513960755476992</v>
      </c>
      <c r="H318" s="39">
        <v>0.66855947420507145</v>
      </c>
      <c r="I318" s="39">
        <v>0.69436811684393118</v>
      </c>
      <c r="J318" s="39">
        <v>0.69657889164210962</v>
      </c>
      <c r="K318" s="39">
        <v>0.73819651995835034</v>
      </c>
      <c r="L318" s="45">
        <v>0.73507853402362455</v>
      </c>
      <c r="M318" s="39">
        <v>0.744488696955527</v>
      </c>
      <c r="N318" s="39">
        <v>0.75188032410126449</v>
      </c>
    </row>
    <row r="319" spans="1:14" ht="12.75" customHeight="1" x14ac:dyDescent="0.2">
      <c r="A319" s="38" t="s">
        <v>185</v>
      </c>
      <c r="B319" s="40">
        <v>0.49470538046668527</v>
      </c>
      <c r="C319" s="39">
        <v>0.5555823819257838</v>
      </c>
      <c r="D319" s="39">
        <v>0.60350113137677586</v>
      </c>
      <c r="E319" s="39">
        <v>0.62208591380971445</v>
      </c>
      <c r="F319" s="39">
        <v>0.62980435620876885</v>
      </c>
      <c r="G319" s="39">
        <v>0.63738285744761924</v>
      </c>
      <c r="H319" s="39">
        <v>0.6807385030936528</v>
      </c>
      <c r="I319" s="39">
        <v>0.71877675395198948</v>
      </c>
      <c r="J319" s="39">
        <v>0.66718889094385225</v>
      </c>
      <c r="K319" s="39">
        <v>0.6796747776789317</v>
      </c>
      <c r="L319" s="45">
        <v>0.71406249396257993</v>
      </c>
      <c r="M319" s="39">
        <v>0.72577643408126036</v>
      </c>
      <c r="N319" s="39">
        <v>0.74135512514122548</v>
      </c>
    </row>
    <row r="320" spans="1:14" ht="12.75" customHeight="1" x14ac:dyDescent="0.2">
      <c r="A320" s="38" t="s">
        <v>99</v>
      </c>
      <c r="B320" s="40">
        <v>0.65407196429625891</v>
      </c>
      <c r="C320" s="39">
        <v>0.71010169849355298</v>
      </c>
      <c r="D320" s="39">
        <v>0.67164673325227398</v>
      </c>
      <c r="E320" s="39">
        <v>0.7603533433436217</v>
      </c>
      <c r="F320" s="39">
        <v>0.7825774746858265</v>
      </c>
      <c r="G320" s="39">
        <v>0.7721720941137501</v>
      </c>
      <c r="H320" s="39">
        <v>0.78163980255490906</v>
      </c>
      <c r="I320" s="39">
        <v>0.79905408008427281</v>
      </c>
      <c r="J320" s="39">
        <v>0.79475969440226457</v>
      </c>
      <c r="K320" s="39">
        <v>0.80778009035563514</v>
      </c>
      <c r="L320" s="45">
        <v>0.82467148551704594</v>
      </c>
      <c r="M320" s="39">
        <v>0.81694504259668366</v>
      </c>
      <c r="N320" s="39">
        <v>0.83603273129160149</v>
      </c>
    </row>
    <row r="321" spans="1:14" ht="12.75" customHeight="1" x14ac:dyDescent="0.2">
      <c r="A321" s="38" t="s">
        <v>361</v>
      </c>
      <c r="B321" s="40">
        <v>0.57109989581036402</v>
      </c>
      <c r="C321" s="39">
        <v>0.63556856966731057</v>
      </c>
      <c r="D321" s="39">
        <v>0.63107450623243211</v>
      </c>
      <c r="E321" s="39">
        <v>0.69395970337952473</v>
      </c>
      <c r="F321" s="39">
        <v>0.69576131172093214</v>
      </c>
      <c r="G321" s="39">
        <v>0.68303537211040144</v>
      </c>
      <c r="H321" s="39">
        <v>0.6770341095829403</v>
      </c>
      <c r="I321" s="39">
        <v>0.70290711934937056</v>
      </c>
      <c r="J321" s="39">
        <v>0.72929813756992934</v>
      </c>
      <c r="K321" s="39">
        <v>0.75389167261077838</v>
      </c>
      <c r="L321" s="45">
        <v>0.72867038073124701</v>
      </c>
      <c r="M321" s="39">
        <v>0.75229469607866195</v>
      </c>
      <c r="N321" s="39">
        <v>0.73904000799237568</v>
      </c>
    </row>
    <row r="322" spans="1:14" ht="12.75" customHeight="1" x14ac:dyDescent="0.2">
      <c r="A322" s="38" t="s">
        <v>175</v>
      </c>
      <c r="B322" s="40">
        <v>0.60210135708589296</v>
      </c>
      <c r="C322" s="39">
        <v>0.58122881559477624</v>
      </c>
      <c r="D322" s="39">
        <v>0.61038914898482111</v>
      </c>
      <c r="E322" s="39">
        <v>0.60982504194096532</v>
      </c>
      <c r="F322" s="39">
        <v>0.63326657746132387</v>
      </c>
      <c r="G322" s="39">
        <v>0.57991757181084735</v>
      </c>
      <c r="H322" s="39">
        <v>0.59584538429723766</v>
      </c>
      <c r="I322" s="39">
        <v>0.65200951049402311</v>
      </c>
      <c r="J322" s="39">
        <v>0.66793443974908107</v>
      </c>
      <c r="K322" s="39">
        <v>0.72583858601932427</v>
      </c>
      <c r="L322" s="45">
        <v>0.71542451094112458</v>
      </c>
      <c r="M322" s="39">
        <v>0.74581478491644992</v>
      </c>
      <c r="N322" s="39">
        <v>0.71194670936904136</v>
      </c>
    </row>
    <row r="323" spans="1:14" ht="12.75" customHeight="1" x14ac:dyDescent="0.2">
      <c r="A323" s="38" t="s">
        <v>362</v>
      </c>
      <c r="B323" s="40">
        <v>0.56712012920714228</v>
      </c>
      <c r="C323" s="39">
        <v>0.63923860883979833</v>
      </c>
      <c r="D323" s="39">
        <v>0.64291210914890129</v>
      </c>
      <c r="E323" s="39">
        <v>0.69648251636233682</v>
      </c>
      <c r="F323" s="39">
        <v>0.66611862605216521</v>
      </c>
      <c r="G323" s="39">
        <v>0.65917720588047579</v>
      </c>
      <c r="H323" s="39">
        <v>0.64452934523412309</v>
      </c>
      <c r="I323" s="39">
        <v>0.70024404038992072</v>
      </c>
      <c r="J323" s="39">
        <v>0.71457041752077144</v>
      </c>
      <c r="K323" s="39">
        <v>0.76047747011242828</v>
      </c>
      <c r="L323" s="45">
        <v>0.76395252608284225</v>
      </c>
      <c r="M323" s="39">
        <v>0.75435942970698966</v>
      </c>
      <c r="N323" s="39">
        <v>0.75874143095426894</v>
      </c>
    </row>
    <row r="324" spans="1:14" ht="12.75" customHeight="1" x14ac:dyDescent="0.2">
      <c r="A324" s="38" t="s">
        <v>137</v>
      </c>
      <c r="B324" s="40">
        <v>0.58229501751928792</v>
      </c>
      <c r="C324" s="39">
        <v>0.52152611440696706</v>
      </c>
      <c r="D324" s="39">
        <v>0.51500694182541051</v>
      </c>
      <c r="E324" s="39">
        <v>0.55579590026957926</v>
      </c>
      <c r="F324" s="39">
        <v>0.59113829853908306</v>
      </c>
      <c r="G324" s="39">
        <v>0.64526294461527123</v>
      </c>
      <c r="H324" s="39">
        <v>0.6734932747615342</v>
      </c>
      <c r="I324" s="39">
        <v>0.68188977694763164</v>
      </c>
      <c r="J324" s="39">
        <v>0.67714535424340294</v>
      </c>
      <c r="K324" s="39">
        <v>0.68621599114786846</v>
      </c>
      <c r="L324" s="45">
        <v>0.68949051150111718</v>
      </c>
      <c r="M324" s="39">
        <v>0.63933049269542408</v>
      </c>
      <c r="N324" s="39">
        <v>0.63082293611196227</v>
      </c>
    </row>
    <row r="325" spans="1:14" ht="12.75" customHeight="1" x14ac:dyDescent="0.2">
      <c r="A325" s="38" t="s">
        <v>478</v>
      </c>
      <c r="B325" s="40">
        <v>0.47725777746564502</v>
      </c>
      <c r="C325" s="39">
        <v>0.55392375404764815</v>
      </c>
      <c r="D325" s="39">
        <v>0.52264273670656136</v>
      </c>
      <c r="E325" s="39">
        <v>0.66630775017599875</v>
      </c>
      <c r="F325" s="39">
        <v>0.64766042113708278</v>
      </c>
      <c r="G325" s="39">
        <v>0.64895392795969697</v>
      </c>
      <c r="H325" s="39">
        <v>0.60346767523710676</v>
      </c>
      <c r="I325" s="39">
        <v>0.6582419882609547</v>
      </c>
      <c r="J325" s="39">
        <v>0.64169040090993568</v>
      </c>
      <c r="K325" s="39">
        <v>0.69103248693723041</v>
      </c>
      <c r="L325" s="45">
        <v>0.6601552439746059</v>
      </c>
      <c r="M325" s="39">
        <v>0.65064153749192799</v>
      </c>
      <c r="N325" s="39">
        <v>0.68519942597772865</v>
      </c>
    </row>
    <row r="326" spans="1:14" ht="12.75" customHeight="1" x14ac:dyDescent="0.2">
      <c r="A326" s="38" t="s">
        <v>294</v>
      </c>
      <c r="B326" s="40">
        <v>0.59335254757762013</v>
      </c>
      <c r="C326" s="39">
        <v>0.63877354907858941</v>
      </c>
      <c r="D326" s="39">
        <v>0.60698506702720267</v>
      </c>
      <c r="E326" s="39">
        <v>0.62419071547215754</v>
      </c>
      <c r="F326" s="39">
        <v>0.64118722402306827</v>
      </c>
      <c r="G326" s="39">
        <v>0.65260823261702416</v>
      </c>
      <c r="H326" s="39">
        <v>0.64372525707609607</v>
      </c>
      <c r="I326" s="39">
        <v>0.6189434028687365</v>
      </c>
      <c r="J326" s="39">
        <v>0.59105883990920771</v>
      </c>
      <c r="K326" s="39">
        <v>0.71391260576904203</v>
      </c>
      <c r="L326" s="45">
        <v>0.68216749524103959</v>
      </c>
      <c r="M326" s="39">
        <v>0.67526533809110034</v>
      </c>
      <c r="N326" s="39">
        <v>0.65610247702931601</v>
      </c>
    </row>
    <row r="327" spans="1:14" ht="12.75" customHeight="1" x14ac:dyDescent="0.2">
      <c r="A327" s="38" t="s">
        <v>193</v>
      </c>
      <c r="B327" s="40">
        <v>0.5850148017670348</v>
      </c>
      <c r="C327" s="39">
        <v>0.60215506740440727</v>
      </c>
      <c r="D327" s="39">
        <v>0.56862390880091873</v>
      </c>
      <c r="E327" s="39">
        <v>0.63258926302592611</v>
      </c>
      <c r="F327" s="39">
        <v>0.63559718686383759</v>
      </c>
      <c r="G327" s="39">
        <v>0.68473366064405727</v>
      </c>
      <c r="H327" s="39">
        <v>0.67587642332366649</v>
      </c>
      <c r="I327" s="39">
        <v>0.72908064577558351</v>
      </c>
      <c r="J327" s="39">
        <v>0.73984253693718205</v>
      </c>
      <c r="K327" s="39">
        <v>0.76999739478535079</v>
      </c>
      <c r="L327" s="45">
        <v>0.76087792789900188</v>
      </c>
      <c r="M327" s="39">
        <v>0.77852497550159772</v>
      </c>
      <c r="N327" s="39">
        <v>0.78413018170404669</v>
      </c>
    </row>
    <row r="328" spans="1:14" ht="12.75" customHeight="1" x14ac:dyDescent="0.2">
      <c r="A328" s="38" t="s">
        <v>315</v>
      </c>
      <c r="B328" s="40">
        <v>0.65412495568571616</v>
      </c>
      <c r="C328" s="39">
        <v>0.69047882666226323</v>
      </c>
      <c r="D328" s="39">
        <v>0.67571411346084187</v>
      </c>
      <c r="E328" s="39">
        <v>0.72012788757212098</v>
      </c>
      <c r="F328" s="39">
        <v>0.72055492171230739</v>
      </c>
      <c r="G328" s="39">
        <v>0.75781410309253705</v>
      </c>
      <c r="H328" s="39">
        <v>0.75370283442467734</v>
      </c>
      <c r="I328" s="39">
        <v>0.7532973076156585</v>
      </c>
      <c r="J328" s="39">
        <v>0.73382386090987828</v>
      </c>
      <c r="K328" s="39">
        <v>0.73896469716212343</v>
      </c>
      <c r="L328" s="45">
        <v>0.75284688962754398</v>
      </c>
      <c r="M328" s="39">
        <v>0.77764679916292978</v>
      </c>
      <c r="N328" s="39">
        <v>0.79233796494165298</v>
      </c>
    </row>
    <row r="329" spans="1:14" ht="12.75" customHeight="1" x14ac:dyDescent="0.2">
      <c r="A329" s="38" t="s">
        <v>194</v>
      </c>
      <c r="B329" s="40">
        <v>0.6503793423737636</v>
      </c>
      <c r="C329" s="39">
        <v>0.58721434624032909</v>
      </c>
      <c r="D329" s="39">
        <v>0.63228547141637137</v>
      </c>
      <c r="E329" s="39">
        <v>0.66699576380691405</v>
      </c>
      <c r="F329" s="39">
        <v>0.69285302774547164</v>
      </c>
      <c r="G329" s="39">
        <v>0.72053711842906532</v>
      </c>
      <c r="H329" s="39">
        <v>0.65608753882431037</v>
      </c>
      <c r="I329" s="39">
        <v>0.63099450109038158</v>
      </c>
      <c r="J329" s="39">
        <v>0.6482991925256264</v>
      </c>
      <c r="K329" s="39">
        <v>0.77658810834714975</v>
      </c>
      <c r="L329" s="45">
        <v>0.76071196800642926</v>
      </c>
      <c r="M329" s="39">
        <v>0.69621578738340173</v>
      </c>
      <c r="N329" s="39">
        <v>0.71552637241347217</v>
      </c>
    </row>
    <row r="330" spans="1:14" ht="12.75" customHeight="1" x14ac:dyDescent="0.2">
      <c r="A330" s="38" t="s">
        <v>269</v>
      </c>
      <c r="B330" s="40">
        <v>0.63445066910744441</v>
      </c>
      <c r="C330" s="39">
        <v>0.67644435888469445</v>
      </c>
      <c r="D330" s="39">
        <v>0.67618863029736753</v>
      </c>
      <c r="E330" s="39">
        <v>0.66951222662114673</v>
      </c>
      <c r="F330" s="39">
        <v>0.65610090384538988</v>
      </c>
      <c r="G330" s="39">
        <v>0.65582378527094842</v>
      </c>
      <c r="H330" s="39">
        <v>0.66226242375472433</v>
      </c>
      <c r="I330" s="39">
        <v>0.64597248682921171</v>
      </c>
      <c r="J330" s="39">
        <v>0.64214761439590573</v>
      </c>
      <c r="K330" s="39">
        <v>0.69553492833117458</v>
      </c>
      <c r="L330" s="45">
        <v>0.70344274224659797</v>
      </c>
      <c r="M330" s="39">
        <v>0.68415729694029437</v>
      </c>
      <c r="N330" s="39">
        <v>0.69658005490290753</v>
      </c>
    </row>
    <row r="331" spans="1:14" ht="12.75" customHeight="1" x14ac:dyDescent="0.2">
      <c r="A331" s="38" t="s">
        <v>373</v>
      </c>
      <c r="B331" s="40">
        <v>0.65203394454368768</v>
      </c>
      <c r="C331" s="39">
        <v>0.67454136662860054</v>
      </c>
      <c r="D331" s="39">
        <v>0.67474965161156231</v>
      </c>
      <c r="E331" s="39">
        <v>0.6909130306534218</v>
      </c>
      <c r="F331" s="39">
        <v>0.6868746069627546</v>
      </c>
      <c r="G331" s="39">
        <v>0.68196254778438925</v>
      </c>
      <c r="H331" s="39">
        <v>0.68339883145694158</v>
      </c>
      <c r="I331" s="39">
        <v>0.72073362112312511</v>
      </c>
      <c r="J331" s="39">
        <v>0.72983018454244097</v>
      </c>
      <c r="K331" s="39">
        <v>0.7686144960567467</v>
      </c>
      <c r="L331" s="45">
        <v>0.76565454818902223</v>
      </c>
      <c r="M331" s="39">
        <v>0.76791248451635352</v>
      </c>
      <c r="N331" s="39">
        <v>0.75287019312384773</v>
      </c>
    </row>
    <row r="332" spans="1:14" ht="12.75" customHeight="1" x14ac:dyDescent="0.2">
      <c r="A332" s="38" t="s">
        <v>347</v>
      </c>
      <c r="B332" s="40">
        <v>0.63321413806254878</v>
      </c>
      <c r="C332" s="39">
        <v>0.60350919406355741</v>
      </c>
      <c r="D332" s="39">
        <v>0.61979105971221615</v>
      </c>
      <c r="E332" s="39">
        <v>0.63798344783434413</v>
      </c>
      <c r="F332" s="39">
        <v>0.63000620216889125</v>
      </c>
      <c r="G332" s="39">
        <v>0.63949379135984952</v>
      </c>
      <c r="H332" s="39">
        <v>0.62986918453379992</v>
      </c>
      <c r="I332" s="39">
        <v>0.66761891121033035</v>
      </c>
      <c r="J332" s="39">
        <v>0.67793920249661344</v>
      </c>
      <c r="K332" s="39">
        <v>0.69838175193778529</v>
      </c>
      <c r="L332" s="45">
        <v>0.67782546601371596</v>
      </c>
      <c r="M332" s="39">
        <v>0.70819687106767903</v>
      </c>
      <c r="N332" s="39">
        <v>0.74064143195404497</v>
      </c>
    </row>
    <row r="333" spans="1:14" ht="12.75" customHeight="1" x14ac:dyDescent="0.2">
      <c r="A333" s="38" t="s">
        <v>78</v>
      </c>
      <c r="B333" s="40">
        <v>0.40344334014240607</v>
      </c>
      <c r="C333" s="39">
        <v>0.45965504288564335</v>
      </c>
      <c r="D333" s="39">
        <v>0.468654386086365</v>
      </c>
      <c r="E333" s="39">
        <v>0.5456037654378646</v>
      </c>
      <c r="F333" s="39">
        <v>0.54904563364560655</v>
      </c>
      <c r="G333" s="39">
        <v>0.55074468172798008</v>
      </c>
      <c r="H333" s="39">
        <v>0.51033482554399645</v>
      </c>
      <c r="I333" s="39">
        <v>0.50778610076273845</v>
      </c>
      <c r="J333" s="39">
        <v>0.5077598300789018</v>
      </c>
      <c r="K333" s="39">
        <v>0.57532166464404744</v>
      </c>
      <c r="L333" s="45">
        <v>0.63745693663080127</v>
      </c>
      <c r="M333" s="39">
        <v>0.62186570449173262</v>
      </c>
      <c r="N333" s="39">
        <v>0.63212953550487416</v>
      </c>
    </row>
    <row r="334" spans="1:14" ht="12.75" customHeight="1" x14ac:dyDescent="0.2">
      <c r="A334" s="38" t="s">
        <v>146</v>
      </c>
      <c r="B334" s="40">
        <v>0.53280218689360848</v>
      </c>
      <c r="C334" s="39">
        <v>0.52547933149240078</v>
      </c>
      <c r="D334" s="39">
        <v>0.52767710053583572</v>
      </c>
      <c r="E334" s="39">
        <v>0.54038776451483417</v>
      </c>
      <c r="F334" s="39">
        <v>0.5702817925668191</v>
      </c>
      <c r="G334" s="39">
        <v>0.5836419868506405</v>
      </c>
      <c r="H334" s="39">
        <v>0.62815183902015803</v>
      </c>
      <c r="I334" s="39">
        <v>0.69749945874421915</v>
      </c>
      <c r="J334" s="39">
        <v>0.70274331730234607</v>
      </c>
      <c r="K334" s="39">
        <v>0.73316025272902741</v>
      </c>
      <c r="L334" s="45">
        <v>0.71000170458335232</v>
      </c>
      <c r="M334" s="39">
        <v>0.70446766198310351</v>
      </c>
      <c r="N334" s="39">
        <v>0.71663472484129576</v>
      </c>
    </row>
    <row r="335" spans="1:14" ht="12.75" customHeight="1" x14ac:dyDescent="0.2">
      <c r="A335" s="38" t="s">
        <v>270</v>
      </c>
      <c r="B335" s="40">
        <v>0.61532029905515528</v>
      </c>
      <c r="C335" s="39">
        <v>0.62077202318627933</v>
      </c>
      <c r="D335" s="39">
        <v>0.62819691151117019</v>
      </c>
      <c r="E335" s="39">
        <v>0.63187587035339943</v>
      </c>
      <c r="F335" s="39">
        <v>0.65089304164902895</v>
      </c>
      <c r="G335" s="39">
        <v>0.63279711949466433</v>
      </c>
      <c r="H335" s="39">
        <v>0.623666838973718</v>
      </c>
      <c r="I335" s="39">
        <v>0.67405017938287914</v>
      </c>
      <c r="J335" s="39">
        <v>0.68487479320336853</v>
      </c>
      <c r="K335" s="39">
        <v>0.66694014428107973</v>
      </c>
      <c r="L335" s="45">
        <v>0.67255325776141783</v>
      </c>
      <c r="M335" s="39">
        <v>0.6234447450577294</v>
      </c>
      <c r="N335" s="39">
        <v>0.68126408916583348</v>
      </c>
    </row>
    <row r="336" spans="1:14" ht="12.75" customHeight="1" x14ac:dyDescent="0.2">
      <c r="A336" s="38" t="s">
        <v>348</v>
      </c>
      <c r="B336" s="40">
        <v>0.61701619306504896</v>
      </c>
      <c r="C336" s="39">
        <v>0.65355180981790195</v>
      </c>
      <c r="D336" s="39">
        <v>0.64587713318091866</v>
      </c>
      <c r="E336" s="39">
        <v>0.66336076741792105</v>
      </c>
      <c r="F336" s="39">
        <v>0.65349120394082216</v>
      </c>
      <c r="G336" s="39">
        <v>0.64367997523861586</v>
      </c>
      <c r="H336" s="39">
        <v>0.66779035796841724</v>
      </c>
      <c r="I336" s="39">
        <v>0.68003149998997026</v>
      </c>
      <c r="J336" s="39">
        <v>0.69149633845434144</v>
      </c>
      <c r="K336" s="39">
        <v>0.71555345472984844</v>
      </c>
      <c r="L336" s="45">
        <v>0.73574342336497178</v>
      </c>
      <c r="M336" s="39">
        <v>0.75721750376646879</v>
      </c>
      <c r="N336" s="39">
        <v>0.76163910232832122</v>
      </c>
    </row>
    <row r="337" spans="1:14" ht="12.75" customHeight="1" x14ac:dyDescent="0.2">
      <c r="A337" s="38" t="s">
        <v>316</v>
      </c>
      <c r="B337" s="40">
        <v>0.67164042554757197</v>
      </c>
      <c r="C337" s="39">
        <v>0.68786960457849833</v>
      </c>
      <c r="D337" s="39">
        <v>0.66192875655183403</v>
      </c>
      <c r="E337" s="39">
        <v>0.65543834618885022</v>
      </c>
      <c r="F337" s="39">
        <v>0.65894034385040967</v>
      </c>
      <c r="G337" s="39">
        <v>0.68935894054777469</v>
      </c>
      <c r="H337" s="39">
        <v>0.69146018811325816</v>
      </c>
      <c r="I337" s="39">
        <v>0.70761876579767069</v>
      </c>
      <c r="J337" s="39">
        <v>0.71896167240068432</v>
      </c>
      <c r="K337" s="39">
        <v>0.73033983472243913</v>
      </c>
      <c r="L337" s="45">
        <v>0.68972698299870761</v>
      </c>
      <c r="M337" s="39">
        <v>0.70861078705766556</v>
      </c>
      <c r="N337" s="39">
        <v>0.71664864607375656</v>
      </c>
    </row>
    <row r="338" spans="1:14" ht="12.75" customHeight="1" x14ac:dyDescent="0.2">
      <c r="A338" s="38" t="s">
        <v>38</v>
      </c>
      <c r="B338" s="40">
        <v>0.51186031732794224</v>
      </c>
      <c r="C338" s="39">
        <v>0.55212065118883735</v>
      </c>
      <c r="D338" s="39">
        <v>0.56068306019586778</v>
      </c>
      <c r="E338" s="39">
        <v>0.58660216122597808</v>
      </c>
      <c r="F338" s="39">
        <v>0.59481266494484808</v>
      </c>
      <c r="G338" s="39">
        <v>0.58874169006587873</v>
      </c>
      <c r="H338" s="39">
        <v>0.64330033578028578</v>
      </c>
      <c r="I338" s="39">
        <v>0.63856613823326569</v>
      </c>
      <c r="J338" s="39">
        <v>0.63008536696034168</v>
      </c>
      <c r="K338" s="39">
        <v>0.68721215438326089</v>
      </c>
      <c r="L338" s="45">
        <v>0.69836551157646876</v>
      </c>
      <c r="M338" s="39">
        <v>0.72036073713770554</v>
      </c>
      <c r="N338" s="39">
        <v>0.74861069402107872</v>
      </c>
    </row>
    <row r="339" spans="1:14" ht="12.75" customHeight="1" x14ac:dyDescent="0.2">
      <c r="A339" s="38" t="s">
        <v>147</v>
      </c>
      <c r="B339" s="40">
        <v>0.58337468028720008</v>
      </c>
      <c r="C339" s="39">
        <v>0.58047405343973602</v>
      </c>
      <c r="D339" s="39">
        <v>0.5764525875465043</v>
      </c>
      <c r="E339" s="39">
        <v>0.62195192181611836</v>
      </c>
      <c r="F339" s="39">
        <v>0.64495197433493578</v>
      </c>
      <c r="G339" s="39">
        <v>0.66493459505781172</v>
      </c>
      <c r="H339" s="39">
        <v>0.67111437367642102</v>
      </c>
      <c r="I339" s="39">
        <v>0.68373765900946604</v>
      </c>
      <c r="J339" s="39">
        <v>0.67826809142576616</v>
      </c>
      <c r="K339" s="39">
        <v>0.70006037062478388</v>
      </c>
      <c r="L339" s="45">
        <v>0.67882829274067225</v>
      </c>
      <c r="M339" s="39">
        <v>0.66606722562011067</v>
      </c>
      <c r="N339" s="39">
        <v>0.67972774924949075</v>
      </c>
    </row>
    <row r="340" spans="1:14" ht="12.75" customHeight="1" x14ac:dyDescent="0.2">
      <c r="A340" s="38" t="s">
        <v>233</v>
      </c>
      <c r="B340" s="40">
        <v>0.64353916125366128</v>
      </c>
      <c r="C340" s="39">
        <v>0.6030771734264172</v>
      </c>
      <c r="D340" s="39">
        <v>0.59150601880292442</v>
      </c>
      <c r="E340" s="39">
        <v>0.63176083978179876</v>
      </c>
      <c r="F340" s="39">
        <v>0.66706845902453082</v>
      </c>
      <c r="G340" s="39">
        <v>0.68359828886808138</v>
      </c>
      <c r="H340" s="39">
        <v>0.69008042498825051</v>
      </c>
      <c r="I340" s="39">
        <v>0.69170635035175376</v>
      </c>
      <c r="J340" s="39">
        <v>0.70389131871450994</v>
      </c>
      <c r="K340" s="39">
        <v>0.71194630814164173</v>
      </c>
      <c r="L340" s="45">
        <v>0.712231503365647</v>
      </c>
      <c r="M340" s="39">
        <v>0.68755480302524408</v>
      </c>
      <c r="N340" s="39">
        <v>0.73451844502415631</v>
      </c>
    </row>
    <row r="341" spans="1:14" ht="12.75" customHeight="1" x14ac:dyDescent="0.2">
      <c r="A341" s="38" t="s">
        <v>124</v>
      </c>
      <c r="B341" s="40">
        <v>0.60026079492410911</v>
      </c>
      <c r="C341" s="39">
        <v>0.59539487181196826</v>
      </c>
      <c r="D341" s="39">
        <v>0.57954014960700961</v>
      </c>
      <c r="E341" s="39">
        <v>0.62193968178957981</v>
      </c>
      <c r="F341" s="39">
        <v>0.6188711126701526</v>
      </c>
      <c r="G341" s="39">
        <v>0.55477329388085106</v>
      </c>
      <c r="H341" s="39">
        <v>0.58552390973518831</v>
      </c>
      <c r="I341" s="39">
        <v>0.56416547682292562</v>
      </c>
      <c r="J341" s="39">
        <v>0.56225985793942501</v>
      </c>
      <c r="K341" s="39">
        <v>0.58926665414082835</v>
      </c>
      <c r="L341" s="45">
        <v>0.65080260987817951</v>
      </c>
      <c r="M341" s="39">
        <v>0.64447572424724142</v>
      </c>
      <c r="N341" s="39">
        <v>0.76753865094223139</v>
      </c>
    </row>
    <row r="342" spans="1:14" ht="12.75" customHeight="1" x14ac:dyDescent="0.2">
      <c r="A342" s="38" t="s">
        <v>374</v>
      </c>
      <c r="B342" s="40">
        <v>0.57904419827289866</v>
      </c>
      <c r="C342" s="39">
        <v>0.62882698234734569</v>
      </c>
      <c r="D342" s="39">
        <v>0.63197128076155729</v>
      </c>
      <c r="E342" s="39">
        <v>0.65034065324896506</v>
      </c>
      <c r="F342" s="39">
        <v>0.63251817294845347</v>
      </c>
      <c r="G342" s="39">
        <v>0.64958681018762243</v>
      </c>
      <c r="H342" s="39">
        <v>0.69249097907481794</v>
      </c>
      <c r="I342" s="39">
        <v>0.72203871773364448</v>
      </c>
      <c r="J342" s="39">
        <v>0.70237509315029689</v>
      </c>
      <c r="K342" s="39">
        <v>0.7379104405173158</v>
      </c>
      <c r="L342" s="45">
        <v>0.7251373663457138</v>
      </c>
      <c r="M342" s="39">
        <v>0.76326652477540458</v>
      </c>
      <c r="N342" s="39">
        <v>0.73211062703757868</v>
      </c>
    </row>
    <row r="343" spans="1:14" ht="12.75" customHeight="1" x14ac:dyDescent="0.2">
      <c r="A343" s="38" t="s">
        <v>109</v>
      </c>
      <c r="B343" s="40">
        <v>0.6729280557328744</v>
      </c>
      <c r="C343" s="39">
        <v>0.72969092758768583</v>
      </c>
      <c r="D343" s="39">
        <v>0.73874122625928862</v>
      </c>
      <c r="E343" s="39">
        <v>0.72945832077030459</v>
      </c>
      <c r="F343" s="39">
        <v>0.72595560892466382</v>
      </c>
      <c r="G343" s="39">
        <v>0.74997969748808246</v>
      </c>
      <c r="H343" s="39">
        <v>0.75285106136621882</v>
      </c>
      <c r="I343" s="39">
        <v>0.78827275853573697</v>
      </c>
      <c r="J343" s="39">
        <v>0.78574077875926307</v>
      </c>
      <c r="K343" s="39">
        <v>0.79919966936150777</v>
      </c>
      <c r="L343" s="45">
        <v>0.79999466427496513</v>
      </c>
      <c r="M343" s="39">
        <v>0.80751972735217448</v>
      </c>
      <c r="N343" s="39">
        <v>0.85177502068984312</v>
      </c>
    </row>
    <row r="344" spans="1:14" ht="12.75" customHeight="1" x14ac:dyDescent="0.2">
      <c r="A344" s="38" t="s">
        <v>219</v>
      </c>
      <c r="B344" s="40">
        <v>0.61113207711143147</v>
      </c>
      <c r="C344" s="39">
        <v>0.682117989241533</v>
      </c>
      <c r="D344" s="39">
        <v>0.69915549290148726</v>
      </c>
      <c r="E344" s="39">
        <v>0.73203342435624619</v>
      </c>
      <c r="F344" s="39">
        <v>0.72575887621985891</v>
      </c>
      <c r="G344" s="39">
        <v>0.74726037532260436</v>
      </c>
      <c r="H344" s="39">
        <v>0.76927556942194497</v>
      </c>
      <c r="I344" s="39">
        <v>0.70947877600616405</v>
      </c>
      <c r="J344" s="39">
        <v>0.66302954281678128</v>
      </c>
      <c r="K344" s="39">
        <v>0.73311299063781965</v>
      </c>
      <c r="L344" s="45">
        <v>0.79088644862839741</v>
      </c>
      <c r="M344" s="39">
        <v>0.76383149817139273</v>
      </c>
      <c r="N344" s="39">
        <v>0.79596095512806697</v>
      </c>
    </row>
    <row r="345" spans="1:14" ht="12.75" customHeight="1" x14ac:dyDescent="0.2">
      <c r="A345" s="38" t="s">
        <v>125</v>
      </c>
      <c r="B345" s="40">
        <v>0.34384404347230074</v>
      </c>
      <c r="C345" s="39">
        <v>0.41217655345629239</v>
      </c>
      <c r="D345" s="39">
        <v>0.43819527169631983</v>
      </c>
      <c r="E345" s="39">
        <v>0.47644047938338369</v>
      </c>
      <c r="F345" s="39">
        <v>0.50200906115602639</v>
      </c>
      <c r="G345" s="39">
        <v>0.52672693360759615</v>
      </c>
      <c r="H345" s="39">
        <v>0.51765933394727093</v>
      </c>
      <c r="I345" s="39">
        <v>0.49230734981831331</v>
      </c>
      <c r="J345" s="39">
        <v>0.51634925301689838</v>
      </c>
      <c r="K345" s="39">
        <v>0.60857376173509226</v>
      </c>
      <c r="L345" s="45">
        <v>0.6349974712261095</v>
      </c>
      <c r="M345" s="39">
        <v>0.59012085209094001</v>
      </c>
      <c r="N345" s="39">
        <v>0.59590117951432253</v>
      </c>
    </row>
    <row r="346" spans="1:14" ht="12.75" customHeight="1" x14ac:dyDescent="0.2">
      <c r="A346" s="38" t="s">
        <v>483</v>
      </c>
      <c r="B346" s="40">
        <v>0.66520531569652441</v>
      </c>
      <c r="C346" s="39">
        <v>0.63312728675531926</v>
      </c>
      <c r="D346" s="39">
        <v>0.67421157919814378</v>
      </c>
      <c r="E346" s="39">
        <v>0.73220756453708236</v>
      </c>
      <c r="F346" s="39">
        <v>0.75886373683698383</v>
      </c>
      <c r="G346" s="39">
        <v>0.77261571830945674</v>
      </c>
      <c r="H346" s="39">
        <v>0.75903376488284258</v>
      </c>
      <c r="I346" s="39">
        <v>0.75400693574121636</v>
      </c>
      <c r="J346" s="39">
        <v>0.76066590313472615</v>
      </c>
      <c r="K346" s="39">
        <v>0.77939547934639697</v>
      </c>
      <c r="L346" s="45">
        <v>0.78577013107118854</v>
      </c>
      <c r="M346" s="39">
        <v>0.79281221099086319</v>
      </c>
      <c r="N346" s="39">
        <v>0.78409085119526944</v>
      </c>
    </row>
    <row r="347" spans="1:14" ht="12.75" customHeight="1" x14ac:dyDescent="0.2">
      <c r="A347" s="38" t="s">
        <v>234</v>
      </c>
      <c r="B347" s="40">
        <v>0.5258293414936267</v>
      </c>
      <c r="C347" s="39">
        <v>0.52149725341888742</v>
      </c>
      <c r="D347" s="39">
        <v>0.57332783223030614</v>
      </c>
      <c r="E347" s="39">
        <v>0.57212436480350559</v>
      </c>
      <c r="F347" s="39">
        <v>0.60852998565252558</v>
      </c>
      <c r="G347" s="39">
        <v>0.65255176079770061</v>
      </c>
      <c r="H347" s="39">
        <v>0.6735127855383789</v>
      </c>
      <c r="I347" s="39">
        <v>0.64964713779276673</v>
      </c>
      <c r="J347" s="39">
        <v>0.66568668698549838</v>
      </c>
      <c r="K347" s="39">
        <v>0.68872100283299897</v>
      </c>
      <c r="L347" s="45">
        <v>0.71191483044823167</v>
      </c>
      <c r="M347" s="39">
        <v>0.71702050052950617</v>
      </c>
      <c r="N347" s="39">
        <v>0.76298244361112444</v>
      </c>
    </row>
    <row r="348" spans="1:14" ht="12.75" customHeight="1" x14ac:dyDescent="0.2">
      <c r="A348" s="38" t="s">
        <v>163</v>
      </c>
      <c r="B348" s="40">
        <v>0.58648342606967929</v>
      </c>
      <c r="C348" s="39">
        <v>0.62741348595832291</v>
      </c>
      <c r="D348" s="39">
        <v>0.63009192200484077</v>
      </c>
      <c r="E348" s="39">
        <v>0.65151197088409818</v>
      </c>
      <c r="F348" s="39">
        <v>0.64131556156930081</v>
      </c>
      <c r="G348" s="39">
        <v>0.64031520635617056</v>
      </c>
      <c r="H348" s="39">
        <v>0.62959265322687374</v>
      </c>
      <c r="I348" s="39">
        <v>0.62651289662643173</v>
      </c>
      <c r="J348" s="39">
        <v>0.6477957729256475</v>
      </c>
      <c r="K348" s="39">
        <v>0.69889801711095734</v>
      </c>
      <c r="L348" s="45">
        <v>0.72222535701711654</v>
      </c>
      <c r="M348" s="39">
        <v>0.75209703249041071</v>
      </c>
      <c r="N348" s="39">
        <v>0.7397291954685361</v>
      </c>
    </row>
    <row r="349" spans="1:14" ht="12.75" customHeight="1" x14ac:dyDescent="0.2">
      <c r="A349" s="38" t="s">
        <v>24</v>
      </c>
      <c r="B349" s="40">
        <v>0.45427330969466101</v>
      </c>
      <c r="C349" s="39">
        <v>0.50103895086846906</v>
      </c>
      <c r="D349" s="39">
        <v>0.5118127548746213</v>
      </c>
      <c r="E349" s="39">
        <v>0.54094635790391776</v>
      </c>
      <c r="F349" s="39">
        <v>0.54328006585108501</v>
      </c>
      <c r="G349" s="39">
        <v>0.58015778894195558</v>
      </c>
      <c r="H349" s="39">
        <v>0.58411899816099477</v>
      </c>
      <c r="I349" s="39">
        <v>0.65320278430931666</v>
      </c>
      <c r="J349" s="39">
        <v>0.64500345428308059</v>
      </c>
      <c r="K349" s="39">
        <v>0.6709272892476088</v>
      </c>
      <c r="L349" s="45">
        <v>0.66230380196494443</v>
      </c>
      <c r="M349" s="39">
        <v>0.67866799597890559</v>
      </c>
      <c r="N349" s="39">
        <v>0.70598850124782331</v>
      </c>
    </row>
    <row r="350" spans="1:14" ht="12.75" customHeight="1" x14ac:dyDescent="0.2">
      <c r="A350" s="38" t="s">
        <v>220</v>
      </c>
      <c r="B350" s="40">
        <v>0.70497089495675047</v>
      </c>
      <c r="C350" s="39">
        <v>0.72088938850673723</v>
      </c>
      <c r="D350" s="39">
        <v>0.7164446793045377</v>
      </c>
      <c r="E350" s="39">
        <v>0.701143955760268</v>
      </c>
      <c r="F350" s="39">
        <v>0.71277462410303249</v>
      </c>
      <c r="G350" s="39">
        <v>0.72994151266273022</v>
      </c>
      <c r="H350" s="39">
        <v>0.72501030563648394</v>
      </c>
      <c r="I350" s="39">
        <v>0.73886217351204531</v>
      </c>
      <c r="J350" s="39">
        <v>0.71964900369501894</v>
      </c>
      <c r="K350" s="39">
        <v>0.75595347204378571</v>
      </c>
      <c r="L350" s="45">
        <v>0.77595482132380633</v>
      </c>
      <c r="M350" s="39">
        <v>0.79012189291619472</v>
      </c>
      <c r="N350" s="39">
        <v>0.7851803131003946</v>
      </c>
    </row>
    <row r="351" spans="1:14" ht="12.75" customHeight="1" x14ac:dyDescent="0.2">
      <c r="A351" s="38" t="s">
        <v>283</v>
      </c>
      <c r="B351" s="40">
        <v>0.66622732736747003</v>
      </c>
      <c r="C351" s="39">
        <v>0.65342552619268834</v>
      </c>
      <c r="D351" s="39">
        <v>0.64858668208957415</v>
      </c>
      <c r="E351" s="39">
        <v>0.71182476973666642</v>
      </c>
      <c r="F351" s="39">
        <v>0.67667073101551356</v>
      </c>
      <c r="G351" s="39">
        <v>0.6978554087930352</v>
      </c>
      <c r="H351" s="39">
        <v>0.68395537193304501</v>
      </c>
      <c r="I351" s="39">
        <v>0.71615845509244458</v>
      </c>
      <c r="J351" s="39">
        <v>0.70767433277241254</v>
      </c>
      <c r="K351" s="39">
        <v>0.7320598455525591</v>
      </c>
      <c r="L351" s="45">
        <v>0.69619887848531381</v>
      </c>
      <c r="M351" s="39">
        <v>0.70431117223730266</v>
      </c>
      <c r="N351" s="39">
        <v>0.78151894331824356</v>
      </c>
    </row>
    <row r="352" spans="1:14" ht="12.75" customHeight="1" x14ac:dyDescent="0.2">
      <c r="A352" s="38" t="s">
        <v>7071</v>
      </c>
      <c r="B352" s="40">
        <v>0.6424805265133372</v>
      </c>
      <c r="C352" s="39">
        <v>0.70002328334397401</v>
      </c>
      <c r="D352" s="39">
        <v>0.66246385647680972</v>
      </c>
      <c r="E352" s="39">
        <v>0.70582969490824643</v>
      </c>
      <c r="F352" s="39">
        <v>0.70658846106497741</v>
      </c>
      <c r="G352" s="39">
        <v>0.7024461029269643</v>
      </c>
      <c r="H352" s="39">
        <v>0.70669530747795661</v>
      </c>
      <c r="I352" s="39">
        <v>0.70627948386954975</v>
      </c>
      <c r="J352" s="39">
        <v>0.75466271015762487</v>
      </c>
      <c r="K352" s="39">
        <v>0.79865645902379878</v>
      </c>
      <c r="L352" s="45">
        <v>0.80396579783014677</v>
      </c>
      <c r="M352" s="39">
        <v>0.79523849765225618</v>
      </c>
      <c r="N352" s="39">
        <v>0.79023473167284453</v>
      </c>
    </row>
    <row r="353" spans="1:14" ht="12.75" customHeight="1" x14ac:dyDescent="0.2">
      <c r="A353" s="38" t="s">
        <v>39</v>
      </c>
      <c r="B353" s="40">
        <v>0.64095948085606291</v>
      </c>
      <c r="C353" s="39">
        <v>0.62194649322241302</v>
      </c>
      <c r="D353" s="39">
        <v>0.58824694323306959</v>
      </c>
      <c r="E353" s="39">
        <v>0.61521970280174088</v>
      </c>
      <c r="F353" s="39">
        <v>0.63642603598762826</v>
      </c>
      <c r="G353" s="39">
        <v>0.56878486202928358</v>
      </c>
      <c r="H353" s="39">
        <v>0.59844736577230495</v>
      </c>
      <c r="I353" s="39">
        <v>0.64683480862396125</v>
      </c>
      <c r="J353" s="39">
        <v>0.67020526889217635</v>
      </c>
      <c r="K353" s="39">
        <v>0.72349848578802201</v>
      </c>
      <c r="L353" s="45">
        <v>0.71042405622699756</v>
      </c>
      <c r="M353" s="39">
        <v>0.71296520786620832</v>
      </c>
      <c r="N353" s="39">
        <v>0.68660161840003298</v>
      </c>
    </row>
    <row r="354" spans="1:14" ht="12.75" customHeight="1" x14ac:dyDescent="0.2">
      <c r="A354" s="38" t="s">
        <v>317</v>
      </c>
      <c r="B354" s="40">
        <v>0.59895359433884054</v>
      </c>
      <c r="C354" s="39">
        <v>0.5225506563032577</v>
      </c>
      <c r="D354" s="39">
        <v>0.51057538409991821</v>
      </c>
      <c r="E354" s="39">
        <v>0.60712662451215194</v>
      </c>
      <c r="F354" s="39">
        <v>0.6300617332605345</v>
      </c>
      <c r="G354" s="39">
        <v>0.60937126601470526</v>
      </c>
      <c r="H354" s="39">
        <v>0.59521233205207735</v>
      </c>
      <c r="I354" s="39">
        <v>0.64021152944721804</v>
      </c>
      <c r="J354" s="39">
        <v>0.66485969592646299</v>
      </c>
      <c r="K354" s="39">
        <v>0.71310003381611342</v>
      </c>
      <c r="L354" s="45">
        <v>0.71270748510567328</v>
      </c>
      <c r="M354" s="39">
        <v>0.71471386347892196</v>
      </c>
      <c r="N354" s="39">
        <v>0.70407309085336933</v>
      </c>
    </row>
    <row r="355" spans="1:14" ht="12.75" customHeight="1" x14ac:dyDescent="0.2">
      <c r="A355" s="38" t="s">
        <v>14</v>
      </c>
      <c r="B355" s="40">
        <v>0.63620236657282192</v>
      </c>
      <c r="C355" s="39">
        <v>0.64855215215049977</v>
      </c>
      <c r="D355" s="39">
        <v>0.64376972976805946</v>
      </c>
      <c r="E355" s="39">
        <v>0.69125375496741581</v>
      </c>
      <c r="F355" s="39">
        <v>0.71639705478542437</v>
      </c>
      <c r="G355" s="39">
        <v>0.73547856388775934</v>
      </c>
      <c r="H355" s="39">
        <v>0.74054466220698023</v>
      </c>
      <c r="I355" s="39">
        <v>0.77252045138677194</v>
      </c>
      <c r="J355" s="39">
        <v>0.77174329020404364</v>
      </c>
      <c r="K355" s="39">
        <v>0.79524122725929292</v>
      </c>
      <c r="L355" s="45">
        <v>0.74996025498976027</v>
      </c>
      <c r="M355" s="39">
        <v>0.79427669851585447</v>
      </c>
      <c r="N355" s="39">
        <v>0.80866564045298484</v>
      </c>
    </row>
    <row r="356" spans="1:14" ht="12.75" customHeight="1" x14ac:dyDescent="0.2">
      <c r="A356" s="38" t="s">
        <v>221</v>
      </c>
      <c r="B356" s="40">
        <v>0.72588571353452613</v>
      </c>
      <c r="C356" s="39">
        <v>0.72879726093967834</v>
      </c>
      <c r="D356" s="39">
        <v>0.72725011940776119</v>
      </c>
      <c r="E356" s="39">
        <v>0.75403589374834057</v>
      </c>
      <c r="F356" s="39">
        <v>0.75190854809810759</v>
      </c>
      <c r="G356" s="39">
        <v>0.70619895943113986</v>
      </c>
      <c r="H356" s="39">
        <v>0.73651970292206448</v>
      </c>
      <c r="I356" s="39">
        <v>0.66581574311882474</v>
      </c>
      <c r="J356" s="39">
        <v>0.73616576550304902</v>
      </c>
      <c r="K356" s="39">
        <v>0.75939666966117114</v>
      </c>
      <c r="L356" s="45">
        <v>0.80441335646779299</v>
      </c>
      <c r="M356" s="39">
        <v>0.79731991454708651</v>
      </c>
      <c r="N356" s="39">
        <v>0.81694477959156586</v>
      </c>
    </row>
    <row r="357" spans="1:14" ht="12.75" customHeight="1" x14ac:dyDescent="0.2">
      <c r="A357" s="38" t="s">
        <v>25</v>
      </c>
      <c r="B357" s="40">
        <v>0.65970293160709614</v>
      </c>
      <c r="C357" s="39">
        <v>0.67763923213694655</v>
      </c>
      <c r="D357" s="39">
        <v>0.66514035671799421</v>
      </c>
      <c r="E357" s="39">
        <v>0.67541210969566157</v>
      </c>
      <c r="F357" s="39">
        <v>0.69887276673634091</v>
      </c>
      <c r="G357" s="39">
        <v>0.71187617421043947</v>
      </c>
      <c r="H357" s="39">
        <v>0.74017342435828282</v>
      </c>
      <c r="I357" s="39">
        <v>0.7474491383683719</v>
      </c>
      <c r="J357" s="39">
        <v>0.76038154106111155</v>
      </c>
      <c r="K357" s="39">
        <v>0.77981289150131039</v>
      </c>
      <c r="L357" s="45">
        <v>0.75819398838458385</v>
      </c>
      <c r="M357" s="39">
        <v>0.77020878911154378</v>
      </c>
      <c r="N357" s="39">
        <v>0.79187743574761849</v>
      </c>
    </row>
    <row r="358" spans="1:14" ht="12.75" customHeight="1" x14ac:dyDescent="0.2">
      <c r="A358" s="38" t="s">
        <v>318</v>
      </c>
      <c r="B358" s="40">
        <v>0.64074387021732637</v>
      </c>
      <c r="C358" s="39">
        <v>0.65402505057084015</v>
      </c>
      <c r="D358" s="39">
        <v>0.64327059070321635</v>
      </c>
      <c r="E358" s="39">
        <v>0.6816543051245415</v>
      </c>
      <c r="F358" s="39">
        <v>0.66859448563906676</v>
      </c>
      <c r="G358" s="39">
        <v>0.66226841251223345</v>
      </c>
      <c r="H358" s="39">
        <v>0.66348145587312413</v>
      </c>
      <c r="I358" s="39">
        <v>0.69333712053670504</v>
      </c>
      <c r="J358" s="39">
        <v>0.68235812462070788</v>
      </c>
      <c r="K358" s="39">
        <v>0.73288246383654909</v>
      </c>
      <c r="L358" s="45">
        <v>0.73314029614535337</v>
      </c>
      <c r="M358" s="39">
        <v>0.77584626590886374</v>
      </c>
      <c r="N358" s="39">
        <v>0.76309626084683624</v>
      </c>
    </row>
    <row r="359" spans="1:14" ht="12.75" customHeight="1" x14ac:dyDescent="0.2">
      <c r="A359" s="38" t="s">
        <v>319</v>
      </c>
      <c r="B359" s="40">
        <v>0.51027688543248029</v>
      </c>
      <c r="C359" s="39">
        <v>0.53167277527874435</v>
      </c>
      <c r="D359" s="39">
        <v>0.51776900049168439</v>
      </c>
      <c r="E359" s="39">
        <v>0.5847051387420682</v>
      </c>
      <c r="F359" s="39">
        <v>0.58370076609557398</v>
      </c>
      <c r="G359" s="39">
        <v>0.59709855137236545</v>
      </c>
      <c r="H359" s="39">
        <v>0.64695038286143791</v>
      </c>
      <c r="I359" s="39">
        <v>0.68776830707704317</v>
      </c>
      <c r="J359" s="39">
        <v>0.69255866127711618</v>
      </c>
      <c r="K359" s="39">
        <v>0.72061617140966205</v>
      </c>
      <c r="L359" s="45">
        <v>0.68933255930659165</v>
      </c>
      <c r="M359" s="39">
        <v>0.69074034095849157</v>
      </c>
      <c r="N359" s="39">
        <v>0.71907517453499548</v>
      </c>
    </row>
    <row r="360" spans="1:14" ht="12.75" customHeight="1" x14ac:dyDescent="0.2">
      <c r="A360" s="38" t="s">
        <v>164</v>
      </c>
      <c r="B360" s="40">
        <v>0.68344667873541953</v>
      </c>
      <c r="C360" s="39">
        <v>0.71087201008133005</v>
      </c>
      <c r="D360" s="39">
        <v>0.70687596603962943</v>
      </c>
      <c r="E360" s="39">
        <v>0.74292554501212538</v>
      </c>
      <c r="F360" s="39">
        <v>0.71507747884542028</v>
      </c>
      <c r="G360" s="39">
        <v>0.69886796550996877</v>
      </c>
      <c r="H360" s="39">
        <v>0.70264007273336937</v>
      </c>
      <c r="I360" s="39">
        <v>0.70080015469172563</v>
      </c>
      <c r="J360" s="39">
        <v>0.70622121980893304</v>
      </c>
      <c r="K360" s="39">
        <v>0.72451669513176997</v>
      </c>
      <c r="L360" s="45">
        <v>0.66960844039422496</v>
      </c>
      <c r="M360" s="39">
        <v>0.70994685171108507</v>
      </c>
      <c r="N360" s="39">
        <v>0.74820886505354078</v>
      </c>
    </row>
    <row r="361" spans="1:14" ht="12.75" customHeight="1" x14ac:dyDescent="0.2">
      <c r="A361" s="38" t="s">
        <v>295</v>
      </c>
      <c r="B361" s="40">
        <v>0.68296174344736682</v>
      </c>
      <c r="C361" s="39">
        <v>0.68787638713768506</v>
      </c>
      <c r="D361" s="39">
        <v>0.69443400486622264</v>
      </c>
      <c r="E361" s="39">
        <v>0.65681378612377161</v>
      </c>
      <c r="F361" s="39">
        <v>0.64842088007942367</v>
      </c>
      <c r="G361" s="39">
        <v>0.53618601371045249</v>
      </c>
      <c r="H361" s="39">
        <v>0.56328145264269702</v>
      </c>
      <c r="I361" s="39">
        <v>0.6740502667888485</v>
      </c>
      <c r="J361" s="39">
        <v>0.68811119441049795</v>
      </c>
      <c r="K361" s="39">
        <v>0.72780316935477318</v>
      </c>
      <c r="L361" s="45">
        <v>0.69989324194726077</v>
      </c>
      <c r="M361" s="39">
        <v>0.67964758432857664</v>
      </c>
      <c r="N361" s="39">
        <v>0.66058685777618542</v>
      </c>
    </row>
    <row r="362" spans="1:14" ht="12.75" customHeight="1" x14ac:dyDescent="0.2">
      <c r="A362" s="38" t="s">
        <v>126</v>
      </c>
      <c r="B362" s="40">
        <v>0.56028257644450186</v>
      </c>
      <c r="C362" s="39">
        <v>0.5435987597412405</v>
      </c>
      <c r="D362" s="39">
        <v>0.54697321192491766</v>
      </c>
      <c r="E362" s="39">
        <v>0.61391728628486275</v>
      </c>
      <c r="F362" s="39">
        <v>0.60824241934673628</v>
      </c>
      <c r="G362" s="39">
        <v>0.62745046342387667</v>
      </c>
      <c r="H362" s="39">
        <v>0.59310654756043768</v>
      </c>
      <c r="I362" s="39">
        <v>0.62741315138774312</v>
      </c>
      <c r="J362" s="39">
        <v>0.64193475717747639</v>
      </c>
      <c r="K362" s="39">
        <v>0.7067571859503361</v>
      </c>
      <c r="L362" s="45">
        <v>0.66945815527927532</v>
      </c>
      <c r="M362" s="39">
        <v>0.65359724958161358</v>
      </c>
      <c r="N362" s="39">
        <v>0.68911637196802411</v>
      </c>
    </row>
    <row r="363" spans="1:14" ht="12.75" customHeight="1" x14ac:dyDescent="0.2">
      <c r="A363" s="38" t="s">
        <v>222</v>
      </c>
      <c r="B363" s="40">
        <v>0.70354284233046338</v>
      </c>
      <c r="C363" s="39">
        <v>0.72073805526461865</v>
      </c>
      <c r="D363" s="39">
        <v>0.68309502295341173</v>
      </c>
      <c r="E363" s="39">
        <v>0.73725575162299961</v>
      </c>
      <c r="F363" s="39">
        <v>0.73026948253860757</v>
      </c>
      <c r="G363" s="39">
        <v>0.7617558620697702</v>
      </c>
      <c r="H363" s="39">
        <v>0.73645085085428785</v>
      </c>
      <c r="I363" s="39">
        <v>0.73829199447691263</v>
      </c>
      <c r="J363" s="39">
        <v>0.757279775575042</v>
      </c>
      <c r="K363" s="39">
        <v>0.77728530203092883</v>
      </c>
      <c r="L363" s="45">
        <v>0.74985499779935172</v>
      </c>
      <c r="M363" s="39">
        <v>0.75323814117504018</v>
      </c>
      <c r="N363" s="39">
        <v>0.74631785201502465</v>
      </c>
    </row>
    <row r="364" spans="1:14" ht="12.75" customHeight="1" x14ac:dyDescent="0.2">
      <c r="A364" s="38" t="s">
        <v>127</v>
      </c>
      <c r="B364" s="40">
        <v>0.47234035209136338</v>
      </c>
      <c r="C364" s="39">
        <v>0.48859102916050018</v>
      </c>
      <c r="D364" s="39">
        <v>0.46944744482278988</v>
      </c>
      <c r="E364" s="39">
        <v>0.48376750523818779</v>
      </c>
      <c r="F364" s="39">
        <v>0.50479334527855491</v>
      </c>
      <c r="G364" s="39">
        <v>0.49062518204218791</v>
      </c>
      <c r="H364" s="39">
        <v>0.54392140301371605</v>
      </c>
      <c r="I364" s="39">
        <v>0.60866069987479265</v>
      </c>
      <c r="J364" s="39">
        <v>0.61492645833963988</v>
      </c>
      <c r="K364" s="39">
        <v>0.62741014487857605</v>
      </c>
      <c r="L364" s="45">
        <v>0.6561630345051942</v>
      </c>
      <c r="M364" s="39">
        <v>0.69728188053779983</v>
      </c>
      <c r="N364" s="39">
        <v>0.74726222122199315</v>
      </c>
    </row>
    <row r="365" spans="1:14" ht="12.75" customHeight="1" x14ac:dyDescent="0.2">
      <c r="A365" s="38" t="s">
        <v>7070</v>
      </c>
      <c r="B365" s="40">
        <v>0.58342399647588095</v>
      </c>
      <c r="C365" s="39">
        <v>0.58640767536402538</v>
      </c>
      <c r="D365" s="39">
        <v>0.57754463392816158</v>
      </c>
      <c r="E365" s="39">
        <v>0.60202078492209277</v>
      </c>
      <c r="F365" s="39">
        <v>0.62468321858215237</v>
      </c>
      <c r="G365" s="39">
        <v>0.63274777258750747</v>
      </c>
      <c r="H365" s="39">
        <v>0.64342925333424084</v>
      </c>
      <c r="I365" s="39">
        <v>0.65762680273389063</v>
      </c>
      <c r="J365" s="39">
        <v>0.67008644918778681</v>
      </c>
      <c r="K365" s="39">
        <v>0.71076418142652298</v>
      </c>
      <c r="L365" s="45">
        <v>0.69816098979402119</v>
      </c>
      <c r="M365" s="39">
        <v>0.7192253825372007</v>
      </c>
      <c r="N365" s="39">
        <v>0.70026332873963748</v>
      </c>
    </row>
    <row r="366" spans="1:14" ht="12.75" customHeight="1" x14ac:dyDescent="0.2">
      <c r="A366" s="38" t="s">
        <v>381</v>
      </c>
      <c r="B366" s="40">
        <v>0.65491428206057423</v>
      </c>
      <c r="C366" s="39">
        <v>0.6902195484925252</v>
      </c>
      <c r="D366" s="39">
        <v>0.6694019160639213</v>
      </c>
      <c r="E366" s="39">
        <v>0.71342247633123046</v>
      </c>
      <c r="F366" s="39">
        <v>0.77312956530209742</v>
      </c>
      <c r="G366" s="39">
        <v>0.75422133289876714</v>
      </c>
      <c r="H366" s="39">
        <v>0.77670315838706427</v>
      </c>
      <c r="I366" s="39">
        <v>0.76985972853910034</v>
      </c>
      <c r="J366" s="39">
        <v>0.7862681175091254</v>
      </c>
      <c r="K366" s="39">
        <v>0.82657498843258681</v>
      </c>
      <c r="L366" s="45">
        <v>0.80781757288056488</v>
      </c>
      <c r="M366" s="39">
        <v>0.80608039691565814</v>
      </c>
      <c r="N366" s="39">
        <v>0.79561116998403847</v>
      </c>
    </row>
    <row r="367" spans="1:14" ht="12.75" customHeight="1" x14ac:dyDescent="0.2">
      <c r="A367" s="38" t="s">
        <v>391</v>
      </c>
      <c r="B367" s="40">
        <v>0.55740274246386046</v>
      </c>
      <c r="C367" s="39">
        <v>0.59541080915539968</v>
      </c>
      <c r="D367" s="39">
        <v>0.60718031967312969</v>
      </c>
      <c r="E367" s="39">
        <v>0.6300709727414141</v>
      </c>
      <c r="F367" s="39">
        <v>0.63806412843710547</v>
      </c>
      <c r="G367" s="39">
        <v>0.64018385483598739</v>
      </c>
      <c r="H367" s="39">
        <v>0.64901918985051987</v>
      </c>
      <c r="I367" s="39">
        <v>0.69857158504365258</v>
      </c>
      <c r="J367" s="39">
        <v>0.70310113863090107</v>
      </c>
      <c r="K367" s="39">
        <v>0.73761709638111361</v>
      </c>
      <c r="L367" s="45">
        <v>0.73383123865744959</v>
      </c>
      <c r="M367" s="39">
        <v>0.75379768165918304</v>
      </c>
      <c r="N367" s="39">
        <v>0.7833211941951288</v>
      </c>
    </row>
    <row r="368" spans="1:14" ht="12.75" customHeight="1" x14ac:dyDescent="0.2">
      <c r="A368" s="38" t="s">
        <v>320</v>
      </c>
      <c r="B368" s="40">
        <v>0.72751334568641735</v>
      </c>
      <c r="C368" s="39">
        <v>0.69173533033929147</v>
      </c>
      <c r="D368" s="39">
        <v>0.65743142168952262</v>
      </c>
      <c r="E368" s="39">
        <v>0.70178914853530072</v>
      </c>
      <c r="F368" s="39">
        <v>0.73601904595929024</v>
      </c>
      <c r="G368" s="39">
        <v>0.71225249363601018</v>
      </c>
      <c r="H368" s="39">
        <v>0.72032174184669973</v>
      </c>
      <c r="I368" s="39">
        <v>0.74920583565873644</v>
      </c>
      <c r="J368" s="39">
        <v>0.74348099234326936</v>
      </c>
      <c r="K368" s="39">
        <v>0.73000878599335317</v>
      </c>
      <c r="L368" s="45">
        <v>0.72250057140652402</v>
      </c>
      <c r="M368" s="39">
        <v>0.69538030849783061</v>
      </c>
      <c r="N368" s="39">
        <v>0.72872991978021373</v>
      </c>
    </row>
    <row r="369" spans="1:14" ht="12.75" customHeight="1" x14ac:dyDescent="0.2">
      <c r="A369" s="38" t="s">
        <v>128</v>
      </c>
      <c r="B369" s="40">
        <v>0.65350927680034743</v>
      </c>
      <c r="C369" s="39">
        <v>0.65611618515319536</v>
      </c>
      <c r="D369" s="39">
        <v>0.68686476232077276</v>
      </c>
      <c r="E369" s="39">
        <v>0.68296662448140888</v>
      </c>
      <c r="F369" s="39">
        <v>0.71853948865795092</v>
      </c>
      <c r="G369" s="39">
        <v>0.73756997635508348</v>
      </c>
      <c r="H369" s="39">
        <v>0.72740060074510049</v>
      </c>
      <c r="I369" s="39">
        <v>0.73330131907463203</v>
      </c>
      <c r="J369" s="39">
        <v>0.71713880440586519</v>
      </c>
      <c r="K369" s="39">
        <v>0.74472227777271882</v>
      </c>
      <c r="L369" s="45">
        <v>0.76439939490131981</v>
      </c>
      <c r="M369" s="39">
        <v>0.78467152409264551</v>
      </c>
      <c r="N369" s="39">
        <v>0.78156722959168812</v>
      </c>
    </row>
    <row r="370" spans="1:14" ht="12.75" customHeight="1" x14ac:dyDescent="0.2">
      <c r="A370" s="38" t="s">
        <v>112</v>
      </c>
      <c r="B370" s="40">
        <v>0.68375971163436156</v>
      </c>
      <c r="C370" s="39">
        <v>0.68638781417677874</v>
      </c>
      <c r="D370" s="39">
        <v>0.68608566605899268</v>
      </c>
      <c r="E370" s="39">
        <v>0.66844113909320424</v>
      </c>
      <c r="F370" s="39">
        <v>0.71048415034303058</v>
      </c>
      <c r="G370" s="39">
        <v>0.72433318168029981</v>
      </c>
      <c r="H370" s="39">
        <v>0.72046906387687193</v>
      </c>
      <c r="I370" s="39">
        <v>0.74997866293372739</v>
      </c>
      <c r="J370" s="39">
        <v>0.75548605428740556</v>
      </c>
      <c r="K370" s="39">
        <v>0.78303567777386596</v>
      </c>
      <c r="L370" s="45">
        <v>0.78017960733055525</v>
      </c>
      <c r="M370" s="39">
        <v>0.75407456928419669</v>
      </c>
      <c r="N370" s="39">
        <v>0.76087853692526031</v>
      </c>
    </row>
    <row r="371" spans="1:14" ht="12.75" customHeight="1" x14ac:dyDescent="0.2">
      <c r="A371" s="38" t="s">
        <v>176</v>
      </c>
      <c r="B371" s="40">
        <v>0.62131040070852228</v>
      </c>
      <c r="C371" s="39">
        <v>0.6371250429760329</v>
      </c>
      <c r="D371" s="39">
        <v>0.65676031159582926</v>
      </c>
      <c r="E371" s="39">
        <v>0.68300046604916675</v>
      </c>
      <c r="F371" s="39">
        <v>0.69352246122004235</v>
      </c>
      <c r="G371" s="39">
        <v>0.708462116973542</v>
      </c>
      <c r="H371" s="39">
        <v>0.72075793551249523</v>
      </c>
      <c r="I371" s="39">
        <v>0.73505791053653835</v>
      </c>
      <c r="J371" s="39">
        <v>0.74028181663508497</v>
      </c>
      <c r="K371" s="39">
        <v>0.75440698076764889</v>
      </c>
      <c r="L371" s="45">
        <v>0.74975823804076536</v>
      </c>
      <c r="M371" s="39">
        <v>0.78298949724711076</v>
      </c>
      <c r="N371" s="39">
        <v>0.80667351693531086</v>
      </c>
    </row>
    <row r="372" spans="1:14" ht="12.75" customHeight="1" x14ac:dyDescent="0.2">
      <c r="A372" s="38" t="s">
        <v>382</v>
      </c>
      <c r="B372" s="40">
        <v>0.48693428531820926</v>
      </c>
      <c r="C372" s="39">
        <v>0.49653164684492879</v>
      </c>
      <c r="D372" s="39">
        <v>0.48432654010235537</v>
      </c>
      <c r="E372" s="39">
        <v>0.60142338785637073</v>
      </c>
      <c r="F372" s="39">
        <v>0.65763609595521189</v>
      </c>
      <c r="G372" s="39">
        <v>0.71730143561330639</v>
      </c>
      <c r="H372" s="39">
        <v>0.68253781915756073</v>
      </c>
      <c r="I372" s="39">
        <v>0.70768630423897039</v>
      </c>
      <c r="J372" s="39">
        <v>0.70874746513411357</v>
      </c>
      <c r="K372" s="39">
        <v>0.76676266384214697</v>
      </c>
      <c r="L372" s="45">
        <v>0.75982595058559799</v>
      </c>
      <c r="M372" s="39">
        <v>0.7539592097175225</v>
      </c>
      <c r="N372" s="39">
        <v>0.76331564942810248</v>
      </c>
    </row>
    <row r="373" spans="1:14" ht="12.75" customHeight="1" x14ac:dyDescent="0.2">
      <c r="A373" s="38" t="s">
        <v>113</v>
      </c>
      <c r="B373" s="40">
        <v>0.57243233722072029</v>
      </c>
      <c r="C373" s="39">
        <v>0.57529224578407268</v>
      </c>
      <c r="D373" s="39">
        <v>0.57866325229783377</v>
      </c>
      <c r="E373" s="39">
        <v>0.55090079102571998</v>
      </c>
      <c r="F373" s="39">
        <v>0.51599748688658043</v>
      </c>
      <c r="G373" s="39">
        <v>0.55107953454050118</v>
      </c>
      <c r="H373" s="39">
        <v>0.54731698001014162</v>
      </c>
      <c r="I373" s="39">
        <v>0.56137864136459015</v>
      </c>
      <c r="J373" s="39">
        <v>0.55231243973971089</v>
      </c>
      <c r="K373" s="39">
        <v>0.57864741728653313</v>
      </c>
      <c r="L373" s="45">
        <v>0.61933897556519846</v>
      </c>
      <c r="M373" s="39">
        <v>0.65992118381913345</v>
      </c>
      <c r="N373" s="39">
        <v>0.73385414143305117</v>
      </c>
    </row>
    <row r="374" spans="1:14" ht="12.75" customHeight="1" x14ac:dyDescent="0.2">
      <c r="A374" s="38" t="s">
        <v>271</v>
      </c>
      <c r="B374" s="40">
        <v>0.59420227724478913</v>
      </c>
      <c r="C374" s="39">
        <v>0.58653475613157913</v>
      </c>
      <c r="D374" s="39">
        <v>0.64344645662083966</v>
      </c>
      <c r="E374" s="39">
        <v>0.63707349964210758</v>
      </c>
      <c r="F374" s="39">
        <v>0.6443482260107114</v>
      </c>
      <c r="G374" s="39">
        <v>0.63344593810252237</v>
      </c>
      <c r="H374" s="39">
        <v>0.63240582575307613</v>
      </c>
      <c r="I374" s="39">
        <v>0.68252593755043434</v>
      </c>
      <c r="J374" s="39">
        <v>0.70167116365168514</v>
      </c>
      <c r="K374" s="39">
        <v>0.75362264269536228</v>
      </c>
      <c r="L374" s="45">
        <v>0.75024248975168772</v>
      </c>
      <c r="M374" s="39">
        <v>0.7669215704857274</v>
      </c>
      <c r="N374" s="39">
        <v>0.79085241330173217</v>
      </c>
    </row>
    <row r="375" spans="1:14" ht="12.75" customHeight="1" x14ac:dyDescent="0.2">
      <c r="A375" s="38" t="s">
        <v>246</v>
      </c>
      <c r="B375" s="40">
        <v>0.66528097974999689</v>
      </c>
      <c r="C375" s="39">
        <v>0.68479067918534098</v>
      </c>
      <c r="D375" s="39">
        <v>0.70998559802837591</v>
      </c>
      <c r="E375" s="39">
        <v>0.73202156213996794</v>
      </c>
      <c r="F375" s="39">
        <v>0.72089133754797474</v>
      </c>
      <c r="G375" s="39">
        <v>0.72921877829122084</v>
      </c>
      <c r="H375" s="39">
        <v>0.74729081260936558</v>
      </c>
      <c r="I375" s="39">
        <v>0.74456693984848121</v>
      </c>
      <c r="J375" s="39">
        <v>0.76069179842724743</v>
      </c>
      <c r="K375" s="39">
        <v>0.75280633799758323</v>
      </c>
      <c r="L375" s="45">
        <v>0.75011241212802082</v>
      </c>
      <c r="M375" s="39">
        <v>0.75110904066017559</v>
      </c>
      <c r="N375" s="39">
        <v>0.77590556162267765</v>
      </c>
    </row>
    <row r="376" spans="1:14" ht="12.75" customHeight="1" x14ac:dyDescent="0.2">
      <c r="A376" s="38" t="s">
        <v>272</v>
      </c>
      <c r="B376" s="40">
        <v>0.60371262655365643</v>
      </c>
      <c r="C376" s="39">
        <v>0.59831709281125167</v>
      </c>
      <c r="D376" s="39">
        <v>0.5914522587972747</v>
      </c>
      <c r="E376" s="39">
        <v>0.59988562826246361</v>
      </c>
      <c r="F376" s="39">
        <v>0.59292577279699676</v>
      </c>
      <c r="G376" s="39">
        <v>0.63123420450171919</v>
      </c>
      <c r="H376" s="39">
        <v>0.63639124369585398</v>
      </c>
      <c r="I376" s="39">
        <v>0.68705624195289916</v>
      </c>
      <c r="J376" s="39">
        <v>0.65221955708498669</v>
      </c>
      <c r="K376" s="39">
        <v>0.67806419028967013</v>
      </c>
      <c r="L376" s="45">
        <v>0.67012085583373437</v>
      </c>
      <c r="M376" s="39">
        <v>0.72055307748862807</v>
      </c>
      <c r="N376" s="39">
        <v>0.75018590056948964</v>
      </c>
    </row>
    <row r="377" spans="1:14" ht="12.75" customHeight="1" x14ac:dyDescent="0.2">
      <c r="A377" s="38" t="s">
        <v>61</v>
      </c>
      <c r="B377" s="40">
        <v>0.51405175058773023</v>
      </c>
      <c r="C377" s="39">
        <v>0.55359611437933587</v>
      </c>
      <c r="D377" s="39">
        <v>0.48539796080118564</v>
      </c>
      <c r="E377" s="39">
        <v>0.56089764611323023</v>
      </c>
      <c r="F377" s="39">
        <v>0.58599108634328367</v>
      </c>
      <c r="G377" s="39">
        <v>0.63743310529429964</v>
      </c>
      <c r="H377" s="39">
        <v>0.6215272412948879</v>
      </c>
      <c r="I377" s="39">
        <v>0.61827861360700354</v>
      </c>
      <c r="J377" s="39">
        <v>0.62870435459647966</v>
      </c>
      <c r="K377" s="39">
        <v>0.68210672007215967</v>
      </c>
      <c r="L377" s="45">
        <v>0.70636408649877624</v>
      </c>
      <c r="M377" s="39">
        <v>0.71709069436452422</v>
      </c>
      <c r="N377" s="39">
        <v>0.76281447882870379</v>
      </c>
    </row>
    <row r="378" spans="1:14" ht="12.75" customHeight="1" x14ac:dyDescent="0.2">
      <c r="A378" s="38" t="s">
        <v>52</v>
      </c>
      <c r="B378" s="40">
        <v>0.60961791075671468</v>
      </c>
      <c r="C378" s="39">
        <v>0.6348676723957879</v>
      </c>
      <c r="D378" s="39">
        <v>0.59446777410841112</v>
      </c>
      <c r="E378" s="39">
        <v>0.67585590359136205</v>
      </c>
      <c r="F378" s="39">
        <v>0.68495179186499</v>
      </c>
      <c r="G378" s="39">
        <v>0.70396122420856455</v>
      </c>
      <c r="H378" s="39">
        <v>0.70827403664902822</v>
      </c>
      <c r="I378" s="39">
        <v>0.7506970709848152</v>
      </c>
      <c r="J378" s="39">
        <v>0.74696645725902433</v>
      </c>
      <c r="K378" s="39">
        <v>0.75974514206386468</v>
      </c>
      <c r="L378" s="45">
        <v>0.75847030909633206</v>
      </c>
      <c r="M378" s="39">
        <v>0.78057050200450095</v>
      </c>
      <c r="N378" s="39">
        <v>0.81189028798199558</v>
      </c>
    </row>
    <row r="379" spans="1:14" ht="12.75" customHeight="1" x14ac:dyDescent="0.2">
      <c r="A379" s="38" t="s">
        <v>206</v>
      </c>
      <c r="B379" s="40">
        <v>0.70314622289236484</v>
      </c>
      <c r="C379" s="39">
        <v>0.70713836579684619</v>
      </c>
      <c r="D379" s="39">
        <v>0.71273701205235085</v>
      </c>
      <c r="E379" s="39">
        <v>0.73651427955262339</v>
      </c>
      <c r="F379" s="39">
        <v>0.74069145363458444</v>
      </c>
      <c r="G379" s="39">
        <v>0.74576230423692602</v>
      </c>
      <c r="H379" s="39">
        <v>0.75951255774714743</v>
      </c>
      <c r="I379" s="39">
        <v>0.79944882292646346</v>
      </c>
      <c r="J379" s="39">
        <v>0.78861997773987313</v>
      </c>
      <c r="K379" s="39">
        <v>0.77537299842220497</v>
      </c>
      <c r="L379" s="45">
        <v>0.76428511235911989</v>
      </c>
      <c r="M379" s="39">
        <v>0.77338492697232442</v>
      </c>
      <c r="N379" s="39">
        <v>0.78092651621589482</v>
      </c>
    </row>
    <row r="380" spans="1:14" ht="12.75" customHeight="1" x14ac:dyDescent="0.2">
      <c r="A380" s="38" t="s">
        <v>235</v>
      </c>
      <c r="B380" s="40">
        <v>0.68573872811989001</v>
      </c>
      <c r="C380" s="39">
        <v>0.71539404510462778</v>
      </c>
      <c r="D380" s="39">
        <v>0.71302872131429351</v>
      </c>
      <c r="E380" s="39">
        <v>0.71628762168989246</v>
      </c>
      <c r="F380" s="39">
        <v>0.68267648317278729</v>
      </c>
      <c r="G380" s="39">
        <v>0.68639080376798234</v>
      </c>
      <c r="H380" s="39">
        <v>0.69143265285218336</v>
      </c>
      <c r="I380" s="39">
        <v>0.72623549855263347</v>
      </c>
      <c r="J380" s="39">
        <v>0.73703730463621087</v>
      </c>
      <c r="K380" s="39">
        <v>0.74320330918047672</v>
      </c>
      <c r="L380" s="45">
        <v>0.74294779924109144</v>
      </c>
      <c r="M380" s="39">
        <v>0.74622689132736841</v>
      </c>
      <c r="N380" s="39">
        <v>0.79433258315438449</v>
      </c>
    </row>
    <row r="381" spans="1:14" ht="12.75" customHeight="1" x14ac:dyDescent="0.2">
      <c r="A381" s="38" t="s">
        <v>328</v>
      </c>
      <c r="B381" s="40">
        <v>0.59541074394640447</v>
      </c>
      <c r="C381" s="39">
        <v>0.59370827198138443</v>
      </c>
      <c r="D381" s="39">
        <v>0.59011606312669651</v>
      </c>
      <c r="E381" s="39">
        <v>0.61936304126151243</v>
      </c>
      <c r="F381" s="39">
        <v>0.62022782820680422</v>
      </c>
      <c r="G381" s="39">
        <v>0.62913344666474169</v>
      </c>
      <c r="H381" s="39">
        <v>0.6553850621663696</v>
      </c>
      <c r="I381" s="39">
        <v>0.69203859511081189</v>
      </c>
      <c r="J381" s="39">
        <v>0.69844342021923422</v>
      </c>
      <c r="K381" s="39">
        <v>0.72784236801167357</v>
      </c>
      <c r="L381" s="45">
        <v>0.75901571250752442</v>
      </c>
      <c r="M381" s="39">
        <v>0.77738058604637905</v>
      </c>
      <c r="N381" s="39">
        <v>0.75859932131966656</v>
      </c>
    </row>
    <row r="382" spans="1:14" ht="12.75" customHeight="1" x14ac:dyDescent="0.2">
      <c r="A382" s="38" t="s">
        <v>44</v>
      </c>
      <c r="B382" s="40">
        <v>0.54970854358804766</v>
      </c>
      <c r="C382" s="39">
        <v>0.58967200703758504</v>
      </c>
      <c r="D382" s="39">
        <v>0.58727768491639443</v>
      </c>
      <c r="E382" s="39">
        <v>0.58606159421087878</v>
      </c>
      <c r="F382" s="39">
        <v>0.58589628488281797</v>
      </c>
      <c r="G382" s="39">
        <v>0.60418522337759362</v>
      </c>
      <c r="H382" s="39">
        <v>0.62346619155026894</v>
      </c>
      <c r="I382" s="39">
        <v>0.65398962233846725</v>
      </c>
      <c r="J382" s="39">
        <v>0.6479440258318675</v>
      </c>
      <c r="K382" s="39">
        <v>0.67112055698249062</v>
      </c>
      <c r="L382" s="45">
        <v>0.67337040611620436</v>
      </c>
      <c r="M382" s="39">
        <v>0.71111147572593725</v>
      </c>
      <c r="N382" s="39">
        <v>0.69939620102213473</v>
      </c>
    </row>
    <row r="383" spans="1:14" ht="12.75" customHeight="1" x14ac:dyDescent="0.2">
      <c r="A383" s="38" t="s">
        <v>410</v>
      </c>
      <c r="B383" s="40">
        <v>0.51785859066882034</v>
      </c>
      <c r="C383" s="39">
        <v>0.55614720383475913</v>
      </c>
      <c r="D383" s="39">
        <v>0.5359851297298438</v>
      </c>
      <c r="E383" s="39">
        <v>0.59086126297988673</v>
      </c>
      <c r="F383" s="39">
        <v>0.60201691797902612</v>
      </c>
      <c r="G383" s="39">
        <v>0.65614352901400097</v>
      </c>
      <c r="H383" s="39">
        <v>0.69323363105682478</v>
      </c>
      <c r="I383" s="39">
        <v>0.66105592619179276</v>
      </c>
      <c r="J383" s="39">
        <v>0.65669559496796082</v>
      </c>
      <c r="K383" s="39">
        <v>0.65640649414732744</v>
      </c>
      <c r="L383" s="45">
        <v>0.64774950393243058</v>
      </c>
      <c r="M383" s="39">
        <v>0.66059576171826395</v>
      </c>
      <c r="N383" s="39">
        <v>0.66653957716925694</v>
      </c>
    </row>
    <row r="384" spans="1:14" ht="12.75" customHeight="1" x14ac:dyDescent="0.2">
      <c r="A384" s="38" t="s">
        <v>321</v>
      </c>
      <c r="B384" s="40">
        <v>0.74038936744596706</v>
      </c>
      <c r="C384" s="39">
        <v>0.74244580803152049</v>
      </c>
      <c r="D384" s="39">
        <v>0.7330937139643301</v>
      </c>
      <c r="E384" s="39">
        <v>0.77147216840109056</v>
      </c>
      <c r="F384" s="39">
        <v>0.78652519924908015</v>
      </c>
      <c r="G384" s="39">
        <v>0.80194829789037847</v>
      </c>
      <c r="H384" s="39">
        <v>0.82292957123854882</v>
      </c>
      <c r="I384" s="39">
        <v>0.84013657393098307</v>
      </c>
      <c r="J384" s="39">
        <v>0.83171168396321848</v>
      </c>
      <c r="K384" s="39">
        <v>0.84230911646884399</v>
      </c>
      <c r="L384" s="45">
        <v>0.84784673032813351</v>
      </c>
      <c r="M384" s="39">
        <v>0.86180340931908894</v>
      </c>
      <c r="N384" s="39">
        <v>0.8582003860794144</v>
      </c>
    </row>
    <row r="385" spans="1:14" ht="12.75" customHeight="1" x14ac:dyDescent="0.2">
      <c r="A385" s="38" t="s">
        <v>170</v>
      </c>
      <c r="B385" s="40">
        <v>0.60043626024558461</v>
      </c>
      <c r="C385" s="39">
        <v>0.60233495156002526</v>
      </c>
      <c r="D385" s="39">
        <v>0.59505636966376452</v>
      </c>
      <c r="E385" s="39">
        <v>0.59515565998850384</v>
      </c>
      <c r="F385" s="39">
        <v>0.59744681338428551</v>
      </c>
      <c r="G385" s="39">
        <v>0.65248796966836264</v>
      </c>
      <c r="H385" s="39">
        <v>0.64035436667051027</v>
      </c>
      <c r="I385" s="39">
        <v>0.66431572472501765</v>
      </c>
      <c r="J385" s="39">
        <v>0.68753034068718011</v>
      </c>
      <c r="K385" s="39">
        <v>0.71493925520332879</v>
      </c>
      <c r="L385" s="45">
        <v>0.72875147829077491</v>
      </c>
      <c r="M385" s="39">
        <v>0.71538669603166649</v>
      </c>
      <c r="N385" s="39">
        <v>0.74608041206231457</v>
      </c>
    </row>
    <row r="386" spans="1:14" ht="12.75" customHeight="1" x14ac:dyDescent="0.2">
      <c r="A386" s="38" t="s">
        <v>349</v>
      </c>
      <c r="B386" s="40">
        <v>0.53430862981721827</v>
      </c>
      <c r="C386" s="39">
        <v>0.60044972863004864</v>
      </c>
      <c r="D386" s="39">
        <v>0.60829458450464546</v>
      </c>
      <c r="E386" s="39">
        <v>0.65799337721650075</v>
      </c>
      <c r="F386" s="39">
        <v>0.67599348508982304</v>
      </c>
      <c r="G386" s="39">
        <v>0.70229036682675938</v>
      </c>
      <c r="H386" s="39">
        <v>0.71759175792813634</v>
      </c>
      <c r="I386" s="39">
        <v>0.71355146196693375</v>
      </c>
      <c r="J386" s="39">
        <v>0.71750197740731558</v>
      </c>
      <c r="K386" s="39">
        <v>0.76835625994704559</v>
      </c>
      <c r="L386" s="45">
        <v>0.74431194254035782</v>
      </c>
      <c r="M386" s="39">
        <v>0.74495020765479458</v>
      </c>
      <c r="N386" s="39">
        <v>0.73925771399441453</v>
      </c>
    </row>
    <row r="387" spans="1:14" ht="12.75" customHeight="1" x14ac:dyDescent="0.2">
      <c r="A387" s="38" t="s">
        <v>404</v>
      </c>
      <c r="B387" s="40">
        <v>0.39302543880239477</v>
      </c>
      <c r="C387" s="39">
        <v>0.4551409692372726</v>
      </c>
      <c r="D387" s="39">
        <v>0.43942378634144846</v>
      </c>
      <c r="E387" s="39">
        <v>0.469843783299007</v>
      </c>
      <c r="F387" s="39">
        <v>0.49415373274015179</v>
      </c>
      <c r="G387" s="39">
        <v>0.57725935041819432</v>
      </c>
      <c r="H387" s="39">
        <v>0.55192897709333455</v>
      </c>
      <c r="I387" s="39">
        <v>0.55262329542472977</v>
      </c>
      <c r="J387" s="39">
        <v>0.51316421568849024</v>
      </c>
      <c r="K387" s="39">
        <v>0.56891045693585518</v>
      </c>
      <c r="L387" s="45">
        <v>0.57875856495489775</v>
      </c>
      <c r="M387" s="39">
        <v>0.6271059205215076</v>
      </c>
      <c r="N387" s="39">
        <v>0.65782328063814299</v>
      </c>
    </row>
    <row r="388" spans="1:14" ht="12.75" customHeight="1" x14ac:dyDescent="0.2">
      <c r="A388" s="38" t="s">
        <v>247</v>
      </c>
      <c r="B388" s="40">
        <v>0.59788585786046033</v>
      </c>
      <c r="C388" s="39">
        <v>0.62136171129526407</v>
      </c>
      <c r="D388" s="39">
        <v>0.57509646831519512</v>
      </c>
      <c r="E388" s="39">
        <v>0.58962826137862723</v>
      </c>
      <c r="F388" s="39">
        <v>0.63242498151548288</v>
      </c>
      <c r="G388" s="39">
        <v>0.65406405320551653</v>
      </c>
      <c r="H388" s="39">
        <v>0.66215499856271598</v>
      </c>
      <c r="I388" s="39">
        <v>0.69978741128241484</v>
      </c>
      <c r="J388" s="39">
        <v>0.67102536822972081</v>
      </c>
      <c r="K388" s="39">
        <v>0.68559299109104799</v>
      </c>
      <c r="L388" s="45">
        <v>0.68256521803600012</v>
      </c>
      <c r="M388" s="39">
        <v>0.6905621046857201</v>
      </c>
      <c r="N388" s="39">
        <v>0.6957500263836538</v>
      </c>
    </row>
    <row r="389" spans="1:14" ht="12.75" customHeight="1" x14ac:dyDescent="0.2">
      <c r="A389" s="38" t="s">
        <v>337</v>
      </c>
      <c r="B389" s="40">
        <v>0.68814886984354917</v>
      </c>
      <c r="C389" s="39">
        <v>0.68521060702331871</v>
      </c>
      <c r="D389" s="39">
        <v>0.68372779804692774</v>
      </c>
      <c r="E389" s="39">
        <v>0.6938158166234748</v>
      </c>
      <c r="F389" s="39">
        <v>0.70196405847216992</v>
      </c>
      <c r="G389" s="39">
        <v>0.71758128170428348</v>
      </c>
      <c r="H389" s="39">
        <v>0.73376552396138994</v>
      </c>
      <c r="I389" s="39">
        <v>0.75589323354959459</v>
      </c>
      <c r="J389" s="39">
        <v>0.76211043606289286</v>
      </c>
      <c r="K389" s="39">
        <v>0.76299818239148076</v>
      </c>
      <c r="L389" s="45">
        <v>0.75158508298380988</v>
      </c>
      <c r="M389" s="39">
        <v>0.76438951113006459</v>
      </c>
      <c r="N389" s="39">
        <v>0.76650232415731923</v>
      </c>
    </row>
    <row r="390" spans="1:14" ht="12.75" customHeight="1" x14ac:dyDescent="0.2">
      <c r="A390" s="38" t="s">
        <v>70</v>
      </c>
      <c r="B390" s="40">
        <v>0.519428371593604</v>
      </c>
      <c r="C390" s="39">
        <v>0.55113774098369117</v>
      </c>
      <c r="D390" s="39">
        <v>0.50021559972380947</v>
      </c>
      <c r="E390" s="39">
        <v>0.5618069635978088</v>
      </c>
      <c r="F390" s="39">
        <v>0.55432195633183401</v>
      </c>
      <c r="G390" s="39">
        <v>0.60544998873025813</v>
      </c>
      <c r="H390" s="39">
        <v>0.60216070355762052</v>
      </c>
      <c r="I390" s="39">
        <v>0.6720195496395126</v>
      </c>
      <c r="J390" s="39">
        <v>0.62925860614155915</v>
      </c>
      <c r="K390" s="39">
        <v>0.74642549204171615</v>
      </c>
      <c r="L390" s="45">
        <v>0.737735840513421</v>
      </c>
      <c r="M390" s="39">
        <v>0.735314215831815</v>
      </c>
      <c r="N390" s="39">
        <v>0.72817219883324535</v>
      </c>
    </row>
    <row r="391" spans="1:14" ht="12.75" customHeight="1" x14ac:dyDescent="0.2">
      <c r="A391" s="38" t="s">
        <v>259</v>
      </c>
      <c r="B391" s="40">
        <v>0.62947376416040246</v>
      </c>
      <c r="C391" s="39">
        <v>0.66554302864796844</v>
      </c>
      <c r="D391" s="39">
        <v>0.68911124565312554</v>
      </c>
      <c r="E391" s="39">
        <v>0.72907398688475522</v>
      </c>
      <c r="F391" s="39">
        <v>0.74631133588587739</v>
      </c>
      <c r="G391" s="39">
        <v>0.75908664174355212</v>
      </c>
      <c r="H391" s="39">
        <v>0.74798152390134298</v>
      </c>
      <c r="I391" s="39">
        <v>0.78416952497781267</v>
      </c>
      <c r="J391" s="39">
        <v>0.79731142821735401</v>
      </c>
      <c r="K391" s="39">
        <v>0.82674524315563802</v>
      </c>
      <c r="L391" s="45">
        <v>0.82902550111226336</v>
      </c>
      <c r="M391" s="39">
        <v>0.82707096140746972</v>
      </c>
      <c r="N391" s="39">
        <v>0.81826124821704604</v>
      </c>
    </row>
    <row r="392" spans="1:14" ht="12.75" customHeight="1" x14ac:dyDescent="0.2">
      <c r="A392" s="38" t="s">
        <v>248</v>
      </c>
      <c r="B392" s="40">
        <v>0.64268531146981134</v>
      </c>
      <c r="C392" s="39">
        <v>0.66967390242026925</v>
      </c>
      <c r="D392" s="39">
        <v>0.68074188160085936</v>
      </c>
      <c r="E392" s="39">
        <v>0.68262861701658839</v>
      </c>
      <c r="F392" s="39">
        <v>0.68359142402481121</v>
      </c>
      <c r="G392" s="39">
        <v>0.69118410767647109</v>
      </c>
      <c r="H392" s="39">
        <v>0.68912816073865135</v>
      </c>
      <c r="I392" s="39">
        <v>0.71951345109383913</v>
      </c>
      <c r="J392" s="39">
        <v>0.73800549396946113</v>
      </c>
      <c r="K392" s="39">
        <v>0.77420443996334509</v>
      </c>
      <c r="L392" s="45">
        <v>0.77329825435657751</v>
      </c>
      <c r="M392" s="39">
        <v>0.78666256511707955</v>
      </c>
      <c r="N392" s="39">
        <v>0.78274877992599123</v>
      </c>
    </row>
    <row r="393" spans="1:14" ht="12.75" customHeight="1" x14ac:dyDescent="0.2">
      <c r="A393" s="38" t="s">
        <v>32</v>
      </c>
      <c r="B393" s="40">
        <v>0.7022603481045967</v>
      </c>
      <c r="C393" s="39">
        <v>0.6633322160292503</v>
      </c>
      <c r="D393" s="39">
        <v>0.6584587648461806</v>
      </c>
      <c r="E393" s="39">
        <v>0.70277895356484843</v>
      </c>
      <c r="F393" s="39">
        <v>0.7119356758596318</v>
      </c>
      <c r="G393" s="39">
        <v>0.70219537090907791</v>
      </c>
      <c r="H393" s="39">
        <v>0.71638781071069746</v>
      </c>
      <c r="I393" s="39">
        <v>0.75398338137767862</v>
      </c>
      <c r="J393" s="39">
        <v>0.75739507590126876</v>
      </c>
      <c r="K393" s="39">
        <v>0.75721676080342226</v>
      </c>
      <c r="L393" s="45">
        <v>0.75898266853261021</v>
      </c>
      <c r="M393" s="39">
        <v>0.77708945374211957</v>
      </c>
      <c r="N393" s="39">
        <v>0.78512587081826801</v>
      </c>
    </row>
    <row r="394" spans="1:14" ht="12.75" customHeight="1" x14ac:dyDescent="0.2">
      <c r="A394" s="38" t="s">
        <v>236</v>
      </c>
      <c r="B394" s="40">
        <v>0.63969048434305165</v>
      </c>
      <c r="C394" s="39">
        <v>0.69555939021931257</v>
      </c>
      <c r="D394" s="39">
        <v>0.53607330683756682</v>
      </c>
      <c r="E394" s="39">
        <v>0.54374042506677389</v>
      </c>
      <c r="F394" s="39">
        <v>0.53587557200841751</v>
      </c>
      <c r="G394" s="39">
        <v>0.67075269598352694</v>
      </c>
      <c r="H394" s="39">
        <v>0.66218882457989159</v>
      </c>
      <c r="I394" s="39">
        <v>0.7311269335344458</v>
      </c>
      <c r="J394" s="39">
        <v>0.73747392900061459</v>
      </c>
      <c r="K394" s="39">
        <v>0.71248004187445824</v>
      </c>
      <c r="L394" s="45">
        <v>0.6969081614122018</v>
      </c>
      <c r="M394" s="39">
        <v>0.69460082362737896</v>
      </c>
      <c r="N394" s="39">
        <v>0.75665113663812311</v>
      </c>
    </row>
    <row r="395" spans="1:14" ht="12.75" customHeight="1" x14ac:dyDescent="0.2">
      <c r="A395" s="38" t="s">
        <v>129</v>
      </c>
      <c r="B395" s="40">
        <v>0.60456866501282236</v>
      </c>
      <c r="C395" s="39">
        <v>0.6362228822553837</v>
      </c>
      <c r="D395" s="39">
        <v>0.61326708373196703</v>
      </c>
      <c r="E395" s="39">
        <v>0.62719419526186992</v>
      </c>
      <c r="F395" s="39">
        <v>0.64533374915390596</v>
      </c>
      <c r="G395" s="39">
        <v>0.66704058142268696</v>
      </c>
      <c r="H395" s="39">
        <v>0.68398432992920422</v>
      </c>
      <c r="I395" s="39">
        <v>0.64709367175020693</v>
      </c>
      <c r="J395" s="39">
        <v>0.66838066610629487</v>
      </c>
      <c r="K395" s="39">
        <v>0.66795399750896778</v>
      </c>
      <c r="L395" s="45">
        <v>0.69684076064808897</v>
      </c>
      <c r="M395" s="39">
        <v>0.69963578601231313</v>
      </c>
      <c r="N395" s="39">
        <v>0.7467569846464005</v>
      </c>
    </row>
    <row r="396" spans="1:14" ht="12.75" customHeight="1" x14ac:dyDescent="0.2">
      <c r="A396" s="38" t="s">
        <v>40</v>
      </c>
      <c r="B396" s="40">
        <v>0.37056736276570756</v>
      </c>
      <c r="C396" s="39">
        <v>0.44991190268612619</v>
      </c>
      <c r="D396" s="39">
        <v>0.48486472694888288</v>
      </c>
      <c r="E396" s="39">
        <v>0.57929540505366728</v>
      </c>
      <c r="F396" s="39">
        <v>0.55972674832124281</v>
      </c>
      <c r="G396" s="39">
        <v>0.59813734647421757</v>
      </c>
      <c r="H396" s="39">
        <v>0.60874499720809594</v>
      </c>
      <c r="I396" s="39">
        <v>0.66058308757251816</v>
      </c>
      <c r="J396" s="39">
        <v>0.63876260179568067</v>
      </c>
      <c r="K396" s="39">
        <v>0.68435096247439731</v>
      </c>
      <c r="L396" s="45">
        <v>0.64902215777805539</v>
      </c>
      <c r="M396" s="39">
        <v>0.65786953108439283</v>
      </c>
      <c r="N396" s="39">
        <v>0.69553382421877219</v>
      </c>
    </row>
    <row r="397" spans="1:14" ht="12.75" customHeight="1" x14ac:dyDescent="0.2">
      <c r="A397" s="38" t="s">
        <v>322</v>
      </c>
      <c r="B397" s="40">
        <v>0.60618205135878822</v>
      </c>
      <c r="C397" s="39">
        <v>0.61159974364009495</v>
      </c>
      <c r="D397" s="39">
        <v>0.61110654461160818</v>
      </c>
      <c r="E397" s="39">
        <v>0.65049261361932476</v>
      </c>
      <c r="F397" s="39">
        <v>0.67150699288560967</v>
      </c>
      <c r="G397" s="39">
        <v>0.67907531712641378</v>
      </c>
      <c r="H397" s="39">
        <v>0.66070282965366534</v>
      </c>
      <c r="I397" s="39">
        <v>0.68119350574797644</v>
      </c>
      <c r="J397" s="39">
        <v>0.67753203688201002</v>
      </c>
      <c r="K397" s="39">
        <v>0.73142620399495184</v>
      </c>
      <c r="L397" s="45">
        <v>0.73563240616652303</v>
      </c>
      <c r="M397" s="39">
        <v>0.74656902434568251</v>
      </c>
      <c r="N397" s="39">
        <v>0.77846994636254652</v>
      </c>
    </row>
    <row r="398" spans="1:14" ht="12.75" customHeight="1" x14ac:dyDescent="0.2">
      <c r="A398" s="38" t="s">
        <v>363</v>
      </c>
      <c r="B398" s="40">
        <v>0.63689008925153645</v>
      </c>
      <c r="C398" s="39">
        <v>0.69041555390124676</v>
      </c>
      <c r="D398" s="39">
        <v>0.69007750865128381</v>
      </c>
      <c r="E398" s="39">
        <v>0.70641085826381944</v>
      </c>
      <c r="F398" s="39">
        <v>0.69974999852426523</v>
      </c>
      <c r="G398" s="39">
        <v>0.7062178259777413</v>
      </c>
      <c r="H398" s="39">
        <v>0.71173513161416058</v>
      </c>
      <c r="I398" s="39">
        <v>0.73971282695670715</v>
      </c>
      <c r="J398" s="39">
        <v>0.77173701953248319</v>
      </c>
      <c r="K398" s="39">
        <v>0.77803134726016465</v>
      </c>
      <c r="L398" s="45">
        <v>0.77287695037742521</v>
      </c>
      <c r="M398" s="39">
        <v>0.77790572287641713</v>
      </c>
      <c r="N398" s="39">
        <v>0.79163303991528533</v>
      </c>
    </row>
    <row r="399" spans="1:14" ht="12.75" customHeight="1" x14ac:dyDescent="0.2">
      <c r="A399" s="38" t="s">
        <v>7069</v>
      </c>
      <c r="B399" s="40">
        <v>0.56395743367668538</v>
      </c>
      <c r="C399" s="39">
        <v>0.61719608734307219</v>
      </c>
      <c r="D399" s="39">
        <v>0.59266870281189288</v>
      </c>
      <c r="E399" s="39">
        <v>0.59886706802351797</v>
      </c>
      <c r="F399" s="39">
        <v>0.72586121606491638</v>
      </c>
      <c r="G399" s="39">
        <v>0.71518707911005608</v>
      </c>
      <c r="H399" s="39">
        <v>0.71913417121481393</v>
      </c>
      <c r="I399" s="39">
        <v>0.70623459448352899</v>
      </c>
      <c r="J399" s="39">
        <v>0.74999827720954426</v>
      </c>
      <c r="K399" s="39">
        <v>0.78074866465837489</v>
      </c>
      <c r="L399" s="45">
        <v>0.75519566816803374</v>
      </c>
      <c r="M399" s="39">
        <v>0.74795705600717666</v>
      </c>
      <c r="N399" s="39">
        <v>0.76979154219601575</v>
      </c>
    </row>
    <row r="400" spans="1:14" ht="12.75" customHeight="1" x14ac:dyDescent="0.2">
      <c r="A400" s="38" t="s">
        <v>390</v>
      </c>
      <c r="B400" s="40">
        <v>0.67333065996773656</v>
      </c>
      <c r="C400" s="39">
        <v>0.65221714330417158</v>
      </c>
      <c r="D400" s="39">
        <v>0.63069970206188886</v>
      </c>
      <c r="E400" s="39">
        <v>0.63511057446478869</v>
      </c>
      <c r="F400" s="39">
        <v>0.67347219486949872</v>
      </c>
      <c r="G400" s="39">
        <v>0.67434051558295305</v>
      </c>
      <c r="H400" s="39">
        <v>0.70592220344970691</v>
      </c>
      <c r="I400" s="39">
        <v>0.71546140550469561</v>
      </c>
      <c r="J400" s="39">
        <v>0.73455856919663198</v>
      </c>
      <c r="K400" s="39">
        <v>0.7560057181070593</v>
      </c>
      <c r="L400" s="45">
        <v>0.73308983176492737</v>
      </c>
      <c r="M400" s="39">
        <v>0.73632304869532883</v>
      </c>
      <c r="N400" s="39">
        <v>0.71694383586868948</v>
      </c>
    </row>
    <row r="401" spans="1:14" ht="12.75" customHeight="1" x14ac:dyDescent="0.2">
      <c r="A401" s="38" t="s">
        <v>41</v>
      </c>
      <c r="B401" s="40">
        <v>0.52165572276560612</v>
      </c>
      <c r="C401" s="39">
        <v>0.55563077645339609</v>
      </c>
      <c r="D401" s="39">
        <v>0.5650858457999921</v>
      </c>
      <c r="E401" s="39">
        <v>0.59365822859384421</v>
      </c>
      <c r="F401" s="39">
        <v>0.61403663673386388</v>
      </c>
      <c r="G401" s="39">
        <v>0.59899574098659447</v>
      </c>
      <c r="H401" s="39">
        <v>0.60603682385320912</v>
      </c>
      <c r="I401" s="39">
        <v>0.67904734488954921</v>
      </c>
      <c r="J401" s="39">
        <v>0.68163048213839517</v>
      </c>
      <c r="K401" s="39">
        <v>0.73929497667996247</v>
      </c>
      <c r="L401" s="45">
        <v>0.71419552864341584</v>
      </c>
      <c r="M401" s="39">
        <v>0.7714854319993707</v>
      </c>
      <c r="N401" s="39">
        <v>0.74059716329125125</v>
      </c>
    </row>
    <row r="402" spans="1:14" ht="12.75" customHeight="1" x14ac:dyDescent="0.2">
      <c r="A402" s="44" t="s">
        <v>284</v>
      </c>
      <c r="B402" s="43">
        <v>0.520026131542484</v>
      </c>
      <c r="C402" s="41">
        <v>0.53079954178468236</v>
      </c>
      <c r="D402" s="41">
        <v>0.53966845372352212</v>
      </c>
      <c r="E402" s="41">
        <v>0.58986728749607031</v>
      </c>
      <c r="F402" s="41">
        <v>0.58944279001265032</v>
      </c>
      <c r="G402" s="41">
        <v>0.58396123473252592</v>
      </c>
      <c r="H402" s="41">
        <v>0.58837308536488575</v>
      </c>
      <c r="I402" s="41">
        <v>0.66413115340799356</v>
      </c>
      <c r="J402" s="41">
        <v>0.66979270400882518</v>
      </c>
      <c r="K402" s="41">
        <v>0.6723160578056856</v>
      </c>
      <c r="L402" s="42">
        <v>0.6640914413942034</v>
      </c>
      <c r="M402" s="41">
        <v>0.64836173301795419</v>
      </c>
      <c r="N402" s="41">
        <v>0.65966076628295334</v>
      </c>
    </row>
    <row r="403" spans="1:14" ht="12.75" customHeight="1" x14ac:dyDescent="0.2">
      <c r="E403" s="39"/>
      <c r="F403" s="39"/>
      <c r="G403" s="39"/>
      <c r="L403" s="39"/>
    </row>
  </sheetData>
  <mergeCells count="2">
    <mergeCell ref="A2:A3"/>
    <mergeCell ref="B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423F-40DB-49A3-8DA5-7CC0A8B81747}">
  <dimension ref="A1:HD407"/>
  <sheetViews>
    <sheetView zoomScaleNormal="100" workbookViewId="0">
      <selection activeCell="J31" sqref="J31"/>
    </sheetView>
  </sheetViews>
  <sheetFormatPr defaultRowHeight="12.75" x14ac:dyDescent="0.2"/>
  <cols>
    <col min="1" max="1" width="26.7109375" style="56" customWidth="1"/>
    <col min="2" max="4" width="11.7109375" style="57" customWidth="1"/>
    <col min="5" max="5" width="11.7109375" style="56" customWidth="1"/>
    <col min="6" max="6" width="11.7109375" style="59" customWidth="1"/>
    <col min="7" max="7" width="11.7109375" style="58" customWidth="1"/>
    <col min="8" max="9" width="11.7109375" style="57" customWidth="1"/>
    <col min="10" max="10" width="11.7109375" style="56" customWidth="1"/>
    <col min="11" max="11" width="11.7109375" style="57" customWidth="1"/>
    <col min="12" max="13" width="11.7109375" style="56" customWidth="1"/>
    <col min="14" max="212" width="9.140625" style="56"/>
    <col min="213" max="16384" width="9.140625" style="55"/>
  </cols>
  <sheetData>
    <row r="1" spans="1:212" s="89" customFormat="1" ht="19.5" x14ac:dyDescent="0.3">
      <c r="A1" s="138" t="s">
        <v>7101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212" ht="17.25" customHeight="1" x14ac:dyDescent="0.2">
      <c r="A2" s="167" t="s">
        <v>7095</v>
      </c>
      <c r="B2" s="165" t="s">
        <v>7100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212" ht="17.25" customHeight="1" x14ac:dyDescent="0.2">
      <c r="A3" s="168"/>
      <c r="B3" s="69">
        <v>2010</v>
      </c>
      <c r="C3" s="69">
        <v>2011</v>
      </c>
      <c r="D3" s="51">
        <v>2012</v>
      </c>
      <c r="E3" s="68">
        <v>2013</v>
      </c>
      <c r="F3" s="51">
        <v>2014</v>
      </c>
      <c r="G3" s="51">
        <v>2015</v>
      </c>
      <c r="H3" s="51">
        <v>2016</v>
      </c>
      <c r="I3" s="51">
        <v>2017</v>
      </c>
      <c r="J3" s="51">
        <v>2018</v>
      </c>
      <c r="K3" s="52">
        <v>2019</v>
      </c>
      <c r="L3" s="52">
        <v>2020</v>
      </c>
      <c r="M3" s="51">
        <v>2021</v>
      </c>
      <c r="N3" s="51">
        <v>2022</v>
      </c>
      <c r="GZ3" s="55"/>
      <c r="HA3" s="55"/>
      <c r="HB3" s="55"/>
      <c r="HC3" s="55"/>
      <c r="HD3" s="55"/>
    </row>
    <row r="4" spans="1:212" ht="15" customHeight="1" x14ac:dyDescent="0.2">
      <c r="A4" s="56" t="s">
        <v>131</v>
      </c>
      <c r="B4" s="67">
        <v>0.35587965835680591</v>
      </c>
      <c r="C4" s="57">
        <v>0.38642797533068413</v>
      </c>
      <c r="D4" s="57">
        <v>0.35624167188903777</v>
      </c>
      <c r="E4" s="65">
        <v>0.36214146724261892</v>
      </c>
      <c r="F4" s="57">
        <v>0.37757982185329653</v>
      </c>
      <c r="G4" s="57">
        <v>0.38281657217247789</v>
      </c>
      <c r="H4" s="57">
        <v>0.40429799855216464</v>
      </c>
      <c r="I4" s="57">
        <v>0.37172344226945886</v>
      </c>
      <c r="J4" s="57">
        <v>0.3606685827317791</v>
      </c>
      <c r="K4" s="45">
        <v>0.40461024162157017</v>
      </c>
      <c r="L4" s="45">
        <v>0.38087900063000679</v>
      </c>
      <c r="M4" s="57">
        <v>0.41007672130977268</v>
      </c>
      <c r="N4" s="57">
        <v>0.46624829824730585</v>
      </c>
      <c r="GZ4" s="55"/>
      <c r="HA4" s="55"/>
      <c r="HB4" s="55"/>
      <c r="HC4" s="55"/>
      <c r="HD4" s="55"/>
    </row>
    <row r="5" spans="1:212" ht="12.75" customHeight="1" x14ac:dyDescent="0.2">
      <c r="A5" s="56" t="s">
        <v>7093</v>
      </c>
      <c r="B5" s="66">
        <v>0.50127807215030229</v>
      </c>
      <c r="C5" s="57">
        <v>0.43630535280422061</v>
      </c>
      <c r="D5" s="57">
        <v>0.47442737502496152</v>
      </c>
      <c r="E5" s="65">
        <v>0.60318746132557455</v>
      </c>
      <c r="F5" s="57">
        <v>0.57053327675511079</v>
      </c>
      <c r="G5" s="57">
        <v>0.5690412978998769</v>
      </c>
      <c r="H5" s="57">
        <v>0.55496634845537207</v>
      </c>
      <c r="I5" s="57">
        <v>0.53163119645989343</v>
      </c>
      <c r="J5" s="57">
        <v>0.51231985554967852</v>
      </c>
      <c r="K5" s="45">
        <v>0.5273600933008904</v>
      </c>
      <c r="L5" s="45">
        <v>0.47510437567005609</v>
      </c>
      <c r="M5" s="57">
        <v>0.53345403716246764</v>
      </c>
      <c r="N5" s="57">
        <v>0.55356134622424991</v>
      </c>
      <c r="GZ5" s="55"/>
      <c r="HA5" s="55"/>
      <c r="HB5" s="55"/>
      <c r="HC5" s="55"/>
      <c r="HD5" s="55"/>
    </row>
    <row r="6" spans="1:212" ht="12.75" customHeight="1" x14ac:dyDescent="0.2">
      <c r="A6" s="56" t="s">
        <v>405</v>
      </c>
      <c r="B6" s="66">
        <v>0.40679223191375474</v>
      </c>
      <c r="C6" s="57">
        <v>0.34462389379229663</v>
      </c>
      <c r="D6" s="57">
        <v>0.34665752895707169</v>
      </c>
      <c r="E6" s="65">
        <v>0.34024907154327744</v>
      </c>
      <c r="F6" s="57">
        <v>0.36400023241633556</v>
      </c>
      <c r="G6" s="57">
        <v>0.35071399253459545</v>
      </c>
      <c r="H6" s="57">
        <v>0.31707017339737853</v>
      </c>
      <c r="I6" s="57">
        <v>0.41803729670353812</v>
      </c>
      <c r="J6" s="57">
        <v>0.33044430647112244</v>
      </c>
      <c r="K6" s="45">
        <v>0.31281955505226566</v>
      </c>
      <c r="L6" s="45">
        <v>0.32739033010706964</v>
      </c>
      <c r="M6" s="57">
        <v>0.38104275981488595</v>
      </c>
      <c r="N6" s="57">
        <v>0.40516741064130124</v>
      </c>
      <c r="GZ6" s="55"/>
      <c r="HA6" s="55"/>
      <c r="HB6" s="55"/>
      <c r="HC6" s="55"/>
      <c r="HD6" s="55"/>
    </row>
    <row r="7" spans="1:212" ht="12.75" customHeight="1" x14ac:dyDescent="0.2">
      <c r="A7" s="56" t="s">
        <v>6</v>
      </c>
      <c r="B7" s="66">
        <v>0.41451500016848664</v>
      </c>
      <c r="C7" s="57">
        <v>0.43723333857050545</v>
      </c>
      <c r="D7" s="57">
        <v>0.43956067140521721</v>
      </c>
      <c r="E7" s="65">
        <v>0.42211824237977119</v>
      </c>
      <c r="F7" s="57">
        <v>0.44002087835417869</v>
      </c>
      <c r="G7" s="57">
        <v>0.39554101765310734</v>
      </c>
      <c r="H7" s="57">
        <v>0.4008012801364757</v>
      </c>
      <c r="I7" s="57">
        <v>0.42468260325093177</v>
      </c>
      <c r="J7" s="57">
        <v>0.40480228003896951</v>
      </c>
      <c r="K7" s="45">
        <v>0.41617175426174829</v>
      </c>
      <c r="L7" s="45">
        <v>0.3976769336078842</v>
      </c>
      <c r="M7" s="57">
        <v>0.42542018905881746</v>
      </c>
      <c r="N7" s="57">
        <v>0.42379101071886116</v>
      </c>
      <c r="GZ7" s="55"/>
      <c r="HA7" s="55"/>
      <c r="HB7" s="55"/>
      <c r="HC7" s="55"/>
      <c r="HD7" s="55"/>
    </row>
    <row r="8" spans="1:212" ht="12.75" customHeight="1" x14ac:dyDescent="0.2">
      <c r="A8" s="56" t="s">
        <v>250</v>
      </c>
      <c r="B8" s="66">
        <v>0.33331811890247987</v>
      </c>
      <c r="C8" s="57">
        <v>0.3928314549874935</v>
      </c>
      <c r="D8" s="57">
        <v>0.35824220681450375</v>
      </c>
      <c r="E8" s="65">
        <v>0.37020714614058803</v>
      </c>
      <c r="F8" s="57">
        <v>0.32229260377926461</v>
      </c>
      <c r="G8" s="57">
        <v>0.39285143747664697</v>
      </c>
      <c r="H8" s="57">
        <v>0.37390599395914098</v>
      </c>
      <c r="I8" s="57">
        <v>0.39780837688600734</v>
      </c>
      <c r="J8" s="57">
        <v>0.38478177723205365</v>
      </c>
      <c r="K8" s="45">
        <v>0.37268353675736887</v>
      </c>
      <c r="L8" s="45">
        <v>0.39526592669613908</v>
      </c>
      <c r="M8" s="57">
        <v>0.39366654048743888</v>
      </c>
      <c r="N8" s="57">
        <v>0.47023496796518049</v>
      </c>
      <c r="GZ8" s="55"/>
      <c r="HA8" s="55"/>
      <c r="HB8" s="55"/>
      <c r="HC8" s="55"/>
      <c r="HD8" s="55"/>
    </row>
    <row r="9" spans="1:212" ht="12.75" customHeight="1" x14ac:dyDescent="0.2">
      <c r="A9" s="56" t="s">
        <v>297</v>
      </c>
      <c r="B9" s="66">
        <v>0.46678795883359864</v>
      </c>
      <c r="C9" s="57">
        <v>0.46143204315238678</v>
      </c>
      <c r="D9" s="57">
        <v>0.45949927136387453</v>
      </c>
      <c r="E9" s="65">
        <v>0.48575070816619353</v>
      </c>
      <c r="F9" s="57">
        <v>0.49000743988472995</v>
      </c>
      <c r="G9" s="57">
        <v>0.4476623989684313</v>
      </c>
      <c r="H9" s="57">
        <v>0.47990754163960098</v>
      </c>
      <c r="I9" s="57">
        <v>0.50327374691673199</v>
      </c>
      <c r="J9" s="57">
        <v>0.49649181098325157</v>
      </c>
      <c r="K9" s="45">
        <v>0.49123593342871541</v>
      </c>
      <c r="L9" s="45">
        <v>0.51056115229013455</v>
      </c>
      <c r="M9" s="57">
        <v>0.49395377410227914</v>
      </c>
      <c r="N9" s="57">
        <v>0.55969745737376297</v>
      </c>
      <c r="GZ9" s="55"/>
      <c r="HA9" s="55"/>
      <c r="HB9" s="55"/>
      <c r="HC9" s="55"/>
      <c r="HD9" s="55"/>
    </row>
    <row r="10" spans="1:212" ht="12.75" customHeight="1" x14ac:dyDescent="0.2">
      <c r="A10" s="56" t="s">
        <v>224</v>
      </c>
      <c r="B10" s="66">
        <v>0.38880901692048969</v>
      </c>
      <c r="C10" s="57">
        <v>0.40933165008589462</v>
      </c>
      <c r="D10" s="57">
        <v>0.46617868787673794</v>
      </c>
      <c r="E10" s="65">
        <v>0.45837128336943345</v>
      </c>
      <c r="F10" s="57">
        <v>0.46422881574723368</v>
      </c>
      <c r="G10" s="57">
        <v>0.37292428900670255</v>
      </c>
      <c r="H10" s="57">
        <v>0.39276321910309298</v>
      </c>
      <c r="I10" s="57">
        <v>0.42525665480609615</v>
      </c>
      <c r="J10" s="57">
        <v>0.39862962970705001</v>
      </c>
      <c r="K10" s="45">
        <v>0.39044119181046766</v>
      </c>
      <c r="L10" s="45">
        <v>0.37369391043658323</v>
      </c>
      <c r="M10" s="57">
        <v>0.40340381531492064</v>
      </c>
      <c r="N10" s="57">
        <v>0.42681702016792644</v>
      </c>
      <c r="GZ10" s="55"/>
      <c r="HA10" s="55"/>
      <c r="HB10" s="55"/>
      <c r="HC10" s="55"/>
      <c r="HD10" s="55"/>
    </row>
    <row r="11" spans="1:212" ht="12.75" customHeight="1" x14ac:dyDescent="0.2">
      <c r="A11" s="56" t="s">
        <v>274</v>
      </c>
      <c r="B11" s="66">
        <v>0.36919730881288504</v>
      </c>
      <c r="C11" s="57">
        <v>0.39736992021387468</v>
      </c>
      <c r="D11" s="57">
        <v>0.38362467956419416</v>
      </c>
      <c r="E11" s="65">
        <v>0.39186270979818838</v>
      </c>
      <c r="F11" s="57">
        <v>0.40461590704050654</v>
      </c>
      <c r="G11" s="57">
        <v>0.37661050867723539</v>
      </c>
      <c r="H11" s="57">
        <v>0.37867222964741026</v>
      </c>
      <c r="I11" s="57">
        <v>0.42833264813670446</v>
      </c>
      <c r="J11" s="57">
        <v>0.43077822879820654</v>
      </c>
      <c r="K11" s="45">
        <v>0.41535838165063749</v>
      </c>
      <c r="L11" s="45">
        <v>0.41046359557782874</v>
      </c>
      <c r="M11" s="57">
        <v>0.45795583868880585</v>
      </c>
      <c r="N11" s="57">
        <v>0.47223664838970436</v>
      </c>
      <c r="GZ11" s="55"/>
      <c r="HA11" s="55"/>
      <c r="HB11" s="55"/>
      <c r="HC11" s="55"/>
      <c r="HD11" s="55"/>
    </row>
    <row r="12" spans="1:212" ht="12.75" customHeight="1" x14ac:dyDescent="0.2">
      <c r="A12" s="56" t="s">
        <v>275</v>
      </c>
      <c r="B12" s="66">
        <v>0.40357640558270125</v>
      </c>
      <c r="C12" s="57">
        <v>0.4126694211418524</v>
      </c>
      <c r="D12" s="57">
        <v>0.43152820741973974</v>
      </c>
      <c r="E12" s="65">
        <v>0.43015009117924968</v>
      </c>
      <c r="F12" s="57">
        <v>0.40378011143419124</v>
      </c>
      <c r="G12" s="57">
        <v>0.39185313403808436</v>
      </c>
      <c r="H12" s="57">
        <v>0.37912213130901962</v>
      </c>
      <c r="I12" s="57">
        <v>0.38927563991416247</v>
      </c>
      <c r="J12" s="57">
        <v>0.37485509524477795</v>
      </c>
      <c r="K12" s="45">
        <v>0.40428675210670839</v>
      </c>
      <c r="L12" s="45">
        <v>0.35519565024902355</v>
      </c>
      <c r="M12" s="57">
        <v>0.40104356045213241</v>
      </c>
      <c r="N12" s="57">
        <v>0.41552644264480948</v>
      </c>
      <c r="GZ12" s="55"/>
      <c r="HA12" s="55"/>
      <c r="HB12" s="55"/>
      <c r="HC12" s="55"/>
      <c r="HD12" s="55"/>
    </row>
    <row r="13" spans="1:212" ht="12.75" customHeight="1" x14ac:dyDescent="0.2">
      <c r="A13" s="56" t="s">
        <v>101</v>
      </c>
      <c r="B13" s="66">
        <v>0.38993406150436977</v>
      </c>
      <c r="C13" s="57">
        <v>0.40855458470405825</v>
      </c>
      <c r="D13" s="57">
        <v>0.44841321849265114</v>
      </c>
      <c r="E13" s="65">
        <v>0.3986378826368937</v>
      </c>
      <c r="F13" s="57">
        <v>0.40726846545875206</v>
      </c>
      <c r="G13" s="57">
        <v>0.40170474884558938</v>
      </c>
      <c r="H13" s="57">
        <v>0.42057168367183217</v>
      </c>
      <c r="I13" s="57">
        <v>0.41187338975102072</v>
      </c>
      <c r="J13" s="57">
        <v>0.42207268412137283</v>
      </c>
      <c r="K13" s="45">
        <v>0.42178789495440422</v>
      </c>
      <c r="L13" s="45">
        <v>0.43381731034607662</v>
      </c>
      <c r="M13" s="57">
        <v>0.40941085934594595</v>
      </c>
      <c r="N13" s="57">
        <v>0.48083085255725572</v>
      </c>
      <c r="GZ13" s="55"/>
      <c r="HA13" s="55"/>
      <c r="HB13" s="55"/>
      <c r="HC13" s="55"/>
      <c r="HD13" s="55"/>
    </row>
    <row r="14" spans="1:212" ht="12.75" customHeight="1" x14ac:dyDescent="0.2">
      <c r="A14" s="56" t="s">
        <v>261</v>
      </c>
      <c r="B14" s="66">
        <v>0.36835236993066806</v>
      </c>
      <c r="C14" s="57">
        <v>0.38361050423066773</v>
      </c>
      <c r="D14" s="57">
        <v>0.38322782836183311</v>
      </c>
      <c r="E14" s="65">
        <v>0.40257186636112402</v>
      </c>
      <c r="F14" s="57">
        <v>0.42588901418265701</v>
      </c>
      <c r="G14" s="57">
        <v>0.37804183399759528</v>
      </c>
      <c r="H14" s="57">
        <v>0.40638362034587272</v>
      </c>
      <c r="I14" s="57">
        <v>0.41047617673749887</v>
      </c>
      <c r="J14" s="57">
        <v>0.38978283732256175</v>
      </c>
      <c r="K14" s="45">
        <v>0.39512407312237996</v>
      </c>
      <c r="L14" s="45">
        <v>0.40622957890629191</v>
      </c>
      <c r="M14" s="57">
        <v>0.43144540590649444</v>
      </c>
      <c r="N14" s="57">
        <v>0.45027916556330799</v>
      </c>
      <c r="GZ14" s="55"/>
      <c r="HA14" s="55"/>
      <c r="HB14" s="55"/>
      <c r="HC14" s="55"/>
      <c r="HD14" s="55"/>
    </row>
    <row r="15" spans="1:212" ht="12.75" customHeight="1" x14ac:dyDescent="0.2">
      <c r="A15" s="56" t="s">
        <v>365</v>
      </c>
      <c r="B15" s="66">
        <v>0.46549136630206639</v>
      </c>
      <c r="C15" s="57">
        <v>0.46628969273093673</v>
      </c>
      <c r="D15" s="57">
        <v>0.47914409637238931</v>
      </c>
      <c r="E15" s="65">
        <v>0.50550129185570414</v>
      </c>
      <c r="F15" s="57">
        <v>0.50623532812075878</v>
      </c>
      <c r="G15" s="57">
        <v>0.468055216544988</v>
      </c>
      <c r="H15" s="57">
        <v>0.46799814233861142</v>
      </c>
      <c r="I15" s="57">
        <v>0.49874117533387013</v>
      </c>
      <c r="J15" s="57">
        <v>0.49713266032319836</v>
      </c>
      <c r="K15" s="45">
        <v>0.50215169202846599</v>
      </c>
      <c r="L15" s="45">
        <v>0.50490358532396118</v>
      </c>
      <c r="M15" s="57">
        <v>0.51480443624980776</v>
      </c>
      <c r="N15" s="57">
        <v>0.5514924391880538</v>
      </c>
      <c r="GZ15" s="55"/>
      <c r="HA15" s="55"/>
      <c r="HB15" s="55"/>
      <c r="HC15" s="55"/>
      <c r="HD15" s="55"/>
    </row>
    <row r="16" spans="1:212" ht="12.75" customHeight="1" x14ac:dyDescent="0.2">
      <c r="A16" s="56" t="s">
        <v>339</v>
      </c>
      <c r="B16" s="66">
        <v>0.35817307201263998</v>
      </c>
      <c r="C16" s="57">
        <v>0.3781308802045692</v>
      </c>
      <c r="D16" s="57">
        <v>0.3386039832552421</v>
      </c>
      <c r="E16" s="65">
        <v>0.34527989231132877</v>
      </c>
      <c r="F16" s="57">
        <v>0.36840844112473514</v>
      </c>
      <c r="G16" s="57">
        <v>0.36692215259730721</v>
      </c>
      <c r="H16" s="57">
        <v>0.35421495348459414</v>
      </c>
      <c r="I16" s="57">
        <v>0.39750611616226428</v>
      </c>
      <c r="J16" s="57">
        <v>0.41926281649506081</v>
      </c>
      <c r="K16" s="45">
        <v>0.41905121812328666</v>
      </c>
      <c r="L16" s="45">
        <v>0.41866096373784373</v>
      </c>
      <c r="M16" s="57">
        <v>0.39082430826998299</v>
      </c>
      <c r="N16" s="57">
        <v>0.45259172775371503</v>
      </c>
      <c r="GZ16" s="55"/>
      <c r="HA16" s="55"/>
      <c r="HB16" s="55"/>
      <c r="HC16" s="55"/>
      <c r="HD16" s="55"/>
    </row>
    <row r="17" spans="1:212" ht="12.75" customHeight="1" x14ac:dyDescent="0.2">
      <c r="A17" s="56" t="s">
        <v>139</v>
      </c>
      <c r="B17" s="66">
        <v>0.48946974367251828</v>
      </c>
      <c r="C17" s="57">
        <v>0.46795228633113017</v>
      </c>
      <c r="D17" s="57">
        <v>0.45271427654260882</v>
      </c>
      <c r="E17" s="65">
        <v>0.45607165747161349</v>
      </c>
      <c r="F17" s="57">
        <v>0.46011782974743104</v>
      </c>
      <c r="G17" s="57">
        <v>0.41675684310412736</v>
      </c>
      <c r="H17" s="57">
        <v>0.42039502860603239</v>
      </c>
      <c r="I17" s="57">
        <v>0.45316593930147914</v>
      </c>
      <c r="J17" s="57">
        <v>0.46906832747332877</v>
      </c>
      <c r="K17" s="45">
        <v>0.4653663120116846</v>
      </c>
      <c r="L17" s="45">
        <v>0.4511479593023846</v>
      </c>
      <c r="M17" s="57">
        <v>0.48931614776209936</v>
      </c>
      <c r="N17" s="57">
        <v>0.48365068049492876</v>
      </c>
      <c r="GZ17" s="55"/>
      <c r="HA17" s="55"/>
      <c r="HB17" s="55"/>
      <c r="HC17" s="55"/>
      <c r="HD17" s="55"/>
    </row>
    <row r="18" spans="1:212" ht="12.75" customHeight="1" x14ac:dyDescent="0.2">
      <c r="A18" s="56" t="s">
        <v>187</v>
      </c>
      <c r="B18" s="66">
        <v>0.39104868617308997</v>
      </c>
      <c r="C18" s="57">
        <v>0.37650567152812842</v>
      </c>
      <c r="D18" s="57">
        <v>0.39647212395188092</v>
      </c>
      <c r="E18" s="65">
        <v>0.3992092856784043</v>
      </c>
      <c r="F18" s="57">
        <v>0.44087266396158853</v>
      </c>
      <c r="G18" s="57">
        <v>0.43448345048366521</v>
      </c>
      <c r="H18" s="57">
        <v>0.42566410539967992</v>
      </c>
      <c r="I18" s="57">
        <v>0.43139363678165804</v>
      </c>
      <c r="J18" s="57">
        <v>0.46229851515389503</v>
      </c>
      <c r="K18" s="45">
        <v>0.45976514688565001</v>
      </c>
      <c r="L18" s="45">
        <v>0.46890449462796308</v>
      </c>
      <c r="M18" s="57">
        <v>0.44413769968450606</v>
      </c>
      <c r="N18" s="57">
        <v>0.49082507298549982</v>
      </c>
      <c r="GZ18" s="55"/>
      <c r="HA18" s="55"/>
      <c r="HB18" s="55"/>
      <c r="HC18" s="55"/>
      <c r="HD18" s="55"/>
    </row>
    <row r="19" spans="1:212" ht="12.75" customHeight="1" x14ac:dyDescent="0.2">
      <c r="A19" s="56" t="s">
        <v>3</v>
      </c>
      <c r="B19" s="66">
        <v>0.41682866187724854</v>
      </c>
      <c r="C19" s="57">
        <v>0.43374911558605728</v>
      </c>
      <c r="D19" s="57">
        <v>0.41707244840578639</v>
      </c>
      <c r="E19" s="65">
        <v>0.43441377945453141</v>
      </c>
      <c r="F19" s="57">
        <v>0.4121968065750175</v>
      </c>
      <c r="G19" s="57">
        <v>0.40124613153074495</v>
      </c>
      <c r="H19" s="57">
        <v>0.44311663188006756</v>
      </c>
      <c r="I19" s="57">
        <v>0.40113999613360202</v>
      </c>
      <c r="J19" s="57">
        <v>0.46427200897758375</v>
      </c>
      <c r="K19" s="45">
        <v>0.40126594430462204</v>
      </c>
      <c r="L19" s="45">
        <v>0.45177068216815064</v>
      </c>
      <c r="M19" s="57">
        <v>0.39346274262975434</v>
      </c>
      <c r="N19" s="57">
        <v>0.47713552808848114</v>
      </c>
      <c r="GZ19" s="55"/>
      <c r="HA19" s="55"/>
      <c r="HB19" s="55"/>
      <c r="HC19" s="55"/>
      <c r="HD19" s="55"/>
    </row>
    <row r="20" spans="1:212" ht="12.75" customHeight="1" x14ac:dyDescent="0.2">
      <c r="A20" s="56" t="s">
        <v>21</v>
      </c>
      <c r="B20" s="66">
        <v>0.35308969070786617</v>
      </c>
      <c r="C20" s="57">
        <v>0.34647004298968181</v>
      </c>
      <c r="D20" s="57">
        <v>0.33508661114770638</v>
      </c>
      <c r="E20" s="65">
        <v>0.36644484354551832</v>
      </c>
      <c r="F20" s="57">
        <v>0.34754070999006864</v>
      </c>
      <c r="G20" s="57">
        <v>0.35704001809451846</v>
      </c>
      <c r="H20" s="57">
        <v>0.3520057297613069</v>
      </c>
      <c r="I20" s="57">
        <v>0.35417009982777986</v>
      </c>
      <c r="J20" s="57">
        <v>0.38962130498968139</v>
      </c>
      <c r="K20" s="45">
        <v>0.3474276738126858</v>
      </c>
      <c r="L20" s="45">
        <v>0.37553407848919662</v>
      </c>
      <c r="M20" s="57">
        <v>0.35812301555789183</v>
      </c>
      <c r="N20" s="57">
        <v>0.4084019376427947</v>
      </c>
      <c r="GZ20" s="55"/>
      <c r="HA20" s="55"/>
      <c r="HB20" s="55"/>
      <c r="HC20" s="55"/>
      <c r="HD20" s="55"/>
    </row>
    <row r="21" spans="1:212" ht="12.75" customHeight="1" x14ac:dyDescent="0.2">
      <c r="A21" s="56" t="s">
        <v>149</v>
      </c>
      <c r="B21" s="66">
        <v>0.52278145691182731</v>
      </c>
      <c r="C21" s="57">
        <v>0.52222082127053127</v>
      </c>
      <c r="D21" s="57">
        <v>0.53402390061666904</v>
      </c>
      <c r="E21" s="65">
        <v>0.52515338133283174</v>
      </c>
      <c r="F21" s="57">
        <v>0.53791948851383375</v>
      </c>
      <c r="G21" s="57">
        <v>0.50200529917080661</v>
      </c>
      <c r="H21" s="57">
        <v>0.49930694770811357</v>
      </c>
      <c r="I21" s="57">
        <v>0.52250475810691765</v>
      </c>
      <c r="J21" s="57">
        <v>0.50706309618293777</v>
      </c>
      <c r="K21" s="45">
        <v>0.51643993100847685</v>
      </c>
      <c r="L21" s="45">
        <v>0.50412338196141993</v>
      </c>
      <c r="M21" s="57">
        <v>0.52250303610222759</v>
      </c>
      <c r="N21" s="57">
        <v>0.54216835707136968</v>
      </c>
      <c r="GZ21" s="55"/>
      <c r="HA21" s="55"/>
      <c r="HB21" s="55"/>
      <c r="HC21" s="55"/>
      <c r="HD21" s="55"/>
    </row>
    <row r="22" spans="1:212" ht="12.75" customHeight="1" x14ac:dyDescent="0.2">
      <c r="A22" s="56" t="s">
        <v>88</v>
      </c>
      <c r="B22" s="66">
        <v>0.59479898773061435</v>
      </c>
      <c r="C22" s="57">
        <v>0.60434647198318636</v>
      </c>
      <c r="D22" s="57">
        <v>0.59086345216181169</v>
      </c>
      <c r="E22" s="65">
        <v>0.60676626864105976</v>
      </c>
      <c r="F22" s="57">
        <v>0.61429382472381122</v>
      </c>
      <c r="G22" s="57">
        <v>0.57312517262283669</v>
      </c>
      <c r="H22" s="57">
        <v>0.54786131143377359</v>
      </c>
      <c r="I22" s="57">
        <v>0.57705698108006542</v>
      </c>
      <c r="J22" s="57">
        <v>0.55378164771680261</v>
      </c>
      <c r="K22" s="45">
        <v>0.56238336985739568</v>
      </c>
      <c r="L22" s="45">
        <v>0.54278289762279475</v>
      </c>
      <c r="M22" s="57">
        <v>0.56047044450471184</v>
      </c>
      <c r="N22" s="57">
        <v>0.60669812711885618</v>
      </c>
      <c r="GZ22" s="55"/>
      <c r="HA22" s="55"/>
      <c r="HB22" s="55"/>
      <c r="HC22" s="55"/>
      <c r="HD22" s="55"/>
    </row>
    <row r="23" spans="1:212" ht="12.75" customHeight="1" x14ac:dyDescent="0.2">
      <c r="A23" s="56" t="s">
        <v>34</v>
      </c>
      <c r="B23" s="66">
        <v>0.53615728296011755</v>
      </c>
      <c r="C23" s="57">
        <v>0.54665042114470974</v>
      </c>
      <c r="D23" s="57">
        <v>0.53310543318776316</v>
      </c>
      <c r="E23" s="65">
        <v>0.54088925164704282</v>
      </c>
      <c r="F23" s="57">
        <v>0.54866990047048414</v>
      </c>
      <c r="G23" s="57">
        <v>0.52681612402998335</v>
      </c>
      <c r="H23" s="57">
        <v>0.53967098744567688</v>
      </c>
      <c r="I23" s="57">
        <v>0.54421971363971844</v>
      </c>
      <c r="J23" s="57">
        <v>0.54562653802977013</v>
      </c>
      <c r="K23" s="45">
        <v>0.54391751277476164</v>
      </c>
      <c r="L23" s="45">
        <v>0.5306727468692819</v>
      </c>
      <c r="M23" s="57">
        <v>0.5512473116252089</v>
      </c>
      <c r="N23" s="57">
        <v>0.62716884126243233</v>
      </c>
      <c r="GZ23" s="55"/>
      <c r="HA23" s="55"/>
      <c r="HB23" s="55"/>
      <c r="HC23" s="55"/>
      <c r="HD23" s="55"/>
    </row>
    <row r="24" spans="1:212" ht="12.75" customHeight="1" x14ac:dyDescent="0.2">
      <c r="A24" s="56" t="s">
        <v>150</v>
      </c>
      <c r="B24" s="66">
        <v>0.34299536901483485</v>
      </c>
      <c r="C24" s="57">
        <v>0.40914039388385448</v>
      </c>
      <c r="D24" s="57">
        <v>0.34988943043504495</v>
      </c>
      <c r="E24" s="65">
        <v>0.39447106640163443</v>
      </c>
      <c r="F24" s="57">
        <v>0.39529460838845526</v>
      </c>
      <c r="G24" s="57">
        <v>0.36447535437630701</v>
      </c>
      <c r="H24" s="57">
        <v>0.38457068958345786</v>
      </c>
      <c r="I24" s="57">
        <v>0.40127351089574598</v>
      </c>
      <c r="J24" s="57">
        <v>0.40074431531544624</v>
      </c>
      <c r="K24" s="45">
        <v>0.41171720504347947</v>
      </c>
      <c r="L24" s="45">
        <v>0.37727303544109009</v>
      </c>
      <c r="M24" s="57">
        <v>0.42394687330909048</v>
      </c>
      <c r="N24" s="57">
        <v>0.47375418698726557</v>
      </c>
      <c r="GZ24" s="55"/>
      <c r="HA24" s="55"/>
      <c r="HB24" s="55"/>
      <c r="HC24" s="55"/>
      <c r="HD24" s="55"/>
    </row>
    <row r="25" spans="1:212" ht="12.75" customHeight="1" x14ac:dyDescent="0.2">
      <c r="A25" s="56" t="s">
        <v>238</v>
      </c>
      <c r="B25" s="66">
        <v>0.47601809602419343</v>
      </c>
      <c r="C25" s="57">
        <v>0.49968171996291244</v>
      </c>
      <c r="D25" s="57">
        <v>0.49192912246607939</v>
      </c>
      <c r="E25" s="65">
        <v>0.51409287784101876</v>
      </c>
      <c r="F25" s="57">
        <v>0.51186114793028348</v>
      </c>
      <c r="G25" s="57">
        <v>0.47600598155687962</v>
      </c>
      <c r="H25" s="57">
        <v>0.46680488717394741</v>
      </c>
      <c r="I25" s="57">
        <v>0.4896031533184802</v>
      </c>
      <c r="J25" s="57">
        <v>0.48168094273818407</v>
      </c>
      <c r="K25" s="45">
        <v>0.48361540662742769</v>
      </c>
      <c r="L25" s="45">
        <v>0.48367952089127203</v>
      </c>
      <c r="M25" s="57">
        <v>0.49759707134398601</v>
      </c>
      <c r="N25" s="57">
        <v>0.51880885863389981</v>
      </c>
      <c r="GZ25" s="55"/>
      <c r="HA25" s="55"/>
      <c r="HB25" s="55"/>
      <c r="HC25" s="55"/>
      <c r="HD25" s="55"/>
    </row>
    <row r="26" spans="1:212" ht="12.75" customHeight="1" x14ac:dyDescent="0.2">
      <c r="A26" s="56" t="s">
        <v>7092</v>
      </c>
      <c r="B26" s="66">
        <v>0.81384563383461128</v>
      </c>
      <c r="C26" s="57">
        <v>0.78922847794388828</v>
      </c>
      <c r="D26" s="57">
        <v>0.70897977940584311</v>
      </c>
      <c r="E26" s="65">
        <v>0.71811589070481618</v>
      </c>
      <c r="F26" s="57">
        <v>0.71008790498353691</v>
      </c>
      <c r="G26" s="57">
        <v>0.70209971484890898</v>
      </c>
      <c r="H26" s="57">
        <v>0.67789006590880596</v>
      </c>
      <c r="I26" s="57">
        <v>0.67831237537596178</v>
      </c>
      <c r="J26" s="57">
        <v>0.67400947084470131</v>
      </c>
      <c r="K26" s="45">
        <v>0.67174580933259709</v>
      </c>
      <c r="L26" s="45">
        <v>0.65584170717500778</v>
      </c>
      <c r="M26" s="57">
        <v>0.67840838849459584</v>
      </c>
      <c r="N26" s="57">
        <v>0.71660409879192366</v>
      </c>
      <c r="GZ26" s="55"/>
      <c r="HA26" s="55"/>
      <c r="HB26" s="55"/>
      <c r="HC26" s="55"/>
      <c r="HD26" s="55"/>
    </row>
    <row r="27" spans="1:212" ht="12.75" customHeight="1" x14ac:dyDescent="0.2">
      <c r="A27" s="56" t="s">
        <v>151</v>
      </c>
      <c r="B27" s="66">
        <v>0.33237033882210937</v>
      </c>
      <c r="C27" s="57">
        <v>0.45502090139001045</v>
      </c>
      <c r="D27" s="57">
        <v>0.33405168584999001</v>
      </c>
      <c r="E27" s="65">
        <v>0.45672472055758107</v>
      </c>
      <c r="F27" s="57">
        <v>0.43743522903940479</v>
      </c>
      <c r="G27" s="57">
        <v>0.40181425044561492</v>
      </c>
      <c r="H27" s="57">
        <v>0.40517661077785239</v>
      </c>
      <c r="I27" s="57">
        <v>0.44234111474675386</v>
      </c>
      <c r="J27" s="57">
        <v>0.37291761047082939</v>
      </c>
      <c r="K27" s="45">
        <v>0.4127502564815857</v>
      </c>
      <c r="L27" s="45">
        <v>0.40417068236930864</v>
      </c>
      <c r="M27" s="57">
        <v>0.43286093751806326</v>
      </c>
      <c r="N27" s="57">
        <v>0.48297051161183813</v>
      </c>
      <c r="GZ27" s="55"/>
      <c r="HA27" s="55"/>
      <c r="HB27" s="55"/>
      <c r="HC27" s="55"/>
      <c r="HD27" s="55"/>
    </row>
    <row r="28" spans="1:212" ht="12.75" customHeight="1" x14ac:dyDescent="0.2">
      <c r="A28" s="56" t="s">
        <v>115</v>
      </c>
      <c r="B28" s="66">
        <v>0.45927236918643738</v>
      </c>
      <c r="C28" s="57">
        <v>0.49116657744812814</v>
      </c>
      <c r="D28" s="57">
        <v>0.44644204856941833</v>
      </c>
      <c r="E28" s="65">
        <v>0.48595048588868561</v>
      </c>
      <c r="F28" s="57">
        <v>0.45639035790302152</v>
      </c>
      <c r="G28" s="57">
        <v>0.42889856562132944</v>
      </c>
      <c r="H28" s="57">
        <v>0.40139195803967964</v>
      </c>
      <c r="I28" s="57">
        <v>0.41749546689459116</v>
      </c>
      <c r="J28" s="57">
        <v>0.39619060534576184</v>
      </c>
      <c r="K28" s="45">
        <v>0.34338387832375789</v>
      </c>
      <c r="L28" s="45">
        <v>0.42533756884001944</v>
      </c>
      <c r="M28" s="57">
        <v>0.40930898755644191</v>
      </c>
      <c r="N28" s="57">
        <v>0.43611130220509042</v>
      </c>
      <c r="GZ28" s="55"/>
      <c r="HA28" s="55"/>
      <c r="HB28" s="55"/>
      <c r="HC28" s="55"/>
      <c r="HD28" s="55"/>
    </row>
    <row r="29" spans="1:212" ht="12.75" customHeight="1" x14ac:dyDescent="0.2">
      <c r="A29" s="56" t="s">
        <v>276</v>
      </c>
      <c r="B29" s="66">
        <v>0.45250046479838402</v>
      </c>
      <c r="C29" s="57">
        <v>0.44447312989457527</v>
      </c>
      <c r="D29" s="57">
        <v>0.43385448774406071</v>
      </c>
      <c r="E29" s="65">
        <v>0.46426574070974624</v>
      </c>
      <c r="F29" s="57">
        <v>0.46747191290613888</v>
      </c>
      <c r="G29" s="57">
        <v>0.43965985776265609</v>
      </c>
      <c r="H29" s="57">
        <v>0.43892388788107034</v>
      </c>
      <c r="I29" s="57">
        <v>0.45748002735988513</v>
      </c>
      <c r="J29" s="57">
        <v>0.45618122993234972</v>
      </c>
      <c r="K29" s="45">
        <v>0.45382135136770213</v>
      </c>
      <c r="L29" s="45">
        <v>0.44892096940980203</v>
      </c>
      <c r="M29" s="57">
        <v>0.46979130390139712</v>
      </c>
      <c r="N29" s="57">
        <v>0.50110966698843762</v>
      </c>
      <c r="GZ29" s="55"/>
      <c r="HA29" s="55"/>
      <c r="HB29" s="55"/>
      <c r="HC29" s="55"/>
      <c r="HD29" s="55"/>
    </row>
    <row r="30" spans="1:212" ht="12.75" customHeight="1" x14ac:dyDescent="0.2">
      <c r="A30" s="56" t="s">
        <v>89</v>
      </c>
      <c r="B30" s="66">
        <v>0.46058325928002308</v>
      </c>
      <c r="C30" s="57">
        <v>0.47169381066804972</v>
      </c>
      <c r="D30" s="57">
        <v>0.48326640734534326</v>
      </c>
      <c r="E30" s="65">
        <v>0.48809139640570581</v>
      </c>
      <c r="F30" s="57">
        <v>0.49355439457547823</v>
      </c>
      <c r="G30" s="57">
        <v>0.4603253283968668</v>
      </c>
      <c r="H30" s="57">
        <v>0.46773244886327214</v>
      </c>
      <c r="I30" s="57">
        <v>0.47959121066922866</v>
      </c>
      <c r="J30" s="57">
        <v>0.45429473076097182</v>
      </c>
      <c r="K30" s="45">
        <v>0.46358086024445916</v>
      </c>
      <c r="L30" s="45">
        <v>0.44112411612494679</v>
      </c>
      <c r="M30" s="57">
        <v>0.46551613075704529</v>
      </c>
      <c r="N30" s="57">
        <v>0.51691449189380712</v>
      </c>
      <c r="GZ30" s="55"/>
      <c r="HA30" s="55"/>
      <c r="HB30" s="55"/>
      <c r="HC30" s="55"/>
      <c r="HD30" s="55"/>
    </row>
    <row r="31" spans="1:212" ht="12.75" customHeight="1" x14ac:dyDescent="0.2">
      <c r="A31" s="56" t="s">
        <v>225</v>
      </c>
      <c r="B31" s="66">
        <v>0.44174309627030378</v>
      </c>
      <c r="C31" s="57">
        <v>0.45947275103579877</v>
      </c>
      <c r="D31" s="57">
        <v>0.43180992398678564</v>
      </c>
      <c r="E31" s="65">
        <v>0.45892471470698948</v>
      </c>
      <c r="F31" s="57">
        <v>0.48213283150885328</v>
      </c>
      <c r="G31" s="57">
        <v>0.4178542586401886</v>
      </c>
      <c r="H31" s="57">
        <v>0.44096319762219593</v>
      </c>
      <c r="I31" s="57">
        <v>0.49910298346700499</v>
      </c>
      <c r="J31" s="57">
        <v>0.4715544960628501</v>
      </c>
      <c r="K31" s="45">
        <v>0.49072595520491386</v>
      </c>
      <c r="L31" s="45">
        <v>0.47200480198930089</v>
      </c>
      <c r="M31" s="57">
        <v>0.47907025358426392</v>
      </c>
      <c r="N31" s="57">
        <v>0.49503388221535766</v>
      </c>
      <c r="GZ31" s="55"/>
      <c r="HA31" s="55"/>
      <c r="HB31" s="55"/>
      <c r="HC31" s="55"/>
      <c r="HD31" s="55"/>
    </row>
    <row r="32" spans="1:212" ht="12.75" customHeight="1" x14ac:dyDescent="0.2">
      <c r="A32" s="56" t="s">
        <v>406</v>
      </c>
      <c r="B32" s="66">
        <v>0.59751861140067364</v>
      </c>
      <c r="C32" s="57">
        <v>0.60833060574367959</v>
      </c>
      <c r="D32" s="57">
        <v>0.60021822421843785</v>
      </c>
      <c r="E32" s="65">
        <v>0.60536258378485641</v>
      </c>
      <c r="F32" s="57">
        <v>0.60458564662875736</v>
      </c>
      <c r="G32" s="57">
        <v>0.57977565517332441</v>
      </c>
      <c r="H32" s="57">
        <v>0.57855124708643146</v>
      </c>
      <c r="I32" s="57">
        <v>0.56876710584362433</v>
      </c>
      <c r="J32" s="57">
        <v>0.55985583690124385</v>
      </c>
      <c r="K32" s="45">
        <v>0.56588374057482282</v>
      </c>
      <c r="L32" s="45">
        <v>0.53679249258270645</v>
      </c>
      <c r="M32" s="57">
        <v>0.59445205792449829</v>
      </c>
      <c r="N32" s="57">
        <v>0.60385833830035474</v>
      </c>
      <c r="GZ32" s="55"/>
      <c r="HA32" s="55"/>
      <c r="HB32" s="55"/>
      <c r="HC32" s="55"/>
      <c r="HD32" s="55"/>
    </row>
    <row r="33" spans="1:212" ht="12.75" customHeight="1" x14ac:dyDescent="0.2">
      <c r="A33" s="56" t="s">
        <v>132</v>
      </c>
      <c r="B33" s="66">
        <v>0.49097816483087542</v>
      </c>
      <c r="C33" s="57">
        <v>0.47670964116814085</v>
      </c>
      <c r="D33" s="57">
        <v>0.47983547951579253</v>
      </c>
      <c r="E33" s="65">
        <v>0.49886353554686358</v>
      </c>
      <c r="F33" s="57">
        <v>0.47743679606527023</v>
      </c>
      <c r="G33" s="57">
        <v>0.45841170598393305</v>
      </c>
      <c r="H33" s="57">
        <v>0.45304185661336049</v>
      </c>
      <c r="I33" s="57">
        <v>0.48074859978351797</v>
      </c>
      <c r="J33" s="57">
        <v>0.47100534357888146</v>
      </c>
      <c r="K33" s="45">
        <v>0.45376574250615831</v>
      </c>
      <c r="L33" s="45">
        <v>0.41104111228007711</v>
      </c>
      <c r="M33" s="57">
        <v>0.47821662013538607</v>
      </c>
      <c r="N33" s="57">
        <v>0.49508941318899646</v>
      </c>
      <c r="GZ33" s="55"/>
      <c r="HA33" s="55"/>
      <c r="HB33" s="55"/>
      <c r="HC33" s="55"/>
      <c r="HD33" s="55"/>
    </row>
    <row r="34" spans="1:212" ht="12.75" customHeight="1" x14ac:dyDescent="0.2">
      <c r="A34" s="56" t="s">
        <v>196</v>
      </c>
      <c r="B34" s="66">
        <v>0.38568305629324723</v>
      </c>
      <c r="C34" s="57">
        <v>0.37428764007670295</v>
      </c>
      <c r="D34" s="57">
        <v>0.34512679225644466</v>
      </c>
      <c r="E34" s="65">
        <v>0.36767131032782674</v>
      </c>
      <c r="F34" s="57">
        <v>0.36422125580498893</v>
      </c>
      <c r="G34" s="57">
        <v>0.34959242965369858</v>
      </c>
      <c r="H34" s="57">
        <v>0.34157328763822992</v>
      </c>
      <c r="I34" s="57">
        <v>0.37446878003643147</v>
      </c>
      <c r="J34" s="57">
        <v>0.36116783185455181</v>
      </c>
      <c r="K34" s="45">
        <v>0.3704339216304206</v>
      </c>
      <c r="L34" s="45">
        <v>0.37577520629344957</v>
      </c>
      <c r="M34" s="57">
        <v>0.39940530804745644</v>
      </c>
      <c r="N34" s="57">
        <v>0.41263178508311144</v>
      </c>
      <c r="GZ34" s="55"/>
      <c r="HA34" s="55"/>
      <c r="HB34" s="55"/>
      <c r="HC34" s="55"/>
      <c r="HD34" s="55"/>
    </row>
    <row r="35" spans="1:212" ht="12.75" customHeight="1" x14ac:dyDescent="0.2">
      <c r="A35" s="56" t="s">
        <v>140</v>
      </c>
      <c r="B35" s="66">
        <v>0.37483594564677303</v>
      </c>
      <c r="C35" s="57">
        <v>0.39967192554356407</v>
      </c>
      <c r="D35" s="57">
        <v>0.36185373638432167</v>
      </c>
      <c r="E35" s="65">
        <v>0.37649743330727592</v>
      </c>
      <c r="F35" s="57">
        <v>0.39375387258170091</v>
      </c>
      <c r="G35" s="57">
        <v>0.37969884763295386</v>
      </c>
      <c r="H35" s="57">
        <v>0.36156236612558312</v>
      </c>
      <c r="I35" s="57">
        <v>0.41204219371556977</v>
      </c>
      <c r="J35" s="57">
        <v>0.41514638061811177</v>
      </c>
      <c r="K35" s="45">
        <v>0.45789060600260995</v>
      </c>
      <c r="L35" s="45">
        <v>0.39725529667938475</v>
      </c>
      <c r="M35" s="57">
        <v>0.41572167229745544</v>
      </c>
      <c r="N35" s="57">
        <v>0.4541237958434382</v>
      </c>
      <c r="GZ35" s="55"/>
      <c r="HA35" s="55"/>
      <c r="HB35" s="55"/>
      <c r="HC35" s="55"/>
      <c r="HD35" s="55"/>
    </row>
    <row r="36" spans="1:212" ht="12.75" customHeight="1" x14ac:dyDescent="0.2">
      <c r="A36" s="56" t="s">
        <v>7091</v>
      </c>
      <c r="B36" s="66">
        <v>0.40530504847709992</v>
      </c>
      <c r="C36" s="57">
        <v>0.45774191976615319</v>
      </c>
      <c r="D36" s="57">
        <v>0.42761046226647614</v>
      </c>
      <c r="E36" s="65">
        <v>0.45330844383682162</v>
      </c>
      <c r="F36" s="57">
        <v>0.45677709176868664</v>
      </c>
      <c r="G36" s="57">
        <v>0.43987243104057006</v>
      </c>
      <c r="H36" s="57">
        <v>0.40850558375912677</v>
      </c>
      <c r="I36" s="57">
        <v>0.41824822427927416</v>
      </c>
      <c r="J36" s="57">
        <v>0.43833325182532218</v>
      </c>
      <c r="K36" s="45">
        <v>0.40665457476124722</v>
      </c>
      <c r="L36" s="45">
        <v>0.43030051747999254</v>
      </c>
      <c r="M36" s="57">
        <v>0.43255258774846517</v>
      </c>
      <c r="N36" s="57">
        <v>0.41366093930518522</v>
      </c>
      <c r="GZ36" s="55"/>
      <c r="HA36" s="55"/>
      <c r="HB36" s="55"/>
      <c r="HC36" s="55"/>
      <c r="HD36" s="55"/>
    </row>
    <row r="37" spans="1:212" ht="12.75" customHeight="1" x14ac:dyDescent="0.2">
      <c r="A37" s="56" t="s">
        <v>366</v>
      </c>
      <c r="B37" s="66">
        <v>0.47694715433271856</v>
      </c>
      <c r="C37" s="57">
        <v>0.42514863263753455</v>
      </c>
      <c r="D37" s="57">
        <v>0.3151891879489141</v>
      </c>
      <c r="E37" s="65">
        <v>0.30088347724461523</v>
      </c>
      <c r="F37" s="57">
        <v>0.38686106357474476</v>
      </c>
      <c r="G37" s="57">
        <v>0.33861474824621385</v>
      </c>
      <c r="H37" s="57">
        <v>0.352843668697365</v>
      </c>
      <c r="I37" s="57">
        <v>0.37100091105045258</v>
      </c>
      <c r="J37" s="57">
        <v>0.35310725954928429</v>
      </c>
      <c r="K37" s="45">
        <v>0.39916185715968677</v>
      </c>
      <c r="L37" s="45">
        <v>0.35525533499278389</v>
      </c>
      <c r="M37" s="57">
        <v>0.37125038314311565</v>
      </c>
      <c r="N37" s="57">
        <v>0.46622802605927088</v>
      </c>
      <c r="GZ37" s="55"/>
      <c r="HA37" s="55"/>
      <c r="HB37" s="55"/>
      <c r="HC37" s="55"/>
      <c r="HD37" s="55"/>
    </row>
    <row r="38" spans="1:212" ht="12.75" customHeight="1" x14ac:dyDescent="0.2">
      <c r="A38" s="56" t="s">
        <v>102</v>
      </c>
      <c r="B38" s="66">
        <v>0.41670662210217591</v>
      </c>
      <c r="C38" s="57">
        <v>0.40823777714281706</v>
      </c>
      <c r="D38" s="57">
        <v>0.41213090894689158</v>
      </c>
      <c r="E38" s="65">
        <v>0.41015254079407415</v>
      </c>
      <c r="F38" s="57">
        <v>0.41537698735578932</v>
      </c>
      <c r="G38" s="57">
        <v>0.41702412225505286</v>
      </c>
      <c r="H38" s="57">
        <v>0.39189327100362947</v>
      </c>
      <c r="I38" s="57">
        <v>0.42408810308099887</v>
      </c>
      <c r="J38" s="57">
        <v>0.40707017108496096</v>
      </c>
      <c r="K38" s="45">
        <v>0.41187868898955843</v>
      </c>
      <c r="L38" s="45">
        <v>0.41960831788310626</v>
      </c>
      <c r="M38" s="57">
        <v>0.41790932170783635</v>
      </c>
      <c r="N38" s="57">
        <v>0.4668120122545304</v>
      </c>
      <c r="GZ38" s="55"/>
      <c r="HA38" s="55"/>
      <c r="HB38" s="55"/>
      <c r="HC38" s="55"/>
      <c r="HD38" s="55"/>
    </row>
    <row r="39" spans="1:212" ht="12.75" customHeight="1" x14ac:dyDescent="0.2">
      <c r="A39" s="56" t="s">
        <v>27</v>
      </c>
      <c r="B39" s="66">
        <v>0.43677865418189121</v>
      </c>
      <c r="C39" s="57">
        <v>0.41405633292584715</v>
      </c>
      <c r="D39" s="57">
        <v>0.42087282788748587</v>
      </c>
      <c r="E39" s="65">
        <v>0.43974686510657657</v>
      </c>
      <c r="F39" s="57">
        <v>0.44767621551327946</v>
      </c>
      <c r="G39" s="57">
        <v>0.42758655633740639</v>
      </c>
      <c r="H39" s="57">
        <v>0.42951948625263575</v>
      </c>
      <c r="I39" s="57">
        <v>0.4697436709425365</v>
      </c>
      <c r="J39" s="57">
        <v>0.46437906707674187</v>
      </c>
      <c r="K39" s="45">
        <v>0.44344545053740292</v>
      </c>
      <c r="L39" s="45">
        <v>0.43828145382130901</v>
      </c>
      <c r="M39" s="57">
        <v>0.47806034479726528</v>
      </c>
      <c r="N39" s="57">
        <v>0.51255109608724825</v>
      </c>
      <c r="GZ39" s="55"/>
      <c r="HA39" s="55"/>
      <c r="HB39" s="55"/>
      <c r="HC39" s="55"/>
      <c r="HD39" s="55"/>
    </row>
    <row r="40" spans="1:212" ht="12.75" customHeight="1" x14ac:dyDescent="0.2">
      <c r="A40" s="56" t="s">
        <v>251</v>
      </c>
      <c r="B40" s="66">
        <v>0.43404010959732486</v>
      </c>
      <c r="C40" s="57">
        <v>0.42685837258928838</v>
      </c>
      <c r="D40" s="57">
        <v>0.42439685019847323</v>
      </c>
      <c r="E40" s="65">
        <v>0.44834411362751903</v>
      </c>
      <c r="F40" s="57">
        <v>0.44604912466852586</v>
      </c>
      <c r="G40" s="57">
        <v>0.45658299589030871</v>
      </c>
      <c r="H40" s="57">
        <v>0.47956183710883094</v>
      </c>
      <c r="I40" s="57">
        <v>0.49528479317036994</v>
      </c>
      <c r="J40" s="57">
        <v>0.49418716651646999</v>
      </c>
      <c r="K40" s="45">
        <v>0.51453726892838791</v>
      </c>
      <c r="L40" s="45">
        <v>0.50408896242221113</v>
      </c>
      <c r="M40" s="57">
        <v>0.51340212129340257</v>
      </c>
      <c r="N40" s="57">
        <v>0.48874689463165555</v>
      </c>
      <c r="GZ40" s="55"/>
      <c r="HA40" s="55"/>
      <c r="HB40" s="55"/>
      <c r="HC40" s="55"/>
      <c r="HD40" s="55"/>
    </row>
    <row r="41" spans="1:212" ht="12.75" customHeight="1" x14ac:dyDescent="0.2">
      <c r="A41" s="56" t="s">
        <v>351</v>
      </c>
      <c r="B41" s="67">
        <v>0.43472613281191708</v>
      </c>
      <c r="C41" s="57">
        <v>0.41414813895830599</v>
      </c>
      <c r="D41" s="57">
        <v>0.36678870761052279</v>
      </c>
      <c r="E41" s="65">
        <v>0.44964760411760563</v>
      </c>
      <c r="F41" s="57">
        <v>0.44487639741366447</v>
      </c>
      <c r="G41" s="57">
        <v>0.39210093510710714</v>
      </c>
      <c r="H41" s="57">
        <v>0.37567670870692493</v>
      </c>
      <c r="I41" s="57">
        <v>0.4440901049600029</v>
      </c>
      <c r="J41" s="57">
        <v>0.41092982282373075</v>
      </c>
      <c r="K41" s="45">
        <v>0.40581646932813437</v>
      </c>
      <c r="L41" s="45">
        <v>0.38558193573809918</v>
      </c>
      <c r="M41" s="57">
        <v>0.4084300931685424</v>
      </c>
      <c r="N41" s="57">
        <v>0.42944210316495485</v>
      </c>
      <c r="GZ41" s="55"/>
      <c r="HA41" s="55"/>
      <c r="HB41" s="55"/>
      <c r="HC41" s="55"/>
      <c r="HD41" s="55"/>
    </row>
    <row r="42" spans="1:212" ht="12.75" customHeight="1" x14ac:dyDescent="0.2">
      <c r="A42" s="56" t="s">
        <v>63</v>
      </c>
      <c r="B42" s="67">
        <v>0.4099356943149462</v>
      </c>
      <c r="C42" s="57">
        <v>0.44970553229735682</v>
      </c>
      <c r="D42" s="57">
        <v>0.40771704834724615</v>
      </c>
      <c r="E42" s="65">
        <v>0.44989124354061982</v>
      </c>
      <c r="F42" s="57">
        <v>0.4510446167685721</v>
      </c>
      <c r="G42" s="57">
        <v>0.3416960235776943</v>
      </c>
      <c r="H42" s="57">
        <v>0.51348345672932971</v>
      </c>
      <c r="I42" s="57">
        <v>0.45663510341843455</v>
      </c>
      <c r="J42" s="57">
        <v>0.43493746255680293</v>
      </c>
      <c r="K42" s="45">
        <v>0.47026057103211966</v>
      </c>
      <c r="L42" s="45">
        <v>0.47981469252173015</v>
      </c>
      <c r="M42" s="57">
        <v>0.47880504601269158</v>
      </c>
      <c r="N42" s="57">
        <v>0.41093298831492703</v>
      </c>
      <c r="GZ42" s="55"/>
      <c r="HA42" s="55"/>
      <c r="HB42" s="55"/>
      <c r="HC42" s="55"/>
      <c r="HD42" s="55"/>
    </row>
    <row r="43" spans="1:212" ht="12.75" customHeight="1" x14ac:dyDescent="0.2">
      <c r="A43" s="56" t="s">
        <v>340</v>
      </c>
      <c r="B43" s="66">
        <v>0.34552775593264667</v>
      </c>
      <c r="C43" s="57">
        <v>0.35654046236429165</v>
      </c>
      <c r="D43" s="57">
        <v>0.33001032845674516</v>
      </c>
      <c r="E43" s="65">
        <v>0.36743138033559614</v>
      </c>
      <c r="F43" s="57">
        <v>0.36361192869797238</v>
      </c>
      <c r="G43" s="57">
        <v>0.34413006049028916</v>
      </c>
      <c r="H43" s="57">
        <v>0.3581069205287436</v>
      </c>
      <c r="I43" s="57">
        <v>0.37180214339471335</v>
      </c>
      <c r="J43" s="57">
        <v>0.34865956127772446</v>
      </c>
      <c r="K43" s="45">
        <v>0.37520059961294583</v>
      </c>
      <c r="L43" s="45">
        <v>0.35791448401953369</v>
      </c>
      <c r="M43" s="57">
        <v>0.37263815337465295</v>
      </c>
      <c r="N43" s="57">
        <v>0.40763638691049098</v>
      </c>
      <c r="GZ43" s="55"/>
      <c r="HA43" s="55"/>
      <c r="HB43" s="55"/>
      <c r="HC43" s="55"/>
      <c r="HD43" s="55"/>
    </row>
    <row r="44" spans="1:212" ht="12.75" customHeight="1" x14ac:dyDescent="0.2">
      <c r="A44" s="56" t="s">
        <v>7</v>
      </c>
      <c r="B44" s="66">
        <v>0.4218822451002977</v>
      </c>
      <c r="C44" s="57">
        <v>0.40654887664510825</v>
      </c>
      <c r="D44" s="57">
        <v>0.417157150495088</v>
      </c>
      <c r="E44" s="65">
        <v>0.44871448995889412</v>
      </c>
      <c r="F44" s="57">
        <v>0.47137624860643845</v>
      </c>
      <c r="G44" s="57">
        <v>0.40533995064157019</v>
      </c>
      <c r="H44" s="57">
        <v>0.48376951203992113</v>
      </c>
      <c r="I44" s="57">
        <v>0.43873401908432313</v>
      </c>
      <c r="J44" s="57">
        <v>0.43995704006873976</v>
      </c>
      <c r="K44" s="45">
        <v>0.42426233360703131</v>
      </c>
      <c r="L44" s="45">
        <v>0.43690236068470928</v>
      </c>
      <c r="M44" s="57">
        <v>0.47582947628728195</v>
      </c>
      <c r="N44" s="57">
        <v>0.5365016341656792</v>
      </c>
      <c r="GZ44" s="55"/>
      <c r="HA44" s="55"/>
      <c r="HB44" s="55"/>
      <c r="HC44" s="55"/>
      <c r="HD44" s="55"/>
    </row>
    <row r="45" spans="1:212" ht="12.75" customHeight="1" x14ac:dyDescent="0.2">
      <c r="A45" s="56" t="s">
        <v>367</v>
      </c>
      <c r="B45" s="66">
        <v>0.35556838188793943</v>
      </c>
      <c r="C45" s="57">
        <v>0.40600260097588226</v>
      </c>
      <c r="D45" s="57">
        <v>0.33577828569759599</v>
      </c>
      <c r="E45" s="65">
        <v>0.34492393793742243</v>
      </c>
      <c r="F45" s="57">
        <v>0.34587475846780158</v>
      </c>
      <c r="G45" s="57">
        <v>0.35827875322192904</v>
      </c>
      <c r="H45" s="57">
        <v>0.35732835771608468</v>
      </c>
      <c r="I45" s="57">
        <v>0.39237833495283314</v>
      </c>
      <c r="J45" s="57">
        <v>0.39334048591380477</v>
      </c>
      <c r="K45" s="45">
        <v>0.41748086373144139</v>
      </c>
      <c r="L45" s="45">
        <v>0.3797166222366421</v>
      </c>
      <c r="M45" s="57">
        <v>0.41318653061951049</v>
      </c>
      <c r="N45" s="57">
        <v>0.47621294163651301</v>
      </c>
      <c r="GZ45" s="55"/>
      <c r="HA45" s="55"/>
      <c r="HB45" s="55"/>
      <c r="HC45" s="55"/>
      <c r="HD45" s="55"/>
    </row>
    <row r="46" spans="1:212" ht="12.75" customHeight="1" x14ac:dyDescent="0.2">
      <c r="A46" s="56" t="s">
        <v>197</v>
      </c>
      <c r="B46" s="66">
        <v>0.3591143336254633</v>
      </c>
      <c r="C46" s="57">
        <v>0.3523265434288802</v>
      </c>
      <c r="D46" s="57">
        <v>0.36148546394112796</v>
      </c>
      <c r="E46" s="65">
        <v>0.36256553920431267</v>
      </c>
      <c r="F46" s="57">
        <v>0.39177334407127989</v>
      </c>
      <c r="G46" s="57">
        <v>0.34559045343423495</v>
      </c>
      <c r="H46" s="57">
        <v>0.37951868473879213</v>
      </c>
      <c r="I46" s="57">
        <v>0.39241745561626312</v>
      </c>
      <c r="J46" s="57">
        <v>0.35702261149242837</v>
      </c>
      <c r="K46" s="45">
        <v>0.36954367270776195</v>
      </c>
      <c r="L46" s="45">
        <v>0.34888437597091115</v>
      </c>
      <c r="M46" s="57">
        <v>0.36868845799950928</v>
      </c>
      <c r="N46" s="57">
        <v>0.41814260388599422</v>
      </c>
      <c r="GZ46" s="55"/>
      <c r="HA46" s="55"/>
      <c r="HB46" s="55"/>
      <c r="HC46" s="55"/>
      <c r="HD46" s="55"/>
    </row>
    <row r="47" spans="1:212" ht="12.75" customHeight="1" x14ac:dyDescent="0.2">
      <c r="A47" s="56" t="s">
        <v>376</v>
      </c>
      <c r="B47" s="66">
        <v>0.45645816026416763</v>
      </c>
      <c r="C47" s="57">
        <v>0.44691881130352257</v>
      </c>
      <c r="D47" s="57">
        <v>0.46529504536140137</v>
      </c>
      <c r="E47" s="65">
        <v>0.47850528031634809</v>
      </c>
      <c r="F47" s="57">
        <v>0.49299921411794712</v>
      </c>
      <c r="G47" s="57">
        <v>0.49618699403443511</v>
      </c>
      <c r="H47" s="57">
        <v>0.46424543448380251</v>
      </c>
      <c r="I47" s="57">
        <v>0.52015104575532212</v>
      </c>
      <c r="J47" s="57">
        <v>0.50506077401764804</v>
      </c>
      <c r="K47" s="45">
        <v>0.48782290098087566</v>
      </c>
      <c r="L47" s="45">
        <v>0.52061961299449011</v>
      </c>
      <c r="M47" s="57">
        <v>0.49993068536354679</v>
      </c>
      <c r="N47" s="57">
        <v>0.57100976061936526</v>
      </c>
      <c r="GZ47" s="55"/>
      <c r="HA47" s="55"/>
      <c r="HB47" s="55"/>
      <c r="HC47" s="55"/>
      <c r="HD47" s="55"/>
    </row>
    <row r="48" spans="1:212" ht="12.75" customHeight="1" x14ac:dyDescent="0.2">
      <c r="A48" s="56" t="s">
        <v>152</v>
      </c>
      <c r="B48" s="66">
        <v>0.34746989659361127</v>
      </c>
      <c r="C48" s="57">
        <v>0.33643698114664605</v>
      </c>
      <c r="D48" s="57">
        <v>0.37296830300759315</v>
      </c>
      <c r="E48" s="65">
        <v>0.3919040203532651</v>
      </c>
      <c r="F48" s="57">
        <v>0.35003491976767842</v>
      </c>
      <c r="G48" s="57">
        <v>0.34402628173206812</v>
      </c>
      <c r="H48" s="57">
        <v>0.35394361670491337</v>
      </c>
      <c r="I48" s="57">
        <v>0.37607153578147084</v>
      </c>
      <c r="J48" s="57">
        <v>0.35995945970534338</v>
      </c>
      <c r="K48" s="45">
        <v>0.37900281571494193</v>
      </c>
      <c r="L48" s="45">
        <v>0.36887309833863235</v>
      </c>
      <c r="M48" s="57">
        <v>0.3960488029842863</v>
      </c>
      <c r="N48" s="57">
        <v>0.41561940492067373</v>
      </c>
      <c r="GZ48" s="55"/>
      <c r="HA48" s="55"/>
      <c r="HB48" s="55"/>
      <c r="HC48" s="55"/>
      <c r="HD48" s="55"/>
    </row>
    <row r="49" spans="1:212" ht="12.75" customHeight="1" x14ac:dyDescent="0.2">
      <c r="A49" s="56" t="s">
        <v>341</v>
      </c>
      <c r="B49" s="66">
        <v>0.35372347964957224</v>
      </c>
      <c r="C49" s="57">
        <v>0.38182536368138864</v>
      </c>
      <c r="D49" s="57">
        <v>0.37445369213684093</v>
      </c>
      <c r="E49" s="65">
        <v>0.41716196164677971</v>
      </c>
      <c r="F49" s="57">
        <v>0.38014859867065287</v>
      </c>
      <c r="G49" s="57">
        <v>0.36508070900991813</v>
      </c>
      <c r="H49" s="57">
        <v>0.37621296138074334</v>
      </c>
      <c r="I49" s="57">
        <v>0.4017327791111599</v>
      </c>
      <c r="J49" s="57">
        <v>0.37240415106622754</v>
      </c>
      <c r="K49" s="45">
        <v>0.39265629484316084</v>
      </c>
      <c r="L49" s="45">
        <v>0.3513856193581667</v>
      </c>
      <c r="M49" s="57">
        <v>0.41838691290180019</v>
      </c>
      <c r="N49" s="57">
        <v>0.49026592538225344</v>
      </c>
      <c r="GZ49" s="55"/>
      <c r="HA49" s="55"/>
      <c r="HB49" s="55"/>
      <c r="HC49" s="55"/>
      <c r="HD49" s="55"/>
    </row>
    <row r="50" spans="1:212" ht="12.75" customHeight="1" x14ac:dyDescent="0.2">
      <c r="A50" s="56" t="s">
        <v>277</v>
      </c>
      <c r="B50" s="66">
        <v>0.43813860364396773</v>
      </c>
      <c r="C50" s="57">
        <v>0.45601120604851803</v>
      </c>
      <c r="D50" s="57">
        <v>0.38602061613249045</v>
      </c>
      <c r="E50" s="65">
        <v>0.45042568453458981</v>
      </c>
      <c r="F50" s="57">
        <v>0.42583903803777706</v>
      </c>
      <c r="G50" s="57">
        <v>0.43088538501969104</v>
      </c>
      <c r="H50" s="57">
        <v>0.43935639810244126</v>
      </c>
      <c r="I50" s="57">
        <v>0.44439377065784003</v>
      </c>
      <c r="J50" s="57">
        <v>0.43319094837786365</v>
      </c>
      <c r="K50" s="45">
        <v>0.45227150004902872</v>
      </c>
      <c r="L50" s="45">
        <v>0.46524436213690412</v>
      </c>
      <c r="M50" s="57">
        <v>0.47110705892819205</v>
      </c>
      <c r="N50" s="57">
        <v>0.44335833430859911</v>
      </c>
      <c r="GZ50" s="55"/>
      <c r="HA50" s="55"/>
      <c r="HB50" s="55"/>
      <c r="HC50" s="55"/>
      <c r="HD50" s="55"/>
    </row>
    <row r="51" spans="1:212" ht="12.75" customHeight="1" x14ac:dyDescent="0.2">
      <c r="A51" s="56" t="s">
        <v>103</v>
      </c>
      <c r="B51" s="66">
        <v>0.39201883806664678</v>
      </c>
      <c r="C51" s="57">
        <v>0.39838774597902082</v>
      </c>
      <c r="D51" s="57">
        <v>0.41500519341233699</v>
      </c>
      <c r="E51" s="65">
        <v>0.41430734668765928</v>
      </c>
      <c r="F51" s="57">
        <v>0.39895734453026976</v>
      </c>
      <c r="G51" s="57">
        <v>0.40645260830308272</v>
      </c>
      <c r="H51" s="57">
        <v>0.3372405464145859</v>
      </c>
      <c r="I51" s="57">
        <v>0.43236515965905192</v>
      </c>
      <c r="J51" s="57">
        <v>0.44425853911275015</v>
      </c>
      <c r="K51" s="45">
        <v>0.42331909124114231</v>
      </c>
      <c r="L51" s="45">
        <v>0.41978345767784658</v>
      </c>
      <c r="M51" s="57">
        <v>0.42762255305126967</v>
      </c>
      <c r="N51" s="57">
        <v>0.50182611781863329</v>
      </c>
      <c r="GZ51" s="55"/>
      <c r="HA51" s="55"/>
      <c r="HB51" s="55"/>
      <c r="HC51" s="55"/>
      <c r="HD51" s="55"/>
    </row>
    <row r="52" spans="1:212" ht="12.75" customHeight="1" x14ac:dyDescent="0.2">
      <c r="A52" s="56" t="s">
        <v>330</v>
      </c>
      <c r="B52" s="66">
        <v>0.62750552853892305</v>
      </c>
      <c r="C52" s="57">
        <v>0.65312177946509631</v>
      </c>
      <c r="D52" s="57">
        <v>0.63131930214807208</v>
      </c>
      <c r="E52" s="65">
        <v>0.66618338392896825</v>
      </c>
      <c r="F52" s="57">
        <v>0.66084306490742883</v>
      </c>
      <c r="G52" s="57">
        <v>0.64066086746580519</v>
      </c>
      <c r="H52" s="57">
        <v>0.65719169434976643</v>
      </c>
      <c r="I52" s="57">
        <v>0.66470438868772741</v>
      </c>
      <c r="J52" s="57">
        <v>0.67633047078679231</v>
      </c>
      <c r="K52" s="45">
        <v>0.692149959199443</v>
      </c>
      <c r="L52" s="45">
        <v>0.65833516777599854</v>
      </c>
      <c r="M52" s="57">
        <v>0.65985804548092852</v>
      </c>
      <c r="N52" s="57">
        <v>0.72669994863599607</v>
      </c>
      <c r="GZ52" s="55"/>
      <c r="HA52" s="55"/>
      <c r="HB52" s="55"/>
      <c r="HC52" s="55"/>
      <c r="HD52" s="55"/>
    </row>
    <row r="53" spans="1:212" ht="12.75" customHeight="1" x14ac:dyDescent="0.2">
      <c r="A53" s="56" t="s">
        <v>412</v>
      </c>
      <c r="B53" s="66">
        <v>0.35107629044105604</v>
      </c>
      <c r="C53" s="57">
        <v>0.35342884963751808</v>
      </c>
      <c r="D53" s="57">
        <v>0.32793157539292966</v>
      </c>
      <c r="E53" s="65">
        <v>0.38639599733498087</v>
      </c>
      <c r="F53" s="57">
        <v>0.37372541414755917</v>
      </c>
      <c r="G53" s="57">
        <v>0.37645442381418337</v>
      </c>
      <c r="H53" s="57">
        <v>0.34033485820287723</v>
      </c>
      <c r="I53" s="57">
        <v>0.3999961437769099</v>
      </c>
      <c r="J53" s="57">
        <v>0.36375921722855792</v>
      </c>
      <c r="K53" s="45">
        <v>0.37346460090524997</v>
      </c>
      <c r="L53" s="45">
        <v>0.38842587985992333</v>
      </c>
      <c r="M53" s="57">
        <v>0.38189420615017328</v>
      </c>
      <c r="N53" s="57">
        <v>0.44729114243904344</v>
      </c>
      <c r="GZ53" s="55"/>
      <c r="HA53" s="55"/>
      <c r="HB53" s="55"/>
      <c r="HC53" s="55"/>
      <c r="HD53" s="55"/>
    </row>
    <row r="54" spans="1:212" ht="12.75" customHeight="1" x14ac:dyDescent="0.2">
      <c r="A54" s="56" t="s">
        <v>7090</v>
      </c>
      <c r="B54" s="66">
        <v>0.37427790630308649</v>
      </c>
      <c r="C54" s="57">
        <v>0.39040758003376896</v>
      </c>
      <c r="D54" s="57">
        <v>0.4409298108854412</v>
      </c>
      <c r="E54" s="65">
        <v>0.39554967590597317</v>
      </c>
      <c r="F54" s="57">
        <v>0.41782021477355891</v>
      </c>
      <c r="G54" s="57">
        <v>0.39148068173978351</v>
      </c>
      <c r="H54" s="57">
        <v>0.40435109080358939</v>
      </c>
      <c r="I54" s="57">
        <v>0.40290713811925022</v>
      </c>
      <c r="J54" s="57">
        <v>0.42937537939865433</v>
      </c>
      <c r="K54" s="45">
        <v>0.42723423246546721</v>
      </c>
      <c r="L54" s="45">
        <v>0.37845965401043363</v>
      </c>
      <c r="M54" s="57">
        <v>0.46082503248537443</v>
      </c>
      <c r="N54" s="57">
        <v>0.45194410450437417</v>
      </c>
      <c r="GZ54" s="55"/>
      <c r="HA54" s="55"/>
      <c r="HB54" s="55"/>
      <c r="HC54" s="55"/>
      <c r="HD54" s="55"/>
    </row>
    <row r="55" spans="1:212" ht="12.75" customHeight="1" x14ac:dyDescent="0.2">
      <c r="A55" s="56" t="s">
        <v>141</v>
      </c>
      <c r="B55" s="66">
        <v>0.4915356299126295</v>
      </c>
      <c r="C55" s="57">
        <v>0.47591538778690901</v>
      </c>
      <c r="D55" s="57">
        <v>0.49071682719275839</v>
      </c>
      <c r="E55" s="65">
        <v>0.49602016250977804</v>
      </c>
      <c r="F55" s="57">
        <v>0.4938974279375698</v>
      </c>
      <c r="G55" s="57">
        <v>0.48386926242502137</v>
      </c>
      <c r="H55" s="57">
        <v>0.46536007099099502</v>
      </c>
      <c r="I55" s="57">
        <v>0.4806961912142923</v>
      </c>
      <c r="J55" s="57">
        <v>0.48410258175008264</v>
      </c>
      <c r="K55" s="45">
        <v>0.47455350304752053</v>
      </c>
      <c r="L55" s="45">
        <v>0.47057077203572395</v>
      </c>
      <c r="M55" s="57">
        <v>0.47022321969609876</v>
      </c>
      <c r="N55" s="57">
        <v>0.5133282148574001</v>
      </c>
      <c r="GZ55" s="55"/>
      <c r="HA55" s="55"/>
      <c r="HB55" s="55"/>
      <c r="HC55" s="55"/>
      <c r="HD55" s="55"/>
    </row>
    <row r="56" spans="1:212" ht="12.75" customHeight="1" x14ac:dyDescent="0.2">
      <c r="A56" s="56" t="s">
        <v>104</v>
      </c>
      <c r="B56" s="66">
        <v>0.51698543682657616</v>
      </c>
      <c r="C56" s="57">
        <v>0.5236459012872009</v>
      </c>
      <c r="D56" s="57">
        <v>0.52650556853588859</v>
      </c>
      <c r="E56" s="65">
        <v>0.54380479607925103</v>
      </c>
      <c r="F56" s="57">
        <v>0.5354695855088204</v>
      </c>
      <c r="G56" s="57">
        <v>0.52162565281176421</v>
      </c>
      <c r="H56" s="57">
        <v>0.49768918621808722</v>
      </c>
      <c r="I56" s="57">
        <v>0.52942549472825062</v>
      </c>
      <c r="J56" s="57">
        <v>0.52126139652412196</v>
      </c>
      <c r="K56" s="45">
        <v>0.52524217460141842</v>
      </c>
      <c r="L56" s="45">
        <v>0.52881008203091051</v>
      </c>
      <c r="M56" s="57">
        <v>0.55140377399695217</v>
      </c>
      <c r="N56" s="57">
        <v>0.56910358192604993</v>
      </c>
      <c r="GZ56" s="55"/>
      <c r="HA56" s="55"/>
      <c r="HB56" s="55"/>
      <c r="HC56" s="55"/>
      <c r="HD56" s="55"/>
    </row>
    <row r="57" spans="1:212" ht="12.75" customHeight="1" x14ac:dyDescent="0.2">
      <c r="A57" s="56" t="s">
        <v>153</v>
      </c>
      <c r="B57" s="66">
        <v>0.42207602626081403</v>
      </c>
      <c r="C57" s="57">
        <v>0.45139890117982501</v>
      </c>
      <c r="D57" s="57">
        <v>0.46394761155010578</v>
      </c>
      <c r="E57" s="65">
        <v>0.45015297504063739</v>
      </c>
      <c r="F57" s="57">
        <v>0.46629349366412542</v>
      </c>
      <c r="G57" s="57">
        <v>0.46621089570249175</v>
      </c>
      <c r="H57" s="57">
        <v>0.43528622631038477</v>
      </c>
      <c r="I57" s="57">
        <v>0.49722928543001116</v>
      </c>
      <c r="J57" s="57">
        <v>0.45131154512195959</v>
      </c>
      <c r="K57" s="45">
        <v>0.52426843143327517</v>
      </c>
      <c r="L57" s="45">
        <v>0.44657637222107199</v>
      </c>
      <c r="M57" s="57">
        <v>0.5123298967592117</v>
      </c>
      <c r="N57" s="57">
        <v>0.52881881909377249</v>
      </c>
      <c r="GZ57" s="55"/>
      <c r="HA57" s="55"/>
      <c r="HB57" s="55"/>
      <c r="HC57" s="55"/>
      <c r="HD57" s="55"/>
    </row>
    <row r="58" spans="1:212" ht="12.75" customHeight="1" x14ac:dyDescent="0.2">
      <c r="A58" s="56" t="s">
        <v>252</v>
      </c>
      <c r="B58" s="66">
        <v>0.37286808059035126</v>
      </c>
      <c r="C58" s="57">
        <v>0.37023806430853068</v>
      </c>
      <c r="D58" s="57">
        <v>0.36990820915579148</v>
      </c>
      <c r="E58" s="65">
        <v>0.37961794951940298</v>
      </c>
      <c r="F58" s="57">
        <v>0.39097786937503959</v>
      </c>
      <c r="G58" s="57">
        <v>0.38525280981162219</v>
      </c>
      <c r="H58" s="57">
        <v>0.37665802091070127</v>
      </c>
      <c r="I58" s="57">
        <v>0.39986370402280053</v>
      </c>
      <c r="J58" s="57">
        <v>0.40245127745802806</v>
      </c>
      <c r="K58" s="45">
        <v>0.40133761346358454</v>
      </c>
      <c r="L58" s="45">
        <v>0.41264416872263215</v>
      </c>
      <c r="M58" s="57">
        <v>0.3936425382805292</v>
      </c>
      <c r="N58" s="57">
        <v>0.43905081302025423</v>
      </c>
      <c r="GZ58" s="55"/>
      <c r="HA58" s="55"/>
      <c r="HB58" s="55"/>
      <c r="HC58" s="55"/>
      <c r="HD58" s="55"/>
    </row>
    <row r="59" spans="1:212" ht="12.75" customHeight="1" x14ac:dyDescent="0.2">
      <c r="A59" s="56" t="s">
        <v>64</v>
      </c>
      <c r="B59" s="66">
        <v>0.40923309971677402</v>
      </c>
      <c r="C59" s="57">
        <v>0.35776587994087622</v>
      </c>
      <c r="D59" s="57">
        <v>0.36905116501335578</v>
      </c>
      <c r="E59" s="65">
        <v>0.42473481460163404</v>
      </c>
      <c r="F59" s="57">
        <v>0.37666659339748854</v>
      </c>
      <c r="G59" s="57">
        <v>0.36797176502891399</v>
      </c>
      <c r="H59" s="57">
        <v>0.34229818413987534</v>
      </c>
      <c r="I59" s="57">
        <v>0.41672046817793101</v>
      </c>
      <c r="J59" s="57">
        <v>0.37458810593201469</v>
      </c>
      <c r="K59" s="45">
        <v>0.34131678600735466</v>
      </c>
      <c r="L59" s="45">
        <v>0.33378527058281027</v>
      </c>
      <c r="M59" s="57">
        <v>0.47950911423491072</v>
      </c>
      <c r="N59" s="57">
        <v>0.48245690592634216</v>
      </c>
      <c r="GZ59" s="55"/>
      <c r="HA59" s="55"/>
      <c r="HB59" s="55"/>
      <c r="HC59" s="55"/>
      <c r="HD59" s="55"/>
    </row>
    <row r="60" spans="1:212" ht="12.75" customHeight="1" x14ac:dyDescent="0.2">
      <c r="A60" s="56" t="s">
        <v>396</v>
      </c>
      <c r="B60" s="66">
        <v>0.53603244786223236</v>
      </c>
      <c r="C60" s="57">
        <v>0.53614912434251227</v>
      </c>
      <c r="D60" s="57">
        <v>0.5302811902088238</v>
      </c>
      <c r="E60" s="65">
        <v>0.53647238591068447</v>
      </c>
      <c r="F60" s="57">
        <v>0.52584000240221085</v>
      </c>
      <c r="G60" s="57">
        <v>0.4707769003320742</v>
      </c>
      <c r="H60" s="57">
        <v>0.51192025886165993</v>
      </c>
      <c r="I60" s="57">
        <v>0.50758116473901238</v>
      </c>
      <c r="J60" s="57">
        <v>0.50166510321642133</v>
      </c>
      <c r="K60" s="45">
        <v>0.52068992849282225</v>
      </c>
      <c r="L60" s="45">
        <v>0.51135537939839493</v>
      </c>
      <c r="M60" s="57">
        <v>0.53971747853909979</v>
      </c>
      <c r="N60" s="57">
        <v>0.55938369819933531</v>
      </c>
      <c r="GZ60" s="55"/>
      <c r="HA60" s="55"/>
      <c r="HB60" s="55"/>
      <c r="HC60" s="55"/>
      <c r="HD60" s="55"/>
    </row>
    <row r="61" spans="1:212" ht="12.75" customHeight="1" x14ac:dyDescent="0.2">
      <c r="A61" s="56" t="s">
        <v>342</v>
      </c>
      <c r="B61" s="66">
        <v>0.40377369379371963</v>
      </c>
      <c r="C61" s="57">
        <v>0.42108384890132577</v>
      </c>
      <c r="D61" s="57">
        <v>0.3800766615435005</v>
      </c>
      <c r="E61" s="65">
        <v>0.40069183671075748</v>
      </c>
      <c r="F61" s="57">
        <v>0.42277806814310726</v>
      </c>
      <c r="G61" s="57">
        <v>0.3764965736016348</v>
      </c>
      <c r="H61" s="57">
        <v>0.37612890909903562</v>
      </c>
      <c r="I61" s="57">
        <v>0.38366788264940127</v>
      </c>
      <c r="J61" s="57">
        <v>0.40496669637196431</v>
      </c>
      <c r="K61" s="45">
        <v>0.40951213383259399</v>
      </c>
      <c r="L61" s="45">
        <v>0.41081063750510971</v>
      </c>
      <c r="M61" s="57">
        <v>0.41352017469510088</v>
      </c>
      <c r="N61" s="57">
        <v>0.45859994428683082</v>
      </c>
      <c r="GZ61" s="55"/>
      <c r="HA61" s="55"/>
      <c r="HB61" s="55"/>
      <c r="HC61" s="55"/>
      <c r="HD61" s="55"/>
    </row>
    <row r="62" spans="1:212" ht="12.75" customHeight="1" x14ac:dyDescent="0.2">
      <c r="A62" s="56" t="s">
        <v>22</v>
      </c>
      <c r="B62" s="66">
        <v>0.41855678225287096</v>
      </c>
      <c r="C62" s="57">
        <v>0.41820835414240187</v>
      </c>
      <c r="D62" s="57">
        <v>0.43118446229629853</v>
      </c>
      <c r="E62" s="65">
        <v>0.44402263445935175</v>
      </c>
      <c r="F62" s="57">
        <v>0.41742550670068929</v>
      </c>
      <c r="G62" s="57">
        <v>0.40282362265350652</v>
      </c>
      <c r="H62" s="57">
        <v>0.38104056988021018</v>
      </c>
      <c r="I62" s="57">
        <v>0.42908996347370737</v>
      </c>
      <c r="J62" s="57">
        <v>0.43864928943641668</v>
      </c>
      <c r="K62" s="45">
        <v>0.38836405024724663</v>
      </c>
      <c r="L62" s="45">
        <v>0.43517391612962142</v>
      </c>
      <c r="M62" s="57">
        <v>0.44491732765631664</v>
      </c>
      <c r="N62" s="57">
        <v>0.49345818244571521</v>
      </c>
      <c r="GZ62" s="55"/>
      <c r="HA62" s="55"/>
      <c r="HB62" s="55"/>
      <c r="HC62" s="55"/>
      <c r="HD62" s="55"/>
    </row>
    <row r="63" spans="1:212" ht="12.75" customHeight="1" x14ac:dyDescent="0.2">
      <c r="A63" s="56" t="s">
        <v>16</v>
      </c>
      <c r="B63" s="66">
        <v>0.5513478034701218</v>
      </c>
      <c r="C63" s="57">
        <v>0.61737588633890006</v>
      </c>
      <c r="D63" s="57">
        <v>0.55044303928133576</v>
      </c>
      <c r="E63" s="65">
        <v>0.56734615434761415</v>
      </c>
      <c r="F63" s="57">
        <v>0.57232269197450114</v>
      </c>
      <c r="G63" s="57">
        <v>0.51988669514389196</v>
      </c>
      <c r="H63" s="57">
        <v>0.52661686252595163</v>
      </c>
      <c r="I63" s="57">
        <v>0.53231072839123506</v>
      </c>
      <c r="J63" s="57">
        <v>0.53973287416509164</v>
      </c>
      <c r="K63" s="45">
        <v>0.54007155700078635</v>
      </c>
      <c r="L63" s="45">
        <v>0.48734931837545803</v>
      </c>
      <c r="M63" s="57">
        <v>0.55549642506227204</v>
      </c>
      <c r="N63" s="57">
        <v>0.55513007308744711</v>
      </c>
      <c r="GZ63" s="55"/>
      <c r="HA63" s="55"/>
      <c r="HB63" s="55"/>
      <c r="HC63" s="55"/>
      <c r="HD63" s="55"/>
    </row>
    <row r="64" spans="1:212" ht="12.75" customHeight="1" x14ac:dyDescent="0.2">
      <c r="A64" s="56" t="s">
        <v>407</v>
      </c>
      <c r="B64" s="66">
        <v>0.5847487868098542</v>
      </c>
      <c r="C64" s="57">
        <v>0.45010737283190044</v>
      </c>
      <c r="D64" s="57">
        <v>0.49380185491310424</v>
      </c>
      <c r="E64" s="65">
        <v>0.51395271555488242</v>
      </c>
      <c r="F64" s="57">
        <v>0.4926472051929402</v>
      </c>
      <c r="G64" s="57">
        <v>0.41604630935728021</v>
      </c>
      <c r="H64" s="57">
        <v>0.40445689109276617</v>
      </c>
      <c r="I64" s="57">
        <v>0.45875142751108955</v>
      </c>
      <c r="J64" s="57">
        <v>0.42000774995949408</v>
      </c>
      <c r="K64" s="45">
        <v>0.45088348354421354</v>
      </c>
      <c r="L64" s="45">
        <v>0.41845606909963129</v>
      </c>
      <c r="M64" s="57">
        <v>0.441871734359986</v>
      </c>
      <c r="N64" s="57">
        <v>0.46990099317284262</v>
      </c>
      <c r="GZ64" s="55"/>
      <c r="HA64" s="55"/>
      <c r="HB64" s="55"/>
      <c r="HC64" s="55"/>
      <c r="HD64" s="55"/>
    </row>
    <row r="65" spans="1:212" ht="12.75" customHeight="1" x14ac:dyDescent="0.2">
      <c r="A65" s="56" t="s">
        <v>239</v>
      </c>
      <c r="B65" s="66">
        <v>0.57965320137647236</v>
      </c>
      <c r="C65" s="57">
        <v>0.55976936870995098</v>
      </c>
      <c r="D65" s="57">
        <v>0.6084898012516794</v>
      </c>
      <c r="E65" s="65">
        <v>0.60987707817198444</v>
      </c>
      <c r="F65" s="57">
        <v>0.63136959282922145</v>
      </c>
      <c r="G65" s="57">
        <v>0.58859551954014921</v>
      </c>
      <c r="H65" s="57">
        <v>0.60118881810923264</v>
      </c>
      <c r="I65" s="57">
        <v>0.60732156753671673</v>
      </c>
      <c r="J65" s="57">
        <v>0.60299248573235043</v>
      </c>
      <c r="K65" s="45">
        <v>0.58363649150299535</v>
      </c>
      <c r="L65" s="45">
        <v>0.62449695315338971</v>
      </c>
      <c r="M65" s="57">
        <v>0.62592017210914774</v>
      </c>
      <c r="N65" s="57">
        <v>0.62860462796484606</v>
      </c>
      <c r="GZ65" s="55"/>
      <c r="HA65" s="55"/>
      <c r="HB65" s="55"/>
      <c r="HC65" s="55"/>
      <c r="HD65" s="55"/>
    </row>
    <row r="66" spans="1:212" ht="12.75" customHeight="1" x14ac:dyDescent="0.2">
      <c r="A66" s="56" t="s">
        <v>46</v>
      </c>
      <c r="B66" s="66">
        <v>0.36050367628475521</v>
      </c>
      <c r="C66" s="57">
        <v>0.39399093998219298</v>
      </c>
      <c r="D66" s="57">
        <v>0.33413968992444987</v>
      </c>
      <c r="E66" s="65">
        <v>0.38349364557665511</v>
      </c>
      <c r="F66" s="57">
        <v>0.38572935650024093</v>
      </c>
      <c r="G66" s="57">
        <v>0.355303714643394</v>
      </c>
      <c r="H66" s="57">
        <v>0.37506361757095336</v>
      </c>
      <c r="I66" s="57">
        <v>0.36588160335097142</v>
      </c>
      <c r="J66" s="57">
        <v>0.36595742308121082</v>
      </c>
      <c r="K66" s="45">
        <v>0.36684639143689884</v>
      </c>
      <c r="L66" s="45">
        <v>0.43530753298927743</v>
      </c>
      <c r="M66" s="57">
        <v>0.25878331485935552</v>
      </c>
      <c r="N66" s="57">
        <v>0.48671349829287064</v>
      </c>
      <c r="GZ66" s="55"/>
      <c r="HA66" s="55"/>
      <c r="HB66" s="55"/>
      <c r="HC66" s="55"/>
      <c r="HD66" s="55"/>
    </row>
    <row r="67" spans="1:212" ht="12.75" customHeight="1" x14ac:dyDescent="0.2">
      <c r="A67" s="56" t="s">
        <v>65</v>
      </c>
      <c r="B67" s="66">
        <v>0.47713339459125187</v>
      </c>
      <c r="C67" s="57">
        <v>0.46569041983094184</v>
      </c>
      <c r="D67" s="57">
        <v>0.44836979576973768</v>
      </c>
      <c r="E67" s="65">
        <v>0.49977871308219968</v>
      </c>
      <c r="F67" s="57">
        <v>0.48849236912170585</v>
      </c>
      <c r="G67" s="57">
        <v>0.45613899648746348</v>
      </c>
      <c r="H67" s="57">
        <v>0.4548392890544023</v>
      </c>
      <c r="I67" s="57">
        <v>0.46746524206665341</v>
      </c>
      <c r="J67" s="57">
        <v>0.48321970302212697</v>
      </c>
      <c r="K67" s="45">
        <v>0.47778126535850668</v>
      </c>
      <c r="L67" s="45">
        <v>0.38976082201888973</v>
      </c>
      <c r="M67" s="57">
        <v>0.53364889500316082</v>
      </c>
      <c r="N67" s="57">
        <v>0.55566245640684475</v>
      </c>
      <c r="GZ67" s="55"/>
      <c r="HA67" s="55"/>
      <c r="HB67" s="55"/>
      <c r="HC67" s="55"/>
      <c r="HD67" s="55"/>
    </row>
    <row r="68" spans="1:212" ht="12.75" customHeight="1" x14ac:dyDescent="0.2">
      <c r="A68" s="56" t="s">
        <v>394</v>
      </c>
      <c r="B68" s="66">
        <v>0.34263184332662711</v>
      </c>
      <c r="C68" s="57">
        <v>0.37421065923618529</v>
      </c>
      <c r="D68" s="57">
        <v>0.36550904967640674</v>
      </c>
      <c r="E68" s="65">
        <v>0.36841961357088315</v>
      </c>
      <c r="F68" s="57">
        <v>0.37870808431446246</v>
      </c>
      <c r="G68" s="57">
        <v>0.3668288721860849</v>
      </c>
      <c r="H68" s="57">
        <v>0.36970135239117186</v>
      </c>
      <c r="I68" s="57">
        <v>0.42475386994054293</v>
      </c>
      <c r="J68" s="57">
        <v>0.36605749884897026</v>
      </c>
      <c r="K68" s="45">
        <v>0.38015063958080031</v>
      </c>
      <c r="L68" s="45">
        <v>0.37418679440244068</v>
      </c>
      <c r="M68" s="57">
        <v>0.37596339246526955</v>
      </c>
      <c r="N68" s="57">
        <v>0.43456007068819663</v>
      </c>
      <c r="GZ68" s="55"/>
      <c r="HA68" s="55"/>
      <c r="HB68" s="55"/>
      <c r="HC68" s="55"/>
      <c r="HD68" s="55"/>
    </row>
    <row r="69" spans="1:212" ht="12.75" customHeight="1" x14ac:dyDescent="0.2">
      <c r="A69" s="56" t="s">
        <v>368</v>
      </c>
      <c r="B69" s="66">
        <v>0.44623158086894704</v>
      </c>
      <c r="C69" s="57">
        <v>0.45508235256609231</v>
      </c>
      <c r="D69" s="57">
        <v>0.41274622593708254</v>
      </c>
      <c r="E69" s="65">
        <v>0.57936816609881936</v>
      </c>
      <c r="F69" s="57">
        <v>0.52844212742167929</v>
      </c>
      <c r="G69" s="57">
        <v>0.4651350929536423</v>
      </c>
      <c r="H69" s="57">
        <v>0.61016028537048794</v>
      </c>
      <c r="I69" s="57">
        <v>0.57503013555014237</v>
      </c>
      <c r="J69" s="57">
        <v>0.52699868542331363</v>
      </c>
      <c r="K69" s="45">
        <v>0.51536506250571956</v>
      </c>
      <c r="L69" s="45">
        <v>0.49706780819949214</v>
      </c>
      <c r="M69" s="57">
        <v>0.52874342165872257</v>
      </c>
      <c r="N69" s="57">
        <v>0.53946877435688956</v>
      </c>
      <c r="GZ69" s="55"/>
      <c r="HA69" s="55"/>
      <c r="HB69" s="55"/>
      <c r="HC69" s="55"/>
      <c r="HD69" s="55"/>
    </row>
    <row r="70" spans="1:212" ht="12.75" customHeight="1" x14ac:dyDescent="0.2">
      <c r="A70" s="56" t="s">
        <v>343</v>
      </c>
      <c r="B70" s="66">
        <v>0.42824704300944366</v>
      </c>
      <c r="C70" s="57">
        <v>0.42751287685050543</v>
      </c>
      <c r="D70" s="57">
        <v>0.42345866585390146</v>
      </c>
      <c r="E70" s="65">
        <v>0.48305030987917214</v>
      </c>
      <c r="F70" s="57">
        <v>0.459189748489987</v>
      </c>
      <c r="G70" s="57">
        <v>0.43986870353885094</v>
      </c>
      <c r="H70" s="57">
        <v>0.43871168372600311</v>
      </c>
      <c r="I70" s="57">
        <v>0.46340882087179552</v>
      </c>
      <c r="J70" s="57">
        <v>0.44127565719057277</v>
      </c>
      <c r="K70" s="45">
        <v>0.43973540611019951</v>
      </c>
      <c r="L70" s="45">
        <v>0.43965121910228067</v>
      </c>
      <c r="M70" s="57">
        <v>0.45148052932690608</v>
      </c>
      <c r="N70" s="57">
        <v>0.49436415615121954</v>
      </c>
      <c r="GZ70" s="55"/>
      <c r="HA70" s="55"/>
      <c r="HB70" s="55"/>
      <c r="HC70" s="55"/>
      <c r="HD70" s="55"/>
    </row>
    <row r="71" spans="1:212" ht="12.75" customHeight="1" x14ac:dyDescent="0.2">
      <c r="A71" s="56" t="s">
        <v>7089</v>
      </c>
      <c r="B71" s="66">
        <v>0.73495499162817124</v>
      </c>
      <c r="C71" s="57">
        <v>0.75917199753743581</v>
      </c>
      <c r="D71" s="57">
        <v>0.74611323268866792</v>
      </c>
      <c r="E71" s="65">
        <v>0.728598266101118</v>
      </c>
      <c r="F71" s="57">
        <v>0.74018246080787098</v>
      </c>
      <c r="G71" s="57">
        <v>0.71180167112379278</v>
      </c>
      <c r="H71" s="57">
        <v>0.64791670689936387</v>
      </c>
      <c r="I71" s="57">
        <v>0.7466338940910433</v>
      </c>
      <c r="J71" s="57">
        <v>0.63760837340007348</v>
      </c>
      <c r="K71" s="45">
        <v>0.71872597284403894</v>
      </c>
      <c r="L71" s="45">
        <v>0.69925478226340942</v>
      </c>
      <c r="M71" s="57">
        <v>0.70316633379770732</v>
      </c>
      <c r="N71" s="57">
        <v>0.74382389024674145</v>
      </c>
      <c r="GZ71" s="55"/>
      <c r="HA71" s="55"/>
      <c r="HB71" s="55"/>
      <c r="HC71" s="55"/>
      <c r="HD71" s="55"/>
    </row>
    <row r="72" spans="1:212" ht="12.75" customHeight="1" x14ac:dyDescent="0.2">
      <c r="A72" s="56" t="s">
        <v>142</v>
      </c>
      <c r="B72" s="66">
        <v>0.38714912972984244</v>
      </c>
      <c r="C72" s="57">
        <v>0.41795306383112735</v>
      </c>
      <c r="D72" s="57">
        <v>0.41508639936775393</v>
      </c>
      <c r="E72" s="65">
        <v>0.39448117139925387</v>
      </c>
      <c r="F72" s="57">
        <v>0.41803181864872135</v>
      </c>
      <c r="G72" s="57">
        <v>0.36898981112251772</v>
      </c>
      <c r="H72" s="57">
        <v>0.37938778502690834</v>
      </c>
      <c r="I72" s="57">
        <v>0.40581407949142573</v>
      </c>
      <c r="J72" s="57">
        <v>0.40408527814130307</v>
      </c>
      <c r="K72" s="45">
        <v>0.41498049038136864</v>
      </c>
      <c r="L72" s="45">
        <v>0.35043192598814527</v>
      </c>
      <c r="M72" s="57">
        <v>0.42647170013372682</v>
      </c>
      <c r="N72" s="57">
        <v>0.40578054911955691</v>
      </c>
      <c r="GZ72" s="55"/>
      <c r="HA72" s="55"/>
      <c r="HB72" s="55"/>
      <c r="HC72" s="55"/>
      <c r="HD72" s="55"/>
    </row>
    <row r="73" spans="1:212" ht="12.75" customHeight="1" x14ac:dyDescent="0.2">
      <c r="A73" s="56" t="s">
        <v>331</v>
      </c>
      <c r="B73" s="66">
        <v>0.64593280074875081</v>
      </c>
      <c r="C73" s="57">
        <v>0.6583851055493356</v>
      </c>
      <c r="D73" s="57">
        <v>0.64287425569814727</v>
      </c>
      <c r="E73" s="65">
        <v>0.68141100280278066</v>
      </c>
      <c r="F73" s="57">
        <v>0.68367905874003421</v>
      </c>
      <c r="G73" s="57">
        <v>0.6596892231513114</v>
      </c>
      <c r="H73" s="57">
        <v>0.6585416463546897</v>
      </c>
      <c r="I73" s="57">
        <v>0.66311053448537038</v>
      </c>
      <c r="J73" s="57">
        <v>0.67255502498724518</v>
      </c>
      <c r="K73" s="45">
        <v>0.67385198693473614</v>
      </c>
      <c r="L73" s="45">
        <v>0.65500159450519357</v>
      </c>
      <c r="M73" s="57">
        <v>0.68869660029732638</v>
      </c>
      <c r="N73" s="57">
        <v>0.69829153150521861</v>
      </c>
      <c r="GZ73" s="55"/>
      <c r="HA73" s="55"/>
      <c r="HB73" s="55"/>
      <c r="HC73" s="55"/>
      <c r="HD73" s="55"/>
    </row>
    <row r="74" spans="1:212" ht="12.75" customHeight="1" x14ac:dyDescent="0.2">
      <c r="A74" s="56" t="s">
        <v>35</v>
      </c>
      <c r="B74" s="66">
        <v>0.54307540704253088</v>
      </c>
      <c r="C74" s="57">
        <v>0.56364288446909294</v>
      </c>
      <c r="D74" s="57">
        <v>0.57772386828124911</v>
      </c>
      <c r="E74" s="65">
        <v>0.59405884571956813</v>
      </c>
      <c r="F74" s="57">
        <v>0.63178661236156541</v>
      </c>
      <c r="G74" s="57">
        <v>0.59166314570384226</v>
      </c>
      <c r="H74" s="57">
        <v>0.58509248802698177</v>
      </c>
      <c r="I74" s="57">
        <v>0.58993646439434055</v>
      </c>
      <c r="J74" s="57">
        <v>0.60095245884383419</v>
      </c>
      <c r="K74" s="45">
        <v>0.60977815999248164</v>
      </c>
      <c r="L74" s="45">
        <v>0.59516830498972861</v>
      </c>
      <c r="M74" s="57">
        <v>0.61328279614184933</v>
      </c>
      <c r="N74" s="57">
        <v>0.65807983555560501</v>
      </c>
      <c r="GZ74" s="55"/>
      <c r="HA74" s="55"/>
      <c r="HB74" s="55"/>
      <c r="HC74" s="55"/>
      <c r="HD74" s="55"/>
    </row>
    <row r="75" spans="1:212" ht="12.75" customHeight="1" x14ac:dyDescent="0.2">
      <c r="A75" s="56" t="s">
        <v>344</v>
      </c>
      <c r="B75" s="66">
        <v>0.3558163027825535</v>
      </c>
      <c r="C75" s="57">
        <v>0.38917658184792525</v>
      </c>
      <c r="D75" s="57">
        <v>0.35354661912871477</v>
      </c>
      <c r="E75" s="65">
        <v>0.44939635684847223</v>
      </c>
      <c r="F75" s="57">
        <v>0.3938896985741952</v>
      </c>
      <c r="G75" s="57">
        <v>0.37288659712103783</v>
      </c>
      <c r="H75" s="57">
        <v>0.3897128304182787</v>
      </c>
      <c r="I75" s="57">
        <v>0.43750909251852571</v>
      </c>
      <c r="J75" s="57">
        <v>0.38792775527370904</v>
      </c>
      <c r="K75" s="45">
        <v>0.44148800496828766</v>
      </c>
      <c r="L75" s="45">
        <v>0.40299960773834614</v>
      </c>
      <c r="M75" s="57">
        <v>0.43080535576489137</v>
      </c>
      <c r="N75" s="57">
        <v>0.43895468567728974</v>
      </c>
      <c r="GZ75" s="55"/>
      <c r="HA75" s="55"/>
      <c r="HB75" s="55"/>
      <c r="HC75" s="55"/>
      <c r="HD75" s="55"/>
    </row>
    <row r="76" spans="1:212" ht="12.75" customHeight="1" x14ac:dyDescent="0.2">
      <c r="A76" s="56" t="s">
        <v>90</v>
      </c>
      <c r="B76" s="66">
        <v>0.37023324419188047</v>
      </c>
      <c r="C76" s="57">
        <v>0.45445298564303294</v>
      </c>
      <c r="D76" s="57">
        <v>0.41301161157772315</v>
      </c>
      <c r="E76" s="65">
        <v>0.44138670310011907</v>
      </c>
      <c r="F76" s="57">
        <v>0.41484679401611435</v>
      </c>
      <c r="G76" s="57">
        <v>0.41026454311078714</v>
      </c>
      <c r="H76" s="57">
        <v>0.40125754525044482</v>
      </c>
      <c r="I76" s="57">
        <v>0.46260806995999221</v>
      </c>
      <c r="J76" s="57">
        <v>0.41819403161535207</v>
      </c>
      <c r="K76" s="45">
        <v>0.53268906071570243</v>
      </c>
      <c r="L76" s="45">
        <v>0.44603009174886415</v>
      </c>
      <c r="M76" s="57">
        <v>0.51911051283448073</v>
      </c>
      <c r="N76" s="57">
        <v>0.53365166869141412</v>
      </c>
      <c r="GZ76" s="55"/>
      <c r="HA76" s="55"/>
      <c r="HB76" s="55"/>
      <c r="HC76" s="55"/>
      <c r="HD76" s="55"/>
    </row>
    <row r="77" spans="1:212" ht="12.75" customHeight="1" x14ac:dyDescent="0.2">
      <c r="A77" s="56" t="s">
        <v>8</v>
      </c>
      <c r="B77" s="66">
        <v>0.33122372360062385</v>
      </c>
      <c r="C77" s="57">
        <v>0.34271176007208076</v>
      </c>
      <c r="D77" s="57">
        <v>0.35463261076546254</v>
      </c>
      <c r="E77" s="65">
        <v>0.37961877316112536</v>
      </c>
      <c r="F77" s="57">
        <v>0.34753944489089528</v>
      </c>
      <c r="G77" s="57">
        <v>0.34672839375189107</v>
      </c>
      <c r="H77" s="57">
        <v>0.33092755874625257</v>
      </c>
      <c r="I77" s="57">
        <v>0.38482771325954163</v>
      </c>
      <c r="J77" s="57">
        <v>0.3626495386204629</v>
      </c>
      <c r="K77" s="45">
        <v>0.37357718104957538</v>
      </c>
      <c r="L77" s="45">
        <v>0.3944381188146161</v>
      </c>
      <c r="M77" s="57">
        <v>0.36728914917428584</v>
      </c>
      <c r="N77" s="57">
        <v>0.41512930107694535</v>
      </c>
      <c r="GZ77" s="55"/>
      <c r="HA77" s="55"/>
      <c r="HB77" s="55"/>
      <c r="HC77" s="55"/>
      <c r="HD77" s="55"/>
    </row>
    <row r="78" spans="1:212" ht="12.75" customHeight="1" x14ac:dyDescent="0.2">
      <c r="A78" s="56" t="s">
        <v>303</v>
      </c>
      <c r="B78" s="66">
        <v>0.48891191282725988</v>
      </c>
      <c r="C78" s="57">
        <v>0.48969527243570482</v>
      </c>
      <c r="D78" s="57">
        <v>0.50043987113451183</v>
      </c>
      <c r="E78" s="65">
        <v>0.51084263239286731</v>
      </c>
      <c r="F78" s="57">
        <v>0.50236293306019053</v>
      </c>
      <c r="G78" s="57">
        <v>0.49535239659548497</v>
      </c>
      <c r="H78" s="57">
        <v>0.46333814149055141</v>
      </c>
      <c r="I78" s="57">
        <v>0.52398878469727617</v>
      </c>
      <c r="J78" s="57">
        <v>0.47614410387523215</v>
      </c>
      <c r="K78" s="45">
        <v>0.48523071681792912</v>
      </c>
      <c r="L78" s="45">
        <v>0.48147301405257054</v>
      </c>
      <c r="M78" s="57">
        <v>0.52335259621347252</v>
      </c>
      <c r="N78" s="57">
        <v>0.53159760108897369</v>
      </c>
      <c r="GZ78" s="55"/>
      <c r="HA78" s="55"/>
      <c r="HB78" s="55"/>
      <c r="HC78" s="55"/>
      <c r="HD78" s="55"/>
    </row>
    <row r="79" spans="1:212" ht="12.75" customHeight="1" x14ac:dyDescent="0.2">
      <c r="A79" s="56" t="s">
        <v>377</v>
      </c>
      <c r="B79" s="66">
        <v>0.431906096300396</v>
      </c>
      <c r="C79" s="57">
        <v>0.45836828277325042</v>
      </c>
      <c r="D79" s="57">
        <v>0.45311190163837151</v>
      </c>
      <c r="E79" s="65">
        <v>0.48587960408278691</v>
      </c>
      <c r="F79" s="57">
        <v>0.48453935180298885</v>
      </c>
      <c r="G79" s="57">
        <v>0.44708709586390577</v>
      </c>
      <c r="H79" s="57">
        <v>0.46463137295519497</v>
      </c>
      <c r="I79" s="57">
        <v>0.48449542479588825</v>
      </c>
      <c r="J79" s="57">
        <v>0.495500170347763</v>
      </c>
      <c r="K79" s="45">
        <v>0.52378372588585376</v>
      </c>
      <c r="L79" s="45">
        <v>0.50656581659535804</v>
      </c>
      <c r="M79" s="57">
        <v>0.50511076587344739</v>
      </c>
      <c r="N79" s="57">
        <v>0.5439509786547021</v>
      </c>
      <c r="GZ79" s="55"/>
      <c r="HA79" s="55"/>
      <c r="HB79" s="55"/>
      <c r="HC79" s="55"/>
      <c r="HD79" s="55"/>
    </row>
    <row r="80" spans="1:212" ht="12.75" customHeight="1" x14ac:dyDescent="0.2">
      <c r="A80" s="56" t="s">
        <v>208</v>
      </c>
      <c r="B80" s="66">
        <v>0.56734830117113244</v>
      </c>
      <c r="C80" s="57">
        <v>0.57403453348716083</v>
      </c>
      <c r="D80" s="57">
        <v>0.59704398948846815</v>
      </c>
      <c r="E80" s="65">
        <v>0.59275981676580691</v>
      </c>
      <c r="F80" s="57">
        <v>0.60184847975550559</v>
      </c>
      <c r="G80" s="57">
        <v>0.56812669358522339</v>
      </c>
      <c r="H80" s="57">
        <v>0.56238087178767637</v>
      </c>
      <c r="I80" s="57">
        <v>0.5626528046972008</v>
      </c>
      <c r="J80" s="57">
        <v>0.55920349655956947</v>
      </c>
      <c r="K80" s="45">
        <v>0.56982914401021056</v>
      </c>
      <c r="L80" s="45">
        <v>0.52679755652975091</v>
      </c>
      <c r="M80" s="57">
        <v>0.56867080279877291</v>
      </c>
      <c r="N80" s="57">
        <v>0.58726561702663682</v>
      </c>
      <c r="GZ80" s="55"/>
      <c r="HA80" s="55"/>
      <c r="HB80" s="55"/>
      <c r="HC80" s="55"/>
      <c r="HD80" s="55"/>
    </row>
    <row r="81" spans="1:212" ht="12.75" customHeight="1" x14ac:dyDescent="0.2">
      <c r="A81" s="56" t="s">
        <v>262</v>
      </c>
      <c r="B81" s="66">
        <v>0.55138884950654588</v>
      </c>
      <c r="C81" s="57">
        <v>0.58847184757660387</v>
      </c>
      <c r="D81" s="57">
        <v>0.57637838030291355</v>
      </c>
      <c r="E81" s="65">
        <v>0.57597627971477727</v>
      </c>
      <c r="F81" s="57">
        <v>0.56408139762872311</v>
      </c>
      <c r="G81" s="57">
        <v>0.48959139162787507</v>
      </c>
      <c r="H81" s="57">
        <v>0.51764319288667693</v>
      </c>
      <c r="I81" s="57">
        <v>0.50140963247068771</v>
      </c>
      <c r="J81" s="57">
        <v>0.51898584299847905</v>
      </c>
      <c r="K81" s="45">
        <v>0.49395176960659926</v>
      </c>
      <c r="L81" s="45">
        <v>0.50727953750755539</v>
      </c>
      <c r="M81" s="57">
        <v>0.50962799915131185</v>
      </c>
      <c r="N81" s="57">
        <v>0.57283862007918818</v>
      </c>
      <c r="GZ81" s="55"/>
      <c r="HA81" s="55"/>
      <c r="HB81" s="55"/>
      <c r="HC81" s="55"/>
      <c r="HD81" s="55"/>
    </row>
    <row r="82" spans="1:212" ht="12.75" customHeight="1" x14ac:dyDescent="0.2">
      <c r="A82" s="56" t="s">
        <v>384</v>
      </c>
      <c r="B82" s="66">
        <v>0.40598921890910933</v>
      </c>
      <c r="C82" s="57">
        <v>0.43607305748993352</v>
      </c>
      <c r="D82" s="57">
        <v>0.42278343467346707</v>
      </c>
      <c r="E82" s="65">
        <v>0.41903981479507624</v>
      </c>
      <c r="F82" s="57">
        <v>0.42599080463980021</v>
      </c>
      <c r="G82" s="57">
        <v>0.39619644378769081</v>
      </c>
      <c r="H82" s="57">
        <v>0.41275947158350224</v>
      </c>
      <c r="I82" s="57">
        <v>0.4283373362949473</v>
      </c>
      <c r="J82" s="57">
        <v>0.40361321582494952</v>
      </c>
      <c r="K82" s="45">
        <v>0.42879721900385825</v>
      </c>
      <c r="L82" s="45">
        <v>0.41221813488607784</v>
      </c>
      <c r="M82" s="57">
        <v>0.4882965992546407</v>
      </c>
      <c r="N82" s="57">
        <v>0.51178695440043043</v>
      </c>
      <c r="GZ82" s="55"/>
      <c r="HA82" s="55"/>
      <c r="HB82" s="55"/>
      <c r="HC82" s="55"/>
      <c r="HD82" s="55"/>
    </row>
    <row r="83" spans="1:212" ht="12.75" customHeight="1" x14ac:dyDescent="0.2">
      <c r="A83" s="56" t="s">
        <v>9</v>
      </c>
      <c r="B83" s="66">
        <v>0.49464696212421372</v>
      </c>
      <c r="C83" s="57">
        <v>0.50549033914444741</v>
      </c>
      <c r="D83" s="57">
        <v>0.51464687718942848</v>
      </c>
      <c r="E83" s="65">
        <v>0.49508815059794192</v>
      </c>
      <c r="F83" s="57">
        <v>0.53396030637735625</v>
      </c>
      <c r="G83" s="57">
        <v>0.47649828731466043</v>
      </c>
      <c r="H83" s="57">
        <v>0.47712059414789704</v>
      </c>
      <c r="I83" s="57">
        <v>0.47803005124848919</v>
      </c>
      <c r="J83" s="57">
        <v>0.47759739479874741</v>
      </c>
      <c r="K83" s="45">
        <v>0.48853749027600885</v>
      </c>
      <c r="L83" s="45">
        <v>0.45835536311760677</v>
      </c>
      <c r="M83" s="57">
        <v>0.49567604945517524</v>
      </c>
      <c r="N83" s="57">
        <v>0.52289984236294607</v>
      </c>
      <c r="GZ83" s="55"/>
      <c r="HA83" s="55"/>
      <c r="HB83" s="55"/>
      <c r="HC83" s="55"/>
      <c r="HD83" s="55"/>
    </row>
    <row r="84" spans="1:212" ht="12.75" customHeight="1" x14ac:dyDescent="0.2">
      <c r="A84" s="56" t="s">
        <v>188</v>
      </c>
      <c r="B84" s="66">
        <v>0.64231967875026363</v>
      </c>
      <c r="C84" s="57">
        <v>0.55556893793380613</v>
      </c>
      <c r="D84" s="57">
        <v>0.59671369182598399</v>
      </c>
      <c r="E84" s="65">
        <v>0.59251568623775963</v>
      </c>
      <c r="F84" s="57">
        <v>0.6014299116821632</v>
      </c>
      <c r="G84" s="57">
        <v>0.55064165472570759</v>
      </c>
      <c r="H84" s="57">
        <v>0.53111493384663222</v>
      </c>
      <c r="I84" s="57">
        <v>0.54922691852641858</v>
      </c>
      <c r="J84" s="57">
        <v>0.52353479766495847</v>
      </c>
      <c r="K84" s="45">
        <v>0.52404715088279907</v>
      </c>
      <c r="L84" s="45">
        <v>0.51738703489583138</v>
      </c>
      <c r="M84" s="57">
        <v>0.532216889610719</v>
      </c>
      <c r="N84" s="57">
        <v>0.59354421787938361</v>
      </c>
      <c r="GZ84" s="55"/>
      <c r="HA84" s="55"/>
      <c r="HB84" s="55"/>
      <c r="HC84" s="55"/>
      <c r="HD84" s="55"/>
    </row>
    <row r="85" spans="1:212" ht="12.75" customHeight="1" x14ac:dyDescent="0.2">
      <c r="A85" s="56" t="s">
        <v>116</v>
      </c>
      <c r="B85" s="66">
        <v>0.35447266363945168</v>
      </c>
      <c r="C85" s="57">
        <v>0.35628135098263758</v>
      </c>
      <c r="D85" s="57">
        <v>0.36242163457966114</v>
      </c>
      <c r="E85" s="65">
        <v>0.38522820103305283</v>
      </c>
      <c r="F85" s="57">
        <v>0.36653139995811673</v>
      </c>
      <c r="G85" s="57">
        <v>0.37159100488762314</v>
      </c>
      <c r="H85" s="57">
        <v>0.37371887102560553</v>
      </c>
      <c r="I85" s="57">
        <v>0.38901394137370504</v>
      </c>
      <c r="J85" s="57">
        <v>0.3738864650026032</v>
      </c>
      <c r="K85" s="45">
        <v>0.38149083019195601</v>
      </c>
      <c r="L85" s="45">
        <v>0.39669929354410316</v>
      </c>
      <c r="M85" s="57">
        <v>0.39471389492093029</v>
      </c>
      <c r="N85" s="57">
        <v>0.45214459894118708</v>
      </c>
      <c r="GZ85" s="55"/>
      <c r="HA85" s="55"/>
      <c r="HB85" s="55"/>
      <c r="HC85" s="55"/>
      <c r="HD85" s="55"/>
    </row>
    <row r="86" spans="1:212" ht="12.75" customHeight="1" x14ac:dyDescent="0.2">
      <c r="A86" s="56" t="s">
        <v>133</v>
      </c>
      <c r="B86" s="66">
        <v>0.36797964889447599</v>
      </c>
      <c r="C86" s="57">
        <v>0.34961734068888961</v>
      </c>
      <c r="D86" s="57">
        <v>0.39012751661613126</v>
      </c>
      <c r="E86" s="65">
        <v>0.37210177419059931</v>
      </c>
      <c r="F86" s="57">
        <v>0.41219920291423723</v>
      </c>
      <c r="G86" s="57">
        <v>0.35973325089555547</v>
      </c>
      <c r="H86" s="57">
        <v>0.35621065791955492</v>
      </c>
      <c r="I86" s="57">
        <v>0.38064971301827794</v>
      </c>
      <c r="J86" s="57">
        <v>0.37684276663051069</v>
      </c>
      <c r="K86" s="45">
        <v>0.3805687406634139</v>
      </c>
      <c r="L86" s="45">
        <v>0.37687598797463123</v>
      </c>
      <c r="M86" s="57">
        <v>0.40847405039297852</v>
      </c>
      <c r="N86" s="57">
        <v>0.42848465213863329</v>
      </c>
      <c r="GZ86" s="55"/>
      <c r="HA86" s="55"/>
      <c r="HB86" s="55"/>
      <c r="HC86" s="55"/>
      <c r="HD86" s="55"/>
    </row>
    <row r="87" spans="1:212" ht="12.75" customHeight="1" x14ac:dyDescent="0.2">
      <c r="A87" s="56" t="s">
        <v>408</v>
      </c>
      <c r="B87" s="66">
        <v>0.4225713138090269</v>
      </c>
      <c r="C87" s="57">
        <v>0.39950291787092951</v>
      </c>
      <c r="D87" s="57">
        <v>0.43405495600508159</v>
      </c>
      <c r="E87" s="65">
        <v>0.45576897493509644</v>
      </c>
      <c r="F87" s="57">
        <v>0.44738952328708337</v>
      </c>
      <c r="G87" s="57">
        <v>0.43157467077228384</v>
      </c>
      <c r="H87" s="57">
        <v>0.41338641209558497</v>
      </c>
      <c r="I87" s="57">
        <v>0.46058956607982082</v>
      </c>
      <c r="J87" s="57">
        <v>0.3990511496584076</v>
      </c>
      <c r="K87" s="45">
        <v>0.4345318231201461</v>
      </c>
      <c r="L87" s="45">
        <v>0.4181526199317761</v>
      </c>
      <c r="M87" s="57">
        <v>0.4582118165841374</v>
      </c>
      <c r="N87" s="57">
        <v>0.48008530638615787</v>
      </c>
      <c r="GZ87" s="55"/>
      <c r="HA87" s="55"/>
      <c r="HB87" s="55"/>
      <c r="HC87" s="55"/>
      <c r="HD87" s="55"/>
    </row>
    <row r="88" spans="1:212" ht="12.75" customHeight="1" x14ac:dyDescent="0.2">
      <c r="A88" s="56" t="s">
        <v>332</v>
      </c>
      <c r="B88" s="66">
        <v>0.44414603866403696</v>
      </c>
      <c r="C88" s="57">
        <v>0.45699040043509292</v>
      </c>
      <c r="D88" s="57">
        <v>0.42331235557981273</v>
      </c>
      <c r="E88" s="65">
        <v>0.46265949213194357</v>
      </c>
      <c r="F88" s="57">
        <v>0.47071348181241518</v>
      </c>
      <c r="G88" s="57">
        <v>0.44434044900050057</v>
      </c>
      <c r="H88" s="57">
        <v>0.38989309431444813</v>
      </c>
      <c r="I88" s="57">
        <v>0.49074553330355764</v>
      </c>
      <c r="J88" s="57">
        <v>0.45075737739206473</v>
      </c>
      <c r="K88" s="45">
        <v>0.4650894788633152</v>
      </c>
      <c r="L88" s="45">
        <v>0.45979089044833837</v>
      </c>
      <c r="M88" s="57">
        <v>0.48783454543148191</v>
      </c>
      <c r="N88" s="57">
        <v>0.5129232620511478</v>
      </c>
      <c r="GZ88" s="55"/>
      <c r="HA88" s="55"/>
      <c r="HB88" s="55"/>
      <c r="HC88" s="55"/>
      <c r="HD88" s="55"/>
    </row>
    <row r="89" spans="1:212" ht="12.75" customHeight="1" x14ac:dyDescent="0.2">
      <c r="A89" s="56" t="s">
        <v>117</v>
      </c>
      <c r="B89" s="66">
        <v>0.56386177096613077</v>
      </c>
      <c r="C89" s="57">
        <v>0.55951556717874562</v>
      </c>
      <c r="D89" s="57">
        <v>0.54015687050808092</v>
      </c>
      <c r="E89" s="65">
        <v>0.57645454659731321</v>
      </c>
      <c r="F89" s="57">
        <v>0.61995302205158564</v>
      </c>
      <c r="G89" s="57">
        <v>0.54327492644064102</v>
      </c>
      <c r="H89" s="57">
        <v>0.54417344839115833</v>
      </c>
      <c r="I89" s="57">
        <v>0.56390720191864196</v>
      </c>
      <c r="J89" s="57">
        <v>0.56644663751687052</v>
      </c>
      <c r="K89" s="45">
        <v>0.56254454323585412</v>
      </c>
      <c r="L89" s="45">
        <v>0.5504978816075079</v>
      </c>
      <c r="M89" s="57">
        <v>0.57726043607080757</v>
      </c>
      <c r="N89" s="57">
        <v>0.60214706545049079</v>
      </c>
      <c r="GZ89" s="55"/>
      <c r="HA89" s="55"/>
      <c r="HB89" s="55"/>
      <c r="HC89" s="55"/>
      <c r="HD89" s="55"/>
    </row>
    <row r="90" spans="1:212" ht="12.75" customHeight="1" x14ac:dyDescent="0.2">
      <c r="A90" s="56" t="s">
        <v>385</v>
      </c>
      <c r="B90" s="66">
        <v>0.3840731223464755</v>
      </c>
      <c r="C90" s="57">
        <v>0.4988303308542596</v>
      </c>
      <c r="D90" s="57">
        <v>0.38220971046515972</v>
      </c>
      <c r="E90" s="65">
        <v>0.41565394096364172</v>
      </c>
      <c r="F90" s="57">
        <v>0.41716884430758305</v>
      </c>
      <c r="G90" s="57">
        <v>0.39944848407223066</v>
      </c>
      <c r="H90" s="57">
        <v>0.40200736461970121</v>
      </c>
      <c r="I90" s="57">
        <v>0.41267474529714859</v>
      </c>
      <c r="J90" s="57">
        <v>0.38758708187988378</v>
      </c>
      <c r="K90" s="45">
        <v>0.45214656101468559</v>
      </c>
      <c r="L90" s="45">
        <v>0.44172301215520454</v>
      </c>
      <c r="M90" s="57">
        <v>0.45867992301450272</v>
      </c>
      <c r="N90" s="57">
        <v>0.51204057796364033</v>
      </c>
      <c r="GZ90" s="55"/>
      <c r="HA90" s="55"/>
      <c r="HB90" s="55"/>
      <c r="HC90" s="55"/>
      <c r="HD90" s="55"/>
    </row>
    <row r="91" spans="1:212" ht="12.75" customHeight="1" x14ac:dyDescent="0.2">
      <c r="A91" s="56" t="s">
        <v>378</v>
      </c>
      <c r="B91" s="66">
        <v>0.4569932635116376</v>
      </c>
      <c r="C91" s="57">
        <v>0.4786962479640765</v>
      </c>
      <c r="D91" s="57">
        <v>0.4723373909547694</v>
      </c>
      <c r="E91" s="65">
        <v>0.50448331584533079</v>
      </c>
      <c r="F91" s="57">
        <v>0.50784852690931359</v>
      </c>
      <c r="G91" s="57">
        <v>0.46597962414094879</v>
      </c>
      <c r="H91" s="57">
        <v>0.47033415237251114</v>
      </c>
      <c r="I91" s="57">
        <v>0.47673217506460291</v>
      </c>
      <c r="J91" s="57">
        <v>0.48790915489152525</v>
      </c>
      <c r="K91" s="45">
        <v>0.50437756208561413</v>
      </c>
      <c r="L91" s="45">
        <v>0.47336199413488456</v>
      </c>
      <c r="M91" s="57">
        <v>0.51529932455570604</v>
      </c>
      <c r="N91" s="57">
        <v>0.53423610402304522</v>
      </c>
      <c r="GZ91" s="55"/>
      <c r="HA91" s="55"/>
      <c r="HB91" s="55"/>
      <c r="HC91" s="55"/>
      <c r="HD91" s="55"/>
    </row>
    <row r="92" spans="1:212" ht="12.75" customHeight="1" x14ac:dyDescent="0.2">
      <c r="A92" s="56" t="s">
        <v>198</v>
      </c>
      <c r="B92" s="66">
        <v>0.34175950531309568</v>
      </c>
      <c r="C92" s="57">
        <v>0.36389985797574942</v>
      </c>
      <c r="D92" s="57">
        <v>0.36326261153998346</v>
      </c>
      <c r="E92" s="65">
        <v>0.37358377277783172</v>
      </c>
      <c r="F92" s="57">
        <v>0.4115385111807508</v>
      </c>
      <c r="G92" s="57">
        <v>0.34601610986499104</v>
      </c>
      <c r="H92" s="57">
        <v>0.36094706452760722</v>
      </c>
      <c r="I92" s="57">
        <v>0.38865163839723255</v>
      </c>
      <c r="J92" s="57">
        <v>0.35102900490157163</v>
      </c>
      <c r="K92" s="45">
        <v>0.38598214953863946</v>
      </c>
      <c r="L92" s="45">
        <v>0.3711756430809709</v>
      </c>
      <c r="M92" s="57">
        <v>0.40522855450342748</v>
      </c>
      <c r="N92" s="57">
        <v>0.44252239704367258</v>
      </c>
      <c r="GZ92" s="55"/>
      <c r="HA92" s="55"/>
      <c r="HB92" s="55"/>
      <c r="HC92" s="55"/>
      <c r="HD92" s="55"/>
    </row>
    <row r="93" spans="1:212" ht="12.75" customHeight="1" x14ac:dyDescent="0.2">
      <c r="A93" s="56" t="s">
        <v>28</v>
      </c>
      <c r="B93" s="66">
        <v>0.4064994702313135</v>
      </c>
      <c r="C93" s="57">
        <v>0.40584004360617826</v>
      </c>
      <c r="D93" s="57">
        <v>0.3917174419827732</v>
      </c>
      <c r="E93" s="65">
        <v>0.38085959768754002</v>
      </c>
      <c r="F93" s="57">
        <v>0.38909880740022063</v>
      </c>
      <c r="G93" s="57">
        <v>0.36608353996419629</v>
      </c>
      <c r="H93" s="57">
        <v>0.38374154799223342</v>
      </c>
      <c r="I93" s="57">
        <v>0.38220810654473947</v>
      </c>
      <c r="J93" s="57">
        <v>0.37969227765013824</v>
      </c>
      <c r="K93" s="45">
        <v>0.36024198414537584</v>
      </c>
      <c r="L93" s="45">
        <v>0.34890438255860207</v>
      </c>
      <c r="M93" s="57">
        <v>0.36582975384832112</v>
      </c>
      <c r="N93" s="57">
        <v>0.38897879108655642</v>
      </c>
      <c r="GZ93" s="55"/>
      <c r="HA93" s="55"/>
      <c r="HB93" s="55"/>
      <c r="HC93" s="55"/>
      <c r="HD93" s="55"/>
    </row>
    <row r="94" spans="1:212" ht="12.75" customHeight="1" x14ac:dyDescent="0.2">
      <c r="A94" s="56" t="s">
        <v>352</v>
      </c>
      <c r="B94" s="66">
        <v>0.41676716648392431</v>
      </c>
      <c r="C94" s="57">
        <v>0.44399717358301699</v>
      </c>
      <c r="D94" s="57">
        <v>0.34206414026471788</v>
      </c>
      <c r="E94" s="65">
        <v>0.44220408563975838</v>
      </c>
      <c r="F94" s="57">
        <v>0.41808626300881369</v>
      </c>
      <c r="G94" s="57">
        <v>0.40230422420714834</v>
      </c>
      <c r="H94" s="57">
        <v>0.39343561980413044</v>
      </c>
      <c r="I94" s="57">
        <v>0.43888185897262716</v>
      </c>
      <c r="J94" s="57">
        <v>0.42745072951168972</v>
      </c>
      <c r="K94" s="45">
        <v>0.43937183103736821</v>
      </c>
      <c r="L94" s="45">
        <v>0.41180365148370174</v>
      </c>
      <c r="M94" s="57">
        <v>0.47079474948195132</v>
      </c>
      <c r="N94" s="57">
        <v>0.47321730033763099</v>
      </c>
      <c r="GZ94" s="55"/>
      <c r="HA94" s="55"/>
      <c r="HB94" s="55"/>
      <c r="HC94" s="55"/>
      <c r="HD94" s="55"/>
    </row>
    <row r="95" spans="1:212" ht="12.75" customHeight="1" x14ac:dyDescent="0.2">
      <c r="A95" s="56" t="s">
        <v>240</v>
      </c>
      <c r="B95" s="66">
        <v>0.42303997623103212</v>
      </c>
      <c r="C95" s="57">
        <v>0.46777453985335571</v>
      </c>
      <c r="D95" s="57">
        <v>0.48039956341589612</v>
      </c>
      <c r="E95" s="65">
        <v>0.47713565671212821</v>
      </c>
      <c r="F95" s="57">
        <v>0.47510262139417986</v>
      </c>
      <c r="G95" s="57">
        <v>0.44124840426579043</v>
      </c>
      <c r="H95" s="57">
        <v>0.45309774028028738</v>
      </c>
      <c r="I95" s="57">
        <v>0.48354115861386793</v>
      </c>
      <c r="J95" s="57">
        <v>0.47183899646220484</v>
      </c>
      <c r="K95" s="45">
        <v>0.47693587399894211</v>
      </c>
      <c r="L95" s="45">
        <v>0.4543252434248391</v>
      </c>
      <c r="M95" s="57">
        <v>0.47838679110937005</v>
      </c>
      <c r="N95" s="57">
        <v>0.4718502258786102</v>
      </c>
      <c r="GZ95" s="55"/>
      <c r="HA95" s="55"/>
      <c r="HB95" s="55"/>
      <c r="HC95" s="55"/>
      <c r="HD95" s="55"/>
    </row>
    <row r="96" spans="1:212" ht="12.75" customHeight="1" x14ac:dyDescent="0.2">
      <c r="A96" s="56" t="s">
        <v>226</v>
      </c>
      <c r="B96" s="66">
        <v>0.36505738639205337</v>
      </c>
      <c r="C96" s="57">
        <v>0.40317541976856336</v>
      </c>
      <c r="D96" s="57">
        <v>0.40012311925310029</v>
      </c>
      <c r="E96" s="65">
        <v>0.42888770697438167</v>
      </c>
      <c r="F96" s="57">
        <v>0.40264264867141669</v>
      </c>
      <c r="G96" s="57">
        <v>0.4034364900738191</v>
      </c>
      <c r="H96" s="57">
        <v>0.42111588661978361</v>
      </c>
      <c r="I96" s="57">
        <v>0.42289305966765312</v>
      </c>
      <c r="J96" s="57">
        <v>0.38972389845207212</v>
      </c>
      <c r="K96" s="45">
        <v>0.41915238929365484</v>
      </c>
      <c r="L96" s="45">
        <v>0.38825504349380546</v>
      </c>
      <c r="M96" s="57">
        <v>0.3770356354040299</v>
      </c>
      <c r="N96" s="57">
        <v>0.41960642908305518</v>
      </c>
      <c r="GZ96" s="55"/>
      <c r="HA96" s="55"/>
      <c r="HB96" s="55"/>
      <c r="HC96" s="55"/>
      <c r="HD96" s="55"/>
    </row>
    <row r="97" spans="1:212" ht="12.75" customHeight="1" x14ac:dyDescent="0.2">
      <c r="A97" s="56" t="s">
        <v>154</v>
      </c>
      <c r="B97" s="66">
        <v>0.32378014868009408</v>
      </c>
      <c r="C97" s="57">
        <v>0.34200325881838933</v>
      </c>
      <c r="D97" s="57">
        <v>0.43467379329829542</v>
      </c>
      <c r="E97" s="65">
        <v>0.41757324465091405</v>
      </c>
      <c r="F97" s="57">
        <v>0.43776559706564194</v>
      </c>
      <c r="G97" s="57">
        <v>0.37189097032070678</v>
      </c>
      <c r="H97" s="57">
        <v>0.42720784483659641</v>
      </c>
      <c r="I97" s="57">
        <v>0.43288341517747314</v>
      </c>
      <c r="J97" s="57">
        <v>0.41211950711066014</v>
      </c>
      <c r="K97" s="45">
        <v>0.44772240171212907</v>
      </c>
      <c r="L97" s="45">
        <v>0.41387588708597428</v>
      </c>
      <c r="M97" s="57">
        <v>0.43460605656236523</v>
      </c>
      <c r="N97" s="57">
        <v>0.48820189119374241</v>
      </c>
      <c r="GZ97" s="55"/>
      <c r="HA97" s="55"/>
      <c r="HB97" s="55"/>
      <c r="HC97" s="55"/>
      <c r="HD97" s="55"/>
    </row>
    <row r="98" spans="1:212" ht="12.75" customHeight="1" x14ac:dyDescent="0.2">
      <c r="A98" s="56" t="s">
        <v>10</v>
      </c>
      <c r="B98" s="66">
        <v>0.86751174985613511</v>
      </c>
      <c r="C98" s="57">
        <v>0.87099927948248113</v>
      </c>
      <c r="D98" s="57">
        <v>0.86786680990695597</v>
      </c>
      <c r="E98" s="65">
        <v>0.86136629537013087</v>
      </c>
      <c r="F98" s="57">
        <v>0.85916528796281444</v>
      </c>
      <c r="G98" s="57">
        <v>0.8511819500707426</v>
      </c>
      <c r="H98" s="57">
        <v>0.84069777715792771</v>
      </c>
      <c r="I98" s="57">
        <v>0.83436117797712162</v>
      </c>
      <c r="J98" s="57">
        <v>0.83978085537723524</v>
      </c>
      <c r="K98" s="45">
        <v>0.83829890176767718</v>
      </c>
      <c r="L98" s="45">
        <v>0.82126532673450636</v>
      </c>
      <c r="M98" s="57">
        <v>0.83316572474837647</v>
      </c>
      <c r="N98" s="57">
        <v>0.85906652054187682</v>
      </c>
      <c r="GZ98" s="55"/>
      <c r="HA98" s="55"/>
      <c r="HB98" s="55"/>
      <c r="HC98" s="55"/>
      <c r="HD98" s="55"/>
    </row>
    <row r="99" spans="1:212" ht="12.75" customHeight="1" x14ac:dyDescent="0.2">
      <c r="A99" s="56" t="s">
        <v>47</v>
      </c>
      <c r="B99" s="66">
        <v>0.35375684656113632</v>
      </c>
      <c r="C99" s="57">
        <v>0.38382827037820916</v>
      </c>
      <c r="D99" s="57">
        <v>0.3840572437705419</v>
      </c>
      <c r="E99" s="65">
        <v>0.326894318869556</v>
      </c>
      <c r="F99" s="57">
        <v>0.39722869630202773</v>
      </c>
      <c r="G99" s="57">
        <v>0.3261480308361443</v>
      </c>
      <c r="H99" s="57">
        <v>0.3324112815725756</v>
      </c>
      <c r="I99" s="57">
        <v>0.35754505036902656</v>
      </c>
      <c r="J99" s="57">
        <v>0.3410924306182504</v>
      </c>
      <c r="K99" s="45">
        <v>0.36780552185625209</v>
      </c>
      <c r="L99" s="45">
        <v>0.34471700958996354</v>
      </c>
      <c r="M99" s="57">
        <v>0.37274511468739396</v>
      </c>
      <c r="N99" s="57">
        <v>0.41467758693279094</v>
      </c>
      <c r="GZ99" s="55"/>
      <c r="HA99" s="55"/>
      <c r="HB99" s="55"/>
      <c r="HC99" s="55"/>
      <c r="HD99" s="55"/>
    </row>
    <row r="100" spans="1:212" ht="12.75" customHeight="1" x14ac:dyDescent="0.2">
      <c r="A100" s="56" t="s">
        <v>286</v>
      </c>
      <c r="B100" s="66">
        <v>0.37753645107244543</v>
      </c>
      <c r="C100" s="57">
        <v>0.40054840202082487</v>
      </c>
      <c r="D100" s="57">
        <v>0.40121256368871117</v>
      </c>
      <c r="E100" s="65">
        <v>0.3741217037732204</v>
      </c>
      <c r="F100" s="57">
        <v>0.39739309813237855</v>
      </c>
      <c r="G100" s="57">
        <v>0.35463132626468319</v>
      </c>
      <c r="H100" s="57">
        <v>0.38742512234738008</v>
      </c>
      <c r="I100" s="57">
        <v>0.41222391508160838</v>
      </c>
      <c r="J100" s="57">
        <v>0.41467705104043179</v>
      </c>
      <c r="K100" s="45">
        <v>0.41747655527963112</v>
      </c>
      <c r="L100" s="45">
        <v>0.42177651426448093</v>
      </c>
      <c r="M100" s="57">
        <v>0.40627333442588182</v>
      </c>
      <c r="N100" s="57">
        <v>0.44751359221581555</v>
      </c>
      <c r="GZ100" s="55"/>
      <c r="HA100" s="55"/>
      <c r="HB100" s="55"/>
      <c r="HC100" s="55"/>
      <c r="HD100" s="55"/>
    </row>
    <row r="101" spans="1:212" ht="12.75" customHeight="1" x14ac:dyDescent="0.2">
      <c r="A101" s="56" t="s">
        <v>304</v>
      </c>
      <c r="B101" s="66">
        <v>0.29052276413357236</v>
      </c>
      <c r="C101" s="57">
        <v>0.39062845499678195</v>
      </c>
      <c r="D101" s="57">
        <v>0.30230631037845923</v>
      </c>
      <c r="E101" s="65">
        <v>0.34174343825460352</v>
      </c>
      <c r="F101" s="57">
        <v>0.33893163891469336</v>
      </c>
      <c r="G101" s="57">
        <v>0.35540719342016081</v>
      </c>
      <c r="H101" s="57">
        <v>0.31940063433529148</v>
      </c>
      <c r="I101" s="57">
        <v>0.35683459754460889</v>
      </c>
      <c r="J101" s="57">
        <v>0.34211661411490674</v>
      </c>
      <c r="K101" s="45">
        <v>0.36270433076684194</v>
      </c>
      <c r="L101" s="45">
        <v>0.31097867829563319</v>
      </c>
      <c r="M101" s="57">
        <v>0.36196915143113284</v>
      </c>
      <c r="N101" s="57">
        <v>0.38121805322944891</v>
      </c>
      <c r="GZ101" s="55"/>
      <c r="HA101" s="55"/>
      <c r="HB101" s="55"/>
      <c r="HC101" s="55"/>
      <c r="HD101" s="55"/>
    </row>
    <row r="102" spans="1:212" ht="12.75" customHeight="1" x14ac:dyDescent="0.2">
      <c r="A102" s="56" t="s">
        <v>480</v>
      </c>
      <c r="B102" s="66">
        <v>0.36392581459982926</v>
      </c>
      <c r="C102" s="57">
        <v>0.3948200152052711</v>
      </c>
      <c r="D102" s="57">
        <v>0.35469521277400345</v>
      </c>
      <c r="E102" s="65">
        <v>0.38986302034073644</v>
      </c>
      <c r="F102" s="57">
        <v>0.38722901667120391</v>
      </c>
      <c r="G102" s="57">
        <v>0.33627773659482074</v>
      </c>
      <c r="H102" s="57">
        <v>0.36544236731313384</v>
      </c>
      <c r="I102" s="57">
        <v>0.37994354302634359</v>
      </c>
      <c r="J102" s="57">
        <v>0.40317660958456325</v>
      </c>
      <c r="K102" s="45">
        <v>0.37716878401730852</v>
      </c>
      <c r="L102" s="45">
        <v>0.41668841509826343</v>
      </c>
      <c r="M102" s="57">
        <v>0.3880627620367873</v>
      </c>
      <c r="N102" s="57">
        <v>0.43241042405650792</v>
      </c>
      <c r="GZ102" s="55"/>
      <c r="HA102" s="55"/>
      <c r="HB102" s="55"/>
      <c r="HC102" s="55"/>
      <c r="HD102" s="55"/>
    </row>
    <row r="103" spans="1:212" ht="12.75" customHeight="1" x14ac:dyDescent="0.2">
      <c r="A103" s="56" t="s">
        <v>353</v>
      </c>
      <c r="B103" s="66">
        <v>0.571662824157667</v>
      </c>
      <c r="C103" s="57">
        <v>0.59037538349007157</v>
      </c>
      <c r="D103" s="57">
        <v>0.49944394008496923</v>
      </c>
      <c r="E103" s="65">
        <v>0.6503585846460449</v>
      </c>
      <c r="F103" s="57">
        <v>0.63827592625666452</v>
      </c>
      <c r="G103" s="57">
        <v>0.58443702213174253</v>
      </c>
      <c r="H103" s="57">
        <v>0.53683859299816861</v>
      </c>
      <c r="I103" s="57">
        <v>0.63166250858759887</v>
      </c>
      <c r="J103" s="57">
        <v>0.55262032314754617</v>
      </c>
      <c r="K103" s="45">
        <v>0.63640959191471491</v>
      </c>
      <c r="L103" s="45">
        <v>0.59651104152397616</v>
      </c>
      <c r="M103" s="57">
        <v>0.62605902491639132</v>
      </c>
      <c r="N103" s="57">
        <v>0.64635811393748688</v>
      </c>
      <c r="GZ103" s="55"/>
      <c r="HA103" s="55"/>
      <c r="HB103" s="55"/>
      <c r="HC103" s="55"/>
      <c r="HD103" s="55"/>
    </row>
    <row r="104" spans="1:212" ht="12.75" customHeight="1" x14ac:dyDescent="0.2">
      <c r="A104" s="56" t="s">
        <v>298</v>
      </c>
      <c r="B104" s="66">
        <v>0.67365401145603721</v>
      </c>
      <c r="C104" s="57">
        <v>0.67921155184610893</v>
      </c>
      <c r="D104" s="57">
        <v>0.69987455221593331</v>
      </c>
      <c r="E104" s="65">
        <v>0.7081735381123665</v>
      </c>
      <c r="F104" s="57">
        <v>0.68954470414814406</v>
      </c>
      <c r="G104" s="57">
        <v>0.64858264232412555</v>
      </c>
      <c r="H104" s="57">
        <v>0.63174033146324537</v>
      </c>
      <c r="I104" s="57">
        <v>0.66451883472780493</v>
      </c>
      <c r="J104" s="57">
        <v>0.65704530573205222</v>
      </c>
      <c r="K104" s="45">
        <v>0.59711811914152579</v>
      </c>
      <c r="L104" s="45">
        <v>0.66313673252727567</v>
      </c>
      <c r="M104" s="57">
        <v>0.61699033519152591</v>
      </c>
      <c r="N104" s="57">
        <v>0.62422159105235575</v>
      </c>
      <c r="GZ104" s="55"/>
      <c r="HA104" s="55"/>
      <c r="HB104" s="55"/>
      <c r="HC104" s="55"/>
      <c r="HD104" s="55"/>
    </row>
    <row r="105" spans="1:212" ht="12.75" customHeight="1" x14ac:dyDescent="0.2">
      <c r="A105" s="56" t="s">
        <v>209</v>
      </c>
      <c r="B105" s="66">
        <v>0.38176354247767669</v>
      </c>
      <c r="C105" s="57">
        <v>0.38269690509219384</v>
      </c>
      <c r="D105" s="57">
        <v>0.3685881306649485</v>
      </c>
      <c r="E105" s="65">
        <v>0.36734762690981182</v>
      </c>
      <c r="F105" s="57">
        <v>0.39623006007266331</v>
      </c>
      <c r="G105" s="57">
        <v>0.36790540246215564</v>
      </c>
      <c r="H105" s="57">
        <v>0.3703839608993037</v>
      </c>
      <c r="I105" s="57">
        <v>0.39942799932228945</v>
      </c>
      <c r="J105" s="57">
        <v>0.37561647574624096</v>
      </c>
      <c r="K105" s="45">
        <v>0.4084550195670818</v>
      </c>
      <c r="L105" s="45">
        <v>0.38434320322007337</v>
      </c>
      <c r="M105" s="57">
        <v>0.39280616531959778</v>
      </c>
      <c r="N105" s="57">
        <v>0.40223043262280395</v>
      </c>
      <c r="GZ105" s="55"/>
      <c r="HA105" s="55"/>
      <c r="HB105" s="55"/>
      <c r="HC105" s="55"/>
      <c r="HD105" s="55"/>
    </row>
    <row r="106" spans="1:212" ht="12.75" customHeight="1" x14ac:dyDescent="0.2">
      <c r="A106" s="56" t="s">
        <v>402</v>
      </c>
      <c r="B106" s="66">
        <v>0.35638747115364494</v>
      </c>
      <c r="C106" s="57">
        <v>0.3498606851767137</v>
      </c>
      <c r="D106" s="57">
        <v>0.29206551162359512</v>
      </c>
      <c r="E106" s="65">
        <v>0.35292294523429307</v>
      </c>
      <c r="F106" s="57">
        <v>0.35779840945987162</v>
      </c>
      <c r="G106" s="57">
        <v>0.31809538260975867</v>
      </c>
      <c r="H106" s="57">
        <v>0.31986897381107632</v>
      </c>
      <c r="I106" s="57">
        <v>0.3554155725586286</v>
      </c>
      <c r="J106" s="57">
        <v>0.31901291726582554</v>
      </c>
      <c r="K106" s="45">
        <v>0.34668868392737767</v>
      </c>
      <c r="L106" s="45">
        <v>0.33132452615884261</v>
      </c>
      <c r="M106" s="57">
        <v>0.36976031245244984</v>
      </c>
      <c r="N106" s="57">
        <v>0.19264845510561335</v>
      </c>
      <c r="GZ106" s="55"/>
      <c r="HA106" s="55"/>
      <c r="HB106" s="55"/>
      <c r="HC106" s="55"/>
      <c r="HD106" s="55"/>
    </row>
    <row r="107" spans="1:212" ht="12.75" customHeight="1" x14ac:dyDescent="0.2">
      <c r="A107" s="56" t="s">
        <v>354</v>
      </c>
      <c r="B107" s="66">
        <v>0.46633853859906838</v>
      </c>
      <c r="C107" s="57">
        <v>0.48201201140536226</v>
      </c>
      <c r="D107" s="57">
        <v>0.43117730951402877</v>
      </c>
      <c r="E107" s="65">
        <v>0.4800195531160521</v>
      </c>
      <c r="F107" s="57">
        <v>0.46395282166885493</v>
      </c>
      <c r="G107" s="57">
        <v>0.44268989378930973</v>
      </c>
      <c r="H107" s="57">
        <v>0.45585383512333694</v>
      </c>
      <c r="I107" s="57">
        <v>0.44195783269725375</v>
      </c>
      <c r="J107" s="57">
        <v>0.48439289042528128</v>
      </c>
      <c r="K107" s="45">
        <v>0.4697666537251366</v>
      </c>
      <c r="L107" s="45">
        <v>0.47189829371696446</v>
      </c>
      <c r="M107" s="57">
        <v>0.46431656554855971</v>
      </c>
      <c r="N107" s="57">
        <v>0.5428724739000812</v>
      </c>
      <c r="GZ107" s="55"/>
      <c r="HA107" s="55"/>
      <c r="HB107" s="55"/>
      <c r="HC107" s="55"/>
      <c r="HD107" s="55"/>
    </row>
    <row r="108" spans="1:212" ht="12.75" customHeight="1" x14ac:dyDescent="0.2">
      <c r="A108" s="56" t="s">
        <v>199</v>
      </c>
      <c r="B108" s="66">
        <v>0.45195863620270849</v>
      </c>
      <c r="C108" s="57">
        <v>0.53442250911707945</v>
      </c>
      <c r="D108" s="57">
        <v>0.53507387149980157</v>
      </c>
      <c r="E108" s="65">
        <v>0.45985650536381339</v>
      </c>
      <c r="F108" s="57">
        <v>0.41317046137454039</v>
      </c>
      <c r="G108" s="57">
        <v>0.39844083349805021</v>
      </c>
      <c r="H108" s="57">
        <v>0.39334070565473356</v>
      </c>
      <c r="I108" s="57">
        <v>0.41740847361371558</v>
      </c>
      <c r="J108" s="57">
        <v>0.41885186352377518</v>
      </c>
      <c r="K108" s="45">
        <v>0.42846277067434746</v>
      </c>
      <c r="L108" s="45">
        <v>0.40034673145612165</v>
      </c>
      <c r="M108" s="57">
        <v>0.43922318534822241</v>
      </c>
      <c r="N108" s="57">
        <v>0.47338622700226485</v>
      </c>
      <c r="GZ108" s="55"/>
      <c r="HA108" s="55"/>
      <c r="HB108" s="55"/>
      <c r="HC108" s="55"/>
      <c r="HD108" s="55"/>
    </row>
    <row r="109" spans="1:212" ht="12.75" customHeight="1" x14ac:dyDescent="0.2">
      <c r="A109" s="56" t="s">
        <v>305</v>
      </c>
      <c r="B109" s="66">
        <v>0.53526576532073122</v>
      </c>
      <c r="C109" s="57">
        <v>0.5198642293126895</v>
      </c>
      <c r="D109" s="57">
        <v>0.46738317523876727</v>
      </c>
      <c r="E109" s="65">
        <v>0.51925628802431845</v>
      </c>
      <c r="F109" s="57">
        <v>0.56921027682607506</v>
      </c>
      <c r="G109" s="57">
        <v>0.5310988776729666</v>
      </c>
      <c r="H109" s="57">
        <v>0.40796556438261589</v>
      </c>
      <c r="I109" s="57">
        <v>0.59795894025715468</v>
      </c>
      <c r="J109" s="57">
        <v>0.51339209650902851</v>
      </c>
      <c r="K109" s="45">
        <v>0.54263322625156785</v>
      </c>
      <c r="L109" s="45">
        <v>0.51210301926991342</v>
      </c>
      <c r="M109" s="57">
        <v>0.54000508230691868</v>
      </c>
      <c r="N109" s="57">
        <v>0.63625271049371235</v>
      </c>
      <c r="GZ109" s="55"/>
      <c r="HA109" s="55"/>
      <c r="HB109" s="55"/>
      <c r="HC109" s="55"/>
      <c r="HD109" s="55"/>
    </row>
    <row r="110" spans="1:212" ht="12.75" customHeight="1" x14ac:dyDescent="0.2">
      <c r="A110" s="56" t="s">
        <v>278</v>
      </c>
      <c r="B110" s="66">
        <v>0.40967262940645527</v>
      </c>
      <c r="C110" s="57">
        <v>0.42665719322761025</v>
      </c>
      <c r="D110" s="57">
        <v>0.43724048865160958</v>
      </c>
      <c r="E110" s="65">
        <v>0.4306770596816622</v>
      </c>
      <c r="F110" s="57">
        <v>0.4151072247415391</v>
      </c>
      <c r="G110" s="57">
        <v>0.40007425472203501</v>
      </c>
      <c r="H110" s="57">
        <v>0.40209387199260438</v>
      </c>
      <c r="I110" s="57">
        <v>0.45416340447415121</v>
      </c>
      <c r="J110" s="57">
        <v>0.43463747136796832</v>
      </c>
      <c r="K110" s="45">
        <v>0.42469923999868398</v>
      </c>
      <c r="L110" s="45">
        <v>0.36356927584616122</v>
      </c>
      <c r="M110" s="57">
        <v>0.43939623706413333</v>
      </c>
      <c r="N110" s="57">
        <v>0.47680133050892221</v>
      </c>
      <c r="GZ110" s="55"/>
      <c r="HA110" s="55"/>
      <c r="HB110" s="55"/>
      <c r="HC110" s="55"/>
      <c r="HD110" s="55"/>
    </row>
    <row r="111" spans="1:212" ht="12.75" customHeight="1" x14ac:dyDescent="0.2">
      <c r="A111" s="56" t="s">
        <v>80</v>
      </c>
      <c r="B111" s="66">
        <v>0.35052174106454437</v>
      </c>
      <c r="C111" s="57">
        <v>0.37890215152495288</v>
      </c>
      <c r="D111" s="57">
        <v>0.37446815684584278</v>
      </c>
      <c r="E111" s="65">
        <v>0.38510812987036808</v>
      </c>
      <c r="F111" s="57">
        <v>0.38662260649666319</v>
      </c>
      <c r="G111" s="57">
        <v>0.4019431932518569</v>
      </c>
      <c r="H111" s="57">
        <v>0.36324500629454654</v>
      </c>
      <c r="I111" s="57">
        <v>0.38791804335797059</v>
      </c>
      <c r="J111" s="57">
        <v>0.3718737433442994</v>
      </c>
      <c r="K111" s="45">
        <v>0.39624175715889204</v>
      </c>
      <c r="L111" s="45">
        <v>0.36254027274004313</v>
      </c>
      <c r="M111" s="57">
        <v>0.36290025842970247</v>
      </c>
      <c r="N111" s="57">
        <v>0.46887928402702994</v>
      </c>
      <c r="GZ111" s="55"/>
      <c r="HA111" s="55"/>
      <c r="HB111" s="55"/>
      <c r="HC111" s="55"/>
      <c r="HD111" s="55"/>
    </row>
    <row r="112" spans="1:212" ht="12.75" customHeight="1" x14ac:dyDescent="0.2">
      <c r="A112" s="56" t="s">
        <v>7088</v>
      </c>
      <c r="B112" s="66">
        <v>0.36168944321722474</v>
      </c>
      <c r="C112" s="57">
        <v>0.40999890855202997</v>
      </c>
      <c r="D112" s="57">
        <v>0.34755400153140437</v>
      </c>
      <c r="E112" s="65">
        <v>0.44948990202531958</v>
      </c>
      <c r="F112" s="57">
        <v>0.40877051069560583</v>
      </c>
      <c r="G112" s="57">
        <v>0.40178137919436069</v>
      </c>
      <c r="H112" s="57">
        <v>0.37494254366951896</v>
      </c>
      <c r="I112" s="57">
        <v>0.43800115195639111</v>
      </c>
      <c r="J112" s="57">
        <v>0.42998214532433532</v>
      </c>
      <c r="K112" s="45">
        <v>0.43751442831388232</v>
      </c>
      <c r="L112" s="45">
        <v>0.40721762733345007</v>
      </c>
      <c r="M112" s="57">
        <v>0.46010057848568026</v>
      </c>
      <c r="N112" s="57">
        <v>0.56081985510006116</v>
      </c>
      <c r="GZ112" s="55"/>
      <c r="HA112" s="55"/>
      <c r="HB112" s="55"/>
      <c r="HC112" s="55"/>
      <c r="HD112" s="55"/>
    </row>
    <row r="113" spans="1:212" ht="12.75" customHeight="1" x14ac:dyDescent="0.2">
      <c r="A113" s="56" t="s">
        <v>178</v>
      </c>
      <c r="B113" s="66">
        <v>0.39439039700478706</v>
      </c>
      <c r="C113" s="57">
        <v>0.41406803027022471</v>
      </c>
      <c r="D113" s="57">
        <v>0.41208651834544729</v>
      </c>
      <c r="E113" s="65">
        <v>0.42546220548266606</v>
      </c>
      <c r="F113" s="57">
        <v>0.42851510063193671</v>
      </c>
      <c r="G113" s="57">
        <v>0.41805736685024392</v>
      </c>
      <c r="H113" s="57">
        <v>0.4306121355239011</v>
      </c>
      <c r="I113" s="57">
        <v>0.4234845976986002</v>
      </c>
      <c r="J113" s="57">
        <v>0.41091187825713288</v>
      </c>
      <c r="K113" s="45">
        <v>0.43152405644636793</v>
      </c>
      <c r="L113" s="45">
        <v>0.3994738470268081</v>
      </c>
      <c r="M113" s="57">
        <v>0.42372631306167913</v>
      </c>
      <c r="N113" s="57">
        <v>0.4771616759770726</v>
      </c>
      <c r="GZ113" s="55"/>
      <c r="HA113" s="55"/>
      <c r="HB113" s="55"/>
      <c r="HC113" s="55"/>
      <c r="HD113" s="55"/>
    </row>
    <row r="114" spans="1:212" ht="12.75" customHeight="1" x14ac:dyDescent="0.2">
      <c r="A114" s="56" t="s">
        <v>7087</v>
      </c>
      <c r="B114" s="66">
        <v>0.41766461631283119</v>
      </c>
      <c r="C114" s="57">
        <v>0.46305603957704849</v>
      </c>
      <c r="D114" s="57">
        <v>0.50344819182362011</v>
      </c>
      <c r="E114" s="65">
        <v>0.52727678965405511</v>
      </c>
      <c r="F114" s="57">
        <v>0.50719636920323374</v>
      </c>
      <c r="G114" s="57">
        <v>0.49654168291373657</v>
      </c>
      <c r="H114" s="57">
        <v>0.49718452461325485</v>
      </c>
      <c r="I114" s="57">
        <v>0.5035199669405841</v>
      </c>
      <c r="J114" s="57">
        <v>0.50431134838823943</v>
      </c>
      <c r="K114" s="45">
        <v>0.51600385273147908</v>
      </c>
      <c r="L114" s="45">
        <v>0.49668029165343464</v>
      </c>
      <c r="M114" s="57">
        <v>0.53134106942940418</v>
      </c>
      <c r="N114" s="57">
        <v>0.49752472376956358</v>
      </c>
      <c r="GZ114" s="55"/>
      <c r="HA114" s="55"/>
      <c r="HB114" s="55"/>
      <c r="HC114" s="55"/>
      <c r="HD114" s="55"/>
    </row>
    <row r="115" spans="1:212" ht="12.75" customHeight="1" x14ac:dyDescent="0.2">
      <c r="A115" s="56" t="s">
        <v>155</v>
      </c>
      <c r="B115" s="66">
        <v>0.389011628249335</v>
      </c>
      <c r="C115" s="57">
        <v>0.39201576166442631</v>
      </c>
      <c r="D115" s="57">
        <v>0.39628917388794432</v>
      </c>
      <c r="E115" s="65">
        <v>0.41112501919615918</v>
      </c>
      <c r="F115" s="57">
        <v>0.3944059931065233</v>
      </c>
      <c r="G115" s="57">
        <v>0.38993180279894324</v>
      </c>
      <c r="H115" s="57">
        <v>0.36607720938466903</v>
      </c>
      <c r="I115" s="57">
        <v>0.41677430941125054</v>
      </c>
      <c r="J115" s="57">
        <v>0.40454844162915066</v>
      </c>
      <c r="K115" s="45">
        <v>0.41405845085956466</v>
      </c>
      <c r="L115" s="45">
        <v>0.38981324786458088</v>
      </c>
      <c r="M115" s="57">
        <v>0.41227904185818082</v>
      </c>
      <c r="N115" s="57">
        <v>0.45867810841797607</v>
      </c>
      <c r="GZ115" s="55"/>
      <c r="HA115" s="55"/>
      <c r="HB115" s="55"/>
      <c r="HC115" s="55"/>
      <c r="HD115" s="55"/>
    </row>
    <row r="116" spans="1:212" ht="12.75" customHeight="1" x14ac:dyDescent="0.2">
      <c r="A116" s="56" t="s">
        <v>54</v>
      </c>
      <c r="B116" s="66">
        <v>0.38238036970509098</v>
      </c>
      <c r="C116" s="57">
        <v>0.40394208620122179</v>
      </c>
      <c r="D116" s="57">
        <v>0.35480939926577704</v>
      </c>
      <c r="E116" s="65">
        <v>0.42117511758009624</v>
      </c>
      <c r="F116" s="57">
        <v>0.40840735879831147</v>
      </c>
      <c r="G116" s="57">
        <v>0.39114041108171682</v>
      </c>
      <c r="H116" s="57">
        <v>0.37645922064037618</v>
      </c>
      <c r="I116" s="57">
        <v>0.43819115317341323</v>
      </c>
      <c r="J116" s="57">
        <v>0.38712422368391869</v>
      </c>
      <c r="K116" s="45">
        <v>0.44213755673513833</v>
      </c>
      <c r="L116" s="45">
        <v>0.39784070766342983</v>
      </c>
      <c r="M116" s="57">
        <v>0.42738388386982656</v>
      </c>
      <c r="N116" s="57">
        <v>0.43675583810374796</v>
      </c>
      <c r="GZ116" s="55"/>
      <c r="HA116" s="55"/>
      <c r="HB116" s="55"/>
      <c r="HC116" s="55"/>
      <c r="HD116" s="55"/>
    </row>
    <row r="117" spans="1:212" ht="12.75" customHeight="1" x14ac:dyDescent="0.2">
      <c r="A117" s="56" t="s">
        <v>166</v>
      </c>
      <c r="B117" s="66">
        <v>0.45727503939056874</v>
      </c>
      <c r="C117" s="57">
        <v>0.44522744196278041</v>
      </c>
      <c r="D117" s="57">
        <v>0.4675229296287452</v>
      </c>
      <c r="E117" s="65">
        <v>0.4218789937639123</v>
      </c>
      <c r="F117" s="57">
        <v>0.43662442653085765</v>
      </c>
      <c r="G117" s="57">
        <v>0.43611499467403086</v>
      </c>
      <c r="H117" s="57">
        <v>0.43705380549074679</v>
      </c>
      <c r="I117" s="57">
        <v>0.46098434922486298</v>
      </c>
      <c r="J117" s="57">
        <v>0.43883710746519067</v>
      </c>
      <c r="K117" s="45">
        <v>0.42801074272413531</v>
      </c>
      <c r="L117" s="45">
        <v>0.34782237986836595</v>
      </c>
      <c r="M117" s="57">
        <v>0.45774566195452115</v>
      </c>
      <c r="N117" s="57">
        <v>0.44705557225626419</v>
      </c>
      <c r="GZ117" s="55"/>
      <c r="HA117" s="55"/>
      <c r="HB117" s="55"/>
      <c r="HC117" s="55"/>
      <c r="HD117" s="55"/>
    </row>
    <row r="118" spans="1:212" ht="12.75" customHeight="1" x14ac:dyDescent="0.2">
      <c r="A118" s="56" t="s">
        <v>355</v>
      </c>
      <c r="B118" s="66">
        <v>0.37561462319965727</v>
      </c>
      <c r="C118" s="57">
        <v>0.37170663792439812</v>
      </c>
      <c r="D118" s="57">
        <v>0.34764106352549878</v>
      </c>
      <c r="E118" s="65">
        <v>0.37922959947986662</v>
      </c>
      <c r="F118" s="57">
        <v>0.39008770296559914</v>
      </c>
      <c r="G118" s="57">
        <v>0.36405039838812359</v>
      </c>
      <c r="H118" s="57">
        <v>0.35985398266404833</v>
      </c>
      <c r="I118" s="57">
        <v>0.40808712695645921</v>
      </c>
      <c r="J118" s="57">
        <v>0.39401982005659991</v>
      </c>
      <c r="K118" s="45">
        <v>0.41224518886082911</v>
      </c>
      <c r="L118" s="45">
        <v>0.37917163565793693</v>
      </c>
      <c r="M118" s="57">
        <v>0.41943551387048905</v>
      </c>
      <c r="N118" s="57">
        <v>0.46828327648173496</v>
      </c>
      <c r="GZ118" s="55"/>
      <c r="HA118" s="55"/>
      <c r="HB118" s="55"/>
      <c r="HC118" s="55"/>
      <c r="HD118" s="55"/>
    </row>
    <row r="119" spans="1:212" ht="12.75" customHeight="1" x14ac:dyDescent="0.2">
      <c r="A119" s="56" t="s">
        <v>210</v>
      </c>
      <c r="B119" s="66">
        <v>0.44478535205245873</v>
      </c>
      <c r="C119" s="57">
        <v>0.49047326352261289</v>
      </c>
      <c r="D119" s="57">
        <v>0.47010231941855352</v>
      </c>
      <c r="E119" s="65">
        <v>0.45631649795845497</v>
      </c>
      <c r="F119" s="57">
        <v>0.45240721870863781</v>
      </c>
      <c r="G119" s="57">
        <v>0.41608140665805338</v>
      </c>
      <c r="H119" s="57">
        <v>0.41199129327600165</v>
      </c>
      <c r="I119" s="57">
        <v>0.43378867614310229</v>
      </c>
      <c r="J119" s="57">
        <v>0.41671048469140026</v>
      </c>
      <c r="K119" s="45">
        <v>0.43837413631496847</v>
      </c>
      <c r="L119" s="45">
        <v>0.4287526242240548</v>
      </c>
      <c r="M119" s="57">
        <v>0.41351014791564256</v>
      </c>
      <c r="N119" s="57">
        <v>0.4561073990525451</v>
      </c>
      <c r="GZ119" s="55"/>
      <c r="HA119" s="55"/>
      <c r="HB119" s="55"/>
      <c r="HC119" s="55"/>
      <c r="HD119" s="55"/>
    </row>
    <row r="120" spans="1:212" ht="12.75" customHeight="1" x14ac:dyDescent="0.2">
      <c r="A120" s="56" t="s">
        <v>200</v>
      </c>
      <c r="B120" s="66">
        <v>0.41377792554337378</v>
      </c>
      <c r="C120" s="57">
        <v>0.4153982602999447</v>
      </c>
      <c r="D120" s="57">
        <v>0.3703638682702346</v>
      </c>
      <c r="E120" s="65">
        <v>0.44808199597611276</v>
      </c>
      <c r="F120" s="57">
        <v>0.42255985852211786</v>
      </c>
      <c r="G120" s="57">
        <v>0.4052648929629154</v>
      </c>
      <c r="H120" s="57">
        <v>0.3853004170530766</v>
      </c>
      <c r="I120" s="57">
        <v>0.46292469436320582</v>
      </c>
      <c r="J120" s="57">
        <v>0.40855490309072101</v>
      </c>
      <c r="K120" s="45">
        <v>0.43602714019402367</v>
      </c>
      <c r="L120" s="45">
        <v>0.42697905752434462</v>
      </c>
      <c r="M120" s="57">
        <v>0.43777256512818424</v>
      </c>
      <c r="N120" s="57">
        <v>0.44863317210890569</v>
      </c>
      <c r="GZ120" s="55"/>
      <c r="HA120" s="55"/>
      <c r="HB120" s="55"/>
      <c r="HC120" s="55"/>
      <c r="HD120" s="55"/>
    </row>
    <row r="121" spans="1:212" ht="12.75" customHeight="1" x14ac:dyDescent="0.2">
      <c r="A121" s="56" t="s">
        <v>91</v>
      </c>
      <c r="B121" s="66">
        <v>0.51232989524637695</v>
      </c>
      <c r="C121" s="57">
        <v>0.49557869751483197</v>
      </c>
      <c r="D121" s="57">
        <v>0.49213851133933262</v>
      </c>
      <c r="E121" s="65">
        <v>0.51634241828936267</v>
      </c>
      <c r="F121" s="57">
        <v>0.5205606231202855</v>
      </c>
      <c r="G121" s="57">
        <v>0.48949941944606995</v>
      </c>
      <c r="H121" s="57">
        <v>0.48933864390165627</v>
      </c>
      <c r="I121" s="57">
        <v>0.55062661446520267</v>
      </c>
      <c r="J121" s="57">
        <v>0.49382433416307808</v>
      </c>
      <c r="K121" s="45">
        <v>0.48787561406228519</v>
      </c>
      <c r="L121" s="45">
        <v>0.4671902961433449</v>
      </c>
      <c r="M121" s="57">
        <v>0.48959757247154573</v>
      </c>
      <c r="N121" s="57">
        <v>0.53579738929308918</v>
      </c>
      <c r="GZ121" s="55"/>
      <c r="HA121" s="55"/>
      <c r="HB121" s="55"/>
      <c r="HC121" s="55"/>
      <c r="HD121" s="55"/>
    </row>
    <row r="122" spans="1:212" ht="12.75" customHeight="1" x14ac:dyDescent="0.2">
      <c r="A122" s="56" t="s">
        <v>227</v>
      </c>
      <c r="B122" s="66">
        <v>0.41991430357074977</v>
      </c>
      <c r="C122" s="57">
        <v>0.44067556110966405</v>
      </c>
      <c r="D122" s="57">
        <v>0.43299119182120882</v>
      </c>
      <c r="E122" s="65">
        <v>0.44260956065340612</v>
      </c>
      <c r="F122" s="57">
        <v>0.43985326801571062</v>
      </c>
      <c r="G122" s="57">
        <v>0.42356701971206234</v>
      </c>
      <c r="H122" s="57">
        <v>0.45561846005346568</v>
      </c>
      <c r="I122" s="57">
        <v>0.41523742742596115</v>
      </c>
      <c r="J122" s="57">
        <v>0.4154392337651438</v>
      </c>
      <c r="K122" s="45">
        <v>0.46051566876609268</v>
      </c>
      <c r="L122" s="45">
        <v>0.42740396880348547</v>
      </c>
      <c r="M122" s="57">
        <v>0.46801440625068497</v>
      </c>
      <c r="N122" s="57">
        <v>0.46623389415923655</v>
      </c>
      <c r="GZ122" s="55"/>
      <c r="HA122" s="55"/>
      <c r="HB122" s="55"/>
      <c r="HC122" s="55"/>
      <c r="HD122" s="55"/>
    </row>
    <row r="123" spans="1:212" ht="12.75" customHeight="1" x14ac:dyDescent="0.2">
      <c r="A123" s="56" t="s">
        <v>333</v>
      </c>
      <c r="B123" s="66">
        <v>0.38807962606513147</v>
      </c>
      <c r="C123" s="57">
        <v>0.39294617179576258</v>
      </c>
      <c r="D123" s="57">
        <v>0.3893055943505585</v>
      </c>
      <c r="E123" s="65">
        <v>0.41172137759121008</v>
      </c>
      <c r="F123" s="57">
        <v>0.41104995029552227</v>
      </c>
      <c r="G123" s="57">
        <v>0.42241010682327323</v>
      </c>
      <c r="H123" s="57">
        <v>0.40775005118296087</v>
      </c>
      <c r="I123" s="57">
        <v>0.43116211180475916</v>
      </c>
      <c r="J123" s="57">
        <v>0.4098947665116176</v>
      </c>
      <c r="K123" s="45">
        <v>0.4228385799471307</v>
      </c>
      <c r="L123" s="45">
        <v>0.40838176327601511</v>
      </c>
      <c r="M123" s="57">
        <v>0.43138480160640691</v>
      </c>
      <c r="N123" s="57">
        <v>0.46297135669011025</v>
      </c>
      <c r="GZ123" s="55"/>
      <c r="HA123" s="55"/>
      <c r="HB123" s="55"/>
      <c r="HC123" s="55"/>
      <c r="HD123" s="55"/>
    </row>
    <row r="124" spans="1:212" ht="12.75" customHeight="1" x14ac:dyDescent="0.2">
      <c r="A124" s="56" t="s">
        <v>306</v>
      </c>
      <c r="B124" s="66">
        <v>0.56894245677231015</v>
      </c>
      <c r="C124" s="57">
        <v>0.5775529470926537</v>
      </c>
      <c r="D124" s="57">
        <v>0.57505486664227301</v>
      </c>
      <c r="E124" s="65">
        <v>0.60486963162630969</v>
      </c>
      <c r="F124" s="57">
        <v>0.5886672838940481</v>
      </c>
      <c r="G124" s="57">
        <v>0.56527480847694644</v>
      </c>
      <c r="H124" s="57">
        <v>0.57482947014197949</v>
      </c>
      <c r="I124" s="57">
        <v>0.57816840819940385</v>
      </c>
      <c r="J124" s="57">
        <v>0.58386694620555479</v>
      </c>
      <c r="K124" s="45">
        <v>0.59771441535158709</v>
      </c>
      <c r="L124" s="45">
        <v>0.56134953447213087</v>
      </c>
      <c r="M124" s="57">
        <v>0.5994202099601269</v>
      </c>
      <c r="N124" s="57">
        <v>0.59023010326888592</v>
      </c>
      <c r="GZ124" s="55"/>
      <c r="HA124" s="55"/>
      <c r="HB124" s="55"/>
      <c r="HC124" s="55"/>
      <c r="HD124" s="55"/>
    </row>
    <row r="125" spans="1:212" ht="12.75" customHeight="1" x14ac:dyDescent="0.2">
      <c r="A125" s="56" t="s">
        <v>81</v>
      </c>
      <c r="B125" s="66">
        <v>0.39601537860138492</v>
      </c>
      <c r="C125" s="57">
        <v>0.4283415178741517</v>
      </c>
      <c r="D125" s="57">
        <v>0.33738603266533324</v>
      </c>
      <c r="E125" s="65">
        <v>0.40609213323220622</v>
      </c>
      <c r="F125" s="57">
        <v>0.3978590541173333</v>
      </c>
      <c r="G125" s="57">
        <v>0.34956887812092058</v>
      </c>
      <c r="H125" s="57">
        <v>0.35863040550261971</v>
      </c>
      <c r="I125" s="57">
        <v>0.34131245701046481</v>
      </c>
      <c r="J125" s="57">
        <v>0.41266042671813974</v>
      </c>
      <c r="K125" s="45">
        <v>0.36593400049239905</v>
      </c>
      <c r="L125" s="45">
        <v>0.29844832463496795</v>
      </c>
      <c r="M125" s="57">
        <v>0.4444041796249677</v>
      </c>
      <c r="N125" s="57">
        <v>0.46366419311080542</v>
      </c>
      <c r="GZ125" s="55"/>
      <c r="HA125" s="55"/>
      <c r="HB125" s="55"/>
      <c r="HC125" s="55"/>
      <c r="HD125" s="55"/>
    </row>
    <row r="126" spans="1:212" ht="12.75" customHeight="1" x14ac:dyDescent="0.2">
      <c r="A126" s="56" t="s">
        <v>279</v>
      </c>
      <c r="B126" s="66">
        <v>0.35549158622493576</v>
      </c>
      <c r="C126" s="57">
        <v>0.36650662859208449</v>
      </c>
      <c r="D126" s="57">
        <v>0.36779292970047167</v>
      </c>
      <c r="E126" s="65">
        <v>0.3536732403709435</v>
      </c>
      <c r="F126" s="57">
        <v>0.36888462801378957</v>
      </c>
      <c r="G126" s="57">
        <v>0.37140476411583001</v>
      </c>
      <c r="H126" s="57">
        <v>0.35478604576884321</v>
      </c>
      <c r="I126" s="57">
        <v>0.36930060118356184</v>
      </c>
      <c r="J126" s="57">
        <v>0.36723618115722023</v>
      </c>
      <c r="K126" s="45">
        <v>0.36973257339946086</v>
      </c>
      <c r="L126" s="45">
        <v>0.35308735724659207</v>
      </c>
      <c r="M126" s="57">
        <v>0.38302844113292156</v>
      </c>
      <c r="N126" s="57">
        <v>0.3673495488760064</v>
      </c>
      <c r="GZ126" s="55"/>
      <c r="HA126" s="55"/>
      <c r="HB126" s="55"/>
      <c r="HC126" s="55"/>
      <c r="HD126" s="55"/>
    </row>
    <row r="127" spans="1:212" ht="12.75" customHeight="1" x14ac:dyDescent="0.2">
      <c r="A127" s="56" t="s">
        <v>356</v>
      </c>
      <c r="B127" s="66">
        <v>0.55693929449235624</v>
      </c>
      <c r="C127" s="57">
        <v>0.56552557378334178</v>
      </c>
      <c r="D127" s="57">
        <v>0.50419380553215798</v>
      </c>
      <c r="E127" s="65">
        <v>0.60725319198276451</v>
      </c>
      <c r="F127" s="57">
        <v>0.60715427012807777</v>
      </c>
      <c r="G127" s="57">
        <v>0.55799376498943543</v>
      </c>
      <c r="H127" s="57">
        <v>0.53601275748544153</v>
      </c>
      <c r="I127" s="57">
        <v>0.61011439908966492</v>
      </c>
      <c r="J127" s="57">
        <v>0.56277551774915624</v>
      </c>
      <c r="K127" s="45">
        <v>0.60420582167011228</v>
      </c>
      <c r="L127" s="45">
        <v>0.52058175902400006</v>
      </c>
      <c r="M127" s="57">
        <v>0.61733054856708991</v>
      </c>
      <c r="N127" s="57">
        <v>0.61672512466777885</v>
      </c>
      <c r="GZ127" s="55"/>
      <c r="HA127" s="55"/>
      <c r="HB127" s="55"/>
      <c r="HC127" s="55"/>
      <c r="HD127" s="55"/>
    </row>
    <row r="128" spans="1:212" ht="12.75" customHeight="1" x14ac:dyDescent="0.2">
      <c r="A128" s="56" t="s">
        <v>29</v>
      </c>
      <c r="B128" s="66">
        <v>0.40480755206238295</v>
      </c>
      <c r="C128" s="57">
        <v>0.41660306166800909</v>
      </c>
      <c r="D128" s="57">
        <v>0.37683848697318673</v>
      </c>
      <c r="E128" s="65">
        <v>0.41687530440170711</v>
      </c>
      <c r="F128" s="57">
        <v>0.40481099826086708</v>
      </c>
      <c r="G128" s="57">
        <v>0.37965443647309821</v>
      </c>
      <c r="H128" s="57">
        <v>0.37943929653764241</v>
      </c>
      <c r="I128" s="57">
        <v>0.38919409009216599</v>
      </c>
      <c r="J128" s="57">
        <v>0.36245918177151898</v>
      </c>
      <c r="K128" s="45">
        <v>0.37534201042122634</v>
      </c>
      <c r="L128" s="45">
        <v>0.35153084009708074</v>
      </c>
      <c r="M128" s="57">
        <v>0.44065254266268283</v>
      </c>
      <c r="N128" s="57">
        <v>0.4217041605680541</v>
      </c>
      <c r="GZ128" s="55"/>
      <c r="HA128" s="55"/>
      <c r="HB128" s="55"/>
      <c r="HC128" s="55"/>
      <c r="HD128" s="55"/>
    </row>
    <row r="129" spans="1:212" ht="12.75" customHeight="1" x14ac:dyDescent="0.2">
      <c r="A129" s="56" t="s">
        <v>156</v>
      </c>
      <c r="B129" s="66">
        <v>0.30070120817603491</v>
      </c>
      <c r="C129" s="57">
        <v>0.38019439849991321</v>
      </c>
      <c r="D129" s="57">
        <v>0.36517505619118151</v>
      </c>
      <c r="E129" s="65">
        <v>0.3639307606386612</v>
      </c>
      <c r="F129" s="57">
        <v>0.3448016689658957</v>
      </c>
      <c r="G129" s="57">
        <v>0.33918024881735676</v>
      </c>
      <c r="H129" s="57">
        <v>0.3309440743587892</v>
      </c>
      <c r="I129" s="57">
        <v>0.35713481381761586</v>
      </c>
      <c r="J129" s="57">
        <v>0.35831333904475599</v>
      </c>
      <c r="K129" s="45">
        <v>0.41579996289101639</v>
      </c>
      <c r="L129" s="45">
        <v>0.38671512895478855</v>
      </c>
      <c r="M129" s="57">
        <v>0.38259798899520459</v>
      </c>
      <c r="N129" s="57">
        <v>0.43802235875717721</v>
      </c>
      <c r="GZ129" s="55"/>
      <c r="HA129" s="55"/>
      <c r="HB129" s="55"/>
      <c r="HC129" s="55"/>
      <c r="HD129" s="55"/>
    </row>
    <row r="130" spans="1:212" ht="12.75" customHeight="1" x14ac:dyDescent="0.2">
      <c r="A130" s="56" t="s">
        <v>241</v>
      </c>
      <c r="B130" s="66">
        <v>0.42733145012526236</v>
      </c>
      <c r="C130" s="57">
        <v>0.43344043408966459</v>
      </c>
      <c r="D130" s="57">
        <v>0.41904123630028528</v>
      </c>
      <c r="E130" s="65">
        <v>0.44925305237974961</v>
      </c>
      <c r="F130" s="57">
        <v>0.4496377136354468</v>
      </c>
      <c r="G130" s="57">
        <v>0.42387081595890519</v>
      </c>
      <c r="H130" s="57">
        <v>0.42972672855107941</v>
      </c>
      <c r="I130" s="57">
        <v>0.45480455434698208</v>
      </c>
      <c r="J130" s="57">
        <v>0.46426252724325645</v>
      </c>
      <c r="K130" s="45">
        <v>0.46391893712836613</v>
      </c>
      <c r="L130" s="45">
        <v>0.45485315491220768</v>
      </c>
      <c r="M130" s="57">
        <v>0.47610969200049597</v>
      </c>
      <c r="N130" s="57">
        <v>0.4896649679843838</v>
      </c>
      <c r="GZ130" s="55"/>
      <c r="HA130" s="55"/>
      <c r="HB130" s="55"/>
      <c r="HC130" s="55"/>
      <c r="HD130" s="55"/>
    </row>
    <row r="131" spans="1:212" ht="12.75" customHeight="1" x14ac:dyDescent="0.2">
      <c r="A131" s="56" t="s">
        <v>66</v>
      </c>
      <c r="B131" s="66">
        <v>0.33982822274563695</v>
      </c>
      <c r="C131" s="57">
        <v>0.35927490023671421</v>
      </c>
      <c r="D131" s="57">
        <v>0.30090183121389164</v>
      </c>
      <c r="E131" s="65">
        <v>0.37722231123011146</v>
      </c>
      <c r="F131" s="57">
        <v>0.36027583021523057</v>
      </c>
      <c r="G131" s="57">
        <v>0.35225529293618829</v>
      </c>
      <c r="H131" s="57">
        <v>0.3291637662584645</v>
      </c>
      <c r="I131" s="57">
        <v>0.36689524908158183</v>
      </c>
      <c r="J131" s="57">
        <v>0.36073443583060633</v>
      </c>
      <c r="K131" s="45">
        <v>0.38714300623144104</v>
      </c>
      <c r="L131" s="45">
        <v>0.44287796160822651</v>
      </c>
      <c r="M131" s="57">
        <v>0.40406125421357603</v>
      </c>
      <c r="N131" s="57">
        <v>0.48365986299760122</v>
      </c>
      <c r="GZ131" s="55"/>
      <c r="HA131" s="55"/>
      <c r="HB131" s="55"/>
      <c r="HC131" s="55"/>
      <c r="HD131" s="55"/>
    </row>
    <row r="132" spans="1:212" ht="12.75" customHeight="1" x14ac:dyDescent="0.2">
      <c r="A132" s="56" t="s">
        <v>179</v>
      </c>
      <c r="B132" s="66">
        <v>0.29925928744609021</v>
      </c>
      <c r="C132" s="57">
        <v>0.33291463606936128</v>
      </c>
      <c r="D132" s="57">
        <v>0.31394490952637349</v>
      </c>
      <c r="E132" s="65">
        <v>0.33842110612910115</v>
      </c>
      <c r="F132" s="57">
        <v>0.34972161617344666</v>
      </c>
      <c r="G132" s="57">
        <v>0.32912870304572928</v>
      </c>
      <c r="H132" s="57">
        <v>0.33685048359108111</v>
      </c>
      <c r="I132" s="57">
        <v>0.35352235891674388</v>
      </c>
      <c r="J132" s="57">
        <v>0.33174324955554496</v>
      </c>
      <c r="K132" s="45">
        <v>0.32339041429651078</v>
      </c>
      <c r="L132" s="45">
        <v>0.34439840934683436</v>
      </c>
      <c r="M132" s="57">
        <v>0.3596436251634374</v>
      </c>
      <c r="N132" s="57">
        <v>0.40669355838225818</v>
      </c>
      <c r="GZ132" s="55"/>
      <c r="HA132" s="55"/>
      <c r="HB132" s="55"/>
      <c r="HC132" s="55"/>
      <c r="HD132" s="55"/>
    </row>
    <row r="133" spans="1:212" ht="12.75" customHeight="1" x14ac:dyDescent="0.2">
      <c r="A133" s="56" t="s">
        <v>7086</v>
      </c>
      <c r="B133" s="66">
        <v>0.45062887905077076</v>
      </c>
      <c r="C133" s="57">
        <v>0.4584187905772491</v>
      </c>
      <c r="D133" s="57">
        <v>0.43703753608501544</v>
      </c>
      <c r="E133" s="65">
        <v>0.48131492767228456</v>
      </c>
      <c r="F133" s="57">
        <v>0.47784515512033221</v>
      </c>
      <c r="G133" s="57">
        <v>0.41761372884605236</v>
      </c>
      <c r="H133" s="57">
        <v>0.45374748664315734</v>
      </c>
      <c r="I133" s="57">
        <v>0.4447544624436654</v>
      </c>
      <c r="J133" s="57">
        <v>0.46135020384764758</v>
      </c>
      <c r="K133" s="45">
        <v>0.45533998499147665</v>
      </c>
      <c r="L133" s="45">
        <v>0.45275540007984422</v>
      </c>
      <c r="M133" s="57">
        <v>0.46248192224784246</v>
      </c>
      <c r="N133" s="57">
        <v>0.46265915029231602</v>
      </c>
      <c r="GZ133" s="55"/>
      <c r="HA133" s="55"/>
      <c r="HB133" s="55"/>
      <c r="HC133" s="55"/>
      <c r="HD133" s="55"/>
    </row>
    <row r="134" spans="1:212" ht="12.75" customHeight="1" x14ac:dyDescent="0.2">
      <c r="A134" s="56" t="s">
        <v>287</v>
      </c>
      <c r="B134" s="66">
        <v>0.39292767495123437</v>
      </c>
      <c r="C134" s="57">
        <v>0.43883474470847206</v>
      </c>
      <c r="D134" s="57">
        <v>0.42365346866833453</v>
      </c>
      <c r="E134" s="65">
        <v>0.42393069309175702</v>
      </c>
      <c r="F134" s="57">
        <v>0.4341861639150017</v>
      </c>
      <c r="G134" s="57">
        <v>0.43878993077403583</v>
      </c>
      <c r="H134" s="57">
        <v>0.41893270470331484</v>
      </c>
      <c r="I134" s="57">
        <v>0.46696093727780924</v>
      </c>
      <c r="J134" s="57">
        <v>0.42841217921999997</v>
      </c>
      <c r="K134" s="45">
        <v>0.47416365593254556</v>
      </c>
      <c r="L134" s="45">
        <v>0.47215569462137341</v>
      </c>
      <c r="M134" s="57">
        <v>0.45253906648768377</v>
      </c>
      <c r="N134" s="57">
        <v>0.48796240421236192</v>
      </c>
      <c r="GZ134" s="55"/>
      <c r="HA134" s="55"/>
      <c r="HB134" s="55"/>
      <c r="HC134" s="55"/>
      <c r="HD134" s="55"/>
    </row>
    <row r="135" spans="1:212" ht="12.75" customHeight="1" x14ac:dyDescent="0.2">
      <c r="A135" s="56" t="s">
        <v>7085</v>
      </c>
      <c r="B135" s="66">
        <v>0.38952003095752963</v>
      </c>
      <c r="C135" s="57">
        <v>0.38685898852064526</v>
      </c>
      <c r="D135" s="57">
        <v>0.33790976860662481</v>
      </c>
      <c r="E135" s="65">
        <v>0.38309988410597323</v>
      </c>
      <c r="F135" s="57">
        <v>0.35845989408827955</v>
      </c>
      <c r="G135" s="57">
        <v>0.31543281754592289</v>
      </c>
      <c r="H135" s="57">
        <v>0.28917799231758912</v>
      </c>
      <c r="I135" s="57">
        <v>0.32987456736576337</v>
      </c>
      <c r="J135" s="57">
        <v>0.32063276441908889</v>
      </c>
      <c r="K135" s="45">
        <v>0.35263844876630251</v>
      </c>
      <c r="L135" s="45">
        <v>0.30141035627172102</v>
      </c>
      <c r="M135" s="57">
        <v>0.40741931980246265</v>
      </c>
      <c r="N135" s="57">
        <v>0.39505112482676863</v>
      </c>
      <c r="GZ135" s="55"/>
      <c r="HA135" s="55"/>
      <c r="HB135" s="55"/>
      <c r="HC135" s="55"/>
      <c r="HD135" s="55"/>
    </row>
    <row r="136" spans="1:212" ht="12.75" customHeight="1" x14ac:dyDescent="0.2">
      <c r="A136" s="56" t="s">
        <v>172</v>
      </c>
      <c r="B136" s="66">
        <v>0.36294944333455037</v>
      </c>
      <c r="C136" s="57">
        <v>0.39767862286028366</v>
      </c>
      <c r="D136" s="57">
        <v>0.41265748097513461</v>
      </c>
      <c r="E136" s="65">
        <v>0.39431736852059152</v>
      </c>
      <c r="F136" s="57">
        <v>0.38304614403595039</v>
      </c>
      <c r="G136" s="57">
        <v>0.38062393583486487</v>
      </c>
      <c r="H136" s="57">
        <v>0.40763917380945758</v>
      </c>
      <c r="I136" s="57">
        <v>0.4162694680825576</v>
      </c>
      <c r="J136" s="57">
        <v>0.39559177205568297</v>
      </c>
      <c r="K136" s="45">
        <v>0.41134556353269319</v>
      </c>
      <c r="L136" s="45">
        <v>0.40699950247876127</v>
      </c>
      <c r="M136" s="57">
        <v>0.43212029801771096</v>
      </c>
      <c r="N136" s="57">
        <v>0.30802426148926965</v>
      </c>
      <c r="GZ136" s="55"/>
      <c r="HA136" s="55"/>
      <c r="HB136" s="55"/>
      <c r="HC136" s="55"/>
      <c r="HD136" s="55"/>
    </row>
    <row r="137" spans="1:212" ht="12.75" customHeight="1" x14ac:dyDescent="0.2">
      <c r="A137" s="56" t="s">
        <v>263</v>
      </c>
      <c r="B137" s="66">
        <v>0.41658985957851263</v>
      </c>
      <c r="C137" s="57">
        <v>0.40851180999361592</v>
      </c>
      <c r="D137" s="57">
        <v>0.44084661185097085</v>
      </c>
      <c r="E137" s="65">
        <v>0.42611893747213819</v>
      </c>
      <c r="F137" s="57">
        <v>0.4356968519369776</v>
      </c>
      <c r="G137" s="57">
        <v>0.37556505737509532</v>
      </c>
      <c r="H137" s="57">
        <v>0.40077604529344657</v>
      </c>
      <c r="I137" s="57">
        <v>0.41712724864491002</v>
      </c>
      <c r="J137" s="57">
        <v>0.3700799974277536</v>
      </c>
      <c r="K137" s="45">
        <v>0.41539987433312314</v>
      </c>
      <c r="L137" s="45">
        <v>0.41745103504349268</v>
      </c>
      <c r="M137" s="57">
        <v>0.41018132085748504</v>
      </c>
      <c r="N137" s="57">
        <v>0.26876222176659392</v>
      </c>
      <c r="GZ137" s="55"/>
      <c r="HA137" s="55"/>
      <c r="HB137" s="55"/>
      <c r="HC137" s="55"/>
      <c r="HD137" s="55"/>
    </row>
    <row r="138" spans="1:212" ht="12.75" customHeight="1" x14ac:dyDescent="0.2">
      <c r="A138" s="56" t="s">
        <v>92</v>
      </c>
      <c r="B138" s="66">
        <v>0.37522133737479446</v>
      </c>
      <c r="C138" s="57">
        <v>0.43108968263441683</v>
      </c>
      <c r="D138" s="57">
        <v>0.43125430546148513</v>
      </c>
      <c r="E138" s="65">
        <v>0.44904166593237882</v>
      </c>
      <c r="F138" s="57">
        <v>0.42286262334683228</v>
      </c>
      <c r="G138" s="57">
        <v>0.41635903463955115</v>
      </c>
      <c r="H138" s="57">
        <v>0.41336272412248515</v>
      </c>
      <c r="I138" s="57">
        <v>0.42007544835108551</v>
      </c>
      <c r="J138" s="57">
        <v>0.39152341284021958</v>
      </c>
      <c r="K138" s="45">
        <v>0.4508667235583822</v>
      </c>
      <c r="L138" s="45">
        <v>0.4284273794626845</v>
      </c>
      <c r="M138" s="57">
        <v>0.31870720660865837</v>
      </c>
      <c r="N138" s="57">
        <v>0.54269246292209705</v>
      </c>
      <c r="GZ138" s="55"/>
      <c r="HA138" s="55"/>
      <c r="HB138" s="55"/>
      <c r="HC138" s="55"/>
      <c r="HD138" s="55"/>
    </row>
    <row r="139" spans="1:212" ht="12.75" customHeight="1" x14ac:dyDescent="0.2">
      <c r="A139" s="56" t="s">
        <v>345</v>
      </c>
      <c r="B139" s="66">
        <v>0.38481721855002177</v>
      </c>
      <c r="C139" s="57">
        <v>0.37878792584257759</v>
      </c>
      <c r="D139" s="57">
        <v>0.40534987719686705</v>
      </c>
      <c r="E139" s="65">
        <v>0.39977830528835467</v>
      </c>
      <c r="F139" s="57">
        <v>0.42323951481864652</v>
      </c>
      <c r="G139" s="57">
        <v>0.38863790870410708</v>
      </c>
      <c r="H139" s="57">
        <v>0.38559053640901281</v>
      </c>
      <c r="I139" s="57">
        <v>0.44064150564002974</v>
      </c>
      <c r="J139" s="57">
        <v>0.39984968187490105</v>
      </c>
      <c r="K139" s="45">
        <v>0.46584148277405335</v>
      </c>
      <c r="L139" s="45">
        <v>0.38387139016265537</v>
      </c>
      <c r="M139" s="57">
        <v>0.47725146105970506</v>
      </c>
      <c r="N139" s="57">
        <v>0.50045942196426318</v>
      </c>
      <c r="GZ139" s="55"/>
      <c r="HA139" s="55"/>
      <c r="HB139" s="55"/>
      <c r="HC139" s="55"/>
      <c r="HD139" s="55"/>
    </row>
    <row r="140" spans="1:212" ht="12.75" customHeight="1" x14ac:dyDescent="0.2">
      <c r="A140" s="56" t="s">
        <v>55</v>
      </c>
      <c r="B140" s="66">
        <v>0.5709839501631222</v>
      </c>
      <c r="C140" s="57">
        <v>0.59050158453161927</v>
      </c>
      <c r="D140" s="57">
        <v>0.58539143155043782</v>
      </c>
      <c r="E140" s="65">
        <v>0.6248780884380214</v>
      </c>
      <c r="F140" s="57">
        <v>0.60106930240128209</v>
      </c>
      <c r="G140" s="57">
        <v>0.59528982188259516</v>
      </c>
      <c r="H140" s="57">
        <v>0.60641533189590813</v>
      </c>
      <c r="I140" s="57">
        <v>0.60212625109038542</v>
      </c>
      <c r="J140" s="57">
        <v>0.60660723241286774</v>
      </c>
      <c r="K140" s="45">
        <v>0.62340768029082194</v>
      </c>
      <c r="L140" s="45">
        <v>0.58908084756777745</v>
      </c>
      <c r="M140" s="57">
        <v>0.63210580895735213</v>
      </c>
      <c r="N140" s="57">
        <v>0.65639033117025125</v>
      </c>
      <c r="GZ140" s="55"/>
      <c r="HA140" s="55"/>
      <c r="HB140" s="55"/>
      <c r="HC140" s="55"/>
      <c r="HD140" s="55"/>
    </row>
    <row r="141" spans="1:212" ht="12.75" customHeight="1" x14ac:dyDescent="0.2">
      <c r="A141" s="56" t="s">
        <v>397</v>
      </c>
      <c r="B141" s="66">
        <v>0.35081395499738643</v>
      </c>
      <c r="C141" s="57">
        <v>0.33280007574317538</v>
      </c>
      <c r="D141" s="57">
        <v>0.33398140585158531</v>
      </c>
      <c r="E141" s="65">
        <v>0.382550654129719</v>
      </c>
      <c r="F141" s="57">
        <v>0.344764021233813</v>
      </c>
      <c r="G141" s="57">
        <v>0.38721882505029842</v>
      </c>
      <c r="H141" s="57">
        <v>0.33509349382746012</v>
      </c>
      <c r="I141" s="57">
        <v>0.3689787557853596</v>
      </c>
      <c r="J141" s="57">
        <v>0.32018534593034609</v>
      </c>
      <c r="K141" s="45">
        <v>0.34086149523429415</v>
      </c>
      <c r="L141" s="45">
        <v>0.31351368087041143</v>
      </c>
      <c r="M141" s="57">
        <v>0.33676785336338383</v>
      </c>
      <c r="N141" s="57">
        <v>0.28092967770807792</v>
      </c>
      <c r="GZ141" s="55"/>
      <c r="HA141" s="55"/>
      <c r="HB141" s="55"/>
      <c r="HC141" s="55"/>
      <c r="HD141" s="55"/>
    </row>
    <row r="142" spans="1:212" ht="12.75" customHeight="1" x14ac:dyDescent="0.2">
      <c r="A142" s="56" t="s">
        <v>398</v>
      </c>
      <c r="B142" s="66">
        <v>0.41762180848112812</v>
      </c>
      <c r="C142" s="57">
        <v>0.4453793066955018</v>
      </c>
      <c r="D142" s="57">
        <v>0.4191880333673037</v>
      </c>
      <c r="E142" s="65">
        <v>0.44571899950264804</v>
      </c>
      <c r="F142" s="57">
        <v>0.47200081891272383</v>
      </c>
      <c r="G142" s="57">
        <v>0.42727018335745853</v>
      </c>
      <c r="H142" s="57">
        <v>0.43310302693920277</v>
      </c>
      <c r="I142" s="57">
        <v>0.45605820083972243</v>
      </c>
      <c r="J142" s="57">
        <v>0.4546249120778077</v>
      </c>
      <c r="K142" s="45">
        <v>0.48048272572681811</v>
      </c>
      <c r="L142" s="45">
        <v>0.41292567021735471</v>
      </c>
      <c r="M142" s="57">
        <v>0.47722450058489968</v>
      </c>
      <c r="N142" s="57">
        <v>0.474043570141916</v>
      </c>
      <c r="GZ142" s="55"/>
      <c r="HA142" s="55"/>
      <c r="HB142" s="55"/>
      <c r="HC142" s="55"/>
      <c r="HD142" s="55"/>
    </row>
    <row r="143" spans="1:212" ht="12.75" customHeight="1" x14ac:dyDescent="0.2">
      <c r="A143" s="56" t="s">
        <v>386</v>
      </c>
      <c r="B143" s="66">
        <v>0.42846233371463627</v>
      </c>
      <c r="C143" s="57">
        <v>0.47022588341053045</v>
      </c>
      <c r="D143" s="57">
        <v>0.37651213241942411</v>
      </c>
      <c r="E143" s="65">
        <v>0.44532003344693688</v>
      </c>
      <c r="F143" s="57">
        <v>0.41720573708397923</v>
      </c>
      <c r="G143" s="57">
        <v>0.41120969600816809</v>
      </c>
      <c r="H143" s="57">
        <v>0.39140489810565271</v>
      </c>
      <c r="I143" s="57">
        <v>0.46237324919876605</v>
      </c>
      <c r="J143" s="57">
        <v>0.4557244970991407</v>
      </c>
      <c r="K143" s="45">
        <v>0.4605560978236044</v>
      </c>
      <c r="L143" s="45">
        <v>0.42812562323115999</v>
      </c>
      <c r="M143" s="57">
        <v>0.48399768207308785</v>
      </c>
      <c r="N143" s="57">
        <v>0.54088301856154952</v>
      </c>
      <c r="GZ143" s="55"/>
      <c r="HA143" s="55"/>
      <c r="HB143" s="55"/>
      <c r="HC143" s="55"/>
      <c r="HD143" s="55"/>
    </row>
    <row r="144" spans="1:212" ht="12.75" customHeight="1" x14ac:dyDescent="0.2">
      <c r="A144" s="56" t="s">
        <v>134</v>
      </c>
      <c r="B144" s="66">
        <v>0.46807670378068955</v>
      </c>
      <c r="C144" s="57">
        <v>0.43636328366892924</v>
      </c>
      <c r="D144" s="57">
        <v>0.41059788982099443</v>
      </c>
      <c r="E144" s="65">
        <v>0.44023581944529061</v>
      </c>
      <c r="F144" s="57">
        <v>0.44659947098719255</v>
      </c>
      <c r="G144" s="57">
        <v>0.41094770794453234</v>
      </c>
      <c r="H144" s="57">
        <v>0.42071551998935308</v>
      </c>
      <c r="I144" s="57">
        <v>0.44485900863009181</v>
      </c>
      <c r="J144" s="57">
        <v>0.43211333616062692</v>
      </c>
      <c r="K144" s="45">
        <v>0.37029626197102672</v>
      </c>
      <c r="L144" s="45">
        <v>0.44077415269978126</v>
      </c>
      <c r="M144" s="57">
        <v>0.44954025393525943</v>
      </c>
      <c r="N144" s="57">
        <v>0.48266689550387565</v>
      </c>
      <c r="GZ144" s="55"/>
      <c r="HA144" s="55"/>
      <c r="HB144" s="55"/>
      <c r="HC144" s="55"/>
      <c r="HD144" s="55"/>
    </row>
    <row r="145" spans="1:212" ht="12.75" customHeight="1" x14ac:dyDescent="0.2">
      <c r="A145" s="56" t="s">
        <v>7084</v>
      </c>
      <c r="B145" s="66">
        <v>0.39817662055729691</v>
      </c>
      <c r="C145" s="57">
        <v>0.41505014344259195</v>
      </c>
      <c r="D145" s="57">
        <v>0.42612081564054016</v>
      </c>
      <c r="E145" s="65">
        <v>0.44937538348478512</v>
      </c>
      <c r="F145" s="57">
        <v>0.46673059898183028</v>
      </c>
      <c r="G145" s="57">
        <v>0.40787391733816225</v>
      </c>
      <c r="H145" s="57">
        <v>0.41634594827361809</v>
      </c>
      <c r="I145" s="57">
        <v>0.42297564884123168</v>
      </c>
      <c r="J145" s="57">
        <v>0.41991059721916946</v>
      </c>
      <c r="K145" s="45">
        <v>0.42467585100354077</v>
      </c>
      <c r="L145" s="45">
        <v>0.42786904590788927</v>
      </c>
      <c r="M145" s="57">
        <v>0.43130731140717177</v>
      </c>
      <c r="N145" s="57">
        <v>0.50521893608461421</v>
      </c>
      <c r="GZ145" s="55"/>
      <c r="HA145" s="55"/>
      <c r="HB145" s="55"/>
      <c r="HC145" s="55"/>
      <c r="HD145" s="55"/>
    </row>
    <row r="146" spans="1:212" ht="12.75" customHeight="1" x14ac:dyDescent="0.2">
      <c r="A146" s="56" t="s">
        <v>111</v>
      </c>
      <c r="B146" s="66">
        <v>0.4799905704250691</v>
      </c>
      <c r="C146" s="57">
        <v>0.49948603091452015</v>
      </c>
      <c r="D146" s="57">
        <v>0.487234244872223</v>
      </c>
      <c r="E146" s="65">
        <v>0.51586032691890904</v>
      </c>
      <c r="F146" s="57">
        <v>0.52603956544041952</v>
      </c>
      <c r="G146" s="57">
        <v>0.48264689294355645</v>
      </c>
      <c r="H146" s="57">
        <v>0.48755308282977539</v>
      </c>
      <c r="I146" s="57">
        <v>0.52640834868278363</v>
      </c>
      <c r="J146" s="57">
        <v>0.50709972418620686</v>
      </c>
      <c r="K146" s="45">
        <v>0.51674362276288943</v>
      </c>
      <c r="L146" s="45">
        <v>0.50207268984841857</v>
      </c>
      <c r="M146" s="57">
        <v>0.54764851390071856</v>
      </c>
      <c r="N146" s="57">
        <v>0.60382917551419857</v>
      </c>
      <c r="GZ146" s="55"/>
      <c r="HA146" s="55"/>
      <c r="HB146" s="55"/>
      <c r="HC146" s="55"/>
      <c r="HD146" s="55"/>
    </row>
    <row r="147" spans="1:212" ht="12.75" customHeight="1" x14ac:dyDescent="0.2">
      <c r="A147" s="56" t="s">
        <v>299</v>
      </c>
      <c r="B147" s="66">
        <v>0.39721661513204998</v>
      </c>
      <c r="C147" s="57">
        <v>0.38062486664626499</v>
      </c>
      <c r="D147" s="57">
        <v>0.39335571620147075</v>
      </c>
      <c r="E147" s="65">
        <v>0.39581676359325735</v>
      </c>
      <c r="F147" s="57">
        <v>0.39873726306899926</v>
      </c>
      <c r="G147" s="57">
        <v>0.38280659758044422</v>
      </c>
      <c r="H147" s="57">
        <v>0.39470203582438762</v>
      </c>
      <c r="I147" s="57">
        <v>0.41206109083741699</v>
      </c>
      <c r="J147" s="57">
        <v>0.39478801189801199</v>
      </c>
      <c r="K147" s="45">
        <v>0.39509274311163928</v>
      </c>
      <c r="L147" s="45">
        <v>0.40180417101489158</v>
      </c>
      <c r="M147" s="57">
        <v>0.40644178257936048</v>
      </c>
      <c r="N147" s="57">
        <v>0.44029084348174474</v>
      </c>
      <c r="GZ147" s="55"/>
      <c r="HA147" s="55"/>
      <c r="HB147" s="55"/>
      <c r="HC147" s="55"/>
      <c r="HD147" s="55"/>
    </row>
    <row r="148" spans="1:212" ht="12.75" customHeight="1" x14ac:dyDescent="0.2">
      <c r="A148" s="56" t="s">
        <v>189</v>
      </c>
      <c r="B148" s="66">
        <v>0.44609096775865975</v>
      </c>
      <c r="C148" s="57">
        <v>0.45330772224055388</v>
      </c>
      <c r="D148" s="57">
        <v>0.45632722590795699</v>
      </c>
      <c r="E148" s="65">
        <v>0.41711510335081631</v>
      </c>
      <c r="F148" s="57">
        <v>0.5130037987652416</v>
      </c>
      <c r="G148" s="57">
        <v>0.45489844245307315</v>
      </c>
      <c r="H148" s="57">
        <v>0.48240601957085216</v>
      </c>
      <c r="I148" s="57">
        <v>0.514792181913453</v>
      </c>
      <c r="J148" s="57">
        <v>0.49073028135436292</v>
      </c>
      <c r="K148" s="45">
        <v>0.56896521208372131</v>
      </c>
      <c r="L148" s="45">
        <v>0.545203759767526</v>
      </c>
      <c r="M148" s="57">
        <v>0.57439243284031094</v>
      </c>
      <c r="N148" s="57">
        <v>0.52016252254665996</v>
      </c>
      <c r="GZ148" s="55"/>
      <c r="HA148" s="55"/>
      <c r="HB148" s="55"/>
      <c r="HC148" s="55"/>
      <c r="HD148" s="55"/>
    </row>
    <row r="149" spans="1:212" ht="12.75" customHeight="1" x14ac:dyDescent="0.2">
      <c r="A149" s="56" t="s">
        <v>346</v>
      </c>
      <c r="B149" s="66">
        <v>0.34469850657529538</v>
      </c>
      <c r="C149" s="57">
        <v>0.44311786230210559</v>
      </c>
      <c r="D149" s="57">
        <v>0.34491674952324436</v>
      </c>
      <c r="E149" s="65">
        <v>0.43907855398363022</v>
      </c>
      <c r="F149" s="57">
        <v>0.38147442842850843</v>
      </c>
      <c r="G149" s="57">
        <v>0.40730154777020205</v>
      </c>
      <c r="H149" s="57">
        <v>0.32997659503140564</v>
      </c>
      <c r="I149" s="57">
        <v>0.40210763634915453</v>
      </c>
      <c r="J149" s="57">
        <v>0.38572244738171962</v>
      </c>
      <c r="K149" s="45">
        <v>0.40252403877193721</v>
      </c>
      <c r="L149" s="45">
        <v>0.36737077265096252</v>
      </c>
      <c r="M149" s="57">
        <v>0.41757658265108616</v>
      </c>
      <c r="N149" s="57">
        <v>0.48025845062644262</v>
      </c>
      <c r="GZ149" s="55"/>
      <c r="HA149" s="55"/>
      <c r="HB149" s="55"/>
      <c r="HC149" s="55"/>
      <c r="HD149" s="55"/>
    </row>
    <row r="150" spans="1:212" ht="12.75" customHeight="1" x14ac:dyDescent="0.2">
      <c r="A150" s="56" t="s">
        <v>48</v>
      </c>
      <c r="B150" s="66">
        <v>0.45410062850398181</v>
      </c>
      <c r="C150" s="57">
        <v>0.37241640889526367</v>
      </c>
      <c r="D150" s="57">
        <v>0.37031761258638779</v>
      </c>
      <c r="E150" s="65">
        <v>0.3774808681387557</v>
      </c>
      <c r="F150" s="57">
        <v>0.41502766953729919</v>
      </c>
      <c r="G150" s="57">
        <v>0.36307690458060571</v>
      </c>
      <c r="H150" s="57">
        <v>0.36148665602439495</v>
      </c>
      <c r="I150" s="57">
        <v>0.39871613626720509</v>
      </c>
      <c r="J150" s="57">
        <v>0.39374437575524501</v>
      </c>
      <c r="K150" s="45">
        <v>0.439305680361954</v>
      </c>
      <c r="L150" s="45">
        <v>0.38553413652169072</v>
      </c>
      <c r="M150" s="57">
        <v>0.41689558832320456</v>
      </c>
      <c r="N150" s="57">
        <v>0.43706707094794933</v>
      </c>
      <c r="GZ150" s="55"/>
      <c r="HA150" s="55"/>
      <c r="HB150" s="55"/>
      <c r="HC150" s="55"/>
      <c r="HD150" s="55"/>
    </row>
    <row r="151" spans="1:212" ht="12.75" customHeight="1" x14ac:dyDescent="0.2">
      <c r="A151" s="56" t="s">
        <v>56</v>
      </c>
      <c r="B151" s="66">
        <v>0.42652385808362825</v>
      </c>
      <c r="C151" s="57">
        <v>0.44072878296455831</v>
      </c>
      <c r="D151" s="57">
        <v>0.42655718925705494</v>
      </c>
      <c r="E151" s="65">
        <v>0.46804420328541269</v>
      </c>
      <c r="F151" s="57">
        <v>0.46507159443122525</v>
      </c>
      <c r="G151" s="57">
        <v>0.43201710237631114</v>
      </c>
      <c r="H151" s="57">
        <v>0.44243108028019301</v>
      </c>
      <c r="I151" s="57">
        <v>0.49128953736381015</v>
      </c>
      <c r="J151" s="57">
        <v>0.45667612925646872</v>
      </c>
      <c r="K151" s="45">
        <v>0.47047061494541054</v>
      </c>
      <c r="L151" s="45">
        <v>0.49091335035750178</v>
      </c>
      <c r="M151" s="57">
        <v>0.49800759598468403</v>
      </c>
      <c r="N151" s="57">
        <v>0.47117049695600677</v>
      </c>
      <c r="GZ151" s="55"/>
      <c r="HA151" s="55"/>
      <c r="HB151" s="55"/>
      <c r="HC151" s="55"/>
      <c r="HD151" s="55"/>
    </row>
    <row r="152" spans="1:212" ht="12.75" customHeight="1" x14ac:dyDescent="0.2">
      <c r="A152" s="56" t="s">
        <v>57</v>
      </c>
      <c r="B152" s="66">
        <v>0.35574941189431203</v>
      </c>
      <c r="C152" s="57">
        <v>0.3663580882714727</v>
      </c>
      <c r="D152" s="57">
        <v>0.3611705700229822</v>
      </c>
      <c r="E152" s="65">
        <v>0.36106773283178079</v>
      </c>
      <c r="F152" s="57">
        <v>0.38989017369639878</v>
      </c>
      <c r="G152" s="57">
        <v>0.35143224225307484</v>
      </c>
      <c r="H152" s="57">
        <v>0.32911797224951272</v>
      </c>
      <c r="I152" s="57">
        <v>0.38178146251339773</v>
      </c>
      <c r="J152" s="57">
        <v>0.36399529105873851</v>
      </c>
      <c r="K152" s="45">
        <v>0.39777197693977911</v>
      </c>
      <c r="L152" s="45">
        <v>0.36473396982112744</v>
      </c>
      <c r="M152" s="57">
        <v>0.4137635562575816</v>
      </c>
      <c r="N152" s="57">
        <v>0.46151941571101623</v>
      </c>
      <c r="GZ152" s="55"/>
      <c r="HA152" s="55"/>
      <c r="HB152" s="55"/>
      <c r="HC152" s="55"/>
      <c r="HD152" s="55"/>
    </row>
    <row r="153" spans="1:212" ht="12.75" customHeight="1" x14ac:dyDescent="0.2">
      <c r="A153" s="56" t="s">
        <v>228</v>
      </c>
      <c r="B153" s="66">
        <v>0.38337418266148382</v>
      </c>
      <c r="C153" s="57">
        <v>0.37985682382391611</v>
      </c>
      <c r="D153" s="57">
        <v>0.3568620612498829</v>
      </c>
      <c r="E153" s="65">
        <v>0.39006860595279896</v>
      </c>
      <c r="F153" s="57">
        <v>0.36738688507738154</v>
      </c>
      <c r="G153" s="57">
        <v>0.34954660338391302</v>
      </c>
      <c r="H153" s="57">
        <v>0.35297737824895681</v>
      </c>
      <c r="I153" s="57">
        <v>0.39334904658974257</v>
      </c>
      <c r="J153" s="57">
        <v>0.36305720928425417</v>
      </c>
      <c r="K153" s="45">
        <v>0.39534417233057473</v>
      </c>
      <c r="L153" s="45">
        <v>0.35663822366690223</v>
      </c>
      <c r="M153" s="57">
        <v>0.36668495014413766</v>
      </c>
      <c r="N153" s="57">
        <v>0.41451581536854587</v>
      </c>
      <c r="GZ153" s="55"/>
      <c r="HA153" s="55"/>
      <c r="HB153" s="55"/>
      <c r="HC153" s="55"/>
      <c r="HD153" s="55"/>
    </row>
    <row r="154" spans="1:212" ht="12.75" customHeight="1" x14ac:dyDescent="0.2">
      <c r="A154" s="56" t="s">
        <v>211</v>
      </c>
      <c r="B154" s="66">
        <v>0.45197379032756996</v>
      </c>
      <c r="C154" s="57">
        <v>0.4761436386661162</v>
      </c>
      <c r="D154" s="57">
        <v>0.49077223522406782</v>
      </c>
      <c r="E154" s="65">
        <v>0.51335409951277411</v>
      </c>
      <c r="F154" s="57">
        <v>0.51149205098494044</v>
      </c>
      <c r="G154" s="57">
        <v>0.53552401668168292</v>
      </c>
      <c r="H154" s="57">
        <v>0.47575900905172602</v>
      </c>
      <c r="I154" s="57">
        <v>0.50525279873492623</v>
      </c>
      <c r="J154" s="57">
        <v>0.51337767850015603</v>
      </c>
      <c r="K154" s="45">
        <v>0.50234188730794727</v>
      </c>
      <c r="L154" s="45">
        <v>0.49447801527482116</v>
      </c>
      <c r="M154" s="57">
        <v>0.50928199515740435</v>
      </c>
      <c r="N154" s="57">
        <v>0.55020482004357485</v>
      </c>
      <c r="GZ154" s="55"/>
      <c r="HA154" s="55"/>
      <c r="HB154" s="55"/>
      <c r="HC154" s="55"/>
      <c r="HD154" s="55"/>
    </row>
    <row r="155" spans="1:212" ht="12.75" customHeight="1" x14ac:dyDescent="0.2">
      <c r="A155" s="56" t="s">
        <v>49</v>
      </c>
      <c r="B155" s="66">
        <v>0.37774272273414294</v>
      </c>
      <c r="C155" s="57">
        <v>0.4130339271305552</v>
      </c>
      <c r="D155" s="57">
        <v>0.39071658434067608</v>
      </c>
      <c r="E155" s="65">
        <v>0.40295917066774073</v>
      </c>
      <c r="F155" s="57">
        <v>0.39744160328431966</v>
      </c>
      <c r="G155" s="57">
        <v>0.37934144824973354</v>
      </c>
      <c r="H155" s="57">
        <v>0.40053308893119377</v>
      </c>
      <c r="I155" s="57">
        <v>0.41272089233343356</v>
      </c>
      <c r="J155" s="57">
        <v>0.39639120091108815</v>
      </c>
      <c r="K155" s="45">
        <v>0.41566544350246093</v>
      </c>
      <c r="L155" s="45">
        <v>0.39469238084994229</v>
      </c>
      <c r="M155" s="57">
        <v>0.42737409102304813</v>
      </c>
      <c r="N155" s="57">
        <v>0.39159432323667565</v>
      </c>
      <c r="GZ155" s="55"/>
      <c r="HA155" s="55"/>
      <c r="HB155" s="55"/>
      <c r="HC155" s="55"/>
      <c r="HD155" s="55"/>
    </row>
    <row r="156" spans="1:212" ht="12.75" customHeight="1" x14ac:dyDescent="0.2">
      <c r="A156" s="56" t="s">
        <v>280</v>
      </c>
      <c r="B156" s="66">
        <v>0.40225921260620917</v>
      </c>
      <c r="C156" s="57">
        <v>0.4117738195311178</v>
      </c>
      <c r="D156" s="57">
        <v>0.41606894471454486</v>
      </c>
      <c r="E156" s="65">
        <v>0.47920427883694627</v>
      </c>
      <c r="F156" s="57">
        <v>0.40749174704465829</v>
      </c>
      <c r="G156" s="57">
        <v>0.41440630621634328</v>
      </c>
      <c r="H156" s="57">
        <v>0.38612789434404815</v>
      </c>
      <c r="I156" s="57">
        <v>0.39366232816666552</v>
      </c>
      <c r="J156" s="57">
        <v>0.39044268566217921</v>
      </c>
      <c r="K156" s="45">
        <v>0.39026073429382457</v>
      </c>
      <c r="L156" s="45">
        <v>0.3970492308923933</v>
      </c>
      <c r="M156" s="57">
        <v>0.48403769606030445</v>
      </c>
      <c r="N156" s="57">
        <v>0.51997343267935081</v>
      </c>
      <c r="GZ156" s="55"/>
      <c r="HA156" s="55"/>
      <c r="HB156" s="55"/>
      <c r="HC156" s="55"/>
      <c r="HD156" s="55"/>
    </row>
    <row r="157" spans="1:212" ht="12.75" customHeight="1" x14ac:dyDescent="0.2">
      <c r="A157" s="56" t="s">
        <v>334</v>
      </c>
      <c r="B157" s="66">
        <v>0.40935232230053825</v>
      </c>
      <c r="C157" s="57">
        <v>0.40884115962541029</v>
      </c>
      <c r="D157" s="57">
        <v>0.39303802762859341</v>
      </c>
      <c r="E157" s="65">
        <v>0.39586516685036038</v>
      </c>
      <c r="F157" s="57">
        <v>0.40312612221232585</v>
      </c>
      <c r="G157" s="57">
        <v>0.38037053964703216</v>
      </c>
      <c r="H157" s="57">
        <v>0.39307643374193113</v>
      </c>
      <c r="I157" s="57">
        <v>0.4319934683762337</v>
      </c>
      <c r="J157" s="57">
        <v>0.38375288949281972</v>
      </c>
      <c r="K157" s="45">
        <v>0.4217437566912583</v>
      </c>
      <c r="L157" s="45">
        <v>0.37952202241389926</v>
      </c>
      <c r="M157" s="57">
        <v>0.42829195217173721</v>
      </c>
      <c r="N157" s="57">
        <v>0.47062315439513447</v>
      </c>
      <c r="GZ157" s="55"/>
      <c r="HA157" s="55"/>
      <c r="HB157" s="55"/>
      <c r="HC157" s="55"/>
      <c r="HD157" s="55"/>
    </row>
    <row r="158" spans="1:212" ht="12.75" customHeight="1" x14ac:dyDescent="0.2">
      <c r="A158" s="56" t="s">
        <v>58</v>
      </c>
      <c r="B158" s="66">
        <v>0.46870050310087619</v>
      </c>
      <c r="C158" s="57">
        <v>0.46826116186137723</v>
      </c>
      <c r="D158" s="57">
        <v>0.49298390238595335</v>
      </c>
      <c r="E158" s="65">
        <v>0.50694287015241724</v>
      </c>
      <c r="F158" s="57">
        <v>0.49271146274759076</v>
      </c>
      <c r="G158" s="57">
        <v>0.45445565810478222</v>
      </c>
      <c r="H158" s="57">
        <v>0.47662616024916105</v>
      </c>
      <c r="I158" s="57">
        <v>0.48946660062826614</v>
      </c>
      <c r="J158" s="57">
        <v>0.46756265646926876</v>
      </c>
      <c r="K158" s="45">
        <v>0.48104051101591905</v>
      </c>
      <c r="L158" s="45">
        <v>0.45667979714140011</v>
      </c>
      <c r="M158" s="57">
        <v>0.48422803692876543</v>
      </c>
      <c r="N158" s="57">
        <v>0.51238466969128527</v>
      </c>
      <c r="GZ158" s="55"/>
      <c r="HA158" s="55"/>
      <c r="HB158" s="55"/>
      <c r="HC158" s="55"/>
      <c r="HD158" s="55"/>
    </row>
    <row r="159" spans="1:212" ht="12.75" customHeight="1" x14ac:dyDescent="0.2">
      <c r="A159" s="56" t="s">
        <v>72</v>
      </c>
      <c r="B159" s="66">
        <v>0.37551693271469677</v>
      </c>
      <c r="C159" s="57">
        <v>0.38283586114691193</v>
      </c>
      <c r="D159" s="57">
        <v>0.40149036613761813</v>
      </c>
      <c r="E159" s="65">
        <v>0.4178372696593074</v>
      </c>
      <c r="F159" s="57">
        <v>0.42367276893025002</v>
      </c>
      <c r="G159" s="57">
        <v>0.40045262890732441</v>
      </c>
      <c r="H159" s="57">
        <v>0.39809089824326038</v>
      </c>
      <c r="I159" s="57">
        <v>0.43088860897853504</v>
      </c>
      <c r="J159" s="57">
        <v>0.42302645511020676</v>
      </c>
      <c r="K159" s="45">
        <v>0.44122584180873337</v>
      </c>
      <c r="L159" s="45">
        <v>0.41309498928960364</v>
      </c>
      <c r="M159" s="57">
        <v>0.448052814537788</v>
      </c>
      <c r="N159" s="57">
        <v>0.46896956546745033</v>
      </c>
      <c r="GZ159" s="55"/>
      <c r="HA159" s="55"/>
      <c r="HB159" s="55"/>
      <c r="HC159" s="55"/>
      <c r="HD159" s="55"/>
    </row>
    <row r="160" spans="1:212" ht="12.75" customHeight="1" x14ac:dyDescent="0.2">
      <c r="A160" s="56" t="s">
        <v>190</v>
      </c>
      <c r="B160" s="66">
        <v>0.31198603728289936</v>
      </c>
      <c r="C160" s="57">
        <v>0.38531114023500646</v>
      </c>
      <c r="D160" s="57">
        <v>0.36570067556280395</v>
      </c>
      <c r="E160" s="65">
        <v>0.3815073073314777</v>
      </c>
      <c r="F160" s="57">
        <v>0.38311573827585493</v>
      </c>
      <c r="G160" s="57">
        <v>0.37263455607156404</v>
      </c>
      <c r="H160" s="57">
        <v>0.36744278435107708</v>
      </c>
      <c r="I160" s="57">
        <v>0.39424345678908007</v>
      </c>
      <c r="J160" s="57">
        <v>0.3683022786434848</v>
      </c>
      <c r="K160" s="45">
        <v>0.41591363761321809</v>
      </c>
      <c r="L160" s="45">
        <v>0.40443218107166506</v>
      </c>
      <c r="M160" s="57">
        <v>0.3919971141407862</v>
      </c>
      <c r="N160" s="57">
        <v>0.4091433977264522</v>
      </c>
      <c r="GZ160" s="55"/>
      <c r="HA160" s="55"/>
      <c r="HB160" s="55"/>
      <c r="HC160" s="55"/>
      <c r="HD160" s="55"/>
    </row>
    <row r="161" spans="1:212" ht="12.75" customHeight="1" x14ac:dyDescent="0.2">
      <c r="A161" s="56" t="s">
        <v>307</v>
      </c>
      <c r="B161" s="66">
        <v>0.46517939694746052</v>
      </c>
      <c r="C161" s="57">
        <v>0.48927654140699672</v>
      </c>
      <c r="D161" s="57">
        <v>0.429301462038367</v>
      </c>
      <c r="E161" s="65">
        <v>0.50801386467598852</v>
      </c>
      <c r="F161" s="57">
        <v>0.54494189298143303</v>
      </c>
      <c r="G161" s="57">
        <v>0.49069644946481394</v>
      </c>
      <c r="H161" s="57">
        <v>0.53341270962329002</v>
      </c>
      <c r="I161" s="57">
        <v>0.53759239057147623</v>
      </c>
      <c r="J161" s="57">
        <v>0.55378360216901024</v>
      </c>
      <c r="K161" s="45">
        <v>0.59587000623249431</v>
      </c>
      <c r="L161" s="45">
        <v>0.54277701093647823</v>
      </c>
      <c r="M161" s="57">
        <v>0.63363945360379714</v>
      </c>
      <c r="N161" s="57">
        <v>0.60715778070097992</v>
      </c>
      <c r="GZ161" s="55"/>
      <c r="HA161" s="55"/>
      <c r="HB161" s="55"/>
      <c r="HC161" s="55"/>
      <c r="HD161" s="55"/>
    </row>
    <row r="162" spans="1:212" ht="12.75" customHeight="1" x14ac:dyDescent="0.2">
      <c r="A162" s="56" t="s">
        <v>143</v>
      </c>
      <c r="B162" s="66">
        <v>0.36326142502308928</v>
      </c>
      <c r="C162" s="57">
        <v>0.36268548609874834</v>
      </c>
      <c r="D162" s="57">
        <v>0.35952436276668409</v>
      </c>
      <c r="E162" s="65">
        <v>0.35661900736765983</v>
      </c>
      <c r="F162" s="57">
        <v>0.38754701428046828</v>
      </c>
      <c r="G162" s="57">
        <v>0.36657987637311146</v>
      </c>
      <c r="H162" s="57">
        <v>0.35584351672270231</v>
      </c>
      <c r="I162" s="57">
        <v>0.38251581373061649</v>
      </c>
      <c r="J162" s="57">
        <v>0.38793982439952118</v>
      </c>
      <c r="K162" s="45">
        <v>0.37158788121191921</v>
      </c>
      <c r="L162" s="45">
        <v>0.38462303032869988</v>
      </c>
      <c r="M162" s="57">
        <v>0.39917042761239885</v>
      </c>
      <c r="N162" s="57">
        <v>0.41501621447550813</v>
      </c>
      <c r="GZ162" s="55"/>
      <c r="HA162" s="55"/>
      <c r="HB162" s="55"/>
      <c r="HC162" s="55"/>
      <c r="HD162" s="55"/>
    </row>
    <row r="163" spans="1:212" ht="12.75" customHeight="1" x14ac:dyDescent="0.2">
      <c r="A163" s="56" t="s">
        <v>201</v>
      </c>
      <c r="B163" s="66">
        <v>0.40419604134945064</v>
      </c>
      <c r="C163" s="57">
        <v>0.42472932554893617</v>
      </c>
      <c r="D163" s="57">
        <v>0.40120412213618728</v>
      </c>
      <c r="E163" s="65">
        <v>0.40975608339766711</v>
      </c>
      <c r="F163" s="57">
        <v>0.41228883938759064</v>
      </c>
      <c r="G163" s="57">
        <v>0.38762171981410387</v>
      </c>
      <c r="H163" s="57">
        <v>0.36470006636278418</v>
      </c>
      <c r="I163" s="57">
        <v>0.38927783892842033</v>
      </c>
      <c r="J163" s="57">
        <v>0.40802007950832525</v>
      </c>
      <c r="K163" s="45">
        <v>0.46895577606008298</v>
      </c>
      <c r="L163" s="45">
        <v>0.3896978722212876</v>
      </c>
      <c r="M163" s="57">
        <v>0.4139017379556339</v>
      </c>
      <c r="N163" s="57">
        <v>0.44861594240926134</v>
      </c>
      <c r="GZ163" s="55"/>
      <c r="HA163" s="55"/>
      <c r="HB163" s="55"/>
      <c r="HC163" s="55"/>
      <c r="HD163" s="55"/>
    </row>
    <row r="164" spans="1:212" ht="12.75" customHeight="1" x14ac:dyDescent="0.2">
      <c r="A164" s="56" t="s">
        <v>7099</v>
      </c>
      <c r="B164" s="66">
        <v>0.42029825449326785</v>
      </c>
      <c r="C164" s="57">
        <v>0.47042700150584926</v>
      </c>
      <c r="D164" s="57">
        <v>0.45238897979121301</v>
      </c>
      <c r="E164" s="65">
        <v>0.49292321965834307</v>
      </c>
      <c r="F164" s="57">
        <v>0.53406921112515182</v>
      </c>
      <c r="G164" s="57">
        <v>0.52037806244848916</v>
      </c>
      <c r="H164" s="57">
        <v>0.48365477941599255</v>
      </c>
      <c r="I164" s="57">
        <v>0.5246138459620715</v>
      </c>
      <c r="J164" s="57">
        <v>0.51428891104958685</v>
      </c>
      <c r="K164" s="45">
        <v>0.53709884471578562</v>
      </c>
      <c r="L164" s="45">
        <v>0.52589469579269932</v>
      </c>
      <c r="M164" s="57">
        <v>0.52610784017786616</v>
      </c>
      <c r="N164" s="57">
        <v>0.57310168964610653</v>
      </c>
      <c r="GZ164" s="55"/>
      <c r="HA164" s="55"/>
      <c r="HB164" s="55"/>
      <c r="HC164" s="55"/>
      <c r="HD164" s="55"/>
    </row>
    <row r="165" spans="1:212" ht="12.75" customHeight="1" x14ac:dyDescent="0.2">
      <c r="A165" s="56" t="s">
        <v>11</v>
      </c>
      <c r="B165" s="66">
        <v>0.40338809608053411</v>
      </c>
      <c r="C165" s="57">
        <v>0.38182487500772194</v>
      </c>
      <c r="D165" s="57">
        <v>0.37322828281296211</v>
      </c>
      <c r="E165" s="65">
        <v>0.38723313673718179</v>
      </c>
      <c r="F165" s="57">
        <v>0.36896902854632196</v>
      </c>
      <c r="G165" s="57">
        <v>0.36322498343776943</v>
      </c>
      <c r="H165" s="57">
        <v>0.41796625363373391</v>
      </c>
      <c r="I165" s="57">
        <v>0.36407384942899607</v>
      </c>
      <c r="J165" s="57">
        <v>0.43071263906370161</v>
      </c>
      <c r="K165" s="45">
        <v>0.34661356475748351</v>
      </c>
      <c r="L165" s="45">
        <v>0.34401169322094072</v>
      </c>
      <c r="M165" s="57">
        <v>0.34894041114093099</v>
      </c>
      <c r="N165" s="57">
        <v>0.35591427465597242</v>
      </c>
      <c r="GZ165" s="55"/>
      <c r="HA165" s="55"/>
      <c r="HB165" s="55"/>
      <c r="HC165" s="55"/>
      <c r="HD165" s="55"/>
    </row>
    <row r="166" spans="1:212" ht="12.75" customHeight="1" x14ac:dyDescent="0.2">
      <c r="A166" s="56" t="s">
        <v>7082</v>
      </c>
      <c r="B166" s="66">
        <v>0.38052525547356125</v>
      </c>
      <c r="C166" s="57">
        <v>0.38174306050994528</v>
      </c>
      <c r="D166" s="57">
        <v>0.35069154459752877</v>
      </c>
      <c r="E166" s="65">
        <v>0.40229619399623268</v>
      </c>
      <c r="F166" s="57">
        <v>0.37077295130078353</v>
      </c>
      <c r="G166" s="57">
        <v>0.37031383729154338</v>
      </c>
      <c r="H166" s="57">
        <v>0.37459511838867232</v>
      </c>
      <c r="I166" s="57">
        <v>0.39861681493660023</v>
      </c>
      <c r="J166" s="57">
        <v>0.41051317283796129</v>
      </c>
      <c r="K166" s="45">
        <v>0.44590036742454014</v>
      </c>
      <c r="L166" s="45">
        <v>0.38869925772138514</v>
      </c>
      <c r="M166" s="57">
        <v>0.40274961802130627</v>
      </c>
      <c r="N166" s="57">
        <v>0.47060876283299913</v>
      </c>
      <c r="GZ166" s="55"/>
      <c r="HA166" s="55"/>
      <c r="HB166" s="55"/>
      <c r="HC166" s="55"/>
      <c r="HD166" s="55"/>
    </row>
    <row r="167" spans="1:212" ht="12.75" customHeight="1" x14ac:dyDescent="0.2">
      <c r="A167" s="56" t="s">
        <v>50</v>
      </c>
      <c r="B167" s="66">
        <v>0.35831897756199627</v>
      </c>
      <c r="C167" s="57">
        <v>0.38559447316820006</v>
      </c>
      <c r="D167" s="57">
        <v>0.35486869205921523</v>
      </c>
      <c r="E167" s="65">
        <v>0.40037076057629589</v>
      </c>
      <c r="F167" s="57">
        <v>0.37503995637027604</v>
      </c>
      <c r="G167" s="57">
        <v>0.36540009844482435</v>
      </c>
      <c r="H167" s="57">
        <v>0.34223797517625665</v>
      </c>
      <c r="I167" s="57">
        <v>0.40625474667865635</v>
      </c>
      <c r="J167" s="57">
        <v>0.36905416451710149</v>
      </c>
      <c r="K167" s="45">
        <v>0.33774459644901278</v>
      </c>
      <c r="L167" s="45">
        <v>0.36397326448200579</v>
      </c>
      <c r="M167" s="57">
        <v>0.40349106590346434</v>
      </c>
      <c r="N167" s="57">
        <v>0.41730316519907307</v>
      </c>
      <c r="GZ167" s="55"/>
      <c r="HA167" s="55"/>
      <c r="HB167" s="55"/>
      <c r="HC167" s="55"/>
      <c r="HD167" s="55"/>
    </row>
    <row r="168" spans="1:212" ht="12.75" customHeight="1" x14ac:dyDescent="0.2">
      <c r="A168" s="56" t="s">
        <v>157</v>
      </c>
      <c r="B168" s="66">
        <v>0.42493549557320137</v>
      </c>
      <c r="C168" s="57">
        <v>0.46557588377290865</v>
      </c>
      <c r="D168" s="57">
        <v>0.45741039054489041</v>
      </c>
      <c r="E168" s="65">
        <v>0.45162109409615592</v>
      </c>
      <c r="F168" s="57">
        <v>0.45745767890457856</v>
      </c>
      <c r="G168" s="57">
        <v>0.43507132845316965</v>
      </c>
      <c r="H168" s="57">
        <v>0.42050635881541359</v>
      </c>
      <c r="I168" s="57">
        <v>0.44235373456234428</v>
      </c>
      <c r="J168" s="57">
        <v>0.44612931756200847</v>
      </c>
      <c r="K168" s="45">
        <v>0.4385331983353023</v>
      </c>
      <c r="L168" s="45">
        <v>0.42928911725581925</v>
      </c>
      <c r="M168" s="57">
        <v>0.46064046610278053</v>
      </c>
      <c r="N168" s="57">
        <v>0.45684270762064821</v>
      </c>
      <c r="GZ168" s="55"/>
      <c r="HA168" s="55"/>
      <c r="HB168" s="55"/>
      <c r="HC168" s="55"/>
      <c r="HD168" s="55"/>
    </row>
    <row r="169" spans="1:212" ht="12.75" customHeight="1" x14ac:dyDescent="0.2">
      <c r="A169" s="56" t="s">
        <v>300</v>
      </c>
      <c r="B169" s="66">
        <v>0.5770047859436247</v>
      </c>
      <c r="C169" s="57">
        <v>0.60598735457165775</v>
      </c>
      <c r="D169" s="57">
        <v>0.61231566921538239</v>
      </c>
      <c r="E169" s="65">
        <v>0.59837873543177866</v>
      </c>
      <c r="F169" s="57">
        <v>0.58897913705859395</v>
      </c>
      <c r="G169" s="57">
        <v>0.50068810656653973</v>
      </c>
      <c r="H169" s="57">
        <v>0.52397859038235295</v>
      </c>
      <c r="I169" s="57">
        <v>0.48066711265354589</v>
      </c>
      <c r="J169" s="57">
        <v>0.53734198242398257</v>
      </c>
      <c r="K169" s="45">
        <v>0.50387570105377699</v>
      </c>
      <c r="L169" s="45">
        <v>0.48471574048947552</v>
      </c>
      <c r="M169" s="57">
        <v>0.49868429357356858</v>
      </c>
      <c r="N169" s="57">
        <v>0.52549897976820492</v>
      </c>
      <c r="GZ169" s="55"/>
      <c r="HA169" s="55"/>
      <c r="HB169" s="55"/>
      <c r="HC169" s="55"/>
      <c r="HD169" s="55"/>
    </row>
    <row r="170" spans="1:212" ht="12.75" customHeight="1" x14ac:dyDescent="0.2">
      <c r="A170" s="56" t="s">
        <v>212</v>
      </c>
      <c r="B170" s="66">
        <v>0.45504466984625558</v>
      </c>
      <c r="C170" s="57">
        <v>0.48824138073075524</v>
      </c>
      <c r="D170" s="57">
        <v>0.46771942556405766</v>
      </c>
      <c r="E170" s="65">
        <v>0.46525129130107762</v>
      </c>
      <c r="F170" s="57">
        <v>0.49199289985713429</v>
      </c>
      <c r="G170" s="57">
        <v>0.46416779251832152</v>
      </c>
      <c r="H170" s="57">
        <v>0.48969261511363732</v>
      </c>
      <c r="I170" s="57">
        <v>0.49880755934496518</v>
      </c>
      <c r="J170" s="57">
        <v>0.48822292638427456</v>
      </c>
      <c r="K170" s="45">
        <v>0.53974781005587213</v>
      </c>
      <c r="L170" s="45">
        <v>0.49847310082301416</v>
      </c>
      <c r="M170" s="57">
        <v>0.5199681158414281</v>
      </c>
      <c r="N170" s="57">
        <v>0.54344756488125123</v>
      </c>
      <c r="GZ170" s="55"/>
      <c r="HA170" s="55"/>
      <c r="HB170" s="55"/>
      <c r="HC170" s="55"/>
      <c r="HD170" s="55"/>
    </row>
    <row r="171" spans="1:212" ht="12.75" customHeight="1" x14ac:dyDescent="0.2">
      <c r="A171" s="56" t="s">
        <v>167</v>
      </c>
      <c r="B171" s="66">
        <v>0.33171239329630159</v>
      </c>
      <c r="C171" s="57">
        <v>0.3451351019310876</v>
      </c>
      <c r="D171" s="57">
        <v>0.35814283752025255</v>
      </c>
      <c r="E171" s="65">
        <v>0.35722650757545005</v>
      </c>
      <c r="F171" s="57">
        <v>0.38573132269175275</v>
      </c>
      <c r="G171" s="57">
        <v>0.33801224098114713</v>
      </c>
      <c r="H171" s="57">
        <v>0.33690638105143111</v>
      </c>
      <c r="I171" s="57">
        <v>0.38431797451656191</v>
      </c>
      <c r="J171" s="57">
        <v>0.3746240489368925</v>
      </c>
      <c r="K171" s="45">
        <v>0.32291678271695418</v>
      </c>
      <c r="L171" s="45">
        <v>0.37600822926263749</v>
      </c>
      <c r="M171" s="57">
        <v>0.38335700909207965</v>
      </c>
      <c r="N171" s="57">
        <v>0.38690984751269974</v>
      </c>
      <c r="GZ171" s="55"/>
      <c r="HA171" s="55"/>
      <c r="HB171" s="55"/>
      <c r="HC171" s="55"/>
      <c r="HD171" s="55"/>
    </row>
    <row r="172" spans="1:212" ht="12.75" customHeight="1" x14ac:dyDescent="0.2">
      <c r="A172" s="56" t="s">
        <v>144</v>
      </c>
      <c r="B172" s="66">
        <v>0.52493277011215056</v>
      </c>
      <c r="C172" s="57">
        <v>0.5368843216111896</v>
      </c>
      <c r="D172" s="57">
        <v>0.5516809887637828</v>
      </c>
      <c r="E172" s="65">
        <v>0.55696975066217458</v>
      </c>
      <c r="F172" s="57">
        <v>0.55571328116571583</v>
      </c>
      <c r="G172" s="57">
        <v>0.55587444867534086</v>
      </c>
      <c r="H172" s="57">
        <v>0.54656799556983082</v>
      </c>
      <c r="I172" s="57">
        <v>0.56358985668015016</v>
      </c>
      <c r="J172" s="57">
        <v>0.56197937296524347</v>
      </c>
      <c r="K172" s="45">
        <v>0.56125879372245746</v>
      </c>
      <c r="L172" s="45">
        <v>0.54498279833342589</v>
      </c>
      <c r="M172" s="57">
        <v>0.56818281443719543</v>
      </c>
      <c r="N172" s="57">
        <v>0.58473082532683029</v>
      </c>
      <c r="GZ172" s="55"/>
      <c r="HA172" s="55"/>
      <c r="HB172" s="55"/>
      <c r="HC172" s="55"/>
      <c r="HD172" s="55"/>
    </row>
    <row r="173" spans="1:212" ht="12.75" customHeight="1" x14ac:dyDescent="0.2">
      <c r="A173" s="56" t="s">
        <v>93</v>
      </c>
      <c r="B173" s="66">
        <v>0.58566016458401837</v>
      </c>
      <c r="C173" s="57">
        <v>0.59626796906276291</v>
      </c>
      <c r="D173" s="57">
        <v>0.57650560421620556</v>
      </c>
      <c r="E173" s="65">
        <v>0.63696730024466286</v>
      </c>
      <c r="F173" s="57">
        <v>0.64819106308503649</v>
      </c>
      <c r="G173" s="57">
        <v>0.65098600199298717</v>
      </c>
      <c r="H173" s="57">
        <v>0.6155039576695549</v>
      </c>
      <c r="I173" s="57">
        <v>0.63618283440873669</v>
      </c>
      <c r="J173" s="57">
        <v>0.63528086749793811</v>
      </c>
      <c r="K173" s="45">
        <v>0.66500701739972279</v>
      </c>
      <c r="L173" s="45">
        <v>0.66744170474655606</v>
      </c>
      <c r="M173" s="57">
        <v>0.68587741211117326</v>
      </c>
      <c r="N173" s="57">
        <v>0.63724135519052749</v>
      </c>
      <c r="GZ173" s="55"/>
      <c r="HA173" s="55"/>
      <c r="HB173" s="55"/>
      <c r="HC173" s="55"/>
      <c r="HD173" s="55"/>
    </row>
    <row r="174" spans="1:212" ht="12.75" customHeight="1" x14ac:dyDescent="0.2">
      <c r="A174" s="56" t="s">
        <v>36</v>
      </c>
      <c r="B174" s="66">
        <v>0.5658793201866803</v>
      </c>
      <c r="C174" s="57">
        <v>0.58891525396674682</v>
      </c>
      <c r="D174" s="57">
        <v>0.59548016046750629</v>
      </c>
      <c r="E174" s="65">
        <v>0.55701468547423605</v>
      </c>
      <c r="F174" s="57">
        <v>0.57198218971748271</v>
      </c>
      <c r="G174" s="57">
        <v>0.5406031197731177</v>
      </c>
      <c r="H174" s="57">
        <v>0.55391524955808513</v>
      </c>
      <c r="I174" s="57">
        <v>0.52563935012947915</v>
      </c>
      <c r="J174" s="57">
        <v>0.53295206322040922</v>
      </c>
      <c r="K174" s="45">
        <v>0.53687031091870419</v>
      </c>
      <c r="L174" s="45">
        <v>0.53770535320819801</v>
      </c>
      <c r="M174" s="57">
        <v>0.56046895698292798</v>
      </c>
      <c r="N174" s="57">
        <v>0.56691545377687014</v>
      </c>
      <c r="GZ174" s="55"/>
      <c r="HA174" s="55"/>
      <c r="HB174" s="55"/>
      <c r="HC174" s="55"/>
      <c r="HD174" s="55"/>
    </row>
    <row r="175" spans="1:212" ht="12.75" customHeight="1" x14ac:dyDescent="0.2">
      <c r="A175" s="56" t="s">
        <v>202</v>
      </c>
      <c r="B175" s="66">
        <v>0.50837593398536018</v>
      </c>
      <c r="C175" s="57">
        <v>0.52989790385693991</v>
      </c>
      <c r="D175" s="57">
        <v>0.54339556081022045</v>
      </c>
      <c r="E175" s="65">
        <v>0.55193546374721858</v>
      </c>
      <c r="F175" s="57">
        <v>0.52877996122091442</v>
      </c>
      <c r="G175" s="57">
        <v>0.48356483200268463</v>
      </c>
      <c r="H175" s="57">
        <v>0.50631171741784686</v>
      </c>
      <c r="I175" s="57">
        <v>0.51642165137717677</v>
      </c>
      <c r="J175" s="57">
        <v>0.51404897514994152</v>
      </c>
      <c r="K175" s="45">
        <v>0.51794772828650615</v>
      </c>
      <c r="L175" s="45">
        <v>0.49462074652620491</v>
      </c>
      <c r="M175" s="57">
        <v>0.52460736895194537</v>
      </c>
      <c r="N175" s="57">
        <v>0.54583601940808157</v>
      </c>
      <c r="GZ175" s="55"/>
      <c r="HA175" s="55"/>
      <c r="HB175" s="55"/>
      <c r="HC175" s="55"/>
      <c r="HD175" s="55"/>
    </row>
    <row r="176" spans="1:212" ht="12.75" customHeight="1" x14ac:dyDescent="0.2">
      <c r="A176" s="56" t="s">
        <v>253</v>
      </c>
      <c r="B176" s="66">
        <v>0.40130201410555877</v>
      </c>
      <c r="C176" s="57">
        <v>0.41161185523152233</v>
      </c>
      <c r="D176" s="57">
        <v>0.3755639696014334</v>
      </c>
      <c r="E176" s="65">
        <v>0.40352498541372095</v>
      </c>
      <c r="F176" s="57">
        <v>0.40738034918220173</v>
      </c>
      <c r="G176" s="57">
        <v>0.39664256844830093</v>
      </c>
      <c r="H176" s="57">
        <v>0.42099154496229502</v>
      </c>
      <c r="I176" s="57">
        <v>0.39031409143635309</v>
      </c>
      <c r="J176" s="57">
        <v>0.41221588382409236</v>
      </c>
      <c r="K176" s="45">
        <v>0.43622662901086545</v>
      </c>
      <c r="L176" s="45">
        <v>0.41618610934446826</v>
      </c>
      <c r="M176" s="57">
        <v>0.41589879779988964</v>
      </c>
      <c r="N176" s="57">
        <v>0.4704253040377499</v>
      </c>
      <c r="GZ176" s="55"/>
      <c r="HA176" s="55"/>
      <c r="HB176" s="55"/>
      <c r="HC176" s="55"/>
      <c r="HD176" s="55"/>
    </row>
    <row r="177" spans="1:212" ht="12.75" customHeight="1" x14ac:dyDescent="0.2">
      <c r="A177" s="56" t="s">
        <v>168</v>
      </c>
      <c r="B177" s="66">
        <v>0.34511490276110346</v>
      </c>
      <c r="C177" s="57">
        <v>0.36805348583866149</v>
      </c>
      <c r="D177" s="57">
        <v>0.33757728687917454</v>
      </c>
      <c r="E177" s="65">
        <v>0.38351857181795729</v>
      </c>
      <c r="F177" s="57">
        <v>0.37867738654878913</v>
      </c>
      <c r="G177" s="57">
        <v>0.36096431631519854</v>
      </c>
      <c r="H177" s="57">
        <v>0.37275121170589343</v>
      </c>
      <c r="I177" s="57">
        <v>0.37542668619979741</v>
      </c>
      <c r="J177" s="57">
        <v>0.38315940080287958</v>
      </c>
      <c r="K177" s="45">
        <v>0.39616638843436836</v>
      </c>
      <c r="L177" s="45">
        <v>0.35419190096393249</v>
      </c>
      <c r="M177" s="57">
        <v>0.37662262625943305</v>
      </c>
      <c r="N177" s="57">
        <v>0.42419309622658236</v>
      </c>
      <c r="GZ177" s="55"/>
      <c r="HA177" s="55"/>
      <c r="HB177" s="55"/>
      <c r="HC177" s="55"/>
      <c r="HD177" s="55"/>
    </row>
    <row r="178" spans="1:212" ht="12.75" customHeight="1" x14ac:dyDescent="0.2">
      <c r="A178" s="56" t="s">
        <v>213</v>
      </c>
      <c r="B178" s="66">
        <v>0.42409594791260868</v>
      </c>
      <c r="C178" s="57">
        <v>0.44942301323789291</v>
      </c>
      <c r="D178" s="57">
        <v>0.42354244034153332</v>
      </c>
      <c r="E178" s="65">
        <v>0.43596452605076963</v>
      </c>
      <c r="F178" s="57">
        <v>0.43588967034036602</v>
      </c>
      <c r="G178" s="57">
        <v>0.43008387039336576</v>
      </c>
      <c r="H178" s="57">
        <v>0.46776489035526581</v>
      </c>
      <c r="I178" s="57">
        <v>0.47204642762788984</v>
      </c>
      <c r="J178" s="57">
        <v>0.49321310350123054</v>
      </c>
      <c r="K178" s="45">
        <v>0.44783683571811145</v>
      </c>
      <c r="L178" s="45">
        <v>0.50471280931510099</v>
      </c>
      <c r="M178" s="57">
        <v>0.50765071394827888</v>
      </c>
      <c r="N178" s="57">
        <v>0.53232550063874762</v>
      </c>
      <c r="GZ178" s="55"/>
      <c r="HA178" s="55"/>
      <c r="HB178" s="55"/>
      <c r="HC178" s="55"/>
      <c r="HD178" s="55"/>
    </row>
    <row r="179" spans="1:212" ht="12.75" customHeight="1" x14ac:dyDescent="0.2">
      <c r="A179" s="56" t="s">
        <v>158</v>
      </c>
      <c r="B179" s="66">
        <v>0.39860549004662477</v>
      </c>
      <c r="C179" s="57">
        <v>0.38314067631295035</v>
      </c>
      <c r="D179" s="57">
        <v>0.36980690892853357</v>
      </c>
      <c r="E179" s="65">
        <v>0.39436322358068693</v>
      </c>
      <c r="F179" s="57">
        <v>0.4018155122778666</v>
      </c>
      <c r="G179" s="57">
        <v>0.36675671141335592</v>
      </c>
      <c r="H179" s="57">
        <v>0.36785352419222134</v>
      </c>
      <c r="I179" s="57">
        <v>0.38404181639427065</v>
      </c>
      <c r="J179" s="57">
        <v>0.37359914202574379</v>
      </c>
      <c r="K179" s="45">
        <v>0.40849967093368134</v>
      </c>
      <c r="L179" s="45">
        <v>0.40943816871662625</v>
      </c>
      <c r="M179" s="57">
        <v>0.40015772572788888</v>
      </c>
      <c r="N179" s="57">
        <v>0.46918945566493248</v>
      </c>
      <c r="GZ179" s="55"/>
      <c r="HA179" s="55"/>
      <c r="HB179" s="55"/>
      <c r="HC179" s="55"/>
      <c r="HD179" s="55"/>
    </row>
    <row r="180" spans="1:212" ht="12.75" customHeight="1" x14ac:dyDescent="0.2">
      <c r="A180" s="56" t="s">
        <v>229</v>
      </c>
      <c r="B180" s="66">
        <v>0.42285967295749266</v>
      </c>
      <c r="C180" s="57">
        <v>0.41079101050004529</v>
      </c>
      <c r="D180" s="57">
        <v>0.35160707972979549</v>
      </c>
      <c r="E180" s="65">
        <v>0.44148960639006984</v>
      </c>
      <c r="F180" s="57">
        <v>0.39958890836756961</v>
      </c>
      <c r="G180" s="57">
        <v>0.42186702824058214</v>
      </c>
      <c r="H180" s="57">
        <v>0.40986994461341697</v>
      </c>
      <c r="I180" s="57">
        <v>0.44611913407195658</v>
      </c>
      <c r="J180" s="57">
        <v>0.43595874167112197</v>
      </c>
      <c r="K180" s="45">
        <v>0.4501321861462369</v>
      </c>
      <c r="L180" s="45">
        <v>0.4712300688591809</v>
      </c>
      <c r="M180" s="57">
        <v>0.47356947973152663</v>
      </c>
      <c r="N180" s="57">
        <v>0.5728598900424362</v>
      </c>
      <c r="GZ180" s="55"/>
      <c r="HA180" s="55"/>
      <c r="HB180" s="55"/>
      <c r="HC180" s="55"/>
      <c r="HD180" s="55"/>
    </row>
    <row r="181" spans="1:212" ht="12.75" customHeight="1" x14ac:dyDescent="0.2">
      <c r="A181" s="56" t="s">
        <v>118</v>
      </c>
      <c r="B181" s="66">
        <v>0.40065695623016523</v>
      </c>
      <c r="C181" s="57">
        <v>0.41894558231367146</v>
      </c>
      <c r="D181" s="57">
        <v>0.39043728502986202</v>
      </c>
      <c r="E181" s="65">
        <v>0.411664615487083</v>
      </c>
      <c r="F181" s="57">
        <v>0.40423302527248789</v>
      </c>
      <c r="G181" s="57">
        <v>0.38726282188876276</v>
      </c>
      <c r="H181" s="57">
        <v>0.38026175182079253</v>
      </c>
      <c r="I181" s="57">
        <v>0.38481455297857925</v>
      </c>
      <c r="J181" s="57">
        <v>0.39205469590774977</v>
      </c>
      <c r="K181" s="45">
        <v>0.40535853635999725</v>
      </c>
      <c r="L181" s="45">
        <v>0.38257868687638003</v>
      </c>
      <c r="M181" s="57">
        <v>0.41448900433071073</v>
      </c>
      <c r="N181" s="57">
        <v>0.39219609023830787</v>
      </c>
      <c r="GZ181" s="55"/>
      <c r="HA181" s="55"/>
      <c r="HB181" s="55"/>
      <c r="HC181" s="55"/>
      <c r="HD181" s="55"/>
    </row>
    <row r="182" spans="1:212" ht="12.75" customHeight="1" x14ac:dyDescent="0.2">
      <c r="A182" s="56" t="s">
        <v>335</v>
      </c>
      <c r="B182" s="66">
        <v>0.37410698018810806</v>
      </c>
      <c r="C182" s="57">
        <v>0.38845203259789307</v>
      </c>
      <c r="D182" s="57">
        <v>0.36617023315661873</v>
      </c>
      <c r="E182" s="65">
        <v>0.40528134490373929</v>
      </c>
      <c r="F182" s="57">
        <v>0.40796123868435691</v>
      </c>
      <c r="G182" s="57">
        <v>0.41528845917616924</v>
      </c>
      <c r="H182" s="57">
        <v>0.39012053987860218</v>
      </c>
      <c r="I182" s="57">
        <v>0.42732855957435917</v>
      </c>
      <c r="J182" s="57">
        <v>0.40725390644352877</v>
      </c>
      <c r="K182" s="45">
        <v>0.42961397298157911</v>
      </c>
      <c r="L182" s="45">
        <v>0.40851667977101075</v>
      </c>
      <c r="M182" s="57">
        <v>0.42909572482161934</v>
      </c>
      <c r="N182" s="57">
        <v>0.44979521889504742</v>
      </c>
      <c r="GZ182" s="55"/>
      <c r="HA182" s="55"/>
      <c r="HB182" s="55"/>
      <c r="HC182" s="55"/>
      <c r="HD182" s="55"/>
    </row>
    <row r="183" spans="1:212" ht="12.75" customHeight="1" x14ac:dyDescent="0.2">
      <c r="A183" s="56" t="s">
        <v>173</v>
      </c>
      <c r="B183" s="66">
        <v>0.4899554783156112</v>
      </c>
      <c r="C183" s="57">
        <v>0.4953328521917959</v>
      </c>
      <c r="D183" s="57">
        <v>0.49676927175363444</v>
      </c>
      <c r="E183" s="65">
        <v>0.55208375279466593</v>
      </c>
      <c r="F183" s="57">
        <v>0.5657664081282181</v>
      </c>
      <c r="G183" s="57">
        <v>0.55993277114740903</v>
      </c>
      <c r="H183" s="57">
        <v>0.5682768226332513</v>
      </c>
      <c r="I183" s="57">
        <v>0.61378025098957645</v>
      </c>
      <c r="J183" s="57">
        <v>0.60424504274178592</v>
      </c>
      <c r="K183" s="45">
        <v>0.62594151748422555</v>
      </c>
      <c r="L183" s="45">
        <v>0.61974759969579141</v>
      </c>
      <c r="M183" s="57">
        <v>0.6472846067094199</v>
      </c>
      <c r="N183" s="57">
        <v>0.66053220871570495</v>
      </c>
      <c r="GZ183" s="55"/>
      <c r="HA183" s="55"/>
      <c r="HB183" s="55"/>
      <c r="HC183" s="55"/>
      <c r="HD183" s="55"/>
    </row>
    <row r="184" spans="1:212" ht="12.75" customHeight="1" x14ac:dyDescent="0.2">
      <c r="A184" s="56" t="s">
        <v>135</v>
      </c>
      <c r="B184" s="66">
        <v>0.38060174994357321</v>
      </c>
      <c r="C184" s="57">
        <v>0.41295547170473296</v>
      </c>
      <c r="D184" s="57">
        <v>0.38762615407445489</v>
      </c>
      <c r="E184" s="65">
        <v>0.43333889482127086</v>
      </c>
      <c r="F184" s="57">
        <v>0.38733586410559689</v>
      </c>
      <c r="G184" s="57">
        <v>0.40035520631400257</v>
      </c>
      <c r="H184" s="57">
        <v>0.36665340241255717</v>
      </c>
      <c r="I184" s="57">
        <v>0.3480357651437565</v>
      </c>
      <c r="J184" s="57">
        <v>0.4326922505917532</v>
      </c>
      <c r="K184" s="45">
        <v>0.39260082214881659</v>
      </c>
      <c r="L184" s="45">
        <v>0.39401225335554269</v>
      </c>
      <c r="M184" s="57">
        <v>0.3996414768403273</v>
      </c>
      <c r="N184" s="57">
        <v>0.46519813237173957</v>
      </c>
      <c r="GZ184" s="55"/>
      <c r="HA184" s="55"/>
      <c r="HB184" s="55"/>
      <c r="HC184" s="55"/>
      <c r="HD184" s="55"/>
    </row>
    <row r="185" spans="1:212" ht="12.75" customHeight="1" x14ac:dyDescent="0.2">
      <c r="A185" s="56" t="s">
        <v>254</v>
      </c>
      <c r="B185" s="66">
        <v>0.4163249723563035</v>
      </c>
      <c r="C185" s="57">
        <v>0.44360181555266248</v>
      </c>
      <c r="D185" s="57">
        <v>0.37653353583952859</v>
      </c>
      <c r="E185" s="65">
        <v>0.43237440757274431</v>
      </c>
      <c r="F185" s="57">
        <v>0.40714432831046327</v>
      </c>
      <c r="G185" s="57">
        <v>0.40037362873216742</v>
      </c>
      <c r="H185" s="57">
        <v>0.41534077497621613</v>
      </c>
      <c r="I185" s="57">
        <v>0.40966101433470925</v>
      </c>
      <c r="J185" s="57">
        <v>0.41554508096201642</v>
      </c>
      <c r="K185" s="45">
        <v>0.43190618656273155</v>
      </c>
      <c r="L185" s="45">
        <v>0.43216962225421041</v>
      </c>
      <c r="M185" s="57">
        <v>0.43268521637131718</v>
      </c>
      <c r="N185" s="57">
        <v>0.44057201816708486</v>
      </c>
      <c r="GZ185" s="55"/>
      <c r="HA185" s="55"/>
      <c r="HB185" s="55"/>
      <c r="HC185" s="55"/>
      <c r="HD185" s="55"/>
    </row>
    <row r="186" spans="1:212" ht="12.75" customHeight="1" x14ac:dyDescent="0.2">
      <c r="A186" s="56" t="s">
        <v>214</v>
      </c>
      <c r="B186" s="66">
        <v>0.59334745748180151</v>
      </c>
      <c r="C186" s="57">
        <v>0.59263042253554332</v>
      </c>
      <c r="D186" s="57">
        <v>0.57880593426167304</v>
      </c>
      <c r="E186" s="65">
        <v>0.63037865901563739</v>
      </c>
      <c r="F186" s="57">
        <v>0.6521448885593818</v>
      </c>
      <c r="G186" s="57">
        <v>0.55265452775640578</v>
      </c>
      <c r="H186" s="57">
        <v>0.6016814505860627</v>
      </c>
      <c r="I186" s="57">
        <v>0.57981388006306267</v>
      </c>
      <c r="J186" s="57">
        <v>0.61037673720587082</v>
      </c>
      <c r="K186" s="45">
        <v>0.59276863298947413</v>
      </c>
      <c r="L186" s="45">
        <v>0.58140197187595877</v>
      </c>
      <c r="M186" s="57">
        <v>0.59667315439305191</v>
      </c>
      <c r="N186" s="57">
        <v>0.72635542356385951</v>
      </c>
      <c r="GZ186" s="55"/>
      <c r="HA186" s="55"/>
      <c r="HB186" s="55"/>
      <c r="HC186" s="55"/>
      <c r="HD186" s="55"/>
    </row>
    <row r="187" spans="1:212" ht="12.75" customHeight="1" x14ac:dyDescent="0.2">
      <c r="A187" s="56" t="s">
        <v>159</v>
      </c>
      <c r="B187" s="66">
        <v>0.34467873015946443</v>
      </c>
      <c r="C187" s="57">
        <v>0.35096582240283142</v>
      </c>
      <c r="D187" s="57">
        <v>0.46184394759989938</v>
      </c>
      <c r="E187" s="65">
        <v>0.33912777885105849</v>
      </c>
      <c r="F187" s="57">
        <v>0.36541319414484635</v>
      </c>
      <c r="G187" s="57">
        <v>0.3453848407890085</v>
      </c>
      <c r="H187" s="57">
        <v>0.3517414638315563</v>
      </c>
      <c r="I187" s="57">
        <v>0.37183265345786187</v>
      </c>
      <c r="J187" s="57">
        <v>0.35511700818102987</v>
      </c>
      <c r="K187" s="45">
        <v>0.36233300629862047</v>
      </c>
      <c r="L187" s="45">
        <v>0.33733437396573351</v>
      </c>
      <c r="M187" s="57">
        <v>0.39997718056376014</v>
      </c>
      <c r="N187" s="57">
        <v>0.41267406151385549</v>
      </c>
      <c r="GZ187" s="55"/>
      <c r="HA187" s="55"/>
      <c r="HB187" s="55"/>
      <c r="HC187" s="55"/>
      <c r="HD187" s="55"/>
    </row>
    <row r="188" spans="1:212" ht="12.75" customHeight="1" x14ac:dyDescent="0.2">
      <c r="A188" s="56" t="s">
        <v>17</v>
      </c>
      <c r="B188" s="66">
        <v>0.47733753142459201</v>
      </c>
      <c r="C188" s="57">
        <v>0.48509603241205168</v>
      </c>
      <c r="D188" s="57">
        <v>0.48461055948341536</v>
      </c>
      <c r="E188" s="65">
        <v>0.52122228264114978</v>
      </c>
      <c r="F188" s="57">
        <v>0.524699276850082</v>
      </c>
      <c r="G188" s="57">
        <v>0.51444090346949745</v>
      </c>
      <c r="H188" s="57">
        <v>0.47554103127849434</v>
      </c>
      <c r="I188" s="57">
        <v>0.50025595915202448</v>
      </c>
      <c r="J188" s="57">
        <v>0.49580833071273839</v>
      </c>
      <c r="K188" s="45">
        <v>0.50657388541935211</v>
      </c>
      <c r="L188" s="45">
        <v>0.48804331323039352</v>
      </c>
      <c r="M188" s="57">
        <v>0.52223835279899089</v>
      </c>
      <c r="N188" s="57">
        <v>0.55231425794803157</v>
      </c>
      <c r="GZ188" s="55"/>
      <c r="HA188" s="55"/>
      <c r="HB188" s="55"/>
      <c r="HC188" s="55"/>
      <c r="HD188" s="55"/>
    </row>
    <row r="189" spans="1:212" ht="12.75" customHeight="1" x14ac:dyDescent="0.2">
      <c r="A189" s="56" t="s">
        <v>73</v>
      </c>
      <c r="B189" s="66">
        <v>0.3094532633624501</v>
      </c>
      <c r="C189" s="57">
        <v>0.32246896027992966</v>
      </c>
      <c r="D189" s="57">
        <v>0.32105729871998806</v>
      </c>
      <c r="E189" s="65">
        <v>0.3229163517478511</v>
      </c>
      <c r="F189" s="57">
        <v>0.33185865561593741</v>
      </c>
      <c r="G189" s="57">
        <v>0.30511402849487929</v>
      </c>
      <c r="H189" s="57">
        <v>0.31924934778272135</v>
      </c>
      <c r="I189" s="57">
        <v>0.32467665027803577</v>
      </c>
      <c r="J189" s="57">
        <v>0.31536409703987989</v>
      </c>
      <c r="K189" s="45">
        <v>0.35580421618007924</v>
      </c>
      <c r="L189" s="45">
        <v>0.34126618230417916</v>
      </c>
      <c r="M189" s="57">
        <v>0.31986662621791667</v>
      </c>
      <c r="N189" s="57">
        <v>0.43387859397018258</v>
      </c>
      <c r="GZ189" s="55"/>
      <c r="HA189" s="55"/>
      <c r="HB189" s="55"/>
      <c r="HC189" s="55"/>
      <c r="HD189" s="55"/>
    </row>
    <row r="190" spans="1:212" ht="12.75" customHeight="1" x14ac:dyDescent="0.2">
      <c r="A190" s="56" t="s">
        <v>82</v>
      </c>
      <c r="B190" s="66">
        <v>0.42600985774644207</v>
      </c>
      <c r="C190" s="57">
        <v>0.42697781436758392</v>
      </c>
      <c r="D190" s="57">
        <v>0.41094231066043813</v>
      </c>
      <c r="E190" s="65">
        <v>0.44380617182943127</v>
      </c>
      <c r="F190" s="57">
        <v>0.44309626896129084</v>
      </c>
      <c r="G190" s="57">
        <v>0.41011455302368688</v>
      </c>
      <c r="H190" s="57">
        <v>0.42598188158249101</v>
      </c>
      <c r="I190" s="57">
        <v>0.42794997003290003</v>
      </c>
      <c r="J190" s="57">
        <v>0.4340658752688466</v>
      </c>
      <c r="K190" s="45">
        <v>0.45436316044805858</v>
      </c>
      <c r="L190" s="45">
        <v>0.42911249653911132</v>
      </c>
      <c r="M190" s="57">
        <v>0.47675243585115962</v>
      </c>
      <c r="N190" s="57">
        <v>0.47917985348383446</v>
      </c>
      <c r="GZ190" s="55"/>
      <c r="HA190" s="55"/>
      <c r="HB190" s="55"/>
      <c r="HC190" s="55"/>
      <c r="HD190" s="55"/>
    </row>
    <row r="191" spans="1:212" ht="12.75" customHeight="1" x14ac:dyDescent="0.2">
      <c r="A191" s="56" t="s">
        <v>119</v>
      </c>
      <c r="B191" s="66">
        <v>0.39474905643392438</v>
      </c>
      <c r="C191" s="57">
        <v>0.39763358523952047</v>
      </c>
      <c r="D191" s="57">
        <v>0.38588061387475237</v>
      </c>
      <c r="E191" s="65">
        <v>0.41377697491349746</v>
      </c>
      <c r="F191" s="57">
        <v>0.41142552935946453</v>
      </c>
      <c r="G191" s="57">
        <v>0.4013342965491416</v>
      </c>
      <c r="H191" s="57">
        <v>0.39364970181438286</v>
      </c>
      <c r="I191" s="57">
        <v>0.45185393562054987</v>
      </c>
      <c r="J191" s="57">
        <v>0.45514612988459652</v>
      </c>
      <c r="K191" s="45">
        <v>0.46008007687955982</v>
      </c>
      <c r="L191" s="45">
        <v>0.42920202539355279</v>
      </c>
      <c r="M191" s="57">
        <v>0.44523227867191495</v>
      </c>
      <c r="N191" s="57">
        <v>0.36974980158405069</v>
      </c>
      <c r="GZ191" s="55"/>
      <c r="HA191" s="55"/>
      <c r="HB191" s="55"/>
      <c r="HC191" s="55"/>
      <c r="HD191" s="55"/>
    </row>
    <row r="192" spans="1:212" ht="12.75" customHeight="1" x14ac:dyDescent="0.2">
      <c r="A192" s="56" t="s">
        <v>160</v>
      </c>
      <c r="B192" s="66">
        <v>0.3380885914378296</v>
      </c>
      <c r="C192" s="57">
        <v>0.35202808347837028</v>
      </c>
      <c r="D192" s="57">
        <v>0.3439968962411129</v>
      </c>
      <c r="E192" s="65">
        <v>0.32772104632493054</v>
      </c>
      <c r="F192" s="57">
        <v>0.38239458000083443</v>
      </c>
      <c r="G192" s="57">
        <v>0.3561216099624121</v>
      </c>
      <c r="H192" s="57">
        <v>0.35760952562894743</v>
      </c>
      <c r="I192" s="57">
        <v>0.37964607406679218</v>
      </c>
      <c r="J192" s="57">
        <v>0.36294667604741548</v>
      </c>
      <c r="K192" s="45">
        <v>0.39784613843228817</v>
      </c>
      <c r="L192" s="45">
        <v>0.38753880116234096</v>
      </c>
      <c r="M192" s="57">
        <v>0.3719054722467946</v>
      </c>
      <c r="N192" s="57">
        <v>0.46136228351529135</v>
      </c>
      <c r="GZ192" s="55"/>
      <c r="HA192" s="55"/>
      <c r="HB192" s="55"/>
      <c r="HC192" s="55"/>
      <c r="HD192" s="55"/>
    </row>
    <row r="193" spans="1:212" ht="12.75" customHeight="1" x14ac:dyDescent="0.2">
      <c r="A193" s="56" t="s">
        <v>7081</v>
      </c>
      <c r="B193" s="66">
        <v>0.35010031084976267</v>
      </c>
      <c r="C193" s="57">
        <v>0.39016075712527271</v>
      </c>
      <c r="D193" s="57">
        <v>0.37265481208714679</v>
      </c>
      <c r="E193" s="65">
        <v>0.39832001988108479</v>
      </c>
      <c r="F193" s="57">
        <v>0.3826143203645625</v>
      </c>
      <c r="G193" s="57">
        <v>0.37277299720044604</v>
      </c>
      <c r="H193" s="57">
        <v>0.37612035644401953</v>
      </c>
      <c r="I193" s="57">
        <v>0.41748885681954684</v>
      </c>
      <c r="J193" s="57">
        <v>0.40863644100702684</v>
      </c>
      <c r="K193" s="45">
        <v>0.41302766822772574</v>
      </c>
      <c r="L193" s="45">
        <v>0.41439939911564028</v>
      </c>
      <c r="M193" s="57">
        <v>0.44178966317646984</v>
      </c>
      <c r="N193" s="57">
        <v>0.51747247492092019</v>
      </c>
      <c r="GZ193" s="55"/>
      <c r="HA193" s="55"/>
      <c r="HB193" s="55"/>
      <c r="HC193" s="55"/>
      <c r="HD193" s="55"/>
    </row>
    <row r="194" spans="1:212" ht="12.75" customHeight="1" x14ac:dyDescent="0.2">
      <c r="A194" s="56" t="s">
        <v>288</v>
      </c>
      <c r="B194" s="66">
        <v>0.45124814246143846</v>
      </c>
      <c r="C194" s="57">
        <v>0.44181736029742247</v>
      </c>
      <c r="D194" s="57">
        <v>0.47439919068747927</v>
      </c>
      <c r="E194" s="65">
        <v>0.48469471518073565</v>
      </c>
      <c r="F194" s="57">
        <v>0.47915737928184093</v>
      </c>
      <c r="G194" s="57">
        <v>0.44291914790389592</v>
      </c>
      <c r="H194" s="57">
        <v>0.44320051444381031</v>
      </c>
      <c r="I194" s="57">
        <v>0.46127717545446156</v>
      </c>
      <c r="J194" s="57">
        <v>0.46715496048411204</v>
      </c>
      <c r="K194" s="45">
        <v>0.4700090040813486</v>
      </c>
      <c r="L194" s="45">
        <v>0.47877951484044029</v>
      </c>
      <c r="M194" s="57">
        <v>0.48825422849992295</v>
      </c>
      <c r="N194" s="57">
        <v>0.52188035150446266</v>
      </c>
      <c r="GZ194" s="55"/>
      <c r="HA194" s="55"/>
      <c r="HB194" s="55"/>
      <c r="HC194" s="55"/>
      <c r="HD194" s="55"/>
    </row>
    <row r="195" spans="1:212" ht="12.75" customHeight="1" x14ac:dyDescent="0.2">
      <c r="A195" s="56" t="s">
        <v>191</v>
      </c>
      <c r="B195" s="66">
        <v>0.51040904246670982</v>
      </c>
      <c r="C195" s="57">
        <v>0.54614623332193313</v>
      </c>
      <c r="D195" s="57">
        <v>0.54954551916676631</v>
      </c>
      <c r="E195" s="65">
        <v>0.45496956761628887</v>
      </c>
      <c r="F195" s="57">
        <v>0.4360350512601312</v>
      </c>
      <c r="G195" s="57">
        <v>0.43364786323907445</v>
      </c>
      <c r="H195" s="57">
        <v>0.46521256038075176</v>
      </c>
      <c r="I195" s="57">
        <v>0.45285966365111213</v>
      </c>
      <c r="J195" s="57">
        <v>0.43919609514088437</v>
      </c>
      <c r="K195" s="45">
        <v>0.46240723973028952</v>
      </c>
      <c r="L195" s="45">
        <v>0.45527123842580763</v>
      </c>
      <c r="M195" s="57">
        <v>0.45420495181816301</v>
      </c>
      <c r="N195" s="57">
        <v>0.51143897990338294</v>
      </c>
      <c r="GZ195" s="55"/>
      <c r="HA195" s="55"/>
      <c r="HB195" s="55"/>
      <c r="HC195" s="55"/>
      <c r="HD195" s="55"/>
    </row>
    <row r="196" spans="1:212" ht="12.75" customHeight="1" x14ac:dyDescent="0.2">
      <c r="A196" s="56" t="s">
        <v>105</v>
      </c>
      <c r="B196" s="66">
        <v>0.67756207003371594</v>
      </c>
      <c r="C196" s="57">
        <v>0.67646867521617104</v>
      </c>
      <c r="D196" s="57">
        <v>0.68948426214757097</v>
      </c>
      <c r="E196" s="65">
        <v>0.68287442059772285</v>
      </c>
      <c r="F196" s="57">
        <v>0.69275293225541679</v>
      </c>
      <c r="G196" s="57">
        <v>0.65239741897043746</v>
      </c>
      <c r="H196" s="57">
        <v>0.64115726688955221</v>
      </c>
      <c r="I196" s="57">
        <v>0.67169850401227138</v>
      </c>
      <c r="J196" s="57">
        <v>0.6458586603665939</v>
      </c>
      <c r="K196" s="45">
        <v>0.64995077277877555</v>
      </c>
      <c r="L196" s="45">
        <v>0.62987922395254736</v>
      </c>
      <c r="M196" s="57">
        <v>0.62865828403003354</v>
      </c>
      <c r="N196" s="57">
        <v>0.66672471995545668</v>
      </c>
      <c r="GZ196" s="55"/>
      <c r="HA196" s="55"/>
      <c r="HB196" s="55"/>
      <c r="HC196" s="55"/>
      <c r="HD196" s="55"/>
    </row>
    <row r="197" spans="1:212" ht="12.75" customHeight="1" x14ac:dyDescent="0.2">
      <c r="A197" s="56" t="s">
        <v>255</v>
      </c>
      <c r="B197" s="66">
        <v>0.43143613066400216</v>
      </c>
      <c r="C197" s="57">
        <v>0.44238775660907942</v>
      </c>
      <c r="D197" s="57">
        <v>0.43841349493571058</v>
      </c>
      <c r="E197" s="65">
        <v>0.46820909171840996</v>
      </c>
      <c r="F197" s="57">
        <v>0.46026802641180881</v>
      </c>
      <c r="G197" s="57">
        <v>0.45579272078680505</v>
      </c>
      <c r="H197" s="57">
        <v>0.44021394840580397</v>
      </c>
      <c r="I197" s="57">
        <v>0.49575574370438258</v>
      </c>
      <c r="J197" s="57">
        <v>0.48188150710909228</v>
      </c>
      <c r="K197" s="45">
        <v>0.48166166033497543</v>
      </c>
      <c r="L197" s="45">
        <v>0.46508832493518698</v>
      </c>
      <c r="M197" s="57">
        <v>0.48213184735748954</v>
      </c>
      <c r="N197" s="57">
        <v>0.52038030384758671</v>
      </c>
      <c r="GZ197" s="55"/>
      <c r="HA197" s="55"/>
      <c r="HB197" s="55"/>
      <c r="HC197" s="55"/>
      <c r="HD197" s="55"/>
    </row>
    <row r="198" spans="1:212" ht="12.75" customHeight="1" x14ac:dyDescent="0.2">
      <c r="A198" s="56" t="s">
        <v>161</v>
      </c>
      <c r="B198" s="66">
        <v>0.39831976738757779</v>
      </c>
      <c r="C198" s="57">
        <v>0.3637358772417455</v>
      </c>
      <c r="D198" s="57">
        <v>0.38634749343036556</v>
      </c>
      <c r="E198" s="65">
        <v>0.37555675804536748</v>
      </c>
      <c r="F198" s="57">
        <v>0.36159772665071682</v>
      </c>
      <c r="G198" s="57">
        <v>0.35275818046847879</v>
      </c>
      <c r="H198" s="57">
        <v>0.29886761727633321</v>
      </c>
      <c r="I198" s="57">
        <v>0.37008477451659455</v>
      </c>
      <c r="J198" s="57">
        <v>0.3591188226618266</v>
      </c>
      <c r="K198" s="45">
        <v>0.38523400214403331</v>
      </c>
      <c r="L198" s="45">
        <v>0.36400461794538613</v>
      </c>
      <c r="M198" s="57">
        <v>0.39488650605363679</v>
      </c>
      <c r="N198" s="57">
        <v>0.39517895074236259</v>
      </c>
      <c r="GZ198" s="55"/>
      <c r="HA198" s="55"/>
      <c r="HB198" s="55"/>
      <c r="HC198" s="55"/>
      <c r="HD198" s="55"/>
    </row>
    <row r="199" spans="1:212" ht="12.75" customHeight="1" x14ac:dyDescent="0.2">
      <c r="A199" s="56" t="s">
        <v>106</v>
      </c>
      <c r="B199" s="66">
        <v>0.42842946921411573</v>
      </c>
      <c r="C199" s="57">
        <v>0.44815203019878141</v>
      </c>
      <c r="D199" s="57">
        <v>0.43300316515820703</v>
      </c>
      <c r="E199" s="65">
        <v>0.4006813547024245</v>
      </c>
      <c r="F199" s="57">
        <v>0.4217566941015532</v>
      </c>
      <c r="G199" s="57">
        <v>0.40298620087413667</v>
      </c>
      <c r="H199" s="57">
        <v>0.42681732040274711</v>
      </c>
      <c r="I199" s="57">
        <v>0.43566528787433045</v>
      </c>
      <c r="J199" s="57">
        <v>0.41723043311837632</v>
      </c>
      <c r="K199" s="45">
        <v>0.43466381311867985</v>
      </c>
      <c r="L199" s="45">
        <v>0.40177801940480379</v>
      </c>
      <c r="M199" s="57">
        <v>0.41357468049911983</v>
      </c>
      <c r="N199" s="57">
        <v>0.46394535901281431</v>
      </c>
      <c r="GZ199" s="55"/>
      <c r="HA199" s="55"/>
      <c r="HB199" s="55"/>
      <c r="HC199" s="55"/>
      <c r="HD199" s="55"/>
    </row>
    <row r="200" spans="1:212" ht="12.75" customHeight="1" x14ac:dyDescent="0.2">
      <c r="A200" s="56" t="s">
        <v>392</v>
      </c>
      <c r="B200" s="66">
        <v>0.42059147027241039</v>
      </c>
      <c r="C200" s="57">
        <v>0.43908787482487149</v>
      </c>
      <c r="D200" s="57">
        <v>0.42714716714116074</v>
      </c>
      <c r="E200" s="65">
        <v>0.45075941397199437</v>
      </c>
      <c r="F200" s="57">
        <v>0.51276576784713723</v>
      </c>
      <c r="G200" s="57">
        <v>0.46273041230166179</v>
      </c>
      <c r="H200" s="57">
        <v>0.46116316973226834</v>
      </c>
      <c r="I200" s="57">
        <v>0.50525134508010272</v>
      </c>
      <c r="J200" s="57">
        <v>0.49324620275372966</v>
      </c>
      <c r="K200" s="45">
        <v>0.51547204566800631</v>
      </c>
      <c r="L200" s="45">
        <v>0.49986478296374515</v>
      </c>
      <c r="M200" s="57">
        <v>0.53625280952930976</v>
      </c>
      <c r="N200" s="57">
        <v>0.57015635036924295</v>
      </c>
      <c r="GZ200" s="55"/>
      <c r="HA200" s="55"/>
      <c r="HB200" s="55"/>
      <c r="HC200" s="55"/>
      <c r="HD200" s="55"/>
    </row>
    <row r="201" spans="1:212" ht="12.75" customHeight="1" x14ac:dyDescent="0.2">
      <c r="A201" s="56" t="s">
        <v>256</v>
      </c>
      <c r="B201" s="66">
        <v>0.41439550451940971</v>
      </c>
      <c r="C201" s="57">
        <v>0.45452728131959408</v>
      </c>
      <c r="D201" s="57">
        <v>0.43729904685013177</v>
      </c>
      <c r="E201" s="65">
        <v>0.45424932786877886</v>
      </c>
      <c r="F201" s="57">
        <v>0.44701483921291091</v>
      </c>
      <c r="G201" s="57">
        <v>0.44094914060952189</v>
      </c>
      <c r="H201" s="57">
        <v>0.45164575930222883</v>
      </c>
      <c r="I201" s="57">
        <v>0.45586607888747926</v>
      </c>
      <c r="J201" s="57">
        <v>0.44091468604690709</v>
      </c>
      <c r="K201" s="45">
        <v>0.4689278653044508</v>
      </c>
      <c r="L201" s="45">
        <v>0.49319882444752444</v>
      </c>
      <c r="M201" s="57">
        <v>0.37942849056467676</v>
      </c>
      <c r="N201" s="57">
        <v>0.55719331190650967</v>
      </c>
      <c r="GZ201" s="55"/>
      <c r="HA201" s="55"/>
      <c r="HB201" s="55"/>
      <c r="HC201" s="55"/>
      <c r="HD201" s="55"/>
    </row>
    <row r="202" spans="1:212" ht="12.75" customHeight="1" x14ac:dyDescent="0.2">
      <c r="A202" s="56" t="s">
        <v>215</v>
      </c>
      <c r="B202" s="66">
        <v>0.43809941265257235</v>
      </c>
      <c r="C202" s="57">
        <v>0.4570494236119132</v>
      </c>
      <c r="D202" s="57">
        <v>0.60133413596959961</v>
      </c>
      <c r="E202" s="65">
        <v>0.42767873615553031</v>
      </c>
      <c r="F202" s="57">
        <v>0.4781263065301421</v>
      </c>
      <c r="G202" s="57">
        <v>0.4480748565035107</v>
      </c>
      <c r="H202" s="57">
        <v>0.45196536131259529</v>
      </c>
      <c r="I202" s="57">
        <v>0.44662922610774652</v>
      </c>
      <c r="J202" s="57">
        <v>0.44878830141992643</v>
      </c>
      <c r="K202" s="45">
        <v>0.47070727819942804</v>
      </c>
      <c r="L202" s="45">
        <v>0.44237115136382432</v>
      </c>
      <c r="M202" s="57">
        <v>0.46749113449398794</v>
      </c>
      <c r="N202" s="57">
        <v>0.47313302041450267</v>
      </c>
      <c r="GZ202" s="55"/>
      <c r="HA202" s="55"/>
      <c r="HB202" s="55"/>
      <c r="HC202" s="55"/>
      <c r="HD202" s="55"/>
    </row>
    <row r="203" spans="1:212" ht="12.75" customHeight="1" x14ac:dyDescent="0.2">
      <c r="A203" s="56" t="s">
        <v>7080</v>
      </c>
      <c r="B203" s="66">
        <v>0.50360563855766771</v>
      </c>
      <c r="C203" s="57">
        <v>0.5128158964975803</v>
      </c>
      <c r="D203" s="57">
        <v>0.52279149547566384</v>
      </c>
      <c r="E203" s="65">
        <v>0.54756031705478603</v>
      </c>
      <c r="F203" s="57">
        <v>0.55231495865456492</v>
      </c>
      <c r="G203" s="57">
        <v>0.51673490905639785</v>
      </c>
      <c r="H203" s="57">
        <v>0.52094566291000777</v>
      </c>
      <c r="I203" s="57">
        <v>0.53502321113097473</v>
      </c>
      <c r="J203" s="57">
        <v>0.53405743589934596</v>
      </c>
      <c r="K203" s="45">
        <v>0.56855244297378404</v>
      </c>
      <c r="L203" s="45">
        <v>0.5593751468365703</v>
      </c>
      <c r="M203" s="57">
        <v>0.59473516744184529</v>
      </c>
      <c r="N203" s="57">
        <v>0.64596556059177068</v>
      </c>
      <c r="GZ203" s="55"/>
      <c r="HA203" s="55"/>
      <c r="HB203" s="55"/>
      <c r="HC203" s="55"/>
      <c r="HD203" s="55"/>
    </row>
    <row r="204" spans="1:212" ht="12.75" customHeight="1" x14ac:dyDescent="0.2">
      <c r="A204" s="56" t="s">
        <v>409</v>
      </c>
      <c r="B204" s="66">
        <v>0.481740066429443</v>
      </c>
      <c r="C204" s="57">
        <v>0.50231369514255408</v>
      </c>
      <c r="D204" s="57">
        <v>0.47073844940917065</v>
      </c>
      <c r="E204" s="65">
        <v>0.48278882434910525</v>
      </c>
      <c r="F204" s="57">
        <v>0.47008575265990193</v>
      </c>
      <c r="G204" s="57">
        <v>0.43468257841659452</v>
      </c>
      <c r="H204" s="57">
        <v>0.44203668612922559</v>
      </c>
      <c r="I204" s="57">
        <v>0.47321877497973547</v>
      </c>
      <c r="J204" s="57">
        <v>0.4530300438859467</v>
      </c>
      <c r="K204" s="45">
        <v>0.42274113776184769</v>
      </c>
      <c r="L204" s="45">
        <v>0.44764435672313807</v>
      </c>
      <c r="M204" s="57">
        <v>0.4623089919331464</v>
      </c>
      <c r="N204" s="57">
        <v>0.484719995789823</v>
      </c>
      <c r="GZ204" s="55"/>
      <c r="HA204" s="55"/>
      <c r="HB204" s="55"/>
      <c r="HC204" s="55"/>
      <c r="HD204" s="55"/>
    </row>
    <row r="205" spans="1:212" ht="12.75" customHeight="1" x14ac:dyDescent="0.2">
      <c r="A205" s="56" t="s">
        <v>357</v>
      </c>
      <c r="B205" s="66">
        <v>0.34158968128806622</v>
      </c>
      <c r="C205" s="57">
        <v>0.35776750020803155</v>
      </c>
      <c r="D205" s="57">
        <v>0.34119378358135322</v>
      </c>
      <c r="E205" s="65">
        <v>0.37147653433192568</v>
      </c>
      <c r="F205" s="57">
        <v>0.39085440122559617</v>
      </c>
      <c r="G205" s="57">
        <v>0.37059155984066844</v>
      </c>
      <c r="H205" s="57">
        <v>0.34758561074396405</v>
      </c>
      <c r="I205" s="57">
        <v>0.40275373239459356</v>
      </c>
      <c r="J205" s="57">
        <v>0.39726535226709425</v>
      </c>
      <c r="K205" s="45">
        <v>0.43163802872781798</v>
      </c>
      <c r="L205" s="45">
        <v>0.39345588313376073</v>
      </c>
      <c r="M205" s="57">
        <v>0.41485845188368564</v>
      </c>
      <c r="N205" s="57">
        <v>0.46074827620298969</v>
      </c>
      <c r="GZ205" s="55"/>
      <c r="HA205" s="55"/>
      <c r="HB205" s="55"/>
      <c r="HC205" s="55"/>
      <c r="HD205" s="55"/>
    </row>
    <row r="206" spans="1:212" ht="12.75" customHeight="1" x14ac:dyDescent="0.2">
      <c r="A206" s="56" t="s">
        <v>387</v>
      </c>
      <c r="B206" s="66">
        <v>0.42172757364886765</v>
      </c>
      <c r="C206" s="57">
        <v>0.43797672378663088</v>
      </c>
      <c r="D206" s="57">
        <v>0.42847802281036246</v>
      </c>
      <c r="E206" s="65">
        <v>0.4537259249164794</v>
      </c>
      <c r="F206" s="57">
        <v>0.451578892814473</v>
      </c>
      <c r="G206" s="57">
        <v>0.43654716152824896</v>
      </c>
      <c r="H206" s="57">
        <v>0.42713981647776983</v>
      </c>
      <c r="I206" s="57">
        <v>0.4544867379626546</v>
      </c>
      <c r="J206" s="57">
        <v>0.45338509548790112</v>
      </c>
      <c r="K206" s="45">
        <v>0.47484908762220546</v>
      </c>
      <c r="L206" s="45">
        <v>0.46327689151496354</v>
      </c>
      <c r="M206" s="57">
        <v>0.48875527624966064</v>
      </c>
      <c r="N206" s="57">
        <v>0.53001247915842031</v>
      </c>
      <c r="GZ206" s="55"/>
      <c r="HA206" s="55"/>
      <c r="HB206" s="55"/>
      <c r="HC206" s="55"/>
      <c r="HD206" s="55"/>
    </row>
    <row r="207" spans="1:212" ht="12.75" customHeight="1" x14ac:dyDescent="0.2">
      <c r="A207" s="56" t="s">
        <v>74</v>
      </c>
      <c r="B207" s="66">
        <v>0.44830644272551767</v>
      </c>
      <c r="C207" s="57">
        <v>0.42064693539020553</v>
      </c>
      <c r="D207" s="57">
        <v>0.39850391520884954</v>
      </c>
      <c r="E207" s="65">
        <v>0.45233101985447438</v>
      </c>
      <c r="F207" s="57">
        <v>0.42924018669686131</v>
      </c>
      <c r="G207" s="57">
        <v>0.43423064237460657</v>
      </c>
      <c r="H207" s="57">
        <v>0.43170048849982812</v>
      </c>
      <c r="I207" s="57">
        <v>0.41476210556496407</v>
      </c>
      <c r="J207" s="57">
        <v>0.43184457847500046</v>
      </c>
      <c r="K207" s="45">
        <v>0.4567323294125924</v>
      </c>
      <c r="L207" s="45">
        <v>0.4463634538424453</v>
      </c>
      <c r="M207" s="57">
        <v>0.4674241476668809</v>
      </c>
      <c r="N207" s="57">
        <v>0.5119697978837503</v>
      </c>
      <c r="GZ207" s="55"/>
      <c r="HA207" s="55"/>
      <c r="HB207" s="55"/>
      <c r="HC207" s="55"/>
      <c r="HD207" s="55"/>
    </row>
    <row r="208" spans="1:212" ht="12.75" customHeight="1" x14ac:dyDescent="0.2">
      <c r="A208" s="56" t="s">
        <v>308</v>
      </c>
      <c r="B208" s="66">
        <v>0.57531241705283176</v>
      </c>
      <c r="C208" s="57">
        <v>0.59219591867772137</v>
      </c>
      <c r="D208" s="57">
        <v>0.57344079819239457</v>
      </c>
      <c r="E208" s="65">
        <v>0.60678934296966547</v>
      </c>
      <c r="F208" s="57">
        <v>0.61482676918859036</v>
      </c>
      <c r="G208" s="57">
        <v>0.59487759432192289</v>
      </c>
      <c r="H208" s="57">
        <v>0.60890339265998383</v>
      </c>
      <c r="I208" s="57">
        <v>0.61895775785054719</v>
      </c>
      <c r="J208" s="57">
        <v>0.62695684798711837</v>
      </c>
      <c r="K208" s="45">
        <v>0.62697844941291236</v>
      </c>
      <c r="L208" s="45">
        <v>0.59778846199763558</v>
      </c>
      <c r="M208" s="57">
        <v>0.63693171398198889</v>
      </c>
      <c r="N208" s="57">
        <v>0.65170745928793705</v>
      </c>
      <c r="GZ208" s="55"/>
      <c r="HA208" s="55"/>
      <c r="HB208" s="55"/>
      <c r="HC208" s="55"/>
      <c r="HD208" s="55"/>
    </row>
    <row r="209" spans="1:212" ht="12.75" customHeight="1" x14ac:dyDescent="0.2">
      <c r="A209" s="56" t="s">
        <v>301</v>
      </c>
      <c r="B209" s="66">
        <v>0.33005612380647659</v>
      </c>
      <c r="C209" s="57">
        <v>0.34615392071275186</v>
      </c>
      <c r="D209" s="57">
        <v>0.32065206609302438</v>
      </c>
      <c r="E209" s="65">
        <v>0.35222413320289042</v>
      </c>
      <c r="F209" s="57">
        <v>0.36784538470109907</v>
      </c>
      <c r="G209" s="57">
        <v>0.35030858691514527</v>
      </c>
      <c r="H209" s="57">
        <v>0.35950019604302008</v>
      </c>
      <c r="I209" s="57">
        <v>0.37246990382284573</v>
      </c>
      <c r="J209" s="57">
        <v>0.36661400751651685</v>
      </c>
      <c r="K209" s="45">
        <v>0.34150948073034904</v>
      </c>
      <c r="L209" s="45">
        <v>0.32359315634629848</v>
      </c>
      <c r="M209" s="57">
        <v>0.41409381851185667</v>
      </c>
      <c r="N209" s="57">
        <v>0.40614389387414657</v>
      </c>
      <c r="GZ209" s="55"/>
      <c r="HA209" s="55"/>
      <c r="HB209" s="55"/>
      <c r="HC209" s="55"/>
      <c r="HD209" s="55"/>
    </row>
    <row r="210" spans="1:212" ht="12.75" customHeight="1" x14ac:dyDescent="0.2">
      <c r="A210" s="56" t="s">
        <v>203</v>
      </c>
      <c r="B210" s="66">
        <v>0.50483162277749438</v>
      </c>
      <c r="C210" s="57">
        <v>0.51067122889898919</v>
      </c>
      <c r="D210" s="57">
        <v>0.51392551550230559</v>
      </c>
      <c r="E210" s="65">
        <v>0.5415563202712389</v>
      </c>
      <c r="F210" s="57">
        <v>0.53968295624171669</v>
      </c>
      <c r="G210" s="57">
        <v>0.50123226236456053</v>
      </c>
      <c r="H210" s="57">
        <v>0.4877078339824733</v>
      </c>
      <c r="I210" s="57">
        <v>0.52018035962934261</v>
      </c>
      <c r="J210" s="57">
        <v>0.51032452904837078</v>
      </c>
      <c r="K210" s="45">
        <v>0.54432907310872702</v>
      </c>
      <c r="L210" s="45">
        <v>0.51894473368877103</v>
      </c>
      <c r="M210" s="57">
        <v>0.55804095069628601</v>
      </c>
      <c r="N210" s="57">
        <v>0.57778420809006015</v>
      </c>
      <c r="GZ210" s="55"/>
      <c r="HA210" s="55"/>
      <c r="HB210" s="55"/>
      <c r="HC210" s="55"/>
      <c r="HD210" s="55"/>
    </row>
    <row r="211" spans="1:212" ht="12.75" customHeight="1" x14ac:dyDescent="0.2">
      <c r="A211" s="56" t="s">
        <v>180</v>
      </c>
      <c r="B211" s="66">
        <v>0.4346494652555758</v>
      </c>
      <c r="C211" s="57">
        <v>0.44432385201004437</v>
      </c>
      <c r="D211" s="57">
        <v>0.45631174412756442</v>
      </c>
      <c r="E211" s="65">
        <v>0.43485062464452617</v>
      </c>
      <c r="F211" s="57">
        <v>0.44638391396277399</v>
      </c>
      <c r="G211" s="57">
        <v>0.40978817092352116</v>
      </c>
      <c r="H211" s="57">
        <v>0.41190689001679204</v>
      </c>
      <c r="I211" s="57">
        <v>0.43446240050681023</v>
      </c>
      <c r="J211" s="57">
        <v>0.4382381652930265</v>
      </c>
      <c r="K211" s="45">
        <v>0.45711076821297092</v>
      </c>
      <c r="L211" s="45">
        <v>0.41780179826997699</v>
      </c>
      <c r="M211" s="57">
        <v>0.43762753592760228</v>
      </c>
      <c r="N211" s="57">
        <v>0.4843388485031227</v>
      </c>
      <c r="GZ211" s="55"/>
      <c r="HA211" s="55"/>
      <c r="HB211" s="55"/>
      <c r="HC211" s="55"/>
      <c r="HD211" s="55"/>
    </row>
    <row r="212" spans="1:212" ht="12.75" customHeight="1" x14ac:dyDescent="0.2">
      <c r="A212" s="56" t="s">
        <v>289</v>
      </c>
      <c r="B212" s="66">
        <v>0.36251465038691716</v>
      </c>
      <c r="C212" s="57">
        <v>0.36898850822173518</v>
      </c>
      <c r="D212" s="57">
        <v>0.33007948942739268</v>
      </c>
      <c r="E212" s="65">
        <v>0.39161459231023926</v>
      </c>
      <c r="F212" s="57">
        <v>0.39640830254542503</v>
      </c>
      <c r="G212" s="57">
        <v>0.36940430468412994</v>
      </c>
      <c r="H212" s="57">
        <v>0.37988341935282449</v>
      </c>
      <c r="I212" s="57">
        <v>0.40462919810507714</v>
      </c>
      <c r="J212" s="57">
        <v>0.39433027884969829</v>
      </c>
      <c r="K212" s="45">
        <v>0.3942593586330711</v>
      </c>
      <c r="L212" s="45">
        <v>0.3874225556054372</v>
      </c>
      <c r="M212" s="57">
        <v>0.39796400245270774</v>
      </c>
      <c r="N212" s="57">
        <v>0.46250285158877724</v>
      </c>
      <c r="GZ212" s="55"/>
      <c r="HA212" s="55"/>
      <c r="HB212" s="55"/>
      <c r="HC212" s="55"/>
      <c r="HD212" s="55"/>
    </row>
    <row r="213" spans="1:212" ht="12.75" customHeight="1" x14ac:dyDescent="0.2">
      <c r="A213" s="56" t="s">
        <v>242</v>
      </c>
      <c r="B213" s="66">
        <v>0.34764950615614593</v>
      </c>
      <c r="C213" s="57">
        <v>0.38927774073996591</v>
      </c>
      <c r="D213" s="57">
        <v>0.36536725418208571</v>
      </c>
      <c r="E213" s="65">
        <v>0.38014668162253706</v>
      </c>
      <c r="F213" s="57">
        <v>0.40964187019472614</v>
      </c>
      <c r="G213" s="57">
        <v>0.40920524807736702</v>
      </c>
      <c r="H213" s="57">
        <v>0.40845154043414578</v>
      </c>
      <c r="I213" s="57">
        <v>0.38920069652333456</v>
      </c>
      <c r="J213" s="57">
        <v>0.40517006210551088</v>
      </c>
      <c r="K213" s="45">
        <v>0.39852108364019501</v>
      </c>
      <c r="L213" s="45">
        <v>0.42082937745565674</v>
      </c>
      <c r="M213" s="57">
        <v>0.40625276791828835</v>
      </c>
      <c r="N213" s="57">
        <v>0.40967256572848654</v>
      </c>
      <c r="GZ213" s="55"/>
      <c r="HA213" s="55"/>
      <c r="HB213" s="55"/>
      <c r="HC213" s="55"/>
      <c r="HD213" s="55"/>
    </row>
    <row r="214" spans="1:212" ht="12.75" customHeight="1" x14ac:dyDescent="0.2">
      <c r="A214" s="56" t="s">
        <v>192</v>
      </c>
      <c r="B214" s="66">
        <v>0.67984770289026797</v>
      </c>
      <c r="C214" s="57">
        <v>0.68801673913693595</v>
      </c>
      <c r="D214" s="57">
        <v>0.68655844016738632</v>
      </c>
      <c r="E214" s="65">
        <v>0.70762845862475432</v>
      </c>
      <c r="F214" s="57">
        <v>0.71152165889202601</v>
      </c>
      <c r="G214" s="57">
        <v>0.67416181466299141</v>
      </c>
      <c r="H214" s="57">
        <v>0.67268431493677028</v>
      </c>
      <c r="I214" s="57">
        <v>0.67805815841177342</v>
      </c>
      <c r="J214" s="57">
        <v>0.66552854542156714</v>
      </c>
      <c r="K214" s="45">
        <v>0.66601932708610556</v>
      </c>
      <c r="L214" s="45">
        <v>0.6326267641556983</v>
      </c>
      <c r="M214" s="57">
        <v>0.67167541036744671</v>
      </c>
      <c r="N214" s="57">
        <v>0.70112007088836847</v>
      </c>
      <c r="GZ214" s="55"/>
      <c r="HA214" s="55"/>
      <c r="HB214" s="55"/>
      <c r="HC214" s="55"/>
      <c r="HD214" s="55"/>
    </row>
    <row r="215" spans="1:212" ht="12.75" customHeight="1" x14ac:dyDescent="0.2">
      <c r="A215" s="56" t="s">
        <v>388</v>
      </c>
      <c r="B215" s="66">
        <v>0.44449611985076715</v>
      </c>
      <c r="C215" s="57">
        <v>0.45790787983759801</v>
      </c>
      <c r="D215" s="57">
        <v>0.45017202446734494</v>
      </c>
      <c r="E215" s="65">
        <v>0.47401596734339552</v>
      </c>
      <c r="F215" s="57">
        <v>0.500731133555816</v>
      </c>
      <c r="G215" s="57">
        <v>0.45986010531811111</v>
      </c>
      <c r="H215" s="57">
        <v>0.44509588207392536</v>
      </c>
      <c r="I215" s="57">
        <v>0.48140071839408549</v>
      </c>
      <c r="J215" s="57">
        <v>0.46052507244268609</v>
      </c>
      <c r="K215" s="45">
        <v>0.47116144628408002</v>
      </c>
      <c r="L215" s="45">
        <v>0.45891154681587126</v>
      </c>
      <c r="M215" s="57">
        <v>0.47998686106324628</v>
      </c>
      <c r="N215" s="57">
        <v>0.52509196464358654</v>
      </c>
      <c r="GZ215" s="55"/>
      <c r="HA215" s="55"/>
      <c r="HB215" s="55"/>
      <c r="HC215" s="55"/>
      <c r="HD215" s="55"/>
    </row>
    <row r="216" spans="1:212" ht="12.75" customHeight="1" x14ac:dyDescent="0.2">
      <c r="A216" s="56" t="s">
        <v>324</v>
      </c>
      <c r="B216" s="66">
        <v>0.4803129097497143</v>
      </c>
      <c r="C216" s="57">
        <v>0.49056208464036744</v>
      </c>
      <c r="D216" s="57">
        <v>0.45749264539067536</v>
      </c>
      <c r="E216" s="65">
        <v>0.55771657481357373</v>
      </c>
      <c r="F216" s="57">
        <v>0.54111788580034303</v>
      </c>
      <c r="G216" s="57">
        <v>0.51355172545923422</v>
      </c>
      <c r="H216" s="57">
        <v>0.55063973131425703</v>
      </c>
      <c r="I216" s="57">
        <v>0.55497857119970695</v>
      </c>
      <c r="J216" s="57">
        <v>0.47353921673766175</v>
      </c>
      <c r="K216" s="45">
        <v>0.541529493357916</v>
      </c>
      <c r="L216" s="45">
        <v>0.50580186782117442</v>
      </c>
      <c r="M216" s="57">
        <v>0.50687367860631949</v>
      </c>
      <c r="N216" s="57">
        <v>0.51509299473457582</v>
      </c>
      <c r="GZ216" s="55"/>
      <c r="HA216" s="55"/>
      <c r="HB216" s="55"/>
      <c r="HC216" s="55"/>
      <c r="HD216" s="55"/>
    </row>
    <row r="217" spans="1:212" ht="12.75" customHeight="1" x14ac:dyDescent="0.2">
      <c r="A217" s="56" t="s">
        <v>358</v>
      </c>
      <c r="B217" s="66">
        <v>0.41971043774654376</v>
      </c>
      <c r="C217" s="57">
        <v>0.40833116184296409</v>
      </c>
      <c r="D217" s="57">
        <v>0.42115452109971835</v>
      </c>
      <c r="E217" s="65">
        <v>0.45920999589272155</v>
      </c>
      <c r="F217" s="57">
        <v>0.44340056216246881</v>
      </c>
      <c r="G217" s="57">
        <v>0.47834214302187172</v>
      </c>
      <c r="H217" s="57">
        <v>0.41341873845075772</v>
      </c>
      <c r="I217" s="57">
        <v>0.4678672122350187</v>
      </c>
      <c r="J217" s="57">
        <v>0.46059832279952301</v>
      </c>
      <c r="K217" s="45">
        <v>0.49861041422471836</v>
      </c>
      <c r="L217" s="45">
        <v>0.46445585438718612</v>
      </c>
      <c r="M217" s="57">
        <v>0.52409164742579906</v>
      </c>
      <c r="N217" s="57">
        <v>0.49389368410644496</v>
      </c>
      <c r="GZ217" s="55"/>
      <c r="HA217" s="55"/>
      <c r="HB217" s="55"/>
      <c r="HC217" s="55"/>
      <c r="HD217" s="55"/>
    </row>
    <row r="218" spans="1:212" ht="12.75" customHeight="1" x14ac:dyDescent="0.2">
      <c r="A218" s="56" t="s">
        <v>395</v>
      </c>
      <c r="B218" s="66">
        <v>0.2595605033531162</v>
      </c>
      <c r="C218" s="57">
        <v>0.27746408936666495</v>
      </c>
      <c r="D218" s="57">
        <v>0.22027342307490577</v>
      </c>
      <c r="E218" s="65">
        <v>0.41114428897034194</v>
      </c>
      <c r="F218" s="57">
        <v>0.37551209778722749</v>
      </c>
      <c r="G218" s="57">
        <v>0.20594542984833608</v>
      </c>
      <c r="H218" s="57">
        <v>0.41156384693953502</v>
      </c>
      <c r="I218" s="57">
        <v>0.37556684728733719</v>
      </c>
      <c r="J218" s="57">
        <v>0.39331093892736435</v>
      </c>
      <c r="K218" s="45">
        <v>0.40329409867783106</v>
      </c>
      <c r="L218" s="45">
        <v>0.39444193577186321</v>
      </c>
      <c r="M218" s="57">
        <v>0.45793668690558054</v>
      </c>
      <c r="N218" s="57">
        <v>0.48246283402288259</v>
      </c>
      <c r="GZ218" s="55"/>
      <c r="HA218" s="55"/>
      <c r="HB218" s="55"/>
      <c r="HC218" s="55"/>
      <c r="HD218" s="55"/>
    </row>
    <row r="219" spans="1:212" ht="12.75" customHeight="1" x14ac:dyDescent="0.2">
      <c r="A219" s="56" t="s">
        <v>204</v>
      </c>
      <c r="B219" s="66">
        <v>0.39632322030413375</v>
      </c>
      <c r="C219" s="57">
        <v>0.38124507829268439</v>
      </c>
      <c r="D219" s="57">
        <v>0.45216349744305268</v>
      </c>
      <c r="E219" s="65">
        <v>0.47050023193000751</v>
      </c>
      <c r="F219" s="57">
        <v>0.42208163345560856</v>
      </c>
      <c r="G219" s="57">
        <v>0.40106670049384857</v>
      </c>
      <c r="H219" s="57">
        <v>0.40846246754127663</v>
      </c>
      <c r="I219" s="57">
        <v>0.4335906120336272</v>
      </c>
      <c r="J219" s="57">
        <v>0.40884042730989184</v>
      </c>
      <c r="K219" s="45">
        <v>0.42822994472032699</v>
      </c>
      <c r="L219" s="45">
        <v>0.40791255724527997</v>
      </c>
      <c r="M219" s="57">
        <v>0.42660860426194325</v>
      </c>
      <c r="N219" s="57">
        <v>0.33910984426527307</v>
      </c>
      <c r="GZ219" s="55"/>
      <c r="HA219" s="55"/>
      <c r="HB219" s="55"/>
      <c r="HC219" s="55"/>
      <c r="HD219" s="55"/>
    </row>
    <row r="220" spans="1:212" ht="12.75" customHeight="1" x14ac:dyDescent="0.2">
      <c r="A220" s="56" t="s">
        <v>309</v>
      </c>
      <c r="B220" s="66">
        <v>0.52899839928227155</v>
      </c>
      <c r="C220" s="57">
        <v>0.55019872656202307</v>
      </c>
      <c r="D220" s="57">
        <v>0.54709601174201583</v>
      </c>
      <c r="E220" s="65">
        <v>0.58886710115963525</v>
      </c>
      <c r="F220" s="57">
        <v>0.62088401128216908</v>
      </c>
      <c r="G220" s="57">
        <v>0.63671882406008951</v>
      </c>
      <c r="H220" s="57">
        <v>0.63779199841542988</v>
      </c>
      <c r="I220" s="57">
        <v>0.65310513677849324</v>
      </c>
      <c r="J220" s="57">
        <v>0.63605354663642633</v>
      </c>
      <c r="K220" s="45">
        <v>0.64678470468102678</v>
      </c>
      <c r="L220" s="45">
        <v>0.62837402282969024</v>
      </c>
      <c r="M220" s="57">
        <v>0.63977395833460715</v>
      </c>
      <c r="N220" s="57">
        <v>0.67250731900556249</v>
      </c>
      <c r="GZ220" s="55"/>
      <c r="HA220" s="55"/>
      <c r="HB220" s="55"/>
      <c r="HC220" s="55"/>
      <c r="HD220" s="55"/>
    </row>
    <row r="221" spans="1:212" ht="12.75" customHeight="1" x14ac:dyDescent="0.2">
      <c r="A221" s="56" t="s">
        <v>399</v>
      </c>
      <c r="B221" s="66">
        <v>0.47626742839370884</v>
      </c>
      <c r="C221" s="57">
        <v>0.45882778186552359</v>
      </c>
      <c r="D221" s="57">
        <v>0.48112219572388698</v>
      </c>
      <c r="E221" s="65">
        <v>0.49581467241184768</v>
      </c>
      <c r="F221" s="57">
        <v>0.52345091440321878</v>
      </c>
      <c r="G221" s="57">
        <v>0.5174520016742139</v>
      </c>
      <c r="H221" s="57">
        <v>0.42956949805771055</v>
      </c>
      <c r="I221" s="57">
        <v>0.48004694678427284</v>
      </c>
      <c r="J221" s="57">
        <v>0.45090401918778078</v>
      </c>
      <c r="K221" s="45">
        <v>0.44440859708854263</v>
      </c>
      <c r="L221" s="45">
        <v>0.40519986086281889</v>
      </c>
      <c r="M221" s="57">
        <v>0.45494103457006585</v>
      </c>
      <c r="N221" s="57">
        <v>0.45236685026724566</v>
      </c>
      <c r="GZ221" s="55"/>
      <c r="HA221" s="55"/>
      <c r="HB221" s="55"/>
      <c r="HC221" s="55"/>
      <c r="HD221" s="55"/>
    </row>
    <row r="222" spans="1:212" ht="12.75" customHeight="1" x14ac:dyDescent="0.2">
      <c r="A222" s="56" t="s">
        <v>75</v>
      </c>
      <c r="B222" s="66">
        <v>0.29712067647196827</v>
      </c>
      <c r="C222" s="57">
        <v>0.31696751701432213</v>
      </c>
      <c r="D222" s="57">
        <v>0.289462547112596</v>
      </c>
      <c r="E222" s="65">
        <v>0.37247013674018775</v>
      </c>
      <c r="F222" s="57">
        <v>0.34883830149689032</v>
      </c>
      <c r="G222" s="57">
        <v>0.32350334373572182</v>
      </c>
      <c r="H222" s="57">
        <v>0.35614843217556968</v>
      </c>
      <c r="I222" s="57">
        <v>0.3631607313379237</v>
      </c>
      <c r="J222" s="57">
        <v>0.35342696666646378</v>
      </c>
      <c r="K222" s="45">
        <v>0.22474468044210977</v>
      </c>
      <c r="L222" s="45">
        <v>0.44134099975814473</v>
      </c>
      <c r="M222" s="57">
        <v>0.37707479050933873</v>
      </c>
      <c r="N222" s="57">
        <v>0.45612456983148819</v>
      </c>
      <c r="GZ222" s="55"/>
      <c r="HA222" s="55"/>
      <c r="HB222" s="55"/>
      <c r="HC222" s="55"/>
      <c r="HD222" s="55"/>
    </row>
    <row r="223" spans="1:212" ht="12.75" customHeight="1" x14ac:dyDescent="0.2">
      <c r="A223" s="56" t="s">
        <v>181</v>
      </c>
      <c r="B223" s="66">
        <v>0.48039767533761413</v>
      </c>
      <c r="C223" s="57">
        <v>0.44624127346342179</v>
      </c>
      <c r="D223" s="57">
        <v>0.41052970322320875</v>
      </c>
      <c r="E223" s="65">
        <v>0.4624957000036411</v>
      </c>
      <c r="F223" s="57">
        <v>0.48798295476800091</v>
      </c>
      <c r="G223" s="57">
        <v>0.4382036265021671</v>
      </c>
      <c r="H223" s="57">
        <v>0.45537117165438817</v>
      </c>
      <c r="I223" s="57">
        <v>0.44653168562950146</v>
      </c>
      <c r="J223" s="57">
        <v>0.41404662201055831</v>
      </c>
      <c r="K223" s="45">
        <v>0.47528088661139117</v>
      </c>
      <c r="L223" s="45">
        <v>0.50255888645773084</v>
      </c>
      <c r="M223" s="57">
        <v>0.44008530804003931</v>
      </c>
      <c r="N223" s="57">
        <v>0.51378186298949569</v>
      </c>
      <c r="GZ223" s="55"/>
      <c r="HA223" s="55"/>
      <c r="HB223" s="55"/>
      <c r="HC223" s="55"/>
      <c r="HD223" s="55"/>
    </row>
    <row r="224" spans="1:212" ht="12.75" customHeight="1" x14ac:dyDescent="0.2">
      <c r="A224" s="56" t="s">
        <v>310</v>
      </c>
      <c r="B224" s="66">
        <v>0.585367140400751</v>
      </c>
      <c r="C224" s="57">
        <v>0.60075576356786231</v>
      </c>
      <c r="D224" s="57">
        <v>0.60835016923233864</v>
      </c>
      <c r="E224" s="65">
        <v>0.65451126678899141</v>
      </c>
      <c r="F224" s="57">
        <v>0.67132004591038341</v>
      </c>
      <c r="G224" s="57">
        <v>0.64639371737124729</v>
      </c>
      <c r="H224" s="57">
        <v>0.66410615211594315</v>
      </c>
      <c r="I224" s="57">
        <v>0.64598240821608732</v>
      </c>
      <c r="J224" s="57">
        <v>0.6477412353581431</v>
      </c>
      <c r="K224" s="45">
        <v>0.65255585157970752</v>
      </c>
      <c r="L224" s="45">
        <v>0.64625504828563807</v>
      </c>
      <c r="M224" s="57">
        <v>0.69664178584911818</v>
      </c>
      <c r="N224" s="57">
        <v>0.65326525915492251</v>
      </c>
      <c r="GZ224" s="55"/>
      <c r="HA224" s="55"/>
      <c r="HB224" s="55"/>
      <c r="HC224" s="55"/>
      <c r="HD224" s="55"/>
    </row>
    <row r="225" spans="1:212" ht="12.75" customHeight="1" x14ac:dyDescent="0.2">
      <c r="A225" s="56" t="s">
        <v>7079</v>
      </c>
      <c r="B225" s="66">
        <v>0.40586938904401926</v>
      </c>
      <c r="C225" s="57">
        <v>0.45283252222738424</v>
      </c>
      <c r="D225" s="57">
        <v>0.44703982413740234</v>
      </c>
      <c r="E225" s="65">
        <v>0.46066172363555508</v>
      </c>
      <c r="F225" s="57">
        <v>0.46157599031317409</v>
      </c>
      <c r="G225" s="57">
        <v>0.44202835871472779</v>
      </c>
      <c r="H225" s="57">
        <v>0.45771666586223808</v>
      </c>
      <c r="I225" s="57">
        <v>0.46363982521487884</v>
      </c>
      <c r="J225" s="57">
        <v>0.47507015270130615</v>
      </c>
      <c r="K225" s="45">
        <v>0.47435649037046812</v>
      </c>
      <c r="L225" s="45">
        <v>0.49130415228367147</v>
      </c>
      <c r="M225" s="57">
        <v>0.51162069192362569</v>
      </c>
      <c r="N225" s="57">
        <v>0.51380066184778705</v>
      </c>
      <c r="GZ225" s="55"/>
      <c r="HA225" s="55"/>
      <c r="HB225" s="55"/>
      <c r="HC225" s="55"/>
      <c r="HD225" s="55"/>
    </row>
    <row r="226" spans="1:212" ht="12.75" customHeight="1" x14ac:dyDescent="0.2">
      <c r="A226" s="56" t="s">
        <v>264</v>
      </c>
      <c r="B226" s="66">
        <v>0.40232361732777833</v>
      </c>
      <c r="C226" s="57">
        <v>0.45541621590237308</v>
      </c>
      <c r="D226" s="57">
        <v>0.41211992451004509</v>
      </c>
      <c r="E226" s="65">
        <v>0.44241374893122909</v>
      </c>
      <c r="F226" s="57">
        <v>0.42468164035630468</v>
      </c>
      <c r="G226" s="57">
        <v>0.4390705090589293</v>
      </c>
      <c r="H226" s="57">
        <v>0.40697850532512836</v>
      </c>
      <c r="I226" s="57">
        <v>0.47717000222147499</v>
      </c>
      <c r="J226" s="57">
        <v>0.4530808117036163</v>
      </c>
      <c r="K226" s="45">
        <v>0.44952354136019723</v>
      </c>
      <c r="L226" s="45">
        <v>0.42177499899360704</v>
      </c>
      <c r="M226" s="57">
        <v>0.48362922004020859</v>
      </c>
      <c r="N226" s="57">
        <v>0.51165682352867425</v>
      </c>
      <c r="GZ226" s="55"/>
      <c r="HA226" s="55"/>
      <c r="HB226" s="55"/>
      <c r="HC226" s="55"/>
      <c r="HD226" s="55"/>
    </row>
    <row r="227" spans="1:212" ht="12.75" customHeight="1" x14ac:dyDescent="0.2">
      <c r="A227" s="56" t="s">
        <v>94</v>
      </c>
      <c r="B227" s="66">
        <v>0.37418158533720131</v>
      </c>
      <c r="C227" s="57">
        <v>0.3774212561115442</v>
      </c>
      <c r="D227" s="57">
        <v>0.42274257339370264</v>
      </c>
      <c r="E227" s="65">
        <v>0.4329186484730827</v>
      </c>
      <c r="F227" s="57">
        <v>0.41295331248478628</v>
      </c>
      <c r="G227" s="57">
        <v>0.40212994080128245</v>
      </c>
      <c r="H227" s="57">
        <v>0.38845143173603919</v>
      </c>
      <c r="I227" s="57">
        <v>0.45760199792954298</v>
      </c>
      <c r="J227" s="57">
        <v>0.4388854810233761</v>
      </c>
      <c r="K227" s="45">
        <v>0.42718954419680455</v>
      </c>
      <c r="L227" s="45">
        <v>0.43402425793597937</v>
      </c>
      <c r="M227" s="57">
        <v>0.43117316631501501</v>
      </c>
      <c r="N227" s="57">
        <v>0.48971176638595815</v>
      </c>
      <c r="GZ227" s="55"/>
      <c r="HA227" s="55"/>
      <c r="HB227" s="55"/>
      <c r="HC227" s="55"/>
      <c r="HD227" s="55"/>
    </row>
    <row r="228" spans="1:212" ht="12.75" customHeight="1" x14ac:dyDescent="0.2">
      <c r="A228" s="56" t="s">
        <v>311</v>
      </c>
      <c r="B228" s="66">
        <v>0.4572690611357294</v>
      </c>
      <c r="C228" s="57">
        <v>0.45697042923385867</v>
      </c>
      <c r="D228" s="57">
        <v>0.42901716025155379</v>
      </c>
      <c r="E228" s="65">
        <v>0.45143823180673887</v>
      </c>
      <c r="F228" s="57">
        <v>0.44121734322772321</v>
      </c>
      <c r="G228" s="57">
        <v>0.4327936512632598</v>
      </c>
      <c r="H228" s="57">
        <v>0.4354997738890351</v>
      </c>
      <c r="I228" s="57">
        <v>0.45256162282795176</v>
      </c>
      <c r="J228" s="57">
        <v>0.47480759598883232</v>
      </c>
      <c r="K228" s="45">
        <v>0.45783104784632228</v>
      </c>
      <c r="L228" s="45">
        <v>0.48738561409522385</v>
      </c>
      <c r="M228" s="57">
        <v>0.48800040427375241</v>
      </c>
      <c r="N228" s="57">
        <v>0.5283341058912554</v>
      </c>
      <c r="GZ228" s="55"/>
      <c r="HA228" s="55"/>
      <c r="HB228" s="55"/>
      <c r="HC228" s="55"/>
      <c r="HD228" s="55"/>
    </row>
    <row r="229" spans="1:212" ht="12.75" customHeight="1" x14ac:dyDescent="0.2">
      <c r="A229" s="56" t="s">
        <v>243</v>
      </c>
      <c r="B229" s="66">
        <v>0.41699469960651403</v>
      </c>
      <c r="C229" s="57">
        <v>0.42578088306957046</v>
      </c>
      <c r="D229" s="57">
        <v>0.42810629252263394</v>
      </c>
      <c r="E229" s="65">
        <v>0.44995829011965849</v>
      </c>
      <c r="F229" s="57">
        <v>0.50596029109096274</v>
      </c>
      <c r="G229" s="57">
        <v>0.43137362978844179</v>
      </c>
      <c r="H229" s="57">
        <v>0.44525650352821095</v>
      </c>
      <c r="I229" s="57">
        <v>0.44763355218438544</v>
      </c>
      <c r="J229" s="57">
        <v>0.42233619528798216</v>
      </c>
      <c r="K229" s="45">
        <v>0.3166277659375758</v>
      </c>
      <c r="L229" s="45">
        <v>0.40132967866508734</v>
      </c>
      <c r="M229" s="57">
        <v>0.42655626933417029</v>
      </c>
      <c r="N229" s="57">
        <v>0.43470962044777889</v>
      </c>
      <c r="GZ229" s="55"/>
      <c r="HA229" s="55"/>
      <c r="HB229" s="55"/>
      <c r="HC229" s="55"/>
      <c r="HD229" s="55"/>
    </row>
    <row r="230" spans="1:212" ht="12.75" customHeight="1" x14ac:dyDescent="0.2">
      <c r="A230" s="56" t="s">
        <v>400</v>
      </c>
      <c r="B230" s="66">
        <v>0.39148351855303409</v>
      </c>
      <c r="C230" s="57">
        <v>0.38022679979728058</v>
      </c>
      <c r="D230" s="57">
        <v>0.38292812366729029</v>
      </c>
      <c r="E230" s="65">
        <v>0.41834264079635924</v>
      </c>
      <c r="F230" s="57">
        <v>0.41085410816116541</v>
      </c>
      <c r="G230" s="57">
        <v>0.35591123187087437</v>
      </c>
      <c r="H230" s="57">
        <v>0.41204610570208322</v>
      </c>
      <c r="I230" s="57">
        <v>0.42469339318127108</v>
      </c>
      <c r="J230" s="57">
        <v>0.4219179872990973</v>
      </c>
      <c r="K230" s="45">
        <v>0.42688845910193451</v>
      </c>
      <c r="L230" s="45">
        <v>0.36446398947473047</v>
      </c>
      <c r="M230" s="57">
        <v>0.39175501706334803</v>
      </c>
      <c r="N230" s="57">
        <v>0.45956605433109249</v>
      </c>
      <c r="GZ230" s="55"/>
      <c r="HA230" s="55"/>
      <c r="HB230" s="55"/>
      <c r="HC230" s="55"/>
      <c r="HD230" s="55"/>
    </row>
    <row r="231" spans="1:212" ht="12.75" customHeight="1" x14ac:dyDescent="0.2">
      <c r="A231" s="56" t="s">
        <v>479</v>
      </c>
      <c r="B231" s="66">
        <v>0.38657741717786837</v>
      </c>
      <c r="C231" s="57">
        <v>0.43058950683507552</v>
      </c>
      <c r="D231" s="57">
        <v>0.39638885979652921</v>
      </c>
      <c r="E231" s="65">
        <v>0.39218675097242844</v>
      </c>
      <c r="F231" s="57">
        <v>0.39268005154777047</v>
      </c>
      <c r="G231" s="57">
        <v>0.37509656565758676</v>
      </c>
      <c r="H231" s="57">
        <v>0.37486394560302094</v>
      </c>
      <c r="I231" s="57">
        <v>0.40405673092149108</v>
      </c>
      <c r="J231" s="57">
        <v>0.40680731207284071</v>
      </c>
      <c r="K231" s="45">
        <v>0.42574569615494884</v>
      </c>
      <c r="L231" s="45">
        <v>0.37280675588850098</v>
      </c>
      <c r="M231" s="57">
        <v>0.39648491099114336</v>
      </c>
      <c r="N231" s="57">
        <v>0.44623875845880939</v>
      </c>
      <c r="GZ231" s="55"/>
      <c r="HA231" s="55"/>
      <c r="HB231" s="55"/>
      <c r="HC231" s="55"/>
      <c r="HD231" s="55"/>
    </row>
    <row r="232" spans="1:212" ht="12.75" customHeight="1" x14ac:dyDescent="0.2">
      <c r="A232" s="56" t="s">
        <v>95</v>
      </c>
      <c r="B232" s="66">
        <v>0.3009503635231921</v>
      </c>
      <c r="C232" s="57">
        <v>0.36902353971080321</v>
      </c>
      <c r="D232" s="57">
        <v>0.32807150435553156</v>
      </c>
      <c r="E232" s="65">
        <v>0.3720563510427719</v>
      </c>
      <c r="F232" s="57">
        <v>0.37173379805126161</v>
      </c>
      <c r="G232" s="57">
        <v>0.30783811098379288</v>
      </c>
      <c r="H232" s="57">
        <v>0.33766264703018911</v>
      </c>
      <c r="I232" s="57">
        <v>0.35720989193289915</v>
      </c>
      <c r="J232" s="57">
        <v>0.33915086318255283</v>
      </c>
      <c r="K232" s="45">
        <v>0.37787741199168495</v>
      </c>
      <c r="L232" s="45">
        <v>0.36164681815189526</v>
      </c>
      <c r="M232" s="57">
        <v>0.3966473978949982</v>
      </c>
      <c r="N232" s="57">
        <v>0.45708693803356348</v>
      </c>
      <c r="GZ232" s="55"/>
      <c r="HA232" s="55"/>
      <c r="HB232" s="55"/>
      <c r="HC232" s="55"/>
      <c r="HD232" s="55"/>
    </row>
    <row r="233" spans="1:212" ht="12.75" customHeight="1" x14ac:dyDescent="0.2">
      <c r="A233" s="56" t="s">
        <v>265</v>
      </c>
      <c r="B233" s="66">
        <v>0.36776868085913167</v>
      </c>
      <c r="C233" s="57">
        <v>0.4160268222521748</v>
      </c>
      <c r="D233" s="57">
        <v>0.46078731154666902</v>
      </c>
      <c r="E233" s="65">
        <v>0.43979013733746547</v>
      </c>
      <c r="F233" s="57">
        <v>0.45889614700207843</v>
      </c>
      <c r="G233" s="57">
        <v>0.45088068919989477</v>
      </c>
      <c r="H233" s="57">
        <v>0.43471679245827288</v>
      </c>
      <c r="I233" s="57">
        <v>0.48026729267344881</v>
      </c>
      <c r="J233" s="57">
        <v>0.43242623918255402</v>
      </c>
      <c r="K233" s="45">
        <v>0.45649360426130764</v>
      </c>
      <c r="L233" s="45">
        <v>0.45977922037295144</v>
      </c>
      <c r="M233" s="57">
        <v>0.4193017631961406</v>
      </c>
      <c r="N233" s="57">
        <v>0.55281686152312037</v>
      </c>
      <c r="GZ233" s="55"/>
      <c r="HA233" s="55"/>
      <c r="HB233" s="55"/>
      <c r="HC233" s="55"/>
      <c r="HD233" s="55"/>
    </row>
    <row r="234" spans="1:212" ht="12.75" customHeight="1" x14ac:dyDescent="0.2">
      <c r="A234" s="56" t="s">
        <v>120</v>
      </c>
      <c r="B234" s="66">
        <v>0.72835865096398245</v>
      </c>
      <c r="C234" s="57">
        <v>0.64733760304233812</v>
      </c>
      <c r="D234" s="57">
        <v>0.60121728441614619</v>
      </c>
      <c r="E234" s="65">
        <v>0.59784058356462577</v>
      </c>
      <c r="F234" s="57">
        <v>0.48887313502642155</v>
      </c>
      <c r="G234" s="57">
        <v>0.60425495498746418</v>
      </c>
      <c r="H234" s="57">
        <v>0.41876107655031031</v>
      </c>
      <c r="I234" s="57">
        <v>0.62177419513833598</v>
      </c>
      <c r="J234" s="57">
        <v>0.45164487881784576</v>
      </c>
      <c r="K234" s="45">
        <v>0.47000255833238619</v>
      </c>
      <c r="L234" s="45">
        <v>0.42007338799839589</v>
      </c>
      <c r="M234" s="57">
        <v>0.45363669963940217</v>
      </c>
      <c r="N234" s="57">
        <v>0.50729229826291455</v>
      </c>
      <c r="GZ234" s="55"/>
      <c r="HA234" s="55"/>
      <c r="HB234" s="55"/>
      <c r="HC234" s="55"/>
      <c r="HD234" s="55"/>
    </row>
    <row r="235" spans="1:212" ht="12.75" customHeight="1" x14ac:dyDescent="0.2">
      <c r="A235" s="56" t="s">
        <v>336</v>
      </c>
      <c r="B235" s="66">
        <v>0.43764673633765372</v>
      </c>
      <c r="C235" s="57">
        <v>0.4385555687098236</v>
      </c>
      <c r="D235" s="57">
        <v>0.41853705559038457</v>
      </c>
      <c r="E235" s="65">
        <v>0.4695626110064216</v>
      </c>
      <c r="F235" s="57">
        <v>0.47184840870881878</v>
      </c>
      <c r="G235" s="57">
        <v>0.45918867508979866</v>
      </c>
      <c r="H235" s="57">
        <v>0.47237343724633013</v>
      </c>
      <c r="I235" s="57">
        <v>0.49626698419717968</v>
      </c>
      <c r="J235" s="57">
        <v>0.49222522861402385</v>
      </c>
      <c r="K235" s="45">
        <v>0.50419533590785259</v>
      </c>
      <c r="L235" s="45">
        <v>0.47788705643704354</v>
      </c>
      <c r="M235" s="57">
        <v>0.51201707028725119</v>
      </c>
      <c r="N235" s="57">
        <v>0.53258243829466478</v>
      </c>
      <c r="GZ235" s="55"/>
      <c r="HA235" s="55"/>
      <c r="HB235" s="55"/>
      <c r="HC235" s="55"/>
      <c r="HD235" s="55"/>
    </row>
    <row r="236" spans="1:212" ht="12.75" customHeight="1" x14ac:dyDescent="0.2">
      <c r="A236" s="56" t="s">
        <v>257</v>
      </c>
      <c r="B236" s="66">
        <v>0.35842485338495211</v>
      </c>
      <c r="C236" s="57">
        <v>0.36874986521326703</v>
      </c>
      <c r="D236" s="57">
        <v>0.36944740528983788</v>
      </c>
      <c r="E236" s="65">
        <v>0.4051216582800205</v>
      </c>
      <c r="F236" s="57">
        <v>0.50133773738105136</v>
      </c>
      <c r="G236" s="57">
        <v>0.34192191989335363</v>
      </c>
      <c r="H236" s="57">
        <v>0.39925333659278373</v>
      </c>
      <c r="I236" s="57">
        <v>0.4088704797951892</v>
      </c>
      <c r="J236" s="57">
        <v>0.41652015414145793</v>
      </c>
      <c r="K236" s="45">
        <v>0.39771428969454836</v>
      </c>
      <c r="L236" s="45">
        <v>0.40420737570466009</v>
      </c>
      <c r="M236" s="57">
        <v>0.41628790537790322</v>
      </c>
      <c r="N236" s="57">
        <v>0.46064100454685653</v>
      </c>
      <c r="GZ236" s="55"/>
      <c r="HA236" s="55"/>
      <c r="HB236" s="55"/>
      <c r="HC236" s="55"/>
      <c r="HD236" s="55"/>
    </row>
    <row r="237" spans="1:212" ht="12.75" customHeight="1" x14ac:dyDescent="0.2">
      <c r="A237" s="56" t="s">
        <v>216</v>
      </c>
      <c r="B237" s="66">
        <v>0.4371064805764423</v>
      </c>
      <c r="C237" s="57">
        <v>0.4603593182603235</v>
      </c>
      <c r="D237" s="57">
        <v>0.44844823727399719</v>
      </c>
      <c r="E237" s="65">
        <v>0.46866731270121187</v>
      </c>
      <c r="F237" s="57">
        <v>0.45493027540257991</v>
      </c>
      <c r="G237" s="57">
        <v>0.44456040085230131</v>
      </c>
      <c r="H237" s="57">
        <v>0.42777990578992486</v>
      </c>
      <c r="I237" s="57">
        <v>0.44371122759509324</v>
      </c>
      <c r="J237" s="57">
        <v>0.42758903429755601</v>
      </c>
      <c r="K237" s="45">
        <v>0.44094888264560117</v>
      </c>
      <c r="L237" s="45">
        <v>0.44741749214974313</v>
      </c>
      <c r="M237" s="57">
        <v>0.46811277175911475</v>
      </c>
      <c r="N237" s="57">
        <v>0.48110984022892916</v>
      </c>
      <c r="GZ237" s="55"/>
      <c r="HA237" s="55"/>
      <c r="HB237" s="55"/>
      <c r="HC237" s="55"/>
      <c r="HD237" s="55"/>
    </row>
    <row r="238" spans="1:212" ht="12.75" customHeight="1" x14ac:dyDescent="0.2">
      <c r="A238" s="56" t="s">
        <v>359</v>
      </c>
      <c r="B238" s="67">
        <v>0.36001284609274276</v>
      </c>
      <c r="C238" s="57">
        <v>0.44244328310001152</v>
      </c>
      <c r="D238" s="57">
        <v>0.35353044746025558</v>
      </c>
      <c r="E238" s="65">
        <v>0.40317734491908985</v>
      </c>
      <c r="F238" s="57">
        <v>0.41963914452924017</v>
      </c>
      <c r="G238" s="57">
        <v>0.42793553666468764</v>
      </c>
      <c r="H238" s="57">
        <v>0.38683875970045295</v>
      </c>
      <c r="I238" s="57">
        <v>0.48498363399312261</v>
      </c>
      <c r="J238" s="57">
        <v>0.41222073898606398</v>
      </c>
      <c r="K238" s="45">
        <v>0.43722785867488889</v>
      </c>
      <c r="L238" s="45">
        <v>0.42672963501066175</v>
      </c>
      <c r="M238" s="57">
        <v>0.44944308800314159</v>
      </c>
      <c r="N238" s="57">
        <v>0.50309683754228951</v>
      </c>
      <c r="GZ238" s="55"/>
      <c r="HA238" s="55"/>
      <c r="HB238" s="55"/>
      <c r="HC238" s="55"/>
      <c r="HD238" s="55"/>
    </row>
    <row r="239" spans="1:212" ht="12.75" customHeight="1" x14ac:dyDescent="0.2">
      <c r="A239" s="56" t="s">
        <v>121</v>
      </c>
      <c r="B239" s="66">
        <v>0.36777841208059586</v>
      </c>
      <c r="C239" s="57">
        <v>0.40433159178046152</v>
      </c>
      <c r="D239" s="57">
        <v>0.37541143660585602</v>
      </c>
      <c r="E239" s="65">
        <v>0.40660180193402323</v>
      </c>
      <c r="F239" s="57">
        <v>0.40644925796057013</v>
      </c>
      <c r="G239" s="57">
        <v>0.38957321628610664</v>
      </c>
      <c r="H239" s="57">
        <v>0.40613051550346774</v>
      </c>
      <c r="I239" s="57">
        <v>0.69876679841991562</v>
      </c>
      <c r="J239" s="57">
        <v>0.39589117870894147</v>
      </c>
      <c r="K239" s="45">
        <v>0.40862829960041103</v>
      </c>
      <c r="L239" s="45">
        <v>0.42036453758105413</v>
      </c>
      <c r="M239" s="57">
        <v>0.42048790161776561</v>
      </c>
      <c r="N239" s="57">
        <v>0.40389749582871931</v>
      </c>
      <c r="GZ239" s="55"/>
      <c r="HA239" s="55"/>
      <c r="HB239" s="55"/>
      <c r="HC239" s="55"/>
      <c r="HD239" s="55"/>
    </row>
    <row r="240" spans="1:212" ht="12.75" customHeight="1" x14ac:dyDescent="0.2">
      <c r="A240" s="56" t="s">
        <v>83</v>
      </c>
      <c r="B240" s="66">
        <v>0.35493235103125048</v>
      </c>
      <c r="C240" s="57">
        <v>0.37551634903774578</v>
      </c>
      <c r="D240" s="57">
        <v>0.24540389581726174</v>
      </c>
      <c r="E240" s="65">
        <v>0.43959523442523568</v>
      </c>
      <c r="F240" s="57">
        <v>0.41108074276607348</v>
      </c>
      <c r="G240" s="57">
        <v>0.40476641846604572</v>
      </c>
      <c r="H240" s="57">
        <v>0.33075272794943472</v>
      </c>
      <c r="I240" s="57">
        <v>0.41620375997632819</v>
      </c>
      <c r="J240" s="57">
        <v>0.36399231198090276</v>
      </c>
      <c r="K240" s="45">
        <v>0.39685764794490652</v>
      </c>
      <c r="L240" s="45">
        <v>0.38898868197365688</v>
      </c>
      <c r="M240" s="57">
        <v>0.4303585388980119</v>
      </c>
      <c r="N240" s="57">
        <v>0.42582918256696844</v>
      </c>
      <c r="GZ240" s="55"/>
      <c r="HA240" s="55"/>
      <c r="HB240" s="55"/>
      <c r="HC240" s="55"/>
      <c r="HD240" s="55"/>
    </row>
    <row r="241" spans="1:212" ht="12.75" customHeight="1" x14ac:dyDescent="0.2">
      <c r="A241" s="56" t="s">
        <v>290</v>
      </c>
      <c r="B241" s="66">
        <v>0.46925078429806816</v>
      </c>
      <c r="C241" s="57">
        <v>0.48159041660770008</v>
      </c>
      <c r="D241" s="57">
        <v>0.46628412202543273</v>
      </c>
      <c r="E241" s="65">
        <v>0.5027523845411902</v>
      </c>
      <c r="F241" s="57">
        <v>0.5074001696243976</v>
      </c>
      <c r="G241" s="57">
        <v>0.49020944558188601</v>
      </c>
      <c r="H241" s="57">
        <v>0.49102590850901545</v>
      </c>
      <c r="I241" s="57">
        <v>0.49852761674187918</v>
      </c>
      <c r="J241" s="57">
        <v>0.51824922530083362</v>
      </c>
      <c r="K241" s="45">
        <v>0.46828118618286774</v>
      </c>
      <c r="L241" s="45">
        <v>0.50218261981867884</v>
      </c>
      <c r="M241" s="57">
        <v>0.51751916706353551</v>
      </c>
      <c r="N241" s="57">
        <v>0.56928790719561928</v>
      </c>
      <c r="GZ241" s="55"/>
      <c r="HA241" s="55"/>
      <c r="HB241" s="55"/>
      <c r="HC241" s="55"/>
      <c r="HD241" s="55"/>
    </row>
    <row r="242" spans="1:212" ht="12.75" customHeight="1" x14ac:dyDescent="0.2">
      <c r="A242" s="56" t="s">
        <v>266</v>
      </c>
      <c r="B242" s="66">
        <v>0.40951292805638978</v>
      </c>
      <c r="C242" s="57">
        <v>0.39313748303615409</v>
      </c>
      <c r="D242" s="57">
        <v>0.39608538144334626</v>
      </c>
      <c r="E242" s="65">
        <v>0.41742929307829307</v>
      </c>
      <c r="F242" s="57">
        <v>0.41062796263075729</v>
      </c>
      <c r="G242" s="57">
        <v>0.39119746947453338</v>
      </c>
      <c r="H242" s="57">
        <v>0.32689504873537995</v>
      </c>
      <c r="I242" s="57">
        <v>0.4238426650033455</v>
      </c>
      <c r="J242" s="57">
        <v>0.38483992046695709</v>
      </c>
      <c r="K242" s="45">
        <v>0.40358495485239537</v>
      </c>
      <c r="L242" s="45">
        <v>0.37107427268248028</v>
      </c>
      <c r="M242" s="57">
        <v>0.43147615754082491</v>
      </c>
      <c r="N242" s="57">
        <v>0.449880124624286</v>
      </c>
      <c r="GZ242" s="55"/>
      <c r="HA242" s="55"/>
      <c r="HB242" s="55"/>
      <c r="HC242" s="55"/>
      <c r="HD242" s="55"/>
    </row>
    <row r="243" spans="1:212" ht="12.75" customHeight="1" x14ac:dyDescent="0.2">
      <c r="A243" s="56" t="s">
        <v>369</v>
      </c>
      <c r="B243" s="66">
        <v>0.36474306427402325</v>
      </c>
      <c r="C243" s="57">
        <v>0.42909508193492318</v>
      </c>
      <c r="D243" s="57">
        <v>0.40810783600029904</v>
      </c>
      <c r="E243" s="65">
        <v>0.43563713513551061</v>
      </c>
      <c r="F243" s="57">
        <v>0.43709474281241456</v>
      </c>
      <c r="G243" s="57">
        <v>0.40319855106523467</v>
      </c>
      <c r="H243" s="57">
        <v>0.37416451886646646</v>
      </c>
      <c r="I243" s="57">
        <v>0.44725616488975117</v>
      </c>
      <c r="J243" s="57">
        <v>0.35993669343557178</v>
      </c>
      <c r="K243" s="45">
        <v>0.38175985156546977</v>
      </c>
      <c r="L243" s="45">
        <v>0.4107501215530468</v>
      </c>
      <c r="M243" s="57">
        <v>0.45106315701486882</v>
      </c>
      <c r="N243" s="57">
        <v>0.42910295607080096</v>
      </c>
      <c r="GZ243" s="55"/>
      <c r="HA243" s="55"/>
      <c r="HB243" s="55"/>
      <c r="HC243" s="55"/>
      <c r="HD243" s="55"/>
    </row>
    <row r="244" spans="1:212" ht="12.75" customHeight="1" x14ac:dyDescent="0.2">
      <c r="A244" s="56" t="s">
        <v>122</v>
      </c>
      <c r="B244" s="66">
        <v>0.28796091771488763</v>
      </c>
      <c r="C244" s="57">
        <v>0.33137701277451093</v>
      </c>
      <c r="D244" s="57">
        <v>0.31981662605019179</v>
      </c>
      <c r="E244" s="65">
        <v>0.36345441445950116</v>
      </c>
      <c r="F244" s="57">
        <v>0.33285249341650142</v>
      </c>
      <c r="G244" s="57">
        <v>0.3375545440461904</v>
      </c>
      <c r="H244" s="57">
        <v>0.33923342349169877</v>
      </c>
      <c r="I244" s="57">
        <v>0.38246447220440377</v>
      </c>
      <c r="J244" s="57">
        <v>0.36390002862655729</v>
      </c>
      <c r="K244" s="45">
        <v>0.36937996998750561</v>
      </c>
      <c r="L244" s="45">
        <v>0.38870460003834501</v>
      </c>
      <c r="M244" s="57">
        <v>0.38698726584521348</v>
      </c>
      <c r="N244" s="57">
        <v>0.43150302529385509</v>
      </c>
      <c r="GZ244" s="55"/>
      <c r="HA244" s="55"/>
      <c r="HB244" s="55"/>
      <c r="HC244" s="55"/>
      <c r="HD244" s="55"/>
    </row>
    <row r="245" spans="1:212" ht="12.75" customHeight="1" x14ac:dyDescent="0.2">
      <c r="A245" s="56" t="s">
        <v>325</v>
      </c>
      <c r="B245" s="66">
        <v>0.47046375690041714</v>
      </c>
      <c r="C245" s="57">
        <v>0.47716944225847052</v>
      </c>
      <c r="D245" s="57">
        <v>0.46866677726546968</v>
      </c>
      <c r="E245" s="65">
        <v>0.50977082557016395</v>
      </c>
      <c r="F245" s="57">
        <v>0.50784765184716629</v>
      </c>
      <c r="G245" s="57">
        <v>0.4906009612807104</v>
      </c>
      <c r="H245" s="57">
        <v>0.46898031176785276</v>
      </c>
      <c r="I245" s="57">
        <v>0.49559716695667033</v>
      </c>
      <c r="J245" s="57">
        <v>0.48047595854212066</v>
      </c>
      <c r="K245" s="45">
        <v>0.50439472216846304</v>
      </c>
      <c r="L245" s="45">
        <v>0.51690510081799779</v>
      </c>
      <c r="M245" s="57">
        <v>0.51119639718983323</v>
      </c>
      <c r="N245" s="57">
        <v>0.55342029288487637</v>
      </c>
      <c r="GZ245" s="55"/>
      <c r="HA245" s="55"/>
      <c r="HB245" s="55"/>
      <c r="HC245" s="55"/>
      <c r="HD245" s="55"/>
    </row>
    <row r="246" spans="1:212" ht="12.75" customHeight="1" x14ac:dyDescent="0.2">
      <c r="A246" s="56" t="s">
        <v>76</v>
      </c>
      <c r="B246" s="66">
        <v>0.30846457405616184</v>
      </c>
      <c r="C246" s="57">
        <v>0.33589455113411226</v>
      </c>
      <c r="D246" s="57">
        <v>0.32514152417363318</v>
      </c>
      <c r="E246" s="65">
        <v>0.30986477201273244</v>
      </c>
      <c r="F246" s="57">
        <v>0.32747944013025482</v>
      </c>
      <c r="G246" s="57">
        <v>0.29405075888394627</v>
      </c>
      <c r="H246" s="57">
        <v>0.36908702928146941</v>
      </c>
      <c r="I246" s="57">
        <v>0.33525779502397945</v>
      </c>
      <c r="J246" s="57">
        <v>0.33394990021969173</v>
      </c>
      <c r="K246" s="45">
        <v>0.35089626741677937</v>
      </c>
      <c r="L246" s="45">
        <v>0.32858307834553313</v>
      </c>
      <c r="M246" s="57">
        <v>0.36202978347681525</v>
      </c>
      <c r="N246" s="57">
        <v>0.423131149543922</v>
      </c>
      <c r="GZ246" s="55"/>
      <c r="HA246" s="55"/>
      <c r="HB246" s="55"/>
      <c r="HC246" s="55"/>
      <c r="HD246" s="55"/>
    </row>
    <row r="247" spans="1:212" ht="12.75" customHeight="1" x14ac:dyDescent="0.2">
      <c r="A247" s="56" t="s">
        <v>162</v>
      </c>
      <c r="B247" s="66">
        <v>0.37151883711111577</v>
      </c>
      <c r="C247" s="57">
        <v>0.39655113365208039</v>
      </c>
      <c r="D247" s="57">
        <v>0.38326528963958867</v>
      </c>
      <c r="E247" s="65">
        <v>0.40240700693719256</v>
      </c>
      <c r="F247" s="57">
        <v>0.42107910533964332</v>
      </c>
      <c r="G247" s="57">
        <v>0.39224406332955475</v>
      </c>
      <c r="H247" s="57">
        <v>0.39084340861510797</v>
      </c>
      <c r="I247" s="57">
        <v>0.41935913429909216</v>
      </c>
      <c r="J247" s="57">
        <v>0.42576548604981773</v>
      </c>
      <c r="K247" s="45">
        <v>0.44355232625123936</v>
      </c>
      <c r="L247" s="45">
        <v>0.43315839717706028</v>
      </c>
      <c r="M247" s="57">
        <v>0.45809237512726586</v>
      </c>
      <c r="N247" s="57">
        <v>0.4532489093304779</v>
      </c>
      <c r="GZ247" s="55"/>
      <c r="HA247" s="55"/>
      <c r="HB247" s="55"/>
      <c r="HC247" s="55"/>
      <c r="HD247" s="55"/>
    </row>
    <row r="248" spans="1:212" ht="12.75" customHeight="1" x14ac:dyDescent="0.2">
      <c r="A248" s="56" t="s">
        <v>182</v>
      </c>
      <c r="B248" s="66">
        <v>0.33110344890296384</v>
      </c>
      <c r="C248" s="57">
        <v>0.34653431647077027</v>
      </c>
      <c r="D248" s="57">
        <v>0.36318253533549871</v>
      </c>
      <c r="E248" s="65">
        <v>0.49100628155877774</v>
      </c>
      <c r="F248" s="57">
        <v>0.64467778162016687</v>
      </c>
      <c r="G248" s="57">
        <v>0.80072673920499393</v>
      </c>
      <c r="H248" s="57">
        <v>0.37827424048558717</v>
      </c>
      <c r="I248" s="57">
        <v>0.41323673179101417</v>
      </c>
      <c r="J248" s="57">
        <v>0.42893054104354728</v>
      </c>
      <c r="K248" s="45">
        <v>0.71165336088697961</v>
      </c>
      <c r="L248" s="45">
        <v>0.81054539349384291</v>
      </c>
      <c r="M248" s="57">
        <v>0.67350889755948962</v>
      </c>
      <c r="N248" s="57">
        <v>0.7759600725990361</v>
      </c>
      <c r="GZ248" s="55"/>
      <c r="HA248" s="55"/>
      <c r="HB248" s="55"/>
      <c r="HC248" s="55"/>
      <c r="HD248" s="55"/>
    </row>
    <row r="249" spans="1:212" ht="12.75" customHeight="1" x14ac:dyDescent="0.2">
      <c r="A249" s="56" t="s">
        <v>217</v>
      </c>
      <c r="B249" s="66">
        <v>0.33448042189423238</v>
      </c>
      <c r="C249" s="57">
        <v>0.43464238729823323</v>
      </c>
      <c r="D249" s="57">
        <v>0.39793746826819648</v>
      </c>
      <c r="E249" s="65">
        <v>0.38335430440900614</v>
      </c>
      <c r="F249" s="57">
        <v>0.37500705144434382</v>
      </c>
      <c r="G249" s="57">
        <v>0.37211721075626475</v>
      </c>
      <c r="H249" s="57">
        <v>0.35212213860311486</v>
      </c>
      <c r="I249" s="57">
        <v>0.38615157173141351</v>
      </c>
      <c r="J249" s="57">
        <v>0.41510181962624348</v>
      </c>
      <c r="K249" s="45">
        <v>0.40609244236325476</v>
      </c>
      <c r="L249" s="45">
        <v>0.4209772279129525</v>
      </c>
      <c r="M249" s="57">
        <v>0.43253957858422498</v>
      </c>
      <c r="N249" s="57">
        <v>0.4351108042570842</v>
      </c>
      <c r="GZ249" s="55"/>
      <c r="HA249" s="55"/>
      <c r="HB249" s="55"/>
      <c r="HC249" s="55"/>
      <c r="HD249" s="55"/>
    </row>
    <row r="250" spans="1:212" ht="12.75" customHeight="1" x14ac:dyDescent="0.2">
      <c r="A250" s="56" t="s">
        <v>312</v>
      </c>
      <c r="B250" s="66">
        <v>0.40913874390714772</v>
      </c>
      <c r="C250" s="57">
        <v>0.42516175235478398</v>
      </c>
      <c r="D250" s="57">
        <v>0.37508728983633144</v>
      </c>
      <c r="E250" s="65">
        <v>0.43699704989018462</v>
      </c>
      <c r="F250" s="57">
        <v>0.43940850016585142</v>
      </c>
      <c r="G250" s="57">
        <v>0.39069653498429502</v>
      </c>
      <c r="H250" s="57">
        <v>0.40060971817827751</v>
      </c>
      <c r="I250" s="57">
        <v>0.42064260728504765</v>
      </c>
      <c r="J250" s="57">
        <v>0.47613133726567747</v>
      </c>
      <c r="K250" s="45">
        <v>0.40913362675503784</v>
      </c>
      <c r="L250" s="45">
        <v>0.41145876955529459</v>
      </c>
      <c r="M250" s="57">
        <v>0.47547720410186561</v>
      </c>
      <c r="N250" s="57">
        <v>0.48001195008889636</v>
      </c>
      <c r="GZ250" s="55"/>
      <c r="HA250" s="55"/>
      <c r="HB250" s="55"/>
      <c r="HC250" s="55"/>
      <c r="HD250" s="55"/>
    </row>
    <row r="251" spans="1:212" ht="12.75" customHeight="1" x14ac:dyDescent="0.2">
      <c r="A251" s="56" t="s">
        <v>7078</v>
      </c>
      <c r="B251" s="66">
        <v>0.3937751910717977</v>
      </c>
      <c r="C251" s="57">
        <v>0.41164082648169037</v>
      </c>
      <c r="D251" s="57">
        <v>0.41372207956440021</v>
      </c>
      <c r="E251" s="65">
        <v>0.41707402770496088</v>
      </c>
      <c r="F251" s="57">
        <v>0.44472216290011163</v>
      </c>
      <c r="G251" s="57">
        <v>0.40171656379675225</v>
      </c>
      <c r="H251" s="57">
        <v>0.4223989562263159</v>
      </c>
      <c r="I251" s="57">
        <v>0.43249786489882242</v>
      </c>
      <c r="J251" s="57">
        <v>0.40379855830620165</v>
      </c>
      <c r="K251" s="45">
        <v>0.40567350812967479</v>
      </c>
      <c r="L251" s="45">
        <v>0.38311267253994907</v>
      </c>
      <c r="M251" s="57">
        <v>0.43068889776087893</v>
      </c>
      <c r="N251" s="57">
        <v>0.44555004415251265</v>
      </c>
      <c r="GZ251" s="55"/>
      <c r="HA251" s="55"/>
      <c r="HB251" s="55"/>
      <c r="HC251" s="55"/>
      <c r="HD251" s="55"/>
    </row>
    <row r="252" spans="1:212" ht="12.75" customHeight="1" x14ac:dyDescent="0.2">
      <c r="A252" s="56" t="s">
        <v>389</v>
      </c>
      <c r="B252" s="66">
        <v>0.48859420955385002</v>
      </c>
      <c r="C252" s="57">
        <v>0.5150615630958385</v>
      </c>
      <c r="D252" s="57">
        <v>0.47139929949756565</v>
      </c>
      <c r="E252" s="65">
        <v>0.50548928210230226</v>
      </c>
      <c r="F252" s="57">
        <v>0.51368907291677424</v>
      </c>
      <c r="G252" s="57">
        <v>0.48484948204581291</v>
      </c>
      <c r="H252" s="57">
        <v>0.48610105849335794</v>
      </c>
      <c r="I252" s="57">
        <v>0.51481624507725376</v>
      </c>
      <c r="J252" s="57">
        <v>0.51309169354502349</v>
      </c>
      <c r="K252" s="45">
        <v>0.51246104621302824</v>
      </c>
      <c r="L252" s="45">
        <v>0.50697963903333687</v>
      </c>
      <c r="M252" s="57">
        <v>0.52865274596808587</v>
      </c>
      <c r="N252" s="57">
        <v>0.54075627639469592</v>
      </c>
      <c r="GZ252" s="55"/>
      <c r="HA252" s="55"/>
      <c r="HB252" s="55"/>
      <c r="HC252" s="55"/>
      <c r="HD252" s="55"/>
    </row>
    <row r="253" spans="1:212" ht="12.75" customHeight="1" x14ac:dyDescent="0.2">
      <c r="A253" s="56" t="s">
        <v>23</v>
      </c>
      <c r="B253" s="66">
        <v>0.4966461835545074</v>
      </c>
      <c r="C253" s="57">
        <v>0.49486754215192069</v>
      </c>
      <c r="D253" s="57">
        <v>0.52122704775850348</v>
      </c>
      <c r="E253" s="65">
        <v>0.48914285348820385</v>
      </c>
      <c r="F253" s="57">
        <v>0.53896093701104997</v>
      </c>
      <c r="G253" s="57">
        <v>0.50328369011932805</v>
      </c>
      <c r="H253" s="57">
        <v>0.49258303433774975</v>
      </c>
      <c r="I253" s="57">
        <v>0.53521248862065074</v>
      </c>
      <c r="J253" s="57">
        <v>0.53401116941432936</v>
      </c>
      <c r="K253" s="45">
        <v>0.52103670191487839</v>
      </c>
      <c r="L253" s="45">
        <v>0.51989021584534045</v>
      </c>
      <c r="M253" s="57">
        <v>0.53842096049895183</v>
      </c>
      <c r="N253" s="57">
        <v>0.54804711183861987</v>
      </c>
      <c r="GZ253" s="55"/>
      <c r="HA253" s="55"/>
      <c r="HB253" s="55"/>
      <c r="HC253" s="55"/>
      <c r="HD253" s="55"/>
    </row>
    <row r="254" spans="1:212" ht="12.75" customHeight="1" x14ac:dyDescent="0.2">
      <c r="A254" s="56" t="s">
        <v>77</v>
      </c>
      <c r="B254" s="66">
        <v>0.35699710223104708</v>
      </c>
      <c r="C254" s="57">
        <v>0.41878613357380501</v>
      </c>
      <c r="D254" s="57">
        <v>0.33318449999255295</v>
      </c>
      <c r="E254" s="65">
        <v>0.35371724710056635</v>
      </c>
      <c r="F254" s="57">
        <v>0.37189949891849361</v>
      </c>
      <c r="G254" s="57">
        <v>0.33996740650746582</v>
      </c>
      <c r="H254" s="57">
        <v>0.3389929656059314</v>
      </c>
      <c r="I254" s="57">
        <v>0.35760366723552628</v>
      </c>
      <c r="J254" s="57">
        <v>0.36483588675350781</v>
      </c>
      <c r="K254" s="45">
        <v>0.35810601739006731</v>
      </c>
      <c r="L254" s="45">
        <v>0.38327797974516209</v>
      </c>
      <c r="M254" s="57">
        <v>0.39247601389639553</v>
      </c>
      <c r="N254" s="57">
        <v>0.45117119473309752</v>
      </c>
      <c r="GZ254" s="55"/>
      <c r="HA254" s="55"/>
      <c r="HB254" s="55"/>
      <c r="HC254" s="55"/>
      <c r="HD254" s="55"/>
    </row>
    <row r="255" spans="1:212" ht="12.75" customHeight="1" x14ac:dyDescent="0.2">
      <c r="A255" s="56" t="s">
        <v>326</v>
      </c>
      <c r="B255" s="66">
        <v>0.61601931546685107</v>
      </c>
      <c r="C255" s="57">
        <v>0.63690826612753781</v>
      </c>
      <c r="D255" s="57">
        <v>0.60398777294308947</v>
      </c>
      <c r="E255" s="65">
        <v>0.64203292758449115</v>
      </c>
      <c r="F255" s="57">
        <v>0.65675985387667835</v>
      </c>
      <c r="G255" s="57">
        <v>0.65099035847163034</v>
      </c>
      <c r="H255" s="57">
        <v>0.65667546905119822</v>
      </c>
      <c r="I255" s="57">
        <v>0.68623873145273384</v>
      </c>
      <c r="J255" s="57">
        <v>0.71043463197097623</v>
      </c>
      <c r="K255" s="45">
        <v>0.71359283528672457</v>
      </c>
      <c r="L255" s="45">
        <v>0.7079617740377564</v>
      </c>
      <c r="M255" s="57">
        <v>0.7233745524701366</v>
      </c>
      <c r="N255" s="57">
        <v>0.72915067053516514</v>
      </c>
      <c r="GZ255" s="55"/>
      <c r="HA255" s="55"/>
      <c r="HB255" s="55"/>
      <c r="HC255" s="55"/>
      <c r="HD255" s="55"/>
    </row>
    <row r="256" spans="1:212" ht="12.75" customHeight="1" x14ac:dyDescent="0.2">
      <c r="A256" s="56" t="s">
        <v>267</v>
      </c>
      <c r="B256" s="66">
        <v>0.46504242683624314</v>
      </c>
      <c r="C256" s="57">
        <v>0.47676668881594808</v>
      </c>
      <c r="D256" s="57">
        <v>0.47185718407233268</v>
      </c>
      <c r="E256" s="65">
        <v>0.48654153502938152</v>
      </c>
      <c r="F256" s="57">
        <v>0.48734371087555178</v>
      </c>
      <c r="G256" s="57">
        <v>0.52975716432565856</v>
      </c>
      <c r="H256" s="57">
        <v>0.52356407182910991</v>
      </c>
      <c r="I256" s="57">
        <v>0.52179658110009453</v>
      </c>
      <c r="J256" s="57">
        <v>0.60485854807264716</v>
      </c>
      <c r="K256" s="45">
        <v>0.57545878571891229</v>
      </c>
      <c r="L256" s="45">
        <v>0.56505793448317376</v>
      </c>
      <c r="M256" s="57">
        <v>0.57743655966730223</v>
      </c>
      <c r="N256" s="57">
        <v>0.59788549280373926</v>
      </c>
      <c r="GZ256" s="55"/>
      <c r="HA256" s="55"/>
      <c r="HB256" s="55"/>
      <c r="HC256" s="55"/>
      <c r="HD256" s="55"/>
    </row>
    <row r="257" spans="1:212" ht="12.75" customHeight="1" x14ac:dyDescent="0.2">
      <c r="A257" s="56" t="s">
        <v>230</v>
      </c>
      <c r="B257" s="66">
        <v>0.60957011247485804</v>
      </c>
      <c r="C257" s="57">
        <v>0.62196659012956557</v>
      </c>
      <c r="D257" s="57">
        <v>0.60500595795436252</v>
      </c>
      <c r="E257" s="65">
        <v>0.61643655995794322</v>
      </c>
      <c r="F257" s="57">
        <v>0.60344789198673032</v>
      </c>
      <c r="G257" s="57">
        <v>0.49904644909880747</v>
      </c>
      <c r="H257" s="57">
        <v>0.54586793138530265</v>
      </c>
      <c r="I257" s="57">
        <v>0.49291564895664591</v>
      </c>
      <c r="J257" s="57">
        <v>0.51958419890229002</v>
      </c>
      <c r="K257" s="45">
        <v>0.48987394608401197</v>
      </c>
      <c r="L257" s="45">
        <v>0.47734113256227895</v>
      </c>
      <c r="M257" s="57">
        <v>0.5026638971801769</v>
      </c>
      <c r="N257" s="57">
        <v>0.55261505777101305</v>
      </c>
      <c r="GZ257" s="55"/>
      <c r="HA257" s="55"/>
      <c r="HB257" s="55"/>
      <c r="HC257" s="55"/>
      <c r="HD257" s="55"/>
    </row>
    <row r="258" spans="1:212" ht="12.75" customHeight="1" x14ac:dyDescent="0.2">
      <c r="A258" s="56" t="s">
        <v>7077</v>
      </c>
      <c r="B258" s="66">
        <v>0.58473289290827168</v>
      </c>
      <c r="C258" s="57">
        <v>0.65108135418019386</v>
      </c>
      <c r="D258" s="57">
        <v>0.61333313170227299</v>
      </c>
      <c r="E258" s="65">
        <v>0.62315238774164372</v>
      </c>
      <c r="F258" s="57">
        <v>0.60004545242076957</v>
      </c>
      <c r="G258" s="57">
        <v>0.59739805406667768</v>
      </c>
      <c r="H258" s="57">
        <v>0.61522205287756893</v>
      </c>
      <c r="I258" s="57">
        <v>0.62842301932836575</v>
      </c>
      <c r="J258" s="57">
        <v>0.60875611798556861</v>
      </c>
      <c r="K258" s="45">
        <v>0.60105801858270735</v>
      </c>
      <c r="L258" s="45">
        <v>0.58188457647963665</v>
      </c>
      <c r="M258" s="57">
        <v>0.61147872707682727</v>
      </c>
      <c r="N258" s="57">
        <v>0.65301369372117735</v>
      </c>
      <c r="GZ258" s="55"/>
      <c r="HA258" s="55"/>
      <c r="HB258" s="55"/>
      <c r="HC258" s="55"/>
      <c r="HD258" s="55"/>
    </row>
    <row r="259" spans="1:212" ht="12.75" customHeight="1" x14ac:dyDescent="0.2">
      <c r="A259" s="56" t="s">
        <v>231</v>
      </c>
      <c r="B259" s="66">
        <v>0.43978565984500867</v>
      </c>
      <c r="C259" s="57">
        <v>0.44313268084003027</v>
      </c>
      <c r="D259" s="57">
        <v>0.41575044331222771</v>
      </c>
      <c r="E259" s="65">
        <v>0.43610187957015867</v>
      </c>
      <c r="F259" s="57">
        <v>0.41118664667264349</v>
      </c>
      <c r="G259" s="57">
        <v>0.39464049696063935</v>
      </c>
      <c r="H259" s="57">
        <v>0.41411064575843681</v>
      </c>
      <c r="I259" s="57">
        <v>0.42034981633511609</v>
      </c>
      <c r="J259" s="57">
        <v>0.41540573349426918</v>
      </c>
      <c r="K259" s="45">
        <v>0.39608439714230959</v>
      </c>
      <c r="L259" s="45">
        <v>0.39160668816540944</v>
      </c>
      <c r="M259" s="57">
        <v>0.34467024820818742</v>
      </c>
      <c r="N259" s="57">
        <v>0.54596636227574102</v>
      </c>
      <c r="GZ259" s="55"/>
      <c r="HA259" s="55"/>
      <c r="HB259" s="55"/>
      <c r="HC259" s="55"/>
      <c r="HD259" s="55"/>
    </row>
    <row r="260" spans="1:212" ht="12.75" customHeight="1" x14ac:dyDescent="0.2">
      <c r="A260" s="56" t="s">
        <v>232</v>
      </c>
      <c r="B260" s="66">
        <v>0.50868191849481204</v>
      </c>
      <c r="C260" s="57">
        <v>0.52226744335820519</v>
      </c>
      <c r="D260" s="57">
        <v>0.52900384337148654</v>
      </c>
      <c r="E260" s="65">
        <v>0.53991549612243761</v>
      </c>
      <c r="F260" s="57">
        <v>0.54627757199673488</v>
      </c>
      <c r="G260" s="57">
        <v>0.51657054400977087</v>
      </c>
      <c r="H260" s="57">
        <v>0.51798635545467642</v>
      </c>
      <c r="I260" s="57">
        <v>0.54387093855029944</v>
      </c>
      <c r="J260" s="57">
        <v>0.52084847647271038</v>
      </c>
      <c r="K260" s="45">
        <v>0.52147395138905805</v>
      </c>
      <c r="L260" s="45">
        <v>0.4933542178589152</v>
      </c>
      <c r="M260" s="57">
        <v>0.57190465249326639</v>
      </c>
      <c r="N260" s="57">
        <v>0.52989692944472322</v>
      </c>
      <c r="GZ260" s="55"/>
      <c r="HA260" s="55"/>
      <c r="HB260" s="55"/>
      <c r="HC260" s="55"/>
      <c r="HD260" s="55"/>
    </row>
    <row r="261" spans="1:212" ht="12.75" customHeight="1" x14ac:dyDescent="0.2">
      <c r="A261" s="56" t="s">
        <v>313</v>
      </c>
      <c r="B261" s="66">
        <v>0.53979848124441965</v>
      </c>
      <c r="C261" s="57">
        <v>0.48862855970936242</v>
      </c>
      <c r="D261" s="57">
        <v>0.47068964540413333</v>
      </c>
      <c r="E261" s="65">
        <v>0.50675849868376588</v>
      </c>
      <c r="F261" s="57">
        <v>0.52256839221120854</v>
      </c>
      <c r="G261" s="57">
        <v>0.48965466636140059</v>
      </c>
      <c r="H261" s="57">
        <v>0.46455333424175638</v>
      </c>
      <c r="I261" s="57">
        <v>0.51631680186360451</v>
      </c>
      <c r="J261" s="57">
        <v>0.49881459460125999</v>
      </c>
      <c r="K261" s="45">
        <v>0.50368058664710225</v>
      </c>
      <c r="L261" s="45">
        <v>0.50519091105313352</v>
      </c>
      <c r="M261" s="57">
        <v>0.5182891145071441</v>
      </c>
      <c r="N261" s="57">
        <v>0.55024044999048316</v>
      </c>
      <c r="GZ261" s="55"/>
      <c r="HA261" s="55"/>
      <c r="HB261" s="55"/>
      <c r="HC261" s="55"/>
      <c r="HD261" s="55"/>
    </row>
    <row r="262" spans="1:212" ht="12.75" customHeight="1" x14ac:dyDescent="0.2">
      <c r="A262" s="56" t="s">
        <v>379</v>
      </c>
      <c r="B262" s="66">
        <v>0.60705710929301548</v>
      </c>
      <c r="C262" s="57">
        <v>0.61722817937739516</v>
      </c>
      <c r="D262" s="57">
        <v>0.63502368362391837</v>
      </c>
      <c r="E262" s="65">
        <v>0.66418955558575399</v>
      </c>
      <c r="F262" s="57">
        <v>0.67980392029764036</v>
      </c>
      <c r="G262" s="57">
        <v>0.61986627240082781</v>
      </c>
      <c r="H262" s="57">
        <v>0.64162646274031188</v>
      </c>
      <c r="I262" s="57">
        <v>0.65066948936557323</v>
      </c>
      <c r="J262" s="57">
        <v>0.6520999927908312</v>
      </c>
      <c r="K262" s="45">
        <v>0.67890491688964205</v>
      </c>
      <c r="L262" s="45">
        <v>0.67378733561801873</v>
      </c>
      <c r="M262" s="57">
        <v>0.68707965762719325</v>
      </c>
      <c r="N262" s="57">
        <v>0.69131032766511935</v>
      </c>
      <c r="GZ262" s="55"/>
      <c r="HA262" s="55"/>
      <c r="HB262" s="55"/>
      <c r="HC262" s="55"/>
      <c r="HD262" s="55"/>
    </row>
    <row r="263" spans="1:212" ht="12.75" customHeight="1" x14ac:dyDescent="0.2">
      <c r="A263" s="56" t="s">
        <v>30</v>
      </c>
      <c r="B263" s="66">
        <v>0.39764961667108589</v>
      </c>
      <c r="C263" s="57">
        <v>0.43341201827688297</v>
      </c>
      <c r="D263" s="57">
        <v>0.39048663870164585</v>
      </c>
      <c r="E263" s="65">
        <v>0.42395711926610741</v>
      </c>
      <c r="F263" s="57">
        <v>0.42744142717496258</v>
      </c>
      <c r="G263" s="57">
        <v>0.39200487773762011</v>
      </c>
      <c r="H263" s="57">
        <v>0.39150958301677846</v>
      </c>
      <c r="I263" s="57">
        <v>0.43307601304144544</v>
      </c>
      <c r="J263" s="57">
        <v>0.39714803967197976</v>
      </c>
      <c r="K263" s="45">
        <v>0.43128571927341325</v>
      </c>
      <c r="L263" s="45">
        <v>0.46814470556324078</v>
      </c>
      <c r="M263" s="57">
        <v>0.4266695030201445</v>
      </c>
      <c r="N263" s="57">
        <v>0.47509726347642106</v>
      </c>
      <c r="GZ263" s="55"/>
      <c r="HA263" s="55"/>
      <c r="HB263" s="55"/>
      <c r="HC263" s="55"/>
      <c r="HD263" s="55"/>
    </row>
    <row r="264" spans="1:212" ht="12.75" customHeight="1" x14ac:dyDescent="0.2">
      <c r="A264" s="56" t="s">
        <v>393</v>
      </c>
      <c r="B264" s="66">
        <v>0.35100453826111488</v>
      </c>
      <c r="C264" s="57">
        <v>0.37031102070906591</v>
      </c>
      <c r="D264" s="57">
        <v>0.35641890440758717</v>
      </c>
      <c r="E264" s="65">
        <v>0.3786382288195097</v>
      </c>
      <c r="F264" s="57">
        <v>0.37825203222970294</v>
      </c>
      <c r="G264" s="57">
        <v>0.35895536152520063</v>
      </c>
      <c r="H264" s="57">
        <v>0.3591947360208036</v>
      </c>
      <c r="I264" s="57">
        <v>0.37241351199258954</v>
      </c>
      <c r="J264" s="57">
        <v>0.35830821725493955</v>
      </c>
      <c r="K264" s="45">
        <v>0.41545945789856836</v>
      </c>
      <c r="L264" s="45">
        <v>0.37743869643474937</v>
      </c>
      <c r="M264" s="57">
        <v>0.390718923071943</v>
      </c>
      <c r="N264" s="57">
        <v>0.45627442507536808</v>
      </c>
      <c r="GZ264" s="55"/>
      <c r="HA264" s="55"/>
      <c r="HB264" s="55"/>
      <c r="HC264" s="55"/>
      <c r="HD264" s="55"/>
    </row>
    <row r="265" spans="1:212" ht="12.75" customHeight="1" x14ac:dyDescent="0.2">
      <c r="A265" s="56" t="s">
        <v>244</v>
      </c>
      <c r="B265" s="66">
        <v>0.38776003612279164</v>
      </c>
      <c r="C265" s="57">
        <v>0.41202663964115738</v>
      </c>
      <c r="D265" s="57">
        <v>0.39653516045900911</v>
      </c>
      <c r="E265" s="65">
        <v>0.38788882523337959</v>
      </c>
      <c r="F265" s="57">
        <v>0.42349784597338219</v>
      </c>
      <c r="G265" s="57">
        <v>0.39771202334540123</v>
      </c>
      <c r="H265" s="57">
        <v>0.41068323356037612</v>
      </c>
      <c r="I265" s="57">
        <v>0.41786845870913392</v>
      </c>
      <c r="J265" s="57">
        <v>0.40886483630172604</v>
      </c>
      <c r="K265" s="45">
        <v>0.42971059324995786</v>
      </c>
      <c r="L265" s="45">
        <v>0.43466245274487531</v>
      </c>
      <c r="M265" s="57">
        <v>0.43350541213799232</v>
      </c>
      <c r="N265" s="57">
        <v>0.45955153936375803</v>
      </c>
      <c r="GZ265" s="55"/>
      <c r="HA265" s="55"/>
      <c r="HB265" s="55"/>
      <c r="HC265" s="55"/>
      <c r="HD265" s="55"/>
    </row>
    <row r="266" spans="1:212" ht="12.75" customHeight="1" x14ac:dyDescent="0.2">
      <c r="A266" s="56" t="s">
        <v>281</v>
      </c>
      <c r="B266" s="66">
        <v>0.45384866029533544</v>
      </c>
      <c r="C266" s="57">
        <v>0.57502802517661622</v>
      </c>
      <c r="D266" s="57">
        <v>0.55216352637676624</v>
      </c>
      <c r="E266" s="65">
        <v>0.49800244993912196</v>
      </c>
      <c r="F266" s="57">
        <v>0.45145460247866276</v>
      </c>
      <c r="G266" s="57">
        <v>0.34555852565268835</v>
      </c>
      <c r="H266" s="57">
        <v>0.38160271886537567</v>
      </c>
      <c r="I266" s="57">
        <v>0.4163663527696288</v>
      </c>
      <c r="J266" s="57">
        <v>0.42745168655307109</v>
      </c>
      <c r="K266" s="45">
        <v>0.43121409083365131</v>
      </c>
      <c r="L266" s="45">
        <v>0.41783507288319277</v>
      </c>
      <c r="M266" s="57">
        <v>0.45840152196092232</v>
      </c>
      <c r="N266" s="57">
        <v>0.47971338007542846</v>
      </c>
      <c r="GZ266" s="55"/>
      <c r="HA266" s="55"/>
      <c r="HB266" s="55"/>
      <c r="HC266" s="55"/>
      <c r="HD266" s="55"/>
    </row>
    <row r="267" spans="1:212" ht="12.75" customHeight="1" x14ac:dyDescent="0.2">
      <c r="A267" s="56" t="s">
        <v>282</v>
      </c>
      <c r="B267" s="66">
        <v>0.44685405224870089</v>
      </c>
      <c r="C267" s="57">
        <v>0.48650665614640387</v>
      </c>
      <c r="D267" s="57">
        <v>0.52389068137039374</v>
      </c>
      <c r="E267" s="65">
        <v>0.51269415474423097</v>
      </c>
      <c r="F267" s="57">
        <v>0.5256831039438008</v>
      </c>
      <c r="G267" s="57">
        <v>0.47371141527544464</v>
      </c>
      <c r="H267" s="57">
        <v>0.42851303791064121</v>
      </c>
      <c r="I267" s="57">
        <v>0.46920488137104016</v>
      </c>
      <c r="J267" s="57">
        <v>0.44480448321826527</v>
      </c>
      <c r="K267" s="45">
        <v>0.43185140061241695</v>
      </c>
      <c r="L267" s="45">
        <v>0.35598679171488845</v>
      </c>
      <c r="M267" s="57">
        <v>0.43102161598035565</v>
      </c>
      <c r="N267" s="57">
        <v>0.4223643948524306</v>
      </c>
      <c r="GZ267" s="55"/>
      <c r="HA267" s="55"/>
      <c r="HB267" s="55"/>
      <c r="HC267" s="55"/>
      <c r="HD267" s="55"/>
    </row>
    <row r="268" spans="1:212" ht="12.75" customHeight="1" x14ac:dyDescent="0.2">
      <c r="A268" s="58" t="s">
        <v>7076</v>
      </c>
      <c r="B268" s="66">
        <v>0.35146980997997196</v>
      </c>
      <c r="C268" s="57">
        <v>0.36218406322866531</v>
      </c>
      <c r="D268" s="57">
        <v>0.33512125616413863</v>
      </c>
      <c r="E268" s="65">
        <v>0.38004366242099658</v>
      </c>
      <c r="F268" s="57">
        <v>0.38257752994630234</v>
      </c>
      <c r="G268" s="57">
        <v>0.33887420534377638</v>
      </c>
      <c r="H268" s="57">
        <v>0.35760850607557276</v>
      </c>
      <c r="I268" s="57">
        <v>0.38913923285972124</v>
      </c>
      <c r="J268" s="57">
        <v>0.36505527779491559</v>
      </c>
      <c r="K268" s="45">
        <v>0.3868471807987961</v>
      </c>
      <c r="L268" s="45">
        <v>0.40874219974494486</v>
      </c>
      <c r="M268" s="57">
        <v>0.31256253675879986</v>
      </c>
      <c r="N268" s="57">
        <v>0.51555086999267008</v>
      </c>
      <c r="GZ268" s="55"/>
      <c r="HA268" s="55"/>
      <c r="HB268" s="55"/>
      <c r="HC268" s="55"/>
      <c r="HD268" s="55"/>
    </row>
    <row r="269" spans="1:212" ht="12.75" customHeight="1" x14ac:dyDescent="0.2">
      <c r="A269" s="56" t="s">
        <v>18</v>
      </c>
      <c r="B269" s="66">
        <v>0.60445275057198256</v>
      </c>
      <c r="C269" s="57">
        <v>0.53395303555066764</v>
      </c>
      <c r="D269" s="57">
        <v>0.56682246130004676</v>
      </c>
      <c r="E269" s="65">
        <v>0.59597371191367321</v>
      </c>
      <c r="F269" s="57">
        <v>0.56883952263969273</v>
      </c>
      <c r="G269" s="57">
        <v>0.54832911804915174</v>
      </c>
      <c r="H269" s="57">
        <v>0.516752292009513</v>
      </c>
      <c r="I269" s="57">
        <v>0.55491913599822607</v>
      </c>
      <c r="J269" s="57">
        <v>0.55810817863041073</v>
      </c>
      <c r="K269" s="45">
        <v>0.55425787643751379</v>
      </c>
      <c r="L269" s="45">
        <v>0.53970673037877148</v>
      </c>
      <c r="M269" s="57">
        <v>0.57188700929247072</v>
      </c>
      <c r="N269" s="57">
        <v>0.55683511995834711</v>
      </c>
      <c r="GZ269" s="55"/>
      <c r="HA269" s="55"/>
      <c r="HB269" s="55"/>
      <c r="HC269" s="55"/>
      <c r="HD269" s="55"/>
    </row>
    <row r="270" spans="1:212" ht="12.75" customHeight="1" x14ac:dyDescent="0.2">
      <c r="A270" s="56" t="s">
        <v>12</v>
      </c>
      <c r="B270" s="66">
        <v>0.68628196867681324</v>
      </c>
      <c r="C270" s="57">
        <v>0.66389112462056443</v>
      </c>
      <c r="D270" s="57">
        <v>0.65818629574358167</v>
      </c>
      <c r="E270" s="65">
        <v>0.6839732901593133</v>
      </c>
      <c r="F270" s="57">
        <v>0.6711775312706475</v>
      </c>
      <c r="G270" s="57">
        <v>0.62916231241344855</v>
      </c>
      <c r="H270" s="57">
        <v>0.61451965848180712</v>
      </c>
      <c r="I270" s="57">
        <v>0.62556807458424035</v>
      </c>
      <c r="J270" s="57">
        <v>0.60998458118822463</v>
      </c>
      <c r="K270" s="45">
        <v>0.59873934184922972</v>
      </c>
      <c r="L270" s="45">
        <v>0.58971375219393996</v>
      </c>
      <c r="M270" s="57">
        <v>0.60486986404668064</v>
      </c>
      <c r="N270" s="57">
        <v>0.65016731627851931</v>
      </c>
      <c r="GZ270" s="55"/>
      <c r="HA270" s="55"/>
      <c r="HB270" s="55"/>
      <c r="HC270" s="55"/>
      <c r="HD270" s="55"/>
    </row>
    <row r="271" spans="1:212" ht="12.75" customHeight="1" x14ac:dyDescent="0.2">
      <c r="A271" s="56" t="s">
        <v>370</v>
      </c>
      <c r="B271" s="66">
        <v>0.31755318997215853</v>
      </c>
      <c r="C271" s="57">
        <v>0.38229183425434027</v>
      </c>
      <c r="D271" s="57">
        <v>0.35444280659013294</v>
      </c>
      <c r="E271" s="65">
        <v>0.37267284742184187</v>
      </c>
      <c r="F271" s="57">
        <v>0.34917096998964553</v>
      </c>
      <c r="G271" s="57">
        <v>0.32853795694697824</v>
      </c>
      <c r="H271" s="57">
        <v>0.33227188932962881</v>
      </c>
      <c r="I271" s="57">
        <v>0.37965876851140568</v>
      </c>
      <c r="J271" s="57">
        <v>0.37799719142463384</v>
      </c>
      <c r="K271" s="45">
        <v>0.39892652072209539</v>
      </c>
      <c r="L271" s="45">
        <v>0.40057289559693532</v>
      </c>
      <c r="M271" s="57">
        <v>0.42064891846857427</v>
      </c>
      <c r="N271" s="57">
        <v>0.39580662302511332</v>
      </c>
      <c r="GZ271" s="55"/>
      <c r="HA271" s="55"/>
      <c r="HB271" s="55"/>
      <c r="HC271" s="55"/>
      <c r="HD271" s="55"/>
    </row>
    <row r="272" spans="1:212" ht="12.75" customHeight="1" x14ac:dyDescent="0.2">
      <c r="A272" s="56" t="s">
        <v>169</v>
      </c>
      <c r="B272" s="66">
        <v>0.35661339555361427</v>
      </c>
      <c r="C272" s="57">
        <v>0.36618346541666125</v>
      </c>
      <c r="D272" s="57">
        <v>0.37407597664061448</v>
      </c>
      <c r="E272" s="65">
        <v>0.35841076102289238</v>
      </c>
      <c r="F272" s="57">
        <v>0.37502065886268304</v>
      </c>
      <c r="G272" s="57">
        <v>0.3610842212281114</v>
      </c>
      <c r="H272" s="57">
        <v>0.35105111504823044</v>
      </c>
      <c r="I272" s="57">
        <v>0.36710912169922022</v>
      </c>
      <c r="J272" s="57">
        <v>0.36543318393843893</v>
      </c>
      <c r="K272" s="45">
        <v>0.26642133641986548</v>
      </c>
      <c r="L272" s="45">
        <v>0.40112348709641554</v>
      </c>
      <c r="M272" s="57">
        <v>0.39047606921704281</v>
      </c>
      <c r="N272" s="57">
        <v>0.27263334349362056</v>
      </c>
      <c r="GZ272" s="55"/>
      <c r="HA272" s="55"/>
      <c r="HB272" s="55"/>
      <c r="HC272" s="55"/>
      <c r="HD272" s="55"/>
    </row>
    <row r="273" spans="1:212" ht="12.75" customHeight="1" x14ac:dyDescent="0.2">
      <c r="A273" s="56" t="s">
        <v>67</v>
      </c>
      <c r="B273" s="66">
        <v>0.42107153263299474</v>
      </c>
      <c r="C273" s="57">
        <v>0.40081577424310666</v>
      </c>
      <c r="D273" s="57">
        <v>0.39120714738703033</v>
      </c>
      <c r="E273" s="65">
        <v>0.42434183227177025</v>
      </c>
      <c r="F273" s="57">
        <v>0.43813039489018302</v>
      </c>
      <c r="G273" s="57">
        <v>0.41439591477558085</v>
      </c>
      <c r="H273" s="57">
        <v>0.41952331254234931</v>
      </c>
      <c r="I273" s="57">
        <v>0.42968672069063046</v>
      </c>
      <c r="J273" s="57">
        <v>0.42381095205303676</v>
      </c>
      <c r="K273" s="45">
        <v>0.45119443334233983</v>
      </c>
      <c r="L273" s="45">
        <v>0.42517970310145375</v>
      </c>
      <c r="M273" s="57">
        <v>0.43149184228412829</v>
      </c>
      <c r="N273" s="57">
        <v>0.49523627750087573</v>
      </c>
      <c r="GZ273" s="55"/>
      <c r="HA273" s="55"/>
      <c r="HB273" s="55"/>
      <c r="HC273" s="55"/>
      <c r="HD273" s="55"/>
    </row>
    <row r="274" spans="1:212" ht="12.75" customHeight="1" x14ac:dyDescent="0.2">
      <c r="A274" s="56" t="s">
        <v>37</v>
      </c>
      <c r="B274" s="66">
        <v>0.46436143272875086</v>
      </c>
      <c r="C274" s="57">
        <v>0.48982879693193765</v>
      </c>
      <c r="D274" s="57">
        <v>0.4836332290108582</v>
      </c>
      <c r="E274" s="65">
        <v>0.51194832120486766</v>
      </c>
      <c r="F274" s="57">
        <v>0.53162112743277035</v>
      </c>
      <c r="G274" s="57">
        <v>0.50650502056864832</v>
      </c>
      <c r="H274" s="57">
        <v>0.48828880223024396</v>
      </c>
      <c r="I274" s="57">
        <v>0.57259553096807325</v>
      </c>
      <c r="J274" s="57">
        <v>0.48563170590600491</v>
      </c>
      <c r="K274" s="45">
        <v>0.50892754353009317</v>
      </c>
      <c r="L274" s="45">
        <v>0.5009184596388222</v>
      </c>
      <c r="M274" s="57">
        <v>0.50834813735101758</v>
      </c>
      <c r="N274" s="57">
        <v>0.56012022381255666</v>
      </c>
      <c r="GZ274" s="55"/>
      <c r="HA274" s="55"/>
      <c r="HB274" s="55"/>
      <c r="HC274" s="55"/>
      <c r="HD274" s="55"/>
    </row>
    <row r="275" spans="1:212" ht="12.75" customHeight="1" x14ac:dyDescent="0.2">
      <c r="A275" s="56" t="s">
        <v>13</v>
      </c>
      <c r="B275" s="66">
        <v>0.38537472730849281</v>
      </c>
      <c r="C275" s="57">
        <v>0.46094643761602733</v>
      </c>
      <c r="D275" s="57">
        <v>0.42869707475002894</v>
      </c>
      <c r="E275" s="65">
        <v>0.44683928093849185</v>
      </c>
      <c r="F275" s="57">
        <v>0.41512213895314343</v>
      </c>
      <c r="G275" s="57">
        <v>0.42439924926600076</v>
      </c>
      <c r="H275" s="57">
        <v>0.39871555219135313</v>
      </c>
      <c r="I275" s="57">
        <v>0.43162910909433516</v>
      </c>
      <c r="J275" s="57">
        <v>0.38245071563606947</v>
      </c>
      <c r="K275" s="45">
        <v>0.4100816549903547</v>
      </c>
      <c r="L275" s="45">
        <v>0.3903840452075521</v>
      </c>
      <c r="M275" s="57">
        <v>0.43321065968045636</v>
      </c>
      <c r="N275" s="57">
        <v>0.48312334679250407</v>
      </c>
      <c r="GZ275" s="55"/>
      <c r="HA275" s="55"/>
      <c r="HB275" s="55"/>
      <c r="HC275" s="55"/>
      <c r="HD275" s="55"/>
    </row>
    <row r="276" spans="1:212" ht="12.75" customHeight="1" x14ac:dyDescent="0.2">
      <c r="A276" s="56" t="s">
        <v>68</v>
      </c>
      <c r="B276" s="66">
        <v>0.40808932832513023</v>
      </c>
      <c r="C276" s="57">
        <v>0.4195800103997282</v>
      </c>
      <c r="D276" s="57">
        <v>0.40673289536460422</v>
      </c>
      <c r="E276" s="65">
        <v>0.43822696542145168</v>
      </c>
      <c r="F276" s="57">
        <v>0.44786066199982516</v>
      </c>
      <c r="G276" s="57">
        <v>0.42913805529433724</v>
      </c>
      <c r="H276" s="57">
        <v>0.4356881501547103</v>
      </c>
      <c r="I276" s="57">
        <v>0.44015138652733449</v>
      </c>
      <c r="J276" s="57">
        <v>0.44255260337357444</v>
      </c>
      <c r="K276" s="45">
        <v>0.44591049871948424</v>
      </c>
      <c r="L276" s="45">
        <v>0.44338054330047261</v>
      </c>
      <c r="M276" s="57">
        <v>0.50736361515509665</v>
      </c>
      <c r="N276" s="57">
        <v>0.46668982923620927</v>
      </c>
      <c r="GZ276" s="55"/>
      <c r="HA276" s="55"/>
      <c r="HB276" s="55"/>
      <c r="HC276" s="55"/>
      <c r="HD276" s="55"/>
    </row>
    <row r="277" spans="1:212" ht="12.75" customHeight="1" x14ac:dyDescent="0.2">
      <c r="A277" s="56" t="s">
        <v>96</v>
      </c>
      <c r="B277" s="66">
        <v>0.4286441771043708</v>
      </c>
      <c r="C277" s="57">
        <v>0.47889908819123084</v>
      </c>
      <c r="D277" s="57">
        <v>0.38255610805674722</v>
      </c>
      <c r="E277" s="65">
        <v>0.45910673525178591</v>
      </c>
      <c r="F277" s="57">
        <v>0.44309440720774135</v>
      </c>
      <c r="G277" s="57">
        <v>0.407420073893066</v>
      </c>
      <c r="H277" s="57">
        <v>0.44235595314865905</v>
      </c>
      <c r="I277" s="57">
        <v>0.44682206421328413</v>
      </c>
      <c r="J277" s="57">
        <v>0.44907155874379973</v>
      </c>
      <c r="K277" s="45">
        <v>0.46119746648953408</v>
      </c>
      <c r="L277" s="45">
        <v>0.52519406728360607</v>
      </c>
      <c r="M277" s="57">
        <v>0.42911008940460649</v>
      </c>
      <c r="N277" s="57">
        <v>0.44025348178595541</v>
      </c>
      <c r="GZ277" s="55"/>
      <c r="HA277" s="55"/>
      <c r="HB277" s="55"/>
      <c r="HC277" s="55"/>
      <c r="HD277" s="55"/>
    </row>
    <row r="278" spans="1:212" ht="12.75" customHeight="1" x14ac:dyDescent="0.2">
      <c r="A278" s="56" t="s">
        <v>291</v>
      </c>
      <c r="B278" s="66">
        <v>0.43628266586912962</v>
      </c>
      <c r="C278" s="57">
        <v>0.39779293783348552</v>
      </c>
      <c r="D278" s="57">
        <v>0.43281485293584615</v>
      </c>
      <c r="E278" s="65">
        <v>0.4546307320421486</v>
      </c>
      <c r="F278" s="57">
        <v>0.4526710748118386</v>
      </c>
      <c r="G278" s="57">
        <v>0.38978365769931134</v>
      </c>
      <c r="H278" s="57">
        <v>0.39858323718173949</v>
      </c>
      <c r="I278" s="57">
        <v>0.44311472630944931</v>
      </c>
      <c r="J278" s="57">
        <v>0.44121917893916596</v>
      </c>
      <c r="K278" s="45">
        <v>0.43167105222355362</v>
      </c>
      <c r="L278" s="45">
        <v>0.42566947140966738</v>
      </c>
      <c r="M278" s="57">
        <v>0.42306562404300951</v>
      </c>
      <c r="N278" s="57">
        <v>0.48639537804217009</v>
      </c>
      <c r="GZ278" s="55"/>
      <c r="HA278" s="55"/>
      <c r="HB278" s="55"/>
      <c r="HC278" s="55"/>
      <c r="HD278" s="55"/>
    </row>
    <row r="279" spans="1:212" ht="12.75" customHeight="1" x14ac:dyDescent="0.2">
      <c r="A279" s="56" t="s">
        <v>371</v>
      </c>
      <c r="B279" s="66">
        <v>0.36645176239799926</v>
      </c>
      <c r="C279" s="57">
        <v>0.39022830771542599</v>
      </c>
      <c r="D279" s="57">
        <v>0.38332771610096383</v>
      </c>
      <c r="E279" s="65">
        <v>0.38752875104399231</v>
      </c>
      <c r="F279" s="57">
        <v>0.40532505225869897</v>
      </c>
      <c r="G279" s="57">
        <v>0.36158783560435503</v>
      </c>
      <c r="H279" s="57">
        <v>0.38262311046744507</v>
      </c>
      <c r="I279" s="57">
        <v>0.40692105456505312</v>
      </c>
      <c r="J279" s="57">
        <v>0.39302635118484758</v>
      </c>
      <c r="K279" s="45">
        <v>0.41660722841396702</v>
      </c>
      <c r="L279" s="45">
        <v>0.34133536568736633</v>
      </c>
      <c r="M279" s="57">
        <v>0.47481894011426296</v>
      </c>
      <c r="N279" s="57">
        <v>0.43145785877921711</v>
      </c>
      <c r="GZ279" s="55"/>
      <c r="HA279" s="55"/>
      <c r="HB279" s="55"/>
      <c r="HC279" s="55"/>
      <c r="HD279" s="55"/>
    </row>
    <row r="280" spans="1:212" ht="12.75" customHeight="1" x14ac:dyDescent="0.2">
      <c r="A280" s="56" t="s">
        <v>43</v>
      </c>
      <c r="B280" s="66">
        <v>0.62408803473795216</v>
      </c>
      <c r="C280" s="57">
        <v>0.61879002920775572</v>
      </c>
      <c r="D280" s="57">
        <v>0.61162447106581774</v>
      </c>
      <c r="E280" s="65">
        <v>0.62212215996310982</v>
      </c>
      <c r="F280" s="57">
        <v>0.63656594987675308</v>
      </c>
      <c r="G280" s="57">
        <v>0.60340639607271707</v>
      </c>
      <c r="H280" s="57">
        <v>0.5985429632710777</v>
      </c>
      <c r="I280" s="57">
        <v>0.61329495253561617</v>
      </c>
      <c r="J280" s="57">
        <v>0.60956647446508594</v>
      </c>
      <c r="K280" s="45">
        <v>0.60702441278027996</v>
      </c>
      <c r="L280" s="45">
        <v>0.59321401884603797</v>
      </c>
      <c r="M280" s="57">
        <v>0.59499453895117604</v>
      </c>
      <c r="N280" s="57">
        <v>0.62173663683337199</v>
      </c>
      <c r="GZ280" s="55"/>
      <c r="HA280" s="55"/>
      <c r="HB280" s="55"/>
      <c r="HC280" s="55"/>
      <c r="HD280" s="55"/>
    </row>
    <row r="281" spans="1:212" ht="12.75" customHeight="1" x14ac:dyDescent="0.2">
      <c r="A281" s="56" t="s">
        <v>401</v>
      </c>
      <c r="B281" s="66">
        <v>0.41820395343728067</v>
      </c>
      <c r="C281" s="57">
        <v>0.52750758387602659</v>
      </c>
      <c r="D281" s="57">
        <v>0.61986759046914097</v>
      </c>
      <c r="E281" s="65">
        <v>0.44441994468392315</v>
      </c>
      <c r="F281" s="57">
        <v>0.54253607609087917</v>
      </c>
      <c r="G281" s="57">
        <v>0.67500014655347296</v>
      </c>
      <c r="H281" s="57">
        <v>0.6084425728188384</v>
      </c>
      <c r="I281" s="57">
        <v>0.63051512164692947</v>
      </c>
      <c r="J281" s="57">
        <v>0.50416163102067846</v>
      </c>
      <c r="K281" s="45">
        <v>0.43062862899870202</v>
      </c>
      <c r="L281" s="45">
        <v>0.38365576988201855</v>
      </c>
      <c r="M281" s="57">
        <v>0.44784653481718761</v>
      </c>
      <c r="N281" s="57">
        <v>0.44671276445097707</v>
      </c>
      <c r="GZ281" s="55"/>
      <c r="HA281" s="55"/>
      <c r="HB281" s="55"/>
      <c r="HC281" s="55"/>
      <c r="HD281" s="55"/>
    </row>
    <row r="282" spans="1:212" ht="12.75" customHeight="1" x14ac:dyDescent="0.2">
      <c r="A282" s="56" t="s">
        <v>107</v>
      </c>
      <c r="B282" s="66">
        <v>0.47152021996042587</v>
      </c>
      <c r="C282" s="57">
        <v>0.53405373716157667</v>
      </c>
      <c r="D282" s="57">
        <v>0.49288191329389358</v>
      </c>
      <c r="E282" s="65">
        <v>0.44691774880396729</v>
      </c>
      <c r="F282" s="57">
        <v>0.44596935890078077</v>
      </c>
      <c r="G282" s="57">
        <v>0.42065224317374067</v>
      </c>
      <c r="H282" s="57">
        <v>0.40931976953783833</v>
      </c>
      <c r="I282" s="57">
        <v>0.38216859665559244</v>
      </c>
      <c r="J282" s="57">
        <v>0.39232739522083748</v>
      </c>
      <c r="K282" s="45">
        <v>0.38168796651236231</v>
      </c>
      <c r="L282" s="45">
        <v>0.34070981656606758</v>
      </c>
      <c r="M282" s="57">
        <v>0.36886748093254745</v>
      </c>
      <c r="N282" s="57">
        <v>0.42136770769959658</v>
      </c>
      <c r="GZ282" s="55"/>
      <c r="HA282" s="55"/>
      <c r="HB282" s="55"/>
      <c r="HC282" s="55"/>
      <c r="HD282" s="55"/>
    </row>
    <row r="283" spans="1:212" ht="12.75" customHeight="1" x14ac:dyDescent="0.2">
      <c r="A283" s="56" t="s">
        <v>7075</v>
      </c>
      <c r="B283" s="66">
        <v>0.49362656800835775</v>
      </c>
      <c r="C283" s="57">
        <v>0.55954324563316926</v>
      </c>
      <c r="D283" s="57">
        <v>0.57168118981518912</v>
      </c>
      <c r="E283" s="65">
        <v>0.55206820669134049</v>
      </c>
      <c r="F283" s="57">
        <v>0.52209239268334162</v>
      </c>
      <c r="G283" s="57">
        <v>0.48191970000654261</v>
      </c>
      <c r="H283" s="57">
        <v>0.42983918707672897</v>
      </c>
      <c r="I283" s="57">
        <v>0.49731450845145381</v>
      </c>
      <c r="J283" s="57">
        <v>0.48136633672007745</v>
      </c>
      <c r="K283" s="45">
        <v>0.42649804063691354</v>
      </c>
      <c r="L283" s="45">
        <v>0.473146274657121</v>
      </c>
      <c r="M283" s="57">
        <v>0.51992548310602138</v>
      </c>
      <c r="N283" s="57">
        <v>0.68590723893659944</v>
      </c>
      <c r="GZ283" s="55"/>
      <c r="HA283" s="55"/>
      <c r="HB283" s="55"/>
      <c r="HC283" s="55"/>
      <c r="HD283" s="55"/>
    </row>
    <row r="284" spans="1:212" ht="12.75" customHeight="1" x14ac:dyDescent="0.2">
      <c r="A284" s="56" t="s">
        <v>84</v>
      </c>
      <c r="B284" s="66">
        <v>0.48771819497814728</v>
      </c>
      <c r="C284" s="57">
        <v>0.42038873333675791</v>
      </c>
      <c r="D284" s="57">
        <v>0.31477056830615857</v>
      </c>
      <c r="E284" s="65">
        <v>0.53580115456012389</v>
      </c>
      <c r="F284" s="57">
        <v>0.45982296606749812</v>
      </c>
      <c r="G284" s="57">
        <v>0.42232169848556578</v>
      </c>
      <c r="H284" s="57">
        <v>0.46533010915570622</v>
      </c>
      <c r="I284" s="57">
        <v>0.49149379359700129</v>
      </c>
      <c r="J284" s="57">
        <v>0.3917977325058446</v>
      </c>
      <c r="K284" s="45">
        <v>0.43646478537562311</v>
      </c>
      <c r="L284" s="45">
        <v>0.41048885262613832</v>
      </c>
      <c r="M284" s="57">
        <v>0.53735483729318301</v>
      </c>
      <c r="N284" s="57">
        <v>0.58987883687251186</v>
      </c>
      <c r="GZ284" s="55"/>
      <c r="HA284" s="55"/>
      <c r="HB284" s="55"/>
      <c r="HC284" s="55"/>
      <c r="HD284" s="55"/>
    </row>
    <row r="285" spans="1:212" ht="12.75" customHeight="1" x14ac:dyDescent="0.2">
      <c r="A285" s="56" t="s">
        <v>292</v>
      </c>
      <c r="B285" s="66">
        <v>0.41787292851747049</v>
      </c>
      <c r="C285" s="57">
        <v>0.45546876489708932</v>
      </c>
      <c r="D285" s="57">
        <v>0.46389234973535909</v>
      </c>
      <c r="E285" s="65">
        <v>0.48651960519940562</v>
      </c>
      <c r="F285" s="57">
        <v>0.51278596505321117</v>
      </c>
      <c r="G285" s="57">
        <v>0.46079461145963563</v>
      </c>
      <c r="H285" s="57">
        <v>0.47074893672978879</v>
      </c>
      <c r="I285" s="57">
        <v>0.49992077309875205</v>
      </c>
      <c r="J285" s="57">
        <v>0.49590304311827083</v>
      </c>
      <c r="K285" s="45">
        <v>0.56272539933994337</v>
      </c>
      <c r="L285" s="45">
        <v>0.51997760624311018</v>
      </c>
      <c r="M285" s="57">
        <v>0.52594478182520565</v>
      </c>
      <c r="N285" s="57">
        <v>0.54967625774818873</v>
      </c>
      <c r="GZ285" s="55"/>
      <c r="HA285" s="55"/>
      <c r="HB285" s="55"/>
      <c r="HC285" s="55"/>
      <c r="HD285" s="55"/>
    </row>
    <row r="286" spans="1:212" ht="12.75" customHeight="1" x14ac:dyDescent="0.2">
      <c r="A286" s="56" t="s">
        <v>31</v>
      </c>
      <c r="B286" s="66">
        <v>0.38982018567470522</v>
      </c>
      <c r="C286" s="57">
        <v>0.38233845320990045</v>
      </c>
      <c r="D286" s="57">
        <v>0.38541786092298708</v>
      </c>
      <c r="E286" s="65">
        <v>0.42438686935546721</v>
      </c>
      <c r="F286" s="57">
        <v>0.40393220675319813</v>
      </c>
      <c r="G286" s="57">
        <v>0.37087216734631095</v>
      </c>
      <c r="H286" s="57">
        <v>0.39075796071371321</v>
      </c>
      <c r="I286" s="57">
        <v>0.40318240650846704</v>
      </c>
      <c r="J286" s="57">
        <v>0.42143553904080427</v>
      </c>
      <c r="K286" s="45">
        <v>0.38801852285868527</v>
      </c>
      <c r="L286" s="45">
        <v>0.34920145458499829</v>
      </c>
      <c r="M286" s="57">
        <v>0.41244629380304132</v>
      </c>
      <c r="N286" s="57">
        <v>0.41820362282685392</v>
      </c>
      <c r="GZ286" s="55"/>
      <c r="HA286" s="55"/>
      <c r="HB286" s="55"/>
      <c r="HC286" s="55"/>
      <c r="HD286" s="55"/>
    </row>
    <row r="287" spans="1:212" ht="12.75" customHeight="1" x14ac:dyDescent="0.2">
      <c r="A287" s="56" t="s">
        <v>97</v>
      </c>
      <c r="B287" s="66">
        <v>0.43281039142354866</v>
      </c>
      <c r="C287" s="57">
        <v>0.44242399429880136</v>
      </c>
      <c r="D287" s="57">
        <v>0.4588273693053751</v>
      </c>
      <c r="E287" s="65">
        <v>0.51310209554489472</v>
      </c>
      <c r="F287" s="57">
        <v>0.49658671036205221</v>
      </c>
      <c r="G287" s="57">
        <v>0.50934883855505242</v>
      </c>
      <c r="H287" s="57">
        <v>0.43215495455805963</v>
      </c>
      <c r="I287" s="57">
        <v>0.56233263292954749</v>
      </c>
      <c r="J287" s="57">
        <v>0.45241532116545968</v>
      </c>
      <c r="K287" s="45">
        <v>0.52745962154005477</v>
      </c>
      <c r="L287" s="45">
        <v>0.54900180225544504</v>
      </c>
      <c r="M287" s="57">
        <v>0.52716661588912483</v>
      </c>
      <c r="N287" s="57">
        <v>0.56609869720069739</v>
      </c>
      <c r="GZ287" s="55"/>
      <c r="HA287" s="55"/>
      <c r="HB287" s="55"/>
      <c r="HC287" s="55"/>
      <c r="HD287" s="55"/>
    </row>
    <row r="288" spans="1:212" ht="12.75" customHeight="1" x14ac:dyDescent="0.2">
      <c r="A288" s="56" t="s">
        <v>7074</v>
      </c>
      <c r="B288" s="66">
        <v>0.39696348179488872</v>
      </c>
      <c r="C288" s="57">
        <v>0.41770938346263037</v>
      </c>
      <c r="D288" s="57">
        <v>0.40742776995998548</v>
      </c>
      <c r="E288" s="65">
        <v>0.42281265081188557</v>
      </c>
      <c r="F288" s="57">
        <v>0.43192728211097126</v>
      </c>
      <c r="G288" s="57">
        <v>0.40153170446309738</v>
      </c>
      <c r="H288" s="57">
        <v>0.41959419165936385</v>
      </c>
      <c r="I288" s="57">
        <v>0.44820929479178395</v>
      </c>
      <c r="J288" s="57">
        <v>0.4263248301045367</v>
      </c>
      <c r="K288" s="45">
        <v>0.47703490004417026</v>
      </c>
      <c r="L288" s="45">
        <v>0.43532464929735437</v>
      </c>
      <c r="M288" s="57">
        <v>0.50023412443763371</v>
      </c>
      <c r="N288" s="57">
        <v>0.513927652058222</v>
      </c>
      <c r="GZ288" s="55"/>
      <c r="HA288" s="55"/>
      <c r="HB288" s="55"/>
      <c r="HC288" s="55"/>
      <c r="HD288" s="55"/>
    </row>
    <row r="289" spans="1:212" ht="12.75" customHeight="1" x14ac:dyDescent="0.2">
      <c r="A289" s="56" t="s">
        <v>218</v>
      </c>
      <c r="B289" s="66">
        <v>0.36673630584256423</v>
      </c>
      <c r="C289" s="57">
        <v>0.39516705553381032</v>
      </c>
      <c r="D289" s="57">
        <v>0.38940640140761656</v>
      </c>
      <c r="E289" s="65">
        <v>0.43258963266660927</v>
      </c>
      <c r="F289" s="57">
        <v>0.36894655805897436</v>
      </c>
      <c r="G289" s="57">
        <v>0.42350027293772852</v>
      </c>
      <c r="H289" s="57">
        <v>0.39891274320876896</v>
      </c>
      <c r="I289" s="57">
        <v>0.43518313282162047</v>
      </c>
      <c r="J289" s="57">
        <v>0.36803726900337036</v>
      </c>
      <c r="K289" s="45">
        <v>0.31051856263195904</v>
      </c>
      <c r="L289" s="45">
        <v>0.45888041818552144</v>
      </c>
      <c r="M289" s="57">
        <v>0.39818231771630369</v>
      </c>
      <c r="N289" s="57">
        <v>0.43525065787155975</v>
      </c>
      <c r="GZ289" s="55"/>
      <c r="HA289" s="55"/>
      <c r="HB289" s="55"/>
      <c r="HC289" s="55"/>
      <c r="HD289" s="55"/>
    </row>
    <row r="290" spans="1:212" ht="12.75" customHeight="1" x14ac:dyDescent="0.2">
      <c r="A290" s="56" t="s">
        <v>108</v>
      </c>
      <c r="B290" s="66">
        <v>0.34928483935272403</v>
      </c>
      <c r="C290" s="57">
        <v>0.36669940807158385</v>
      </c>
      <c r="D290" s="57">
        <v>0.34177237979798186</v>
      </c>
      <c r="E290" s="65">
        <v>0.39510212830023161</v>
      </c>
      <c r="F290" s="57">
        <v>0.40992754732786829</v>
      </c>
      <c r="G290" s="57">
        <v>0.38958055003850534</v>
      </c>
      <c r="H290" s="57">
        <v>0.37846416681473022</v>
      </c>
      <c r="I290" s="57">
        <v>0.39318107708569106</v>
      </c>
      <c r="J290" s="57">
        <v>0.40728000852144508</v>
      </c>
      <c r="K290" s="45">
        <v>0.41830856120057908</v>
      </c>
      <c r="L290" s="45">
        <v>0.43163254524523775</v>
      </c>
      <c r="M290" s="57">
        <v>0.41520850671243675</v>
      </c>
      <c r="N290" s="57">
        <v>0.45313768526684484</v>
      </c>
      <c r="GZ290" s="55"/>
      <c r="HA290" s="55"/>
      <c r="HB290" s="55"/>
      <c r="HC290" s="55"/>
      <c r="HD290" s="55"/>
    </row>
    <row r="291" spans="1:212" ht="12.75" customHeight="1" x14ac:dyDescent="0.2">
      <c r="A291" s="56" t="s">
        <v>59</v>
      </c>
      <c r="B291" s="66">
        <v>0.38843243467131228</v>
      </c>
      <c r="C291" s="57">
        <v>0.39944002935552075</v>
      </c>
      <c r="D291" s="57">
        <v>0.39898879271512611</v>
      </c>
      <c r="E291" s="65">
        <v>0.41447672581729988</v>
      </c>
      <c r="F291" s="57">
        <v>0.41802554276089371</v>
      </c>
      <c r="G291" s="57">
        <v>0.40898476633446046</v>
      </c>
      <c r="H291" s="57">
        <v>0.39699417404853449</v>
      </c>
      <c r="I291" s="57">
        <v>0.41450755578631582</v>
      </c>
      <c r="J291" s="57">
        <v>0.41875054306788734</v>
      </c>
      <c r="K291" s="45">
        <v>0.42743600233565054</v>
      </c>
      <c r="L291" s="45">
        <v>0.42466160837474193</v>
      </c>
      <c r="M291" s="57">
        <v>0.44480310824361946</v>
      </c>
      <c r="N291" s="57">
        <v>0.46949682102180001</v>
      </c>
      <c r="GZ291" s="55"/>
      <c r="HA291" s="55"/>
      <c r="HB291" s="55"/>
      <c r="HC291" s="55"/>
      <c r="HD291" s="55"/>
    </row>
    <row r="292" spans="1:212" ht="12.75" customHeight="1" x14ac:dyDescent="0.2">
      <c r="A292" s="56" t="s">
        <v>245</v>
      </c>
      <c r="B292" s="66">
        <v>0.43954806146899733</v>
      </c>
      <c r="C292" s="57">
        <v>0.44492551955485338</v>
      </c>
      <c r="D292" s="57">
        <v>0.41158608646415445</v>
      </c>
      <c r="E292" s="65">
        <v>0.48303784832056273</v>
      </c>
      <c r="F292" s="57">
        <v>0.4614233810472147</v>
      </c>
      <c r="G292" s="57">
        <v>0.44731810923178655</v>
      </c>
      <c r="H292" s="57">
        <v>0.45398059908346355</v>
      </c>
      <c r="I292" s="57">
        <v>0.44090381706991177</v>
      </c>
      <c r="J292" s="57">
        <v>0.44952783853941908</v>
      </c>
      <c r="K292" s="45">
        <v>0.47731842939841646</v>
      </c>
      <c r="L292" s="45">
        <v>0.49801666098244035</v>
      </c>
      <c r="M292" s="57">
        <v>0.49676425884941527</v>
      </c>
      <c r="N292" s="57">
        <v>0.48983269689806963</v>
      </c>
      <c r="GZ292" s="55"/>
      <c r="HA292" s="55"/>
      <c r="HB292" s="55"/>
      <c r="HC292" s="55"/>
      <c r="HD292" s="55"/>
    </row>
    <row r="293" spans="1:212" ht="12.75" customHeight="1" x14ac:dyDescent="0.2">
      <c r="A293" s="56" t="s">
        <v>174</v>
      </c>
      <c r="B293" s="66">
        <v>0.42476849829623131</v>
      </c>
      <c r="C293" s="57">
        <v>0.40900033180013939</v>
      </c>
      <c r="D293" s="57">
        <v>0.42793830432900409</v>
      </c>
      <c r="E293" s="65">
        <v>0.40456650314952664</v>
      </c>
      <c r="F293" s="57">
        <v>0.46139419902306872</v>
      </c>
      <c r="G293" s="57">
        <v>0.41786146607298646</v>
      </c>
      <c r="H293" s="57">
        <v>0.41531686614774432</v>
      </c>
      <c r="I293" s="57">
        <v>0.42677480732127249</v>
      </c>
      <c r="J293" s="57">
        <v>0.4292759178089226</v>
      </c>
      <c r="K293" s="45">
        <v>0.43637201060085518</v>
      </c>
      <c r="L293" s="45">
        <v>0.43358632214240678</v>
      </c>
      <c r="M293" s="57">
        <v>0.44768087724967187</v>
      </c>
      <c r="N293" s="57">
        <v>0.45573662636918055</v>
      </c>
      <c r="GZ293" s="55"/>
      <c r="HA293" s="55"/>
      <c r="HB293" s="55"/>
      <c r="HC293" s="55"/>
      <c r="HD293" s="55"/>
    </row>
    <row r="294" spans="1:212" ht="12.75" customHeight="1" x14ac:dyDescent="0.2">
      <c r="A294" s="56" t="s">
        <v>4</v>
      </c>
      <c r="B294" s="66">
        <v>0.80416517487889394</v>
      </c>
      <c r="C294" s="57">
        <v>0.81043417310286536</v>
      </c>
      <c r="D294" s="57">
        <v>0.78949492631764606</v>
      </c>
      <c r="E294" s="65">
        <v>0.79661433783669366</v>
      </c>
      <c r="F294" s="57">
        <v>0.75757466345847757</v>
      </c>
      <c r="G294" s="57">
        <v>0.71333117373384858</v>
      </c>
      <c r="H294" s="57">
        <v>0.69171474816624801</v>
      </c>
      <c r="I294" s="57">
        <v>0.70455854649893079</v>
      </c>
      <c r="J294" s="57">
        <v>0.72140294177475028</v>
      </c>
      <c r="K294" s="45">
        <v>0.68261567726696637</v>
      </c>
      <c r="L294" s="45">
        <v>0.6917401034267211</v>
      </c>
      <c r="M294" s="57">
        <v>0.72059466756637469</v>
      </c>
      <c r="N294" s="57">
        <v>0.76100352809040883</v>
      </c>
      <c r="GZ294" s="55"/>
      <c r="HA294" s="55"/>
      <c r="HB294" s="55"/>
      <c r="HC294" s="55"/>
      <c r="HD294" s="55"/>
    </row>
    <row r="295" spans="1:212" ht="12.75" customHeight="1" x14ac:dyDescent="0.2">
      <c r="A295" s="56" t="s">
        <v>327</v>
      </c>
      <c r="B295" s="66">
        <v>0.53134205457215911</v>
      </c>
      <c r="C295" s="57">
        <v>0.55909530051085232</v>
      </c>
      <c r="D295" s="57">
        <v>0.51430304834980478</v>
      </c>
      <c r="E295" s="65">
        <v>0.56129296224365877</v>
      </c>
      <c r="F295" s="57">
        <v>0.58479136271806542</v>
      </c>
      <c r="G295" s="57">
        <v>0.52685725719607668</v>
      </c>
      <c r="H295" s="57">
        <v>0.53224428602911977</v>
      </c>
      <c r="I295" s="57">
        <v>0.55681078231179948</v>
      </c>
      <c r="J295" s="57">
        <v>0.51780536785451448</v>
      </c>
      <c r="K295" s="45">
        <v>0.56465969864531129</v>
      </c>
      <c r="L295" s="45">
        <v>0.56860021823231921</v>
      </c>
      <c r="M295" s="57">
        <v>0.59561547713367657</v>
      </c>
      <c r="N295" s="57">
        <v>0.62255744480803155</v>
      </c>
      <c r="GZ295" s="55"/>
      <c r="HA295" s="55"/>
      <c r="HB295" s="55"/>
      <c r="HC295" s="55"/>
      <c r="HD295" s="55"/>
    </row>
    <row r="296" spans="1:212" ht="12.75" customHeight="1" x14ac:dyDescent="0.2">
      <c r="A296" s="56" t="s">
        <v>85</v>
      </c>
      <c r="B296" s="66">
        <v>0.45600395959339673</v>
      </c>
      <c r="C296" s="57">
        <v>0.45953599824178221</v>
      </c>
      <c r="D296" s="57">
        <v>0.45530667921413409</v>
      </c>
      <c r="E296" s="65">
        <v>0.46162319073266656</v>
      </c>
      <c r="F296" s="57">
        <v>0.47803253241033261</v>
      </c>
      <c r="G296" s="57">
        <v>0.44551591607702429</v>
      </c>
      <c r="H296" s="57">
        <v>0.45357316809568227</v>
      </c>
      <c r="I296" s="57">
        <v>0.45904120781081353</v>
      </c>
      <c r="J296" s="57">
        <v>0.43664334252113624</v>
      </c>
      <c r="K296" s="45">
        <v>0.43801704193479601</v>
      </c>
      <c r="L296" s="45">
        <v>0.43537786483788699</v>
      </c>
      <c r="M296" s="57">
        <v>0.45294824310246601</v>
      </c>
      <c r="N296" s="57">
        <v>0.46539811712609308</v>
      </c>
      <c r="GZ296" s="55"/>
      <c r="HA296" s="55"/>
      <c r="HB296" s="55"/>
      <c r="HC296" s="55"/>
      <c r="HD296" s="55"/>
    </row>
    <row r="297" spans="1:212" ht="12.75" customHeight="1" x14ac:dyDescent="0.2">
      <c r="A297" s="56" t="s">
        <v>293</v>
      </c>
      <c r="B297" s="66">
        <v>0.36719447957577489</v>
      </c>
      <c r="C297" s="57">
        <v>0.37803002226313864</v>
      </c>
      <c r="D297" s="57">
        <v>0.38780511725641786</v>
      </c>
      <c r="E297" s="65">
        <v>0.39867575162893987</v>
      </c>
      <c r="F297" s="57">
        <v>0.3930258406300336</v>
      </c>
      <c r="G297" s="57">
        <v>0.38353700041635741</v>
      </c>
      <c r="H297" s="57">
        <v>0.39011950808413171</v>
      </c>
      <c r="I297" s="57">
        <v>0.38793864844459802</v>
      </c>
      <c r="J297" s="57">
        <v>0.38509545111616045</v>
      </c>
      <c r="K297" s="45">
        <v>0.40158518027891688</v>
      </c>
      <c r="L297" s="45">
        <v>0.39167533304210955</v>
      </c>
      <c r="M297" s="57">
        <v>0.41112511982346944</v>
      </c>
      <c r="N297" s="57">
        <v>0.46493336240412392</v>
      </c>
      <c r="GZ297" s="55"/>
      <c r="HA297" s="55"/>
      <c r="HB297" s="55"/>
      <c r="HC297" s="55"/>
      <c r="HD297" s="55"/>
    </row>
    <row r="298" spans="1:212" ht="12.75" customHeight="1" x14ac:dyDescent="0.2">
      <c r="A298" s="56" t="s">
        <v>205</v>
      </c>
      <c r="B298" s="66">
        <v>0.41827158528243935</v>
      </c>
      <c r="C298" s="57">
        <v>0.37191341603308808</v>
      </c>
      <c r="D298" s="57">
        <v>0.38735660900920382</v>
      </c>
      <c r="E298" s="65">
        <v>0.39593359414489943</v>
      </c>
      <c r="F298" s="57">
        <v>0.40122334259588227</v>
      </c>
      <c r="G298" s="57">
        <v>0.39044377611327563</v>
      </c>
      <c r="H298" s="57">
        <v>0.39074662858764686</v>
      </c>
      <c r="I298" s="57">
        <v>0.41221275333118196</v>
      </c>
      <c r="J298" s="57">
        <v>0.42097593247752518</v>
      </c>
      <c r="K298" s="45">
        <v>0.41556052860336173</v>
      </c>
      <c r="L298" s="45">
        <v>0.38247576270681521</v>
      </c>
      <c r="M298" s="57">
        <v>0.43438773689899302</v>
      </c>
      <c r="N298" s="57">
        <v>0.42265020959416016</v>
      </c>
      <c r="GZ298" s="55"/>
      <c r="HA298" s="55"/>
      <c r="HB298" s="55"/>
      <c r="HC298" s="55"/>
      <c r="HD298" s="55"/>
    </row>
    <row r="299" spans="1:212" ht="12.75" customHeight="1" x14ac:dyDescent="0.2">
      <c r="A299" s="56" t="s">
        <v>19</v>
      </c>
      <c r="B299" s="66">
        <v>0.37604524651711801</v>
      </c>
      <c r="C299" s="57">
        <v>0.39032841136080804</v>
      </c>
      <c r="D299" s="57">
        <v>0.37938766430390503</v>
      </c>
      <c r="E299" s="65">
        <v>0.40123251899959028</v>
      </c>
      <c r="F299" s="57">
        <v>0.39330952258845975</v>
      </c>
      <c r="G299" s="57">
        <v>0.38189598248639972</v>
      </c>
      <c r="H299" s="57">
        <v>0.36656698559963302</v>
      </c>
      <c r="I299" s="57">
        <v>0.40901065168646022</v>
      </c>
      <c r="J299" s="57">
        <v>0.37700834922966303</v>
      </c>
      <c r="K299" s="45">
        <v>0.35906456565151323</v>
      </c>
      <c r="L299" s="45">
        <v>0.4051808638019484</v>
      </c>
      <c r="M299" s="57">
        <v>0.43027673519693077</v>
      </c>
      <c r="N299" s="57">
        <v>0.47552811246933546</v>
      </c>
      <c r="GZ299" s="55"/>
      <c r="HA299" s="55"/>
      <c r="HB299" s="55"/>
      <c r="HC299" s="55"/>
      <c r="HD299" s="55"/>
    </row>
    <row r="300" spans="1:212" ht="12.75" customHeight="1" x14ac:dyDescent="0.2">
      <c r="A300" s="56" t="s">
        <v>314</v>
      </c>
      <c r="B300" s="66">
        <v>0.34464141147705601</v>
      </c>
      <c r="C300" s="57">
        <v>0.363397424993119</v>
      </c>
      <c r="D300" s="57">
        <v>0.31440530024483998</v>
      </c>
      <c r="E300" s="65">
        <v>0.37560930307423718</v>
      </c>
      <c r="F300" s="57">
        <v>0.36161961091323164</v>
      </c>
      <c r="G300" s="57">
        <v>0.36742089022928642</v>
      </c>
      <c r="H300" s="57">
        <v>0.34200846189922712</v>
      </c>
      <c r="I300" s="57">
        <v>0.40275150006164662</v>
      </c>
      <c r="J300" s="57">
        <v>0.35043361292790948</v>
      </c>
      <c r="K300" s="45">
        <v>0.42111319011200349</v>
      </c>
      <c r="L300" s="45">
        <v>0.3755476618215281</v>
      </c>
      <c r="M300" s="57">
        <v>0.39998289702343243</v>
      </c>
      <c r="N300" s="57">
        <v>0.44804221768246622</v>
      </c>
      <c r="GZ300" s="55"/>
      <c r="HA300" s="55"/>
      <c r="HB300" s="55"/>
      <c r="HC300" s="55"/>
      <c r="HD300" s="55"/>
    </row>
    <row r="301" spans="1:212" ht="12.75" customHeight="1" x14ac:dyDescent="0.2">
      <c r="A301" s="56" t="s">
        <v>123</v>
      </c>
      <c r="B301" s="66">
        <v>0.3856419781393382</v>
      </c>
      <c r="C301" s="57">
        <v>0.39598400441544751</v>
      </c>
      <c r="D301" s="57">
        <v>0.35908540706593167</v>
      </c>
      <c r="E301" s="65">
        <v>0.43039666216991929</v>
      </c>
      <c r="F301" s="57">
        <v>0.40745571885976994</v>
      </c>
      <c r="G301" s="57">
        <v>0.40229615716914391</v>
      </c>
      <c r="H301" s="57">
        <v>0.44120442914026758</v>
      </c>
      <c r="I301" s="57">
        <v>0.39030262933950111</v>
      </c>
      <c r="J301" s="57">
        <v>0.3945527698629801</v>
      </c>
      <c r="K301" s="45">
        <v>0.42210706081827776</v>
      </c>
      <c r="L301" s="45">
        <v>0.37297753760938535</v>
      </c>
      <c r="M301" s="57">
        <v>0.38819158676838639</v>
      </c>
      <c r="N301" s="57">
        <v>0.46177695455262863</v>
      </c>
      <c r="GZ301" s="55"/>
      <c r="HA301" s="55"/>
      <c r="HB301" s="55"/>
      <c r="HC301" s="55"/>
      <c r="HD301" s="55"/>
    </row>
    <row r="302" spans="1:212" ht="12.75" customHeight="1" x14ac:dyDescent="0.2">
      <c r="A302" s="56" t="s">
        <v>7098</v>
      </c>
      <c r="B302" s="66">
        <v>0.42837264642506034</v>
      </c>
      <c r="C302" s="57">
        <v>0.45641501317066085</v>
      </c>
      <c r="D302" s="57">
        <v>0.42686906220200482</v>
      </c>
      <c r="E302" s="65">
        <v>0.46320443940389189</v>
      </c>
      <c r="F302" s="57">
        <v>0.46627776773730334</v>
      </c>
      <c r="G302" s="57">
        <v>0.43741674735050762</v>
      </c>
      <c r="H302" s="57">
        <v>0.4473705825136069</v>
      </c>
      <c r="I302" s="57">
        <v>0.49195555848678701</v>
      </c>
      <c r="J302" s="57">
        <v>0.46719741023184785</v>
      </c>
      <c r="K302" s="45">
        <v>0.50563269698771474</v>
      </c>
      <c r="L302" s="45">
        <v>0.51524930430464921</v>
      </c>
      <c r="M302" s="57">
        <v>0.51977869140021382</v>
      </c>
      <c r="N302" s="57">
        <v>0.53444443587065504</v>
      </c>
      <c r="GZ302" s="55"/>
      <c r="HA302" s="55"/>
      <c r="HB302" s="55"/>
      <c r="HC302" s="55"/>
      <c r="HD302" s="55"/>
    </row>
    <row r="303" spans="1:212" ht="12.75" customHeight="1" x14ac:dyDescent="0.2">
      <c r="A303" s="56" t="s">
        <v>372</v>
      </c>
      <c r="B303" s="66">
        <v>0.42173472066997769</v>
      </c>
      <c r="C303" s="57">
        <v>0.4285192289602579</v>
      </c>
      <c r="D303" s="57">
        <v>0.43131173051873772</v>
      </c>
      <c r="E303" s="65">
        <v>0.45296713643814329</v>
      </c>
      <c r="F303" s="57">
        <v>0.47498728627512204</v>
      </c>
      <c r="G303" s="57">
        <v>0.44488960670996064</v>
      </c>
      <c r="H303" s="57">
        <v>0.45117327605921004</v>
      </c>
      <c r="I303" s="57">
        <v>0.4544699584436323</v>
      </c>
      <c r="J303" s="57">
        <v>0.42133856809841552</v>
      </c>
      <c r="K303" s="45">
        <v>0.49798318422912552</v>
      </c>
      <c r="L303" s="45">
        <v>0.45000034712100201</v>
      </c>
      <c r="M303" s="57">
        <v>0.48712999875092922</v>
      </c>
      <c r="N303" s="57">
        <v>0.48923523850177142</v>
      </c>
      <c r="GZ303" s="55"/>
      <c r="HA303" s="55"/>
      <c r="HB303" s="55"/>
      <c r="HC303" s="55"/>
      <c r="HD303" s="55"/>
    </row>
    <row r="304" spans="1:212" ht="12.75" customHeight="1" x14ac:dyDescent="0.2">
      <c r="A304" s="56" t="s">
        <v>60</v>
      </c>
      <c r="B304" s="66">
        <v>0.40080667548633858</v>
      </c>
      <c r="C304" s="57">
        <v>0.38679363229560987</v>
      </c>
      <c r="D304" s="57">
        <v>0.37561090086665849</v>
      </c>
      <c r="E304" s="65">
        <v>0.38538131119534652</v>
      </c>
      <c r="F304" s="57">
        <v>0.39716756728039704</v>
      </c>
      <c r="G304" s="57">
        <v>0.36812876150862561</v>
      </c>
      <c r="H304" s="57">
        <v>0.35232191516288947</v>
      </c>
      <c r="I304" s="57">
        <v>0.40518756383810867</v>
      </c>
      <c r="J304" s="57">
        <v>0.38242920931349228</v>
      </c>
      <c r="K304" s="45">
        <v>0.41320269351349459</v>
      </c>
      <c r="L304" s="45">
        <v>0.39072691389459208</v>
      </c>
      <c r="M304" s="57">
        <v>0.40654514355663429</v>
      </c>
      <c r="N304" s="57">
        <v>0.40051758011099842</v>
      </c>
      <c r="GZ304" s="55"/>
      <c r="HA304" s="55"/>
      <c r="HB304" s="55"/>
      <c r="HC304" s="55"/>
      <c r="HD304" s="55"/>
    </row>
    <row r="305" spans="1:212" ht="12.75" customHeight="1" x14ac:dyDescent="0.2">
      <c r="A305" s="56" t="s">
        <v>360</v>
      </c>
      <c r="B305" s="66">
        <v>0.403315991971749</v>
      </c>
      <c r="C305" s="57">
        <v>0.44523325819415593</v>
      </c>
      <c r="D305" s="57">
        <v>0.43729141034310109</v>
      </c>
      <c r="E305" s="65">
        <v>0.48538617783647409</v>
      </c>
      <c r="F305" s="57">
        <v>0.48270302739535509</v>
      </c>
      <c r="G305" s="57">
        <v>0.46344626089548935</v>
      </c>
      <c r="H305" s="57">
        <v>0.46486139943836757</v>
      </c>
      <c r="I305" s="57">
        <v>0.48879346920490691</v>
      </c>
      <c r="J305" s="57">
        <v>0.46600066260329293</v>
      </c>
      <c r="K305" s="45">
        <v>0.47820332197618348</v>
      </c>
      <c r="L305" s="45">
        <v>0.46885005791761475</v>
      </c>
      <c r="M305" s="57">
        <v>0.48108464922290661</v>
      </c>
      <c r="N305" s="57">
        <v>0.5075790792631264</v>
      </c>
      <c r="GZ305" s="55"/>
      <c r="HA305" s="55"/>
      <c r="HB305" s="55"/>
      <c r="HC305" s="55"/>
      <c r="HD305" s="55"/>
    </row>
    <row r="306" spans="1:212" ht="12.75" customHeight="1" x14ac:dyDescent="0.2">
      <c r="A306" s="56" t="s">
        <v>51</v>
      </c>
      <c r="B306" s="66">
        <v>0.42548474214014581</v>
      </c>
      <c r="C306" s="57">
        <v>0.40885358257255811</v>
      </c>
      <c r="D306" s="57">
        <v>0.41240821063819222</v>
      </c>
      <c r="E306" s="65">
        <v>0.39289459954535866</v>
      </c>
      <c r="F306" s="57">
        <v>0.39722939047354011</v>
      </c>
      <c r="G306" s="57">
        <v>0.40404501177607793</v>
      </c>
      <c r="H306" s="57">
        <v>0.40314672903690218</v>
      </c>
      <c r="I306" s="57">
        <v>0.41098575690261713</v>
      </c>
      <c r="J306" s="57">
        <v>0.41104451122777402</v>
      </c>
      <c r="K306" s="45">
        <v>0.40188709187766564</v>
      </c>
      <c r="L306" s="45">
        <v>0.38556457684080081</v>
      </c>
      <c r="M306" s="57">
        <v>0.41107133434454596</v>
      </c>
      <c r="N306" s="57">
        <v>0.45897888561253575</v>
      </c>
      <c r="GZ306" s="55"/>
      <c r="HA306" s="55"/>
      <c r="HB306" s="55"/>
      <c r="HC306" s="55"/>
      <c r="HD306" s="55"/>
    </row>
    <row r="307" spans="1:212" ht="12.75" customHeight="1" x14ac:dyDescent="0.2">
      <c r="A307" s="56" t="s">
        <v>69</v>
      </c>
      <c r="B307" s="66">
        <v>0.33499182730196536</v>
      </c>
      <c r="C307" s="57">
        <v>0.42973734645172873</v>
      </c>
      <c r="D307" s="57">
        <v>0.38728012853687172</v>
      </c>
      <c r="E307" s="65">
        <v>0.37433748915226545</v>
      </c>
      <c r="F307" s="57">
        <v>0.40985626208489928</v>
      </c>
      <c r="G307" s="57">
        <v>0.354128984167775</v>
      </c>
      <c r="H307" s="57">
        <v>0.34320001357717017</v>
      </c>
      <c r="I307" s="57">
        <v>0.38255695390053107</v>
      </c>
      <c r="J307" s="57">
        <v>0.42179052215799534</v>
      </c>
      <c r="K307" s="45">
        <v>0.39825857306440637</v>
      </c>
      <c r="L307" s="45">
        <v>0.40917039921194714</v>
      </c>
      <c r="M307" s="57">
        <v>0.43852562453357641</v>
      </c>
      <c r="N307" s="57">
        <v>0.51887257440644752</v>
      </c>
      <c r="GZ307" s="55"/>
      <c r="HA307" s="55"/>
      <c r="HB307" s="55"/>
      <c r="HC307" s="55"/>
      <c r="HD307" s="55"/>
    </row>
    <row r="308" spans="1:212" ht="12.75" customHeight="1" x14ac:dyDescent="0.2">
      <c r="A308" s="56" t="s">
        <v>145</v>
      </c>
      <c r="B308" s="66">
        <v>0.45280411850634672</v>
      </c>
      <c r="C308" s="57">
        <v>0.46278365940678345</v>
      </c>
      <c r="D308" s="57">
        <v>0.45027984562269668</v>
      </c>
      <c r="E308" s="65">
        <v>0.47079367845740422</v>
      </c>
      <c r="F308" s="57">
        <v>0.49298107544677106</v>
      </c>
      <c r="G308" s="57">
        <v>0.4460990179367762</v>
      </c>
      <c r="H308" s="57">
        <v>0.44797821752495681</v>
      </c>
      <c r="I308" s="57">
        <v>0.50143413442543361</v>
      </c>
      <c r="J308" s="57">
        <v>0.47010007195214021</v>
      </c>
      <c r="K308" s="45">
        <v>0.5041679630233955</v>
      </c>
      <c r="L308" s="45">
        <v>0.47831123225340466</v>
      </c>
      <c r="M308" s="57">
        <v>0.46378366995834264</v>
      </c>
      <c r="N308" s="57">
        <v>0.49799292305467696</v>
      </c>
      <c r="GZ308" s="55"/>
      <c r="HA308" s="55"/>
      <c r="HB308" s="55"/>
      <c r="HC308" s="55"/>
      <c r="HD308" s="55"/>
    </row>
    <row r="309" spans="1:212" ht="12.75" customHeight="1" x14ac:dyDescent="0.2">
      <c r="A309" s="56" t="s">
        <v>136</v>
      </c>
      <c r="B309" s="66">
        <v>0.34672973740719404</v>
      </c>
      <c r="C309" s="57">
        <v>0.34853537741551305</v>
      </c>
      <c r="D309" s="57">
        <v>0.34141879682678267</v>
      </c>
      <c r="E309" s="65">
        <v>0.34125636488623246</v>
      </c>
      <c r="F309" s="57">
        <v>0.3424143492750828</v>
      </c>
      <c r="G309" s="57">
        <v>0.34236962716208191</v>
      </c>
      <c r="H309" s="57">
        <v>0.34422962731062123</v>
      </c>
      <c r="I309" s="57">
        <v>0.37952907061897734</v>
      </c>
      <c r="J309" s="57">
        <v>0.36982383190705126</v>
      </c>
      <c r="K309" s="45">
        <v>0.37663142346131534</v>
      </c>
      <c r="L309" s="45">
        <v>0.39277604776641806</v>
      </c>
      <c r="M309" s="57">
        <v>0.28258997866516233</v>
      </c>
      <c r="N309" s="57">
        <v>0.48242464941165097</v>
      </c>
      <c r="GZ309" s="55"/>
      <c r="HA309" s="55"/>
      <c r="HB309" s="55"/>
      <c r="HC309" s="55"/>
      <c r="HD309" s="55"/>
    </row>
    <row r="310" spans="1:212" ht="12.75" customHeight="1" x14ac:dyDescent="0.2">
      <c r="A310" s="56" t="s">
        <v>7073</v>
      </c>
      <c r="B310" s="66">
        <v>0.44133649405248071</v>
      </c>
      <c r="C310" s="57">
        <v>0.44983361586223847</v>
      </c>
      <c r="D310" s="57">
        <v>0.38796479222159397</v>
      </c>
      <c r="E310" s="65">
        <v>0.45135692749410222</v>
      </c>
      <c r="F310" s="57">
        <v>0.44414120537379115</v>
      </c>
      <c r="G310" s="57">
        <v>0.43214654003120606</v>
      </c>
      <c r="H310" s="57">
        <v>0.41705313555226287</v>
      </c>
      <c r="I310" s="57">
        <v>0.45136873814066747</v>
      </c>
      <c r="J310" s="57">
        <v>0.45705370201459988</v>
      </c>
      <c r="K310" s="45">
        <v>0.45579190466522368</v>
      </c>
      <c r="L310" s="45">
        <v>0.44669972001229336</v>
      </c>
      <c r="M310" s="57">
        <v>0.4681970684093763</v>
      </c>
      <c r="N310" s="57">
        <v>0.54037163391530352</v>
      </c>
      <c r="GZ310" s="55"/>
      <c r="HA310" s="55"/>
      <c r="HB310" s="55"/>
      <c r="HC310" s="55"/>
      <c r="HD310" s="55"/>
    </row>
    <row r="311" spans="1:212" ht="12.75" customHeight="1" x14ac:dyDescent="0.2">
      <c r="A311" s="56" t="s">
        <v>183</v>
      </c>
      <c r="B311" s="66">
        <v>0.36115734827929863</v>
      </c>
      <c r="C311" s="57">
        <v>0.39288403360950808</v>
      </c>
      <c r="D311" s="57">
        <v>0.35890261904671011</v>
      </c>
      <c r="E311" s="65">
        <v>0.37911590114376487</v>
      </c>
      <c r="F311" s="57">
        <v>0.36504788149459794</v>
      </c>
      <c r="G311" s="57">
        <v>0.34031744369156641</v>
      </c>
      <c r="H311" s="57">
        <v>0.35767942986468154</v>
      </c>
      <c r="I311" s="57">
        <v>0.38076358381768655</v>
      </c>
      <c r="J311" s="57">
        <v>0.38348916999807203</v>
      </c>
      <c r="K311" s="45">
        <v>0.38353534829410812</v>
      </c>
      <c r="L311" s="45">
        <v>0.37367361060642745</v>
      </c>
      <c r="M311" s="57">
        <v>0.38235675317123469</v>
      </c>
      <c r="N311" s="57">
        <v>0.26524690569046805</v>
      </c>
      <c r="GZ311" s="55"/>
      <c r="HA311" s="55"/>
      <c r="HB311" s="55"/>
      <c r="HC311" s="55"/>
      <c r="HD311" s="55"/>
    </row>
    <row r="312" spans="1:212" ht="12.75" customHeight="1" x14ac:dyDescent="0.2">
      <c r="A312" s="56" t="s">
        <v>86</v>
      </c>
      <c r="B312" s="66">
        <v>0.37678638233425094</v>
      </c>
      <c r="C312" s="57">
        <v>0.42322393246822776</v>
      </c>
      <c r="D312" s="57">
        <v>0.32882133557526433</v>
      </c>
      <c r="E312" s="65">
        <v>0.40684236683262409</v>
      </c>
      <c r="F312" s="57">
        <v>0.39370799291418634</v>
      </c>
      <c r="G312" s="57">
        <v>0.37001094591449279</v>
      </c>
      <c r="H312" s="57">
        <v>0.35047952033316576</v>
      </c>
      <c r="I312" s="57">
        <v>0.38747837886749287</v>
      </c>
      <c r="J312" s="57">
        <v>0.38145414331497213</v>
      </c>
      <c r="K312" s="45">
        <v>0.39495691649447207</v>
      </c>
      <c r="L312" s="45">
        <v>0.37525599366263668</v>
      </c>
      <c r="M312" s="57">
        <v>0.41390472969544306</v>
      </c>
      <c r="N312" s="57">
        <v>0.43371347060287202</v>
      </c>
      <c r="GZ312" s="55"/>
      <c r="HA312" s="55"/>
      <c r="HB312" s="55"/>
      <c r="HC312" s="55"/>
      <c r="HD312" s="55"/>
    </row>
    <row r="313" spans="1:212" ht="12.75" customHeight="1" x14ac:dyDescent="0.2">
      <c r="A313" s="56" t="s">
        <v>184</v>
      </c>
      <c r="B313" s="66">
        <v>0.33393861087134369</v>
      </c>
      <c r="C313" s="57">
        <v>0.37680441721087299</v>
      </c>
      <c r="D313" s="57">
        <v>0.36317070046179578</v>
      </c>
      <c r="E313" s="65">
        <v>0.40696783541688092</v>
      </c>
      <c r="F313" s="57">
        <v>0.38895751446795518</v>
      </c>
      <c r="G313" s="57">
        <v>0.37627271421585023</v>
      </c>
      <c r="H313" s="57">
        <v>0.34933502533151517</v>
      </c>
      <c r="I313" s="57">
        <v>0.33618231124504933</v>
      </c>
      <c r="J313" s="57">
        <v>0.39981495500256758</v>
      </c>
      <c r="K313" s="45">
        <v>0.38275414934282753</v>
      </c>
      <c r="L313" s="45">
        <v>0.4320555746232701</v>
      </c>
      <c r="M313" s="57">
        <v>0.23235862795423656</v>
      </c>
      <c r="N313" s="57">
        <v>0.50404023301705736</v>
      </c>
      <c r="GZ313" s="55"/>
      <c r="HA313" s="55"/>
      <c r="HB313" s="55"/>
      <c r="HC313" s="55"/>
      <c r="HD313" s="55"/>
    </row>
    <row r="314" spans="1:212" ht="12.75" customHeight="1" x14ac:dyDescent="0.2">
      <c r="A314" s="56" t="s">
        <v>403</v>
      </c>
      <c r="B314" s="66">
        <v>0.49162448917926366</v>
      </c>
      <c r="C314" s="57">
        <v>0.48214581724449213</v>
      </c>
      <c r="D314" s="57">
        <v>0.50132907406246718</v>
      </c>
      <c r="E314" s="65">
        <v>0.48031940126012695</v>
      </c>
      <c r="F314" s="57">
        <v>0.50009549460428815</v>
      </c>
      <c r="G314" s="57">
        <v>0.44669198557062384</v>
      </c>
      <c r="H314" s="57">
        <v>0.44257046880440759</v>
      </c>
      <c r="I314" s="57">
        <v>0.4617310813337745</v>
      </c>
      <c r="J314" s="57">
        <v>0.4537553566189535</v>
      </c>
      <c r="K314" s="45">
        <v>0.45289883377511836</v>
      </c>
      <c r="L314" s="45">
        <v>0.46480839256010714</v>
      </c>
      <c r="M314" s="57">
        <v>0.47507288021276978</v>
      </c>
      <c r="N314" s="57">
        <v>0.46748087872809541</v>
      </c>
      <c r="GZ314" s="55"/>
      <c r="HA314" s="55"/>
      <c r="HB314" s="55"/>
      <c r="HC314" s="55"/>
      <c r="HD314" s="55"/>
    </row>
    <row r="315" spans="1:212" ht="12.75" customHeight="1" x14ac:dyDescent="0.2">
      <c r="A315" s="56" t="s">
        <v>7072</v>
      </c>
      <c r="B315" s="66">
        <v>0.52766479578552883</v>
      </c>
      <c r="C315" s="57">
        <v>0.50853945095917497</v>
      </c>
      <c r="D315" s="57">
        <v>0.51960407173719136</v>
      </c>
      <c r="E315" s="65">
        <v>0.52297737342301021</v>
      </c>
      <c r="F315" s="57">
        <v>0.5322000502145382</v>
      </c>
      <c r="G315" s="57">
        <v>0.50333502304289091</v>
      </c>
      <c r="H315" s="57">
        <v>0.50982092071675855</v>
      </c>
      <c r="I315" s="57">
        <v>0.51795075822196146</v>
      </c>
      <c r="J315" s="57">
        <v>0.51695150684134117</v>
      </c>
      <c r="K315" s="45">
        <v>0.53467492397524152</v>
      </c>
      <c r="L315" s="45">
        <v>0.50837895470209804</v>
      </c>
      <c r="M315" s="57">
        <v>0.50872299912014163</v>
      </c>
      <c r="N315" s="57">
        <v>0.54795710686164267</v>
      </c>
      <c r="GZ315" s="55"/>
      <c r="HA315" s="55"/>
      <c r="HB315" s="55"/>
      <c r="HC315" s="55"/>
      <c r="HD315" s="55"/>
    </row>
    <row r="316" spans="1:212" ht="12.75" customHeight="1" x14ac:dyDescent="0.2">
      <c r="A316" s="56" t="s">
        <v>98</v>
      </c>
      <c r="B316" s="66">
        <v>0.59574084631374846</v>
      </c>
      <c r="C316" s="57">
        <v>0.5901414933825353</v>
      </c>
      <c r="D316" s="57">
        <v>0.57270029487598895</v>
      </c>
      <c r="E316" s="65">
        <v>0.57815428249935119</v>
      </c>
      <c r="F316" s="57">
        <v>0.59636016451893148</v>
      </c>
      <c r="G316" s="57">
        <v>0.5717115452659044</v>
      </c>
      <c r="H316" s="57">
        <v>0.54533665444193991</v>
      </c>
      <c r="I316" s="57">
        <v>0.56380575051257342</v>
      </c>
      <c r="J316" s="57">
        <v>0.55503300787686305</v>
      </c>
      <c r="K316" s="45">
        <v>0.5671299514313618</v>
      </c>
      <c r="L316" s="45">
        <v>0.57302411969267586</v>
      </c>
      <c r="M316" s="57">
        <v>0.60285433910674024</v>
      </c>
      <c r="N316" s="57">
        <v>0.63384671066016096</v>
      </c>
      <c r="GZ316" s="55"/>
      <c r="HA316" s="55"/>
      <c r="HB316" s="55"/>
      <c r="HC316" s="55"/>
      <c r="HD316" s="55"/>
    </row>
    <row r="317" spans="1:212" ht="12.75" customHeight="1" x14ac:dyDescent="0.2">
      <c r="A317" s="56" t="s">
        <v>258</v>
      </c>
      <c r="B317" s="66">
        <v>0.37937348375879265</v>
      </c>
      <c r="C317" s="57">
        <v>0.4012704545052993</v>
      </c>
      <c r="D317" s="57">
        <v>0.3903160301151738</v>
      </c>
      <c r="E317" s="65">
        <v>0.42897443520068107</v>
      </c>
      <c r="F317" s="57">
        <v>0.41428748086319217</v>
      </c>
      <c r="G317" s="57">
        <v>0.40846509996276936</v>
      </c>
      <c r="H317" s="57">
        <v>0.41171379708992878</v>
      </c>
      <c r="I317" s="57">
        <v>0.41872508304202399</v>
      </c>
      <c r="J317" s="57">
        <v>0.41769210941642171</v>
      </c>
      <c r="K317" s="45">
        <v>0.43895453946331148</v>
      </c>
      <c r="L317" s="45">
        <v>0.41845580885459854</v>
      </c>
      <c r="M317" s="57">
        <v>0.45056736978132339</v>
      </c>
      <c r="N317" s="57">
        <v>0.48678278953563731</v>
      </c>
      <c r="GZ317" s="55"/>
      <c r="HA317" s="55"/>
      <c r="HB317" s="55"/>
      <c r="HC317" s="55"/>
      <c r="HD317" s="55"/>
    </row>
    <row r="318" spans="1:212" ht="12.75" customHeight="1" x14ac:dyDescent="0.2">
      <c r="A318" s="56" t="s">
        <v>268</v>
      </c>
      <c r="B318" s="66">
        <v>0.59731325911451694</v>
      </c>
      <c r="C318" s="57">
        <v>0.64315134576476574</v>
      </c>
      <c r="D318" s="57">
        <v>0.63266386482695169</v>
      </c>
      <c r="E318" s="65">
        <v>0.65239007882627198</v>
      </c>
      <c r="F318" s="57">
        <v>0.63157010618189968</v>
      </c>
      <c r="G318" s="57">
        <v>0.57287211870834964</v>
      </c>
      <c r="H318" s="57">
        <v>0.49259422038442502</v>
      </c>
      <c r="I318" s="57">
        <v>0.49210600815836764</v>
      </c>
      <c r="J318" s="57">
        <v>0.49639483189322675</v>
      </c>
      <c r="K318" s="45">
        <v>0.52162961193610957</v>
      </c>
      <c r="L318" s="45">
        <v>0.51352289803848783</v>
      </c>
      <c r="M318" s="57">
        <v>0.51961602206714186</v>
      </c>
      <c r="N318" s="57">
        <v>0.59190459570280485</v>
      </c>
      <c r="GZ318" s="55"/>
      <c r="HA318" s="55"/>
      <c r="HB318" s="55"/>
      <c r="HC318" s="55"/>
      <c r="HD318" s="55"/>
    </row>
    <row r="319" spans="1:212" ht="12.75" customHeight="1" x14ac:dyDescent="0.2">
      <c r="A319" s="56" t="s">
        <v>185</v>
      </c>
      <c r="B319" s="66">
        <v>0.31243975380590494</v>
      </c>
      <c r="C319" s="57">
        <v>0.29310425840354803</v>
      </c>
      <c r="D319" s="57">
        <v>0.32341695531536835</v>
      </c>
      <c r="E319" s="65">
        <v>0.34413568231153702</v>
      </c>
      <c r="F319" s="57">
        <v>0.34738317781179523</v>
      </c>
      <c r="G319" s="57">
        <v>0.32445719798508893</v>
      </c>
      <c r="H319" s="57">
        <v>0.30255344013837254</v>
      </c>
      <c r="I319" s="57">
        <v>0.38047829064053595</v>
      </c>
      <c r="J319" s="57">
        <v>0.33705562766073205</v>
      </c>
      <c r="K319" s="45">
        <v>0.32968655963569549</v>
      </c>
      <c r="L319" s="45">
        <v>0.36252245776511099</v>
      </c>
      <c r="M319" s="57">
        <v>0.3468983292843999</v>
      </c>
      <c r="N319" s="57">
        <v>0.391016153397378</v>
      </c>
      <c r="GZ319" s="55"/>
      <c r="HA319" s="55"/>
      <c r="HB319" s="55"/>
      <c r="HC319" s="55"/>
      <c r="HD319" s="55"/>
    </row>
    <row r="320" spans="1:212" ht="12.75" customHeight="1" x14ac:dyDescent="0.2">
      <c r="A320" s="56" t="s">
        <v>99</v>
      </c>
      <c r="B320" s="66">
        <v>0.58561659365139762</v>
      </c>
      <c r="C320" s="57">
        <v>0.65291434580776964</v>
      </c>
      <c r="D320" s="57">
        <v>0.52826723632678163</v>
      </c>
      <c r="E320" s="65">
        <v>0.64118401845882944</v>
      </c>
      <c r="F320" s="57">
        <v>0.66045318009531928</v>
      </c>
      <c r="G320" s="57">
        <v>0.62180508178075422</v>
      </c>
      <c r="H320" s="57">
        <v>0.62147300457324994</v>
      </c>
      <c r="I320" s="57">
        <v>0.6593360480793965</v>
      </c>
      <c r="J320" s="57">
        <v>0.65198295608683621</v>
      </c>
      <c r="K320" s="45">
        <v>0.63664183246336425</v>
      </c>
      <c r="L320" s="45">
        <v>0.6391395160244584</v>
      </c>
      <c r="M320" s="57">
        <v>0.64742558396121297</v>
      </c>
      <c r="N320" s="57">
        <v>0.65239118148222808</v>
      </c>
      <c r="GZ320" s="55"/>
      <c r="HA320" s="55"/>
      <c r="HB320" s="55"/>
      <c r="HC320" s="55"/>
      <c r="HD320" s="55"/>
    </row>
    <row r="321" spans="1:212" ht="12.75" customHeight="1" x14ac:dyDescent="0.2">
      <c r="A321" s="56" t="s">
        <v>361</v>
      </c>
      <c r="B321" s="66">
        <v>0.34638090811558347</v>
      </c>
      <c r="C321" s="57">
        <v>0.37076877494851135</v>
      </c>
      <c r="D321" s="57">
        <v>0.36340063768609399</v>
      </c>
      <c r="E321" s="65">
        <v>0.37850613498875013</v>
      </c>
      <c r="F321" s="57">
        <v>0.37472064961795559</v>
      </c>
      <c r="G321" s="57">
        <v>0.35591754454654134</v>
      </c>
      <c r="H321" s="57">
        <v>0.3595195502519215</v>
      </c>
      <c r="I321" s="57">
        <v>0.36255614714593082</v>
      </c>
      <c r="J321" s="57">
        <v>0.36811341154928479</v>
      </c>
      <c r="K321" s="45">
        <v>0.38259840597453576</v>
      </c>
      <c r="L321" s="45">
        <v>0.35237324143501114</v>
      </c>
      <c r="M321" s="57">
        <v>0.40508079758232368</v>
      </c>
      <c r="N321" s="57">
        <v>0.42082370519223089</v>
      </c>
      <c r="GZ321" s="55"/>
      <c r="HA321" s="55"/>
      <c r="HB321" s="55"/>
      <c r="HC321" s="55"/>
      <c r="HD321" s="55"/>
    </row>
    <row r="322" spans="1:212" ht="12.75" customHeight="1" x14ac:dyDescent="0.2">
      <c r="A322" s="56" t="s">
        <v>175</v>
      </c>
      <c r="B322" s="66">
        <v>0.40143343380976015</v>
      </c>
      <c r="C322" s="57">
        <v>0.34812358929454379</v>
      </c>
      <c r="D322" s="57">
        <v>0.37581783489386111</v>
      </c>
      <c r="E322" s="65">
        <v>0.305153025903037</v>
      </c>
      <c r="F322" s="57">
        <v>0.36233597342093243</v>
      </c>
      <c r="G322" s="57">
        <v>0.30757818501023154</v>
      </c>
      <c r="H322" s="57">
        <v>0.35114083616112896</v>
      </c>
      <c r="I322" s="57">
        <v>0.34370390559480768</v>
      </c>
      <c r="J322" s="57">
        <v>0.33942337949078039</v>
      </c>
      <c r="K322" s="45">
        <v>0.35736273714144917</v>
      </c>
      <c r="L322" s="45">
        <v>0.30810980118307602</v>
      </c>
      <c r="M322" s="57">
        <v>0.34519071042287636</v>
      </c>
      <c r="N322" s="57">
        <v>0.24039712645231656</v>
      </c>
      <c r="GZ322" s="55"/>
      <c r="HA322" s="55"/>
      <c r="HB322" s="55"/>
      <c r="HC322" s="55"/>
      <c r="HD322" s="55"/>
    </row>
    <row r="323" spans="1:212" ht="12.75" customHeight="1" x14ac:dyDescent="0.2">
      <c r="A323" s="56" t="s">
        <v>362</v>
      </c>
      <c r="B323" s="66">
        <v>0.35698904526660813</v>
      </c>
      <c r="C323" s="57">
        <v>0.39233765910644786</v>
      </c>
      <c r="D323" s="57">
        <v>0.39101646726706163</v>
      </c>
      <c r="E323" s="65">
        <v>0.44514716142812877</v>
      </c>
      <c r="F323" s="57">
        <v>0.39858454004796207</v>
      </c>
      <c r="G323" s="57">
        <v>0.38942593685837451</v>
      </c>
      <c r="H323" s="57">
        <v>0.38911320260356508</v>
      </c>
      <c r="I323" s="57">
        <v>0.44314878928308898</v>
      </c>
      <c r="J323" s="57">
        <v>0.3863667976980949</v>
      </c>
      <c r="K323" s="45">
        <v>0.40841088559193983</v>
      </c>
      <c r="L323" s="45">
        <v>0.42117674789327592</v>
      </c>
      <c r="M323" s="57">
        <v>0.39554786497812766</v>
      </c>
      <c r="N323" s="57">
        <v>0.4561032218576157</v>
      </c>
      <c r="GZ323" s="55"/>
      <c r="HA323" s="55"/>
      <c r="HB323" s="55"/>
      <c r="HC323" s="55"/>
      <c r="HD323" s="55"/>
    </row>
    <row r="324" spans="1:212" ht="12.75" customHeight="1" x14ac:dyDescent="0.2">
      <c r="A324" s="56" t="s">
        <v>137</v>
      </c>
      <c r="B324" s="66">
        <v>0.35982226153637631</v>
      </c>
      <c r="C324" s="57">
        <v>0.42750817686998499</v>
      </c>
      <c r="D324" s="57">
        <v>0.37923656963660107</v>
      </c>
      <c r="E324" s="65">
        <v>0.3930725378349556</v>
      </c>
      <c r="F324" s="57">
        <v>0.38382319485792954</v>
      </c>
      <c r="G324" s="57">
        <v>0.35790272145032925</v>
      </c>
      <c r="H324" s="57">
        <v>0.36827345534548939</v>
      </c>
      <c r="I324" s="57">
        <v>0.39847598647288851</v>
      </c>
      <c r="J324" s="57">
        <v>0.36983010853058512</v>
      </c>
      <c r="K324" s="45">
        <v>0.39037074626804985</v>
      </c>
      <c r="L324" s="45">
        <v>0.41433194832864501</v>
      </c>
      <c r="M324" s="57">
        <v>0.36381835498575832</v>
      </c>
      <c r="N324" s="57">
        <v>0.41794379287135397</v>
      </c>
      <c r="GZ324" s="55"/>
      <c r="HA324" s="55"/>
      <c r="HB324" s="55"/>
      <c r="HC324" s="55"/>
      <c r="HD324" s="55"/>
    </row>
    <row r="325" spans="1:212" ht="12.75" customHeight="1" x14ac:dyDescent="0.2">
      <c r="A325" s="56" t="s">
        <v>478</v>
      </c>
      <c r="B325" s="66">
        <v>0.42190462745483337</v>
      </c>
      <c r="C325" s="57">
        <v>0.40249586867007092</v>
      </c>
      <c r="D325" s="57">
        <v>0.37942040593292481</v>
      </c>
      <c r="E325" s="65">
        <v>0.40752677603755944</v>
      </c>
      <c r="F325" s="57">
        <v>0.3837847464560451</v>
      </c>
      <c r="G325" s="57">
        <v>0.37500620470845258</v>
      </c>
      <c r="H325" s="57">
        <v>0.37248188188172626</v>
      </c>
      <c r="I325" s="57">
        <v>0.3972446632097707</v>
      </c>
      <c r="J325" s="57">
        <v>0.37193653468595023</v>
      </c>
      <c r="K325" s="45">
        <v>0.42083057184718786</v>
      </c>
      <c r="L325" s="45">
        <v>0.41185566071833335</v>
      </c>
      <c r="M325" s="57">
        <v>0.40211930355244652</v>
      </c>
      <c r="N325" s="57">
        <v>0.43454076980198159</v>
      </c>
      <c r="GZ325" s="55"/>
      <c r="HA325" s="55"/>
      <c r="HB325" s="55"/>
      <c r="HC325" s="55"/>
      <c r="HD325" s="55"/>
    </row>
    <row r="326" spans="1:212" ht="12.75" customHeight="1" x14ac:dyDescent="0.2">
      <c r="A326" s="56" t="s">
        <v>294</v>
      </c>
      <c r="B326" s="66">
        <v>0.3967202551289371</v>
      </c>
      <c r="C326" s="57">
        <v>0.42500899016276145</v>
      </c>
      <c r="D326" s="57">
        <v>0.3857522780053691</v>
      </c>
      <c r="E326" s="65">
        <v>0.40383964372068848</v>
      </c>
      <c r="F326" s="57">
        <v>0.41972012425360972</v>
      </c>
      <c r="G326" s="57">
        <v>0.36132038264869448</v>
      </c>
      <c r="H326" s="57">
        <v>0.37485109459721844</v>
      </c>
      <c r="I326" s="57">
        <v>0.42781389033809158</v>
      </c>
      <c r="J326" s="57">
        <v>0.41723157322312998</v>
      </c>
      <c r="K326" s="45">
        <v>0.40539219711379149</v>
      </c>
      <c r="L326" s="45">
        <v>0.41344401901932043</v>
      </c>
      <c r="M326" s="57">
        <v>0.39828918472604524</v>
      </c>
      <c r="N326" s="57">
        <v>0.42678667340043108</v>
      </c>
      <c r="GZ326" s="55"/>
      <c r="HA326" s="55"/>
      <c r="HB326" s="55"/>
      <c r="HC326" s="55"/>
      <c r="HD326" s="55"/>
    </row>
    <row r="327" spans="1:212" ht="12.75" customHeight="1" x14ac:dyDescent="0.2">
      <c r="A327" s="56" t="s">
        <v>193</v>
      </c>
      <c r="B327" s="66">
        <v>0.48075789275386205</v>
      </c>
      <c r="C327" s="57">
        <v>0.5038716952428689</v>
      </c>
      <c r="D327" s="57">
        <v>0.49112947029068144</v>
      </c>
      <c r="E327" s="65">
        <v>0.49335964594910808</v>
      </c>
      <c r="F327" s="57">
        <v>0.4736457836169255</v>
      </c>
      <c r="G327" s="57">
        <v>0.45038074742409445</v>
      </c>
      <c r="H327" s="57">
        <v>0.41595266110493212</v>
      </c>
      <c r="I327" s="57">
        <v>0.45554505726913391</v>
      </c>
      <c r="J327" s="57">
        <v>0.44248276315091206</v>
      </c>
      <c r="K327" s="45">
        <v>0.44529493980989598</v>
      </c>
      <c r="L327" s="45">
        <v>0.41297395066005699</v>
      </c>
      <c r="M327" s="57">
        <v>0.46049201102111825</v>
      </c>
      <c r="N327" s="57">
        <v>0.47528289958314884</v>
      </c>
      <c r="GZ327" s="55"/>
      <c r="HA327" s="55"/>
      <c r="HB327" s="55"/>
      <c r="HC327" s="55"/>
      <c r="HD327" s="55"/>
    </row>
    <row r="328" spans="1:212" ht="12.75" customHeight="1" x14ac:dyDescent="0.2">
      <c r="A328" s="56" t="s">
        <v>315</v>
      </c>
      <c r="B328" s="66">
        <v>0.47301491897742909</v>
      </c>
      <c r="C328" s="57">
        <v>0.45745667009715518</v>
      </c>
      <c r="D328" s="57">
        <v>0.44697926633246993</v>
      </c>
      <c r="E328" s="65">
        <v>0.48385419264811402</v>
      </c>
      <c r="F328" s="57">
        <v>0.51281506324234216</v>
      </c>
      <c r="G328" s="57">
        <v>0.54156611237053631</v>
      </c>
      <c r="H328" s="57">
        <v>0.5287147503782591</v>
      </c>
      <c r="I328" s="57">
        <v>0.55389432451814791</v>
      </c>
      <c r="J328" s="57">
        <v>0.50708906637163564</v>
      </c>
      <c r="K328" s="45">
        <v>0.54389598790048133</v>
      </c>
      <c r="L328" s="45">
        <v>0.50749589317245536</v>
      </c>
      <c r="M328" s="57">
        <v>0.541305306181732</v>
      </c>
      <c r="N328" s="57">
        <v>0.5935079152638405</v>
      </c>
      <c r="GZ328" s="55"/>
      <c r="HA328" s="55"/>
      <c r="HB328" s="55"/>
      <c r="HC328" s="55"/>
      <c r="HD328" s="55"/>
    </row>
    <row r="329" spans="1:212" ht="12.75" customHeight="1" x14ac:dyDescent="0.2">
      <c r="A329" s="56" t="s">
        <v>194</v>
      </c>
      <c r="B329" s="66">
        <v>0.35039936864755467</v>
      </c>
      <c r="C329" s="57">
        <v>0.39395415422519631</v>
      </c>
      <c r="D329" s="57">
        <v>0.36151257557427391</v>
      </c>
      <c r="E329" s="65">
        <v>0.39494932998676791</v>
      </c>
      <c r="F329" s="57">
        <v>0.39907012168032319</v>
      </c>
      <c r="G329" s="57">
        <v>0.37931308845647543</v>
      </c>
      <c r="H329" s="57">
        <v>0.42729319871831772</v>
      </c>
      <c r="I329" s="57">
        <v>0.3902104485124554</v>
      </c>
      <c r="J329" s="57">
        <v>0.39473286672169655</v>
      </c>
      <c r="K329" s="45">
        <v>0.4343846123843067</v>
      </c>
      <c r="L329" s="45">
        <v>0.40329746844583114</v>
      </c>
      <c r="M329" s="57">
        <v>0.417382813403051</v>
      </c>
      <c r="N329" s="57">
        <v>0.44156382340974815</v>
      </c>
      <c r="GZ329" s="55"/>
      <c r="HA329" s="55"/>
      <c r="HB329" s="55"/>
      <c r="HC329" s="55"/>
      <c r="HD329" s="55"/>
    </row>
    <row r="330" spans="1:212" ht="12.75" customHeight="1" x14ac:dyDescent="0.2">
      <c r="A330" s="56" t="s">
        <v>269</v>
      </c>
      <c r="B330" s="66">
        <v>0.41511942544624902</v>
      </c>
      <c r="C330" s="57">
        <v>0.39219471192326338</v>
      </c>
      <c r="D330" s="57">
        <v>0.39963614365935662</v>
      </c>
      <c r="E330" s="65">
        <v>0.41208714208914649</v>
      </c>
      <c r="F330" s="57">
        <v>0.40485406369071442</v>
      </c>
      <c r="G330" s="57">
        <v>0.39400636905164749</v>
      </c>
      <c r="H330" s="57">
        <v>0.38185308952242419</v>
      </c>
      <c r="I330" s="57">
        <v>0.41314317819443275</v>
      </c>
      <c r="J330" s="57">
        <v>0.40675403508939345</v>
      </c>
      <c r="K330" s="45">
        <v>0.4226766878628952</v>
      </c>
      <c r="L330" s="45">
        <v>0.41895464663403698</v>
      </c>
      <c r="M330" s="57">
        <v>0.39290897331115826</v>
      </c>
      <c r="N330" s="57">
        <v>0.46544709834613984</v>
      </c>
      <c r="GZ330" s="55"/>
      <c r="HA330" s="55"/>
      <c r="HB330" s="55"/>
      <c r="HC330" s="55"/>
      <c r="HD330" s="55"/>
    </row>
    <row r="331" spans="1:212" ht="12.75" customHeight="1" x14ac:dyDescent="0.2">
      <c r="A331" s="56" t="s">
        <v>373</v>
      </c>
      <c r="B331" s="66">
        <v>0.38035919933932727</v>
      </c>
      <c r="C331" s="57">
        <v>0.38898339152348438</v>
      </c>
      <c r="D331" s="57">
        <v>0.38502587404704219</v>
      </c>
      <c r="E331" s="65">
        <v>0.41666874997590769</v>
      </c>
      <c r="F331" s="57">
        <v>0.40257110006641156</v>
      </c>
      <c r="G331" s="57">
        <v>0.3961424849535376</v>
      </c>
      <c r="H331" s="57">
        <v>0.39466436157039225</v>
      </c>
      <c r="I331" s="57">
        <v>0.43246645883778068</v>
      </c>
      <c r="J331" s="57">
        <v>0.4024038651754423</v>
      </c>
      <c r="K331" s="45">
        <v>0.44697183963431603</v>
      </c>
      <c r="L331" s="45">
        <v>0.40666090519280346</v>
      </c>
      <c r="M331" s="57">
        <v>0.43651249717801116</v>
      </c>
      <c r="N331" s="57">
        <v>0.44740665457447681</v>
      </c>
      <c r="GZ331" s="55"/>
      <c r="HA331" s="55"/>
      <c r="HB331" s="55"/>
      <c r="HC331" s="55"/>
      <c r="HD331" s="55"/>
    </row>
    <row r="332" spans="1:212" ht="12.75" customHeight="1" x14ac:dyDescent="0.2">
      <c r="A332" s="56" t="s">
        <v>347</v>
      </c>
      <c r="B332" s="66">
        <v>0.38882410378839982</v>
      </c>
      <c r="C332" s="57">
        <v>0.38966587472804065</v>
      </c>
      <c r="D332" s="57">
        <v>0.36252071485343629</v>
      </c>
      <c r="E332" s="65">
        <v>0.40863388006052409</v>
      </c>
      <c r="F332" s="57">
        <v>0.4157626054958351</v>
      </c>
      <c r="G332" s="57">
        <v>0.40501394831479948</v>
      </c>
      <c r="H332" s="57">
        <v>0.42469662881700548</v>
      </c>
      <c r="I332" s="57">
        <v>0.43453449479667322</v>
      </c>
      <c r="J332" s="57">
        <v>0.45503849368191862</v>
      </c>
      <c r="K332" s="45">
        <v>0.3888826336682969</v>
      </c>
      <c r="L332" s="45">
        <v>0.33404713917866907</v>
      </c>
      <c r="M332" s="57">
        <v>0.42001716662756422</v>
      </c>
      <c r="N332" s="57">
        <v>0.4352364123398319</v>
      </c>
      <c r="GZ332" s="55"/>
      <c r="HA332" s="55"/>
      <c r="HB332" s="55"/>
      <c r="HC332" s="55"/>
      <c r="HD332" s="55"/>
    </row>
    <row r="333" spans="1:212" ht="12.75" customHeight="1" x14ac:dyDescent="0.2">
      <c r="A333" s="56" t="s">
        <v>78</v>
      </c>
      <c r="B333" s="66">
        <v>0.33748611637572956</v>
      </c>
      <c r="C333" s="57">
        <v>0.36040747671142209</v>
      </c>
      <c r="D333" s="57">
        <v>0.35236342455855324</v>
      </c>
      <c r="E333" s="65">
        <v>0.36836091676681976</v>
      </c>
      <c r="F333" s="57">
        <v>0.39679273844935431</v>
      </c>
      <c r="G333" s="57">
        <v>0.33965192444638631</v>
      </c>
      <c r="H333" s="57">
        <v>0.33890722979363402</v>
      </c>
      <c r="I333" s="57">
        <v>0.38453785290043135</v>
      </c>
      <c r="J333" s="57">
        <v>0.35804548894133492</v>
      </c>
      <c r="K333" s="45">
        <v>0.36743787414450085</v>
      </c>
      <c r="L333" s="45">
        <v>0.34913018873155788</v>
      </c>
      <c r="M333" s="57">
        <v>0.40216879298191066</v>
      </c>
      <c r="N333" s="57">
        <v>0.46733350238146781</v>
      </c>
      <c r="GZ333" s="55"/>
      <c r="HA333" s="55"/>
      <c r="HB333" s="55"/>
      <c r="HC333" s="55"/>
      <c r="HD333" s="55"/>
    </row>
    <row r="334" spans="1:212" ht="12.75" customHeight="1" x14ac:dyDescent="0.2">
      <c r="A334" s="56" t="s">
        <v>146</v>
      </c>
      <c r="B334" s="66">
        <v>0.38739831756348481</v>
      </c>
      <c r="C334" s="57">
        <v>0.39314985091990595</v>
      </c>
      <c r="D334" s="57">
        <v>0.38368181298389564</v>
      </c>
      <c r="E334" s="65">
        <v>0.39092222840289509</v>
      </c>
      <c r="F334" s="57">
        <v>0.40772209747130883</v>
      </c>
      <c r="G334" s="57">
        <v>0.40386374948040404</v>
      </c>
      <c r="H334" s="57">
        <v>0.39703453573254471</v>
      </c>
      <c r="I334" s="57">
        <v>0.44351571311283167</v>
      </c>
      <c r="J334" s="57">
        <v>0.41741550717393844</v>
      </c>
      <c r="K334" s="45">
        <v>0.4150353214023404</v>
      </c>
      <c r="L334" s="45">
        <v>0.39851025060643197</v>
      </c>
      <c r="M334" s="57">
        <v>0.43952394625253982</v>
      </c>
      <c r="N334" s="57">
        <v>0.47876688200491724</v>
      </c>
      <c r="GZ334" s="55"/>
      <c r="HA334" s="55"/>
      <c r="HB334" s="55"/>
      <c r="HC334" s="55"/>
      <c r="HD334" s="55"/>
    </row>
    <row r="335" spans="1:212" ht="12.75" customHeight="1" x14ac:dyDescent="0.2">
      <c r="A335" s="56" t="s">
        <v>270</v>
      </c>
      <c r="B335" s="66">
        <v>0.4004215115607978</v>
      </c>
      <c r="C335" s="57">
        <v>0.39131533488230685</v>
      </c>
      <c r="D335" s="57">
        <v>0.40330475043138353</v>
      </c>
      <c r="E335" s="65">
        <v>0.40434892351230611</v>
      </c>
      <c r="F335" s="57">
        <v>0.41618624115796082</v>
      </c>
      <c r="G335" s="57">
        <v>0.38681752015444576</v>
      </c>
      <c r="H335" s="57">
        <v>0.39044685388492467</v>
      </c>
      <c r="I335" s="57">
        <v>0.41567339878266968</v>
      </c>
      <c r="J335" s="57">
        <v>0.39802648149444486</v>
      </c>
      <c r="K335" s="45">
        <v>0.40216642580474304</v>
      </c>
      <c r="L335" s="45">
        <v>0.41327469173465037</v>
      </c>
      <c r="M335" s="57">
        <v>0.39689651164689776</v>
      </c>
      <c r="N335" s="57">
        <v>0.4700408972293405</v>
      </c>
      <c r="GZ335" s="55"/>
      <c r="HA335" s="55"/>
      <c r="HB335" s="55"/>
      <c r="HC335" s="55"/>
      <c r="HD335" s="55"/>
    </row>
    <row r="336" spans="1:212" ht="12.75" customHeight="1" x14ac:dyDescent="0.2">
      <c r="A336" s="56" t="s">
        <v>348</v>
      </c>
      <c r="B336" s="66">
        <v>0.45791863520634357</v>
      </c>
      <c r="C336" s="57">
        <v>0.49188307614360993</v>
      </c>
      <c r="D336" s="57">
        <v>0.47714769439631838</v>
      </c>
      <c r="E336" s="65">
        <v>0.50524917890437493</v>
      </c>
      <c r="F336" s="57">
        <v>0.52250331333897193</v>
      </c>
      <c r="G336" s="57">
        <v>0.47542373567091484</v>
      </c>
      <c r="H336" s="57">
        <v>0.50065157013949591</v>
      </c>
      <c r="I336" s="57">
        <v>0.47005914005629273</v>
      </c>
      <c r="J336" s="57">
        <v>0.47531401454303163</v>
      </c>
      <c r="K336" s="45">
        <v>0.49009254193002605</v>
      </c>
      <c r="L336" s="45">
        <v>0.51269388774714186</v>
      </c>
      <c r="M336" s="57">
        <v>0.54500221871454502</v>
      </c>
      <c r="N336" s="57">
        <v>0.55777348998227794</v>
      </c>
      <c r="GZ336" s="55"/>
      <c r="HA336" s="55"/>
      <c r="HB336" s="55"/>
      <c r="HC336" s="55"/>
      <c r="HD336" s="55"/>
    </row>
    <row r="337" spans="1:212" ht="12.75" customHeight="1" x14ac:dyDescent="0.2">
      <c r="A337" s="56" t="s">
        <v>316</v>
      </c>
      <c r="B337" s="66">
        <v>0.42930173635433461</v>
      </c>
      <c r="C337" s="57">
        <v>0.42986886400284063</v>
      </c>
      <c r="D337" s="57">
        <v>0.4307049851368619</v>
      </c>
      <c r="E337" s="65">
        <v>0.43610780834360369</v>
      </c>
      <c r="F337" s="57">
        <v>0.44576604055903346</v>
      </c>
      <c r="G337" s="57">
        <v>0.40805804646505128</v>
      </c>
      <c r="H337" s="57">
        <v>0.41876268773836506</v>
      </c>
      <c r="I337" s="57">
        <v>0.41997286212033302</v>
      </c>
      <c r="J337" s="57">
        <v>0.43254281623084634</v>
      </c>
      <c r="K337" s="45">
        <v>0.41813039353811349</v>
      </c>
      <c r="L337" s="45">
        <v>0.38765692314200817</v>
      </c>
      <c r="M337" s="57">
        <v>0.44390151239056991</v>
      </c>
      <c r="N337" s="57">
        <v>0.46040992850619211</v>
      </c>
      <c r="GZ337" s="55"/>
      <c r="HA337" s="55"/>
      <c r="HB337" s="55"/>
      <c r="HC337" s="55"/>
      <c r="HD337" s="55"/>
    </row>
    <row r="338" spans="1:212" ht="12.75" customHeight="1" x14ac:dyDescent="0.2">
      <c r="A338" s="56" t="s">
        <v>38</v>
      </c>
      <c r="B338" s="66">
        <v>0.28774581431958229</v>
      </c>
      <c r="C338" s="57">
        <v>0.3728069130254143</v>
      </c>
      <c r="D338" s="57">
        <v>0.34717228026560298</v>
      </c>
      <c r="E338" s="65">
        <v>0.32766813929668898</v>
      </c>
      <c r="F338" s="57">
        <v>0.33047905153985074</v>
      </c>
      <c r="G338" s="57">
        <v>0.32725095372912621</v>
      </c>
      <c r="H338" s="57">
        <v>0.32671632643859605</v>
      </c>
      <c r="I338" s="57">
        <v>0.36133232279008309</v>
      </c>
      <c r="J338" s="57">
        <v>0.33054196405680425</v>
      </c>
      <c r="K338" s="45">
        <v>0.36841855150440372</v>
      </c>
      <c r="L338" s="45">
        <v>0.36010772455669499</v>
      </c>
      <c r="M338" s="57">
        <v>0.37947181336731095</v>
      </c>
      <c r="N338" s="57">
        <v>0.41012328991351105</v>
      </c>
      <c r="GZ338" s="55"/>
      <c r="HA338" s="55"/>
      <c r="HB338" s="55"/>
      <c r="HC338" s="55"/>
      <c r="HD338" s="55"/>
    </row>
    <row r="339" spans="1:212" ht="12.75" customHeight="1" x14ac:dyDescent="0.2">
      <c r="A339" s="56" t="s">
        <v>147</v>
      </c>
      <c r="B339" s="66">
        <v>0.47337562903426789</v>
      </c>
      <c r="C339" s="57">
        <v>0.46075182251990821</v>
      </c>
      <c r="D339" s="57">
        <v>0.45312556925543612</v>
      </c>
      <c r="E339" s="65">
        <v>0.46782125070261421</v>
      </c>
      <c r="F339" s="57">
        <v>0.50104844972880425</v>
      </c>
      <c r="G339" s="57">
        <v>0.45229463306577566</v>
      </c>
      <c r="H339" s="57">
        <v>0.44992758313644821</v>
      </c>
      <c r="I339" s="57">
        <v>0.46041837253901735</v>
      </c>
      <c r="J339" s="57">
        <v>0.46847104659309807</v>
      </c>
      <c r="K339" s="45">
        <v>0.47386692949270565</v>
      </c>
      <c r="L339" s="45">
        <v>0.44543706562418783</v>
      </c>
      <c r="M339" s="57">
        <v>0.45739720770104347</v>
      </c>
      <c r="N339" s="57">
        <v>0.49415338424210975</v>
      </c>
      <c r="GZ339" s="55"/>
      <c r="HA339" s="55"/>
      <c r="HB339" s="55"/>
      <c r="HC339" s="55"/>
      <c r="HD339" s="55"/>
    </row>
    <row r="340" spans="1:212" ht="12.75" customHeight="1" x14ac:dyDescent="0.2">
      <c r="A340" s="56" t="s">
        <v>233</v>
      </c>
      <c r="B340" s="66">
        <v>0.38782028007782732</v>
      </c>
      <c r="C340" s="57">
        <v>0.35551103654357613</v>
      </c>
      <c r="D340" s="57">
        <v>0.39716363528951271</v>
      </c>
      <c r="E340" s="65">
        <v>0.42812486289929036</v>
      </c>
      <c r="F340" s="57">
        <v>0.39982222185930649</v>
      </c>
      <c r="G340" s="57">
        <v>0.34749229933039871</v>
      </c>
      <c r="H340" s="57">
        <v>0.37535020657178692</v>
      </c>
      <c r="I340" s="57">
        <v>0.40642305374579263</v>
      </c>
      <c r="J340" s="57">
        <v>0.39631561969441553</v>
      </c>
      <c r="K340" s="45">
        <v>0.42734818475676228</v>
      </c>
      <c r="L340" s="45">
        <v>0.39315381873177402</v>
      </c>
      <c r="M340" s="57">
        <v>0.36974664324461404</v>
      </c>
      <c r="N340" s="57">
        <v>0.45437105283364276</v>
      </c>
      <c r="GZ340" s="55"/>
      <c r="HA340" s="55"/>
      <c r="HB340" s="55"/>
      <c r="HC340" s="55"/>
      <c r="HD340" s="55"/>
    </row>
    <row r="341" spans="1:212" ht="12.75" customHeight="1" x14ac:dyDescent="0.2">
      <c r="A341" s="56" t="s">
        <v>124</v>
      </c>
      <c r="B341" s="66">
        <v>0.4369995529529751</v>
      </c>
      <c r="C341" s="57">
        <v>0.44046403989570027</v>
      </c>
      <c r="D341" s="57">
        <v>0.43609750977382533</v>
      </c>
      <c r="E341" s="65">
        <v>0.40733701422489538</v>
      </c>
      <c r="F341" s="57">
        <v>0.42215453942608788</v>
      </c>
      <c r="G341" s="57">
        <v>0.41532499151630342</v>
      </c>
      <c r="H341" s="57">
        <v>0.40991508627742201</v>
      </c>
      <c r="I341" s="57">
        <v>0.427336215740791</v>
      </c>
      <c r="J341" s="57">
        <v>0.41675739546659257</v>
      </c>
      <c r="K341" s="45">
        <v>0.42526692108881753</v>
      </c>
      <c r="L341" s="45">
        <v>0.42246511157728134</v>
      </c>
      <c r="M341" s="57">
        <v>0.41931624400165418</v>
      </c>
      <c r="N341" s="57">
        <v>0.46765433351098662</v>
      </c>
      <c r="GZ341" s="55"/>
      <c r="HA341" s="55"/>
      <c r="HB341" s="55"/>
      <c r="HC341" s="55"/>
      <c r="HD341" s="55"/>
    </row>
    <row r="342" spans="1:212" ht="12.75" customHeight="1" x14ac:dyDescent="0.2">
      <c r="A342" s="56" t="s">
        <v>374</v>
      </c>
      <c r="B342" s="66">
        <v>0.38659863688188439</v>
      </c>
      <c r="C342" s="57">
        <v>0.41927802855365554</v>
      </c>
      <c r="D342" s="57">
        <v>0.41990511941088782</v>
      </c>
      <c r="E342" s="65">
        <v>0.44447621978429042</v>
      </c>
      <c r="F342" s="57">
        <v>0.4328657532091631</v>
      </c>
      <c r="G342" s="57">
        <v>0.41810784632061726</v>
      </c>
      <c r="H342" s="57">
        <v>0.43309559543354675</v>
      </c>
      <c r="I342" s="57">
        <v>0.4470843501092378</v>
      </c>
      <c r="J342" s="57">
        <v>0.42636333485426697</v>
      </c>
      <c r="K342" s="45">
        <v>0.44817074827547815</v>
      </c>
      <c r="L342" s="45">
        <v>0.40778146540648608</v>
      </c>
      <c r="M342" s="57">
        <v>0.47228252833656215</v>
      </c>
      <c r="N342" s="57">
        <v>0.44908998415868973</v>
      </c>
      <c r="GZ342" s="55"/>
      <c r="HA342" s="55"/>
      <c r="HB342" s="55"/>
      <c r="HC342" s="55"/>
      <c r="HD342" s="55"/>
    </row>
    <row r="343" spans="1:212" ht="12.75" customHeight="1" x14ac:dyDescent="0.2">
      <c r="A343" s="56" t="s">
        <v>109</v>
      </c>
      <c r="B343" s="66">
        <v>0.56490531624379481</v>
      </c>
      <c r="C343" s="57">
        <v>0.73148423958113462</v>
      </c>
      <c r="D343" s="57">
        <v>0.73237941175722865</v>
      </c>
      <c r="E343" s="65">
        <v>0.70989837608023376</v>
      </c>
      <c r="F343" s="57">
        <v>0.72564406864520081</v>
      </c>
      <c r="G343" s="57">
        <v>0.69540325447429974</v>
      </c>
      <c r="H343" s="57">
        <v>0.67278169164976309</v>
      </c>
      <c r="I343" s="57">
        <v>0.70887007545868608</v>
      </c>
      <c r="J343" s="57">
        <v>0.6747007789288525</v>
      </c>
      <c r="K343" s="45">
        <v>0.69066554080042497</v>
      </c>
      <c r="L343" s="45">
        <v>0.70691412229852602</v>
      </c>
      <c r="M343" s="57">
        <v>0.70762100202393496</v>
      </c>
      <c r="N343" s="57">
        <v>0.7530401714092384</v>
      </c>
      <c r="GZ343" s="55"/>
      <c r="HA343" s="55"/>
      <c r="HB343" s="55"/>
      <c r="HC343" s="55"/>
      <c r="HD343" s="55"/>
    </row>
    <row r="344" spans="1:212" ht="12.75" customHeight="1" x14ac:dyDescent="0.2">
      <c r="A344" s="56" t="s">
        <v>219</v>
      </c>
      <c r="B344" s="66">
        <v>0.60821246696980036</v>
      </c>
      <c r="C344" s="57">
        <v>0.65422125478829585</v>
      </c>
      <c r="D344" s="57">
        <v>0.66765698154237729</v>
      </c>
      <c r="E344" s="65">
        <v>0.68087119553211073</v>
      </c>
      <c r="F344" s="57">
        <v>0.7005436468445021</v>
      </c>
      <c r="G344" s="57">
        <v>0.66684715811102535</v>
      </c>
      <c r="H344" s="57">
        <v>0.68316934085652758</v>
      </c>
      <c r="I344" s="57">
        <v>0.6737740739503465</v>
      </c>
      <c r="J344" s="57">
        <v>0.52973126954962069</v>
      </c>
      <c r="K344" s="45">
        <v>0.56407520006641976</v>
      </c>
      <c r="L344" s="45">
        <v>0.52719322570253158</v>
      </c>
      <c r="M344" s="57">
        <v>0.53127943315228265</v>
      </c>
      <c r="N344" s="57">
        <v>0.58967941054030415</v>
      </c>
      <c r="GZ344" s="55"/>
      <c r="HA344" s="55"/>
      <c r="HB344" s="55"/>
      <c r="HC344" s="55"/>
      <c r="HD344" s="55"/>
    </row>
    <row r="345" spans="1:212" ht="12.75" customHeight="1" x14ac:dyDescent="0.2">
      <c r="A345" s="56" t="s">
        <v>125</v>
      </c>
      <c r="B345" s="66">
        <v>0.35446998485002151</v>
      </c>
      <c r="C345" s="57">
        <v>0.37134995872697257</v>
      </c>
      <c r="D345" s="57">
        <v>0.34284677921057927</v>
      </c>
      <c r="E345" s="65">
        <v>0.34998546687163812</v>
      </c>
      <c r="F345" s="57">
        <v>0.36074420959689579</v>
      </c>
      <c r="G345" s="57">
        <v>0.36749282676263129</v>
      </c>
      <c r="H345" s="57">
        <v>0.35058719460947241</v>
      </c>
      <c r="I345" s="57">
        <v>0.35518937047971966</v>
      </c>
      <c r="J345" s="57">
        <v>0.37241405338454725</v>
      </c>
      <c r="K345" s="45">
        <v>0.36011627462285245</v>
      </c>
      <c r="L345" s="45">
        <v>0.38725081030811875</v>
      </c>
      <c r="M345" s="57">
        <v>0.35616300064565604</v>
      </c>
      <c r="N345" s="57">
        <v>0.41091849164068078</v>
      </c>
      <c r="GZ345" s="55"/>
      <c r="HA345" s="55"/>
      <c r="HB345" s="55"/>
      <c r="HC345" s="55"/>
      <c r="HD345" s="55"/>
    </row>
    <row r="346" spans="1:212" ht="12.75" customHeight="1" x14ac:dyDescent="0.2">
      <c r="A346" s="56" t="s">
        <v>483</v>
      </c>
      <c r="B346" s="66">
        <v>0.49008844349819231</v>
      </c>
      <c r="C346" s="57">
        <v>0.47202255341748606</v>
      </c>
      <c r="D346" s="57">
        <v>0.49805266058664627</v>
      </c>
      <c r="E346" s="65">
        <v>0.58770240702682131</v>
      </c>
      <c r="F346" s="57">
        <v>0.54096397635401128</v>
      </c>
      <c r="G346" s="57">
        <v>0.55219506691660714</v>
      </c>
      <c r="H346" s="57">
        <v>0.52101332803860345</v>
      </c>
      <c r="I346" s="57">
        <v>0.53450141854045863</v>
      </c>
      <c r="J346" s="57">
        <v>0.5496801973378852</v>
      </c>
      <c r="K346" s="45">
        <v>0.55334137122034543</v>
      </c>
      <c r="L346" s="45">
        <v>0.53591979803604761</v>
      </c>
      <c r="M346" s="57">
        <v>0.55407090280863347</v>
      </c>
      <c r="N346" s="57">
        <v>0.57560648783301982</v>
      </c>
      <c r="GZ346" s="55"/>
      <c r="HA346" s="55"/>
      <c r="HB346" s="55"/>
      <c r="HC346" s="55"/>
      <c r="HD346" s="55"/>
    </row>
    <row r="347" spans="1:212" ht="12.75" customHeight="1" x14ac:dyDescent="0.2">
      <c r="A347" s="56" t="s">
        <v>234</v>
      </c>
      <c r="B347" s="66">
        <v>0.37514839922067378</v>
      </c>
      <c r="C347" s="57">
        <v>0.38486941522666357</v>
      </c>
      <c r="D347" s="57">
        <v>0.40846700572790634</v>
      </c>
      <c r="E347" s="65">
        <v>0.34361929900061217</v>
      </c>
      <c r="F347" s="57">
        <v>0.38631530380298956</v>
      </c>
      <c r="G347" s="57">
        <v>0.36664955451958803</v>
      </c>
      <c r="H347" s="57">
        <v>0.38021862463046635</v>
      </c>
      <c r="I347" s="57">
        <v>0.37163725707959938</v>
      </c>
      <c r="J347" s="57">
        <v>0.39790593020252985</v>
      </c>
      <c r="K347" s="45">
        <v>0.39377706805817014</v>
      </c>
      <c r="L347" s="45">
        <v>0.4277296255502524</v>
      </c>
      <c r="M347" s="57">
        <v>0.38550964982545965</v>
      </c>
      <c r="N347" s="57">
        <v>0.4682865264734985</v>
      </c>
      <c r="GZ347" s="55"/>
      <c r="HA347" s="55"/>
      <c r="HB347" s="55"/>
      <c r="HC347" s="55"/>
      <c r="HD347" s="55"/>
    </row>
    <row r="348" spans="1:212" ht="12.75" customHeight="1" x14ac:dyDescent="0.2">
      <c r="A348" s="56" t="s">
        <v>163</v>
      </c>
      <c r="B348" s="66">
        <v>0.35779446126006592</v>
      </c>
      <c r="C348" s="57">
        <v>0.37359217134532302</v>
      </c>
      <c r="D348" s="57">
        <v>0.37729616105894337</v>
      </c>
      <c r="E348" s="65">
        <v>0.38286146590525993</v>
      </c>
      <c r="F348" s="57">
        <v>0.36435177819747772</v>
      </c>
      <c r="G348" s="57">
        <v>0.37031638224122965</v>
      </c>
      <c r="H348" s="57">
        <v>0.3514693411405504</v>
      </c>
      <c r="I348" s="57">
        <v>0.38419497595969637</v>
      </c>
      <c r="J348" s="57">
        <v>0.36752825959110724</v>
      </c>
      <c r="K348" s="45">
        <v>0.37226867808004327</v>
      </c>
      <c r="L348" s="45">
        <v>0.38828420243048067</v>
      </c>
      <c r="M348" s="57">
        <v>0.42674242514966554</v>
      </c>
      <c r="N348" s="57">
        <v>0.40597097711693647</v>
      </c>
      <c r="GZ348" s="55"/>
      <c r="HA348" s="55"/>
      <c r="HB348" s="55"/>
      <c r="HC348" s="55"/>
      <c r="HD348" s="55"/>
    </row>
    <row r="349" spans="1:212" ht="12.75" customHeight="1" x14ac:dyDescent="0.2">
      <c r="A349" s="56" t="s">
        <v>24</v>
      </c>
      <c r="B349" s="66">
        <v>0.37373428686378191</v>
      </c>
      <c r="C349" s="57">
        <v>0.36611740580815949</v>
      </c>
      <c r="D349" s="57">
        <v>0.3481678210957273</v>
      </c>
      <c r="E349" s="65">
        <v>0.36829914689562432</v>
      </c>
      <c r="F349" s="57">
        <v>0.43809561287293214</v>
      </c>
      <c r="G349" s="57">
        <v>0.41798662867827374</v>
      </c>
      <c r="H349" s="57">
        <v>0.33640069879332379</v>
      </c>
      <c r="I349" s="57">
        <v>0.41328652754752992</v>
      </c>
      <c r="J349" s="57">
        <v>0.3923654773010517</v>
      </c>
      <c r="K349" s="45">
        <v>0.43428524462172924</v>
      </c>
      <c r="L349" s="45">
        <v>0.38180424146916814</v>
      </c>
      <c r="M349" s="57">
        <v>0.42347802208545965</v>
      </c>
      <c r="N349" s="57">
        <v>0.44391744762961227</v>
      </c>
      <c r="GZ349" s="55"/>
      <c r="HA349" s="55"/>
      <c r="HB349" s="55"/>
      <c r="HC349" s="55"/>
      <c r="HD349" s="55"/>
    </row>
    <row r="350" spans="1:212" ht="12.75" customHeight="1" x14ac:dyDescent="0.2">
      <c r="A350" s="56" t="s">
        <v>220</v>
      </c>
      <c r="B350" s="66">
        <v>0.43798504295720803</v>
      </c>
      <c r="C350" s="57">
        <v>0.43307208729507324</v>
      </c>
      <c r="D350" s="57">
        <v>0.42055934343967943</v>
      </c>
      <c r="E350" s="65">
        <v>0.45279994422803366</v>
      </c>
      <c r="F350" s="57">
        <v>0.43757121276998279</v>
      </c>
      <c r="G350" s="57">
        <v>0.42826236193933037</v>
      </c>
      <c r="H350" s="57">
        <v>0.42895317086752738</v>
      </c>
      <c r="I350" s="57">
        <v>0.4419929695505519</v>
      </c>
      <c r="J350" s="57">
        <v>0.44300130664849596</v>
      </c>
      <c r="K350" s="45">
        <v>0.45945932560820146</v>
      </c>
      <c r="L350" s="45">
        <v>0.43501224940808453</v>
      </c>
      <c r="M350" s="57">
        <v>0.45182225593105563</v>
      </c>
      <c r="N350" s="57">
        <v>0.50016120256085161</v>
      </c>
      <c r="GZ350" s="55"/>
      <c r="HA350" s="55"/>
      <c r="HB350" s="55"/>
      <c r="HC350" s="55"/>
      <c r="HD350" s="55"/>
    </row>
    <row r="351" spans="1:212" ht="12.75" customHeight="1" x14ac:dyDescent="0.2">
      <c r="A351" s="56" t="s">
        <v>283</v>
      </c>
      <c r="B351" s="66">
        <v>0.43403683030818196</v>
      </c>
      <c r="C351" s="57">
        <v>0.42505520843035127</v>
      </c>
      <c r="D351" s="57">
        <v>0.42968564806384885</v>
      </c>
      <c r="E351" s="65">
        <v>0.4639931127426497</v>
      </c>
      <c r="F351" s="57">
        <v>0.4277619784138072</v>
      </c>
      <c r="G351" s="57">
        <v>0.40753754882852855</v>
      </c>
      <c r="H351" s="57">
        <v>0.4091915186112085</v>
      </c>
      <c r="I351" s="57">
        <v>0.45240127582956585</v>
      </c>
      <c r="J351" s="57">
        <v>0.42814895207635317</v>
      </c>
      <c r="K351" s="45">
        <v>0.4353720632010043</v>
      </c>
      <c r="L351" s="45">
        <v>0.39303969003447425</v>
      </c>
      <c r="M351" s="57">
        <v>0.29059139087233665</v>
      </c>
      <c r="N351" s="57">
        <v>0.52342338928278331</v>
      </c>
      <c r="GZ351" s="55"/>
      <c r="HA351" s="55"/>
      <c r="HB351" s="55"/>
      <c r="HC351" s="55"/>
      <c r="HD351" s="55"/>
    </row>
    <row r="352" spans="1:212" ht="12.75" customHeight="1" x14ac:dyDescent="0.2">
      <c r="A352" s="56" t="s">
        <v>7097</v>
      </c>
      <c r="B352" s="66">
        <v>0.38532701036787476</v>
      </c>
      <c r="C352" s="57">
        <v>0.42757524036073163</v>
      </c>
      <c r="D352" s="57">
        <v>0.41701361170344564</v>
      </c>
      <c r="E352" s="65">
        <v>0.48749917409963878</v>
      </c>
      <c r="F352" s="57">
        <v>0.47095168514769681</v>
      </c>
      <c r="G352" s="57">
        <v>0.42915138299720684</v>
      </c>
      <c r="H352" s="57">
        <v>0.43104751562429527</v>
      </c>
      <c r="I352" s="57">
        <v>0.42084198802945888</v>
      </c>
      <c r="J352" s="57">
        <v>0.44427097843349445</v>
      </c>
      <c r="K352" s="45">
        <v>0.49966712087937337</v>
      </c>
      <c r="L352" s="45">
        <v>0.47782128789955941</v>
      </c>
      <c r="M352" s="57">
        <v>0.50113519067814827</v>
      </c>
      <c r="N352" s="57">
        <v>0.51837351647254759</v>
      </c>
      <c r="GZ352" s="55"/>
      <c r="HA352" s="55"/>
      <c r="HB352" s="55"/>
      <c r="HC352" s="55"/>
      <c r="HD352" s="55"/>
    </row>
    <row r="353" spans="1:212" ht="12.75" customHeight="1" x14ac:dyDescent="0.2">
      <c r="A353" s="56" t="s">
        <v>39</v>
      </c>
      <c r="B353" s="66">
        <v>0.36613413295535679</v>
      </c>
      <c r="C353" s="57">
        <v>0.35225547172154037</v>
      </c>
      <c r="D353" s="57">
        <v>0.3479560641213344</v>
      </c>
      <c r="E353" s="65">
        <v>0.33783055835922537</v>
      </c>
      <c r="F353" s="57">
        <v>0.33945899809060653</v>
      </c>
      <c r="G353" s="57">
        <v>0.33430073270972877</v>
      </c>
      <c r="H353" s="57">
        <v>0.3569818130544492</v>
      </c>
      <c r="I353" s="57">
        <v>0.35100091762184238</v>
      </c>
      <c r="J353" s="57">
        <v>0.34480508707215346</v>
      </c>
      <c r="K353" s="45">
        <v>0.36387764313420551</v>
      </c>
      <c r="L353" s="45">
        <v>0.3454801449006985</v>
      </c>
      <c r="M353" s="57">
        <v>0.36626397246278036</v>
      </c>
      <c r="N353" s="57">
        <v>0.40731768862076734</v>
      </c>
      <c r="GZ353" s="55"/>
      <c r="HA353" s="55"/>
      <c r="HB353" s="55"/>
      <c r="HC353" s="55"/>
      <c r="HD353" s="55"/>
    </row>
    <row r="354" spans="1:212" ht="12.75" customHeight="1" x14ac:dyDescent="0.2">
      <c r="A354" s="56" t="s">
        <v>317</v>
      </c>
      <c r="B354" s="66">
        <v>0.35119927033011034</v>
      </c>
      <c r="C354" s="57">
        <v>0.34990628332135409</v>
      </c>
      <c r="D354" s="57">
        <v>0.36409702521242499</v>
      </c>
      <c r="E354" s="65">
        <v>0.38248840475602747</v>
      </c>
      <c r="F354" s="57">
        <v>0.37873011222196357</v>
      </c>
      <c r="G354" s="57">
        <v>0.35940743891844429</v>
      </c>
      <c r="H354" s="57">
        <v>0.35293424745644442</v>
      </c>
      <c r="I354" s="57">
        <v>0.37573539179481974</v>
      </c>
      <c r="J354" s="57">
        <v>0.3585943891747656</v>
      </c>
      <c r="K354" s="45">
        <v>0.38744446072895616</v>
      </c>
      <c r="L354" s="45">
        <v>0.36916614874992565</v>
      </c>
      <c r="M354" s="57">
        <v>0.38530743102202419</v>
      </c>
      <c r="N354" s="57">
        <v>0.43106276652777009</v>
      </c>
      <c r="GZ354" s="55"/>
      <c r="HA354" s="55"/>
      <c r="HB354" s="55"/>
      <c r="HC354" s="55"/>
      <c r="HD354" s="55"/>
    </row>
    <row r="355" spans="1:212" ht="12.75" customHeight="1" x14ac:dyDescent="0.2">
      <c r="A355" s="56" t="s">
        <v>14</v>
      </c>
      <c r="B355" s="66">
        <v>0.72929495735130323</v>
      </c>
      <c r="C355" s="57">
        <v>0.73193619075844696</v>
      </c>
      <c r="D355" s="57">
        <v>0.72773230583585924</v>
      </c>
      <c r="E355" s="65">
        <v>0.7231045183830157</v>
      </c>
      <c r="F355" s="57">
        <v>0.71379400598117304</v>
      </c>
      <c r="G355" s="57">
        <v>0.6799049188329388</v>
      </c>
      <c r="H355" s="57">
        <v>0.68072828038390887</v>
      </c>
      <c r="I355" s="57">
        <v>0.67500303833280784</v>
      </c>
      <c r="J355" s="57">
        <v>0.67587881297183483</v>
      </c>
      <c r="K355" s="45">
        <v>0.69432706732784744</v>
      </c>
      <c r="L355" s="45">
        <v>0.65402503822235414</v>
      </c>
      <c r="M355" s="57">
        <v>0.6941604083470263</v>
      </c>
      <c r="N355" s="57">
        <v>0.68862692866031372</v>
      </c>
      <c r="GZ355" s="55"/>
      <c r="HA355" s="55"/>
      <c r="HB355" s="55"/>
      <c r="HC355" s="55"/>
      <c r="HD355" s="55"/>
    </row>
    <row r="356" spans="1:212" ht="12.75" customHeight="1" x14ac:dyDescent="0.2">
      <c r="A356" s="56" t="s">
        <v>221</v>
      </c>
      <c r="B356" s="66">
        <v>0.50182812099921359</v>
      </c>
      <c r="C356" s="57">
        <v>0.54615038132885363</v>
      </c>
      <c r="D356" s="57">
        <v>0.53602002353593603</v>
      </c>
      <c r="E356" s="65">
        <v>0.45941159871236076</v>
      </c>
      <c r="F356" s="57">
        <v>0.4742303658567586</v>
      </c>
      <c r="G356" s="57">
        <v>0.45693669512265261</v>
      </c>
      <c r="H356" s="57">
        <v>0.48734422696093022</v>
      </c>
      <c r="I356" s="57">
        <v>0.4439502778908424</v>
      </c>
      <c r="J356" s="57">
        <v>0.44857020568050188</v>
      </c>
      <c r="K356" s="45">
        <v>0.43761966326530566</v>
      </c>
      <c r="L356" s="45">
        <v>0.4304167425984895</v>
      </c>
      <c r="M356" s="57">
        <v>0.45062580637262672</v>
      </c>
      <c r="N356" s="57">
        <v>0.49338006212907148</v>
      </c>
      <c r="GZ356" s="55"/>
      <c r="HA356" s="55"/>
      <c r="HB356" s="55"/>
      <c r="HC356" s="55"/>
      <c r="HD356" s="55"/>
    </row>
    <row r="357" spans="1:212" ht="12.75" customHeight="1" x14ac:dyDescent="0.2">
      <c r="A357" s="56" t="s">
        <v>25</v>
      </c>
      <c r="B357" s="66">
        <v>0.57694060122148683</v>
      </c>
      <c r="C357" s="57">
        <v>0.60895768647748849</v>
      </c>
      <c r="D357" s="57">
        <v>0.5865434043587886</v>
      </c>
      <c r="E357" s="65">
        <v>0.59921813184340234</v>
      </c>
      <c r="F357" s="57">
        <v>0.58583520926107335</v>
      </c>
      <c r="G357" s="57">
        <v>0.56252686865592072</v>
      </c>
      <c r="H357" s="57">
        <v>0.54672941999316338</v>
      </c>
      <c r="I357" s="57">
        <v>0.55485143921729374</v>
      </c>
      <c r="J357" s="57">
        <v>0.54186907053376054</v>
      </c>
      <c r="K357" s="45">
        <v>0.54260577109044195</v>
      </c>
      <c r="L357" s="45">
        <v>0.48213153078672311</v>
      </c>
      <c r="M357" s="57">
        <v>0.52705075871706741</v>
      </c>
      <c r="N357" s="57">
        <v>0.5441645073332021</v>
      </c>
      <c r="GZ357" s="55"/>
      <c r="HA357" s="55"/>
      <c r="HB357" s="55"/>
      <c r="HC357" s="55"/>
      <c r="HD357" s="55"/>
    </row>
    <row r="358" spans="1:212" ht="12.75" customHeight="1" x14ac:dyDescent="0.2">
      <c r="A358" s="56" t="s">
        <v>318</v>
      </c>
      <c r="B358" s="66">
        <v>0.46315716291035236</v>
      </c>
      <c r="C358" s="57">
        <v>0.48259469082241352</v>
      </c>
      <c r="D358" s="57">
        <v>0.45269341870320329</v>
      </c>
      <c r="E358" s="65">
        <v>0.50274425705625025</v>
      </c>
      <c r="F358" s="57">
        <v>0.49572298498839523</v>
      </c>
      <c r="G358" s="57">
        <v>0.47718048839318838</v>
      </c>
      <c r="H358" s="57">
        <v>0.48451566327562662</v>
      </c>
      <c r="I358" s="57">
        <v>0.49209357688409211</v>
      </c>
      <c r="J358" s="57">
        <v>0.48112051955858337</v>
      </c>
      <c r="K358" s="45">
        <v>0.5210819965989314</v>
      </c>
      <c r="L358" s="45">
        <v>0.50365387849944265</v>
      </c>
      <c r="M358" s="57">
        <v>0.55746446808417816</v>
      </c>
      <c r="N358" s="57">
        <v>0.55464444185882511</v>
      </c>
      <c r="GZ358" s="55"/>
      <c r="HA358" s="55"/>
      <c r="HB358" s="55"/>
      <c r="HC358" s="55"/>
      <c r="HD358" s="55"/>
    </row>
    <row r="359" spans="1:212" ht="12.75" customHeight="1" x14ac:dyDescent="0.2">
      <c r="A359" s="56" t="s">
        <v>319</v>
      </c>
      <c r="B359" s="66">
        <v>0.35836756446694079</v>
      </c>
      <c r="C359" s="57">
        <v>0.43624077568580705</v>
      </c>
      <c r="D359" s="57">
        <v>0.39118581477328362</v>
      </c>
      <c r="E359" s="65">
        <v>0.42925667665388073</v>
      </c>
      <c r="F359" s="57">
        <v>0.41283004060572315</v>
      </c>
      <c r="G359" s="57">
        <v>0.42336761147035901</v>
      </c>
      <c r="H359" s="57">
        <v>0.3992909438695148</v>
      </c>
      <c r="I359" s="57">
        <v>0.4105629019503001</v>
      </c>
      <c r="J359" s="57">
        <v>0.39585566320214499</v>
      </c>
      <c r="K359" s="45">
        <v>0.41313043231560703</v>
      </c>
      <c r="L359" s="45">
        <v>0.37747647041917531</v>
      </c>
      <c r="M359" s="57">
        <v>0.42718908253924148</v>
      </c>
      <c r="N359" s="57">
        <v>0.51443961912703273</v>
      </c>
      <c r="GZ359" s="55"/>
      <c r="HA359" s="55"/>
      <c r="HB359" s="55"/>
      <c r="HC359" s="55"/>
      <c r="HD359" s="55"/>
    </row>
    <row r="360" spans="1:212" ht="12.75" customHeight="1" x14ac:dyDescent="0.2">
      <c r="A360" s="56" t="s">
        <v>164</v>
      </c>
      <c r="B360" s="66">
        <v>0.64459080140647929</v>
      </c>
      <c r="C360" s="57">
        <v>0.64829892465146521</v>
      </c>
      <c r="D360" s="57">
        <v>0.57087730839450268</v>
      </c>
      <c r="E360" s="65">
        <v>0.60325272163191224</v>
      </c>
      <c r="F360" s="57">
        <v>0.57086240912204778</v>
      </c>
      <c r="G360" s="57">
        <v>0.50255752993682634</v>
      </c>
      <c r="H360" s="57">
        <v>0.5440872190434044</v>
      </c>
      <c r="I360" s="57">
        <v>0.47504442262383201</v>
      </c>
      <c r="J360" s="57">
        <v>0.4784219112277685</v>
      </c>
      <c r="K360" s="45">
        <v>0.44977679845411794</v>
      </c>
      <c r="L360" s="45">
        <v>0.40955166059578307</v>
      </c>
      <c r="M360" s="57">
        <v>0.48037788945197762</v>
      </c>
      <c r="N360" s="57">
        <v>0.49225021365444205</v>
      </c>
      <c r="GZ360" s="55"/>
      <c r="HA360" s="55"/>
      <c r="HB360" s="55"/>
      <c r="HC360" s="55"/>
      <c r="HD360" s="55"/>
    </row>
    <row r="361" spans="1:212" ht="12.75" customHeight="1" x14ac:dyDescent="0.2">
      <c r="A361" s="56" t="s">
        <v>295</v>
      </c>
      <c r="B361" s="66">
        <v>0.44223913164462125</v>
      </c>
      <c r="C361" s="57">
        <v>0.46262853483854538</v>
      </c>
      <c r="D361" s="57">
        <v>0.46229127413048682</v>
      </c>
      <c r="E361" s="65">
        <v>0.4610101084660066</v>
      </c>
      <c r="F361" s="57">
        <v>0.4683863574276273</v>
      </c>
      <c r="G361" s="57">
        <v>0.45164818932304207</v>
      </c>
      <c r="H361" s="57">
        <v>0.45071723976208178</v>
      </c>
      <c r="I361" s="57">
        <v>0.49393098569636606</v>
      </c>
      <c r="J361" s="57">
        <v>0.44334557551109577</v>
      </c>
      <c r="K361" s="45">
        <v>0.47211631438855278</v>
      </c>
      <c r="L361" s="45">
        <v>0.48029877538804316</v>
      </c>
      <c r="M361" s="57">
        <v>0.51436559270336923</v>
      </c>
      <c r="N361" s="57">
        <v>0.50060602699925061</v>
      </c>
      <c r="GZ361" s="55"/>
      <c r="HA361" s="55"/>
      <c r="HB361" s="55"/>
      <c r="HC361" s="55"/>
      <c r="HD361" s="55"/>
    </row>
    <row r="362" spans="1:212" ht="12.75" customHeight="1" x14ac:dyDescent="0.2">
      <c r="A362" s="56" t="s">
        <v>126</v>
      </c>
      <c r="B362" s="66">
        <v>0.38207535594177039</v>
      </c>
      <c r="C362" s="57">
        <v>0.40271817509513425</v>
      </c>
      <c r="D362" s="57">
        <v>0.38279616830053936</v>
      </c>
      <c r="E362" s="65">
        <v>0.41729033154908157</v>
      </c>
      <c r="F362" s="57">
        <v>0.35072534171484426</v>
      </c>
      <c r="G362" s="57">
        <v>0.40747806200331493</v>
      </c>
      <c r="H362" s="57">
        <v>0.34104971326421618</v>
      </c>
      <c r="I362" s="57">
        <v>0.39301095597698243</v>
      </c>
      <c r="J362" s="57">
        <v>0.36699391944727877</v>
      </c>
      <c r="K362" s="45">
        <v>0.36279919418789575</v>
      </c>
      <c r="L362" s="45">
        <v>0.31705100907412892</v>
      </c>
      <c r="M362" s="57">
        <v>0.35364729502352965</v>
      </c>
      <c r="N362" s="57">
        <v>0.41042276580998543</v>
      </c>
      <c r="GZ362" s="55"/>
      <c r="HA362" s="55"/>
      <c r="HB362" s="55"/>
      <c r="HC362" s="55"/>
      <c r="HD362" s="55"/>
    </row>
    <row r="363" spans="1:212" ht="12.75" customHeight="1" x14ac:dyDescent="0.2">
      <c r="A363" s="56" t="s">
        <v>222</v>
      </c>
      <c r="B363" s="66">
        <v>0.61663288851063047</v>
      </c>
      <c r="C363" s="57">
        <v>0.62983473057938066</v>
      </c>
      <c r="D363" s="57">
        <v>0.6171559297977588</v>
      </c>
      <c r="E363" s="65">
        <v>0.64632632906479492</v>
      </c>
      <c r="F363" s="57">
        <v>0.61269945918358926</v>
      </c>
      <c r="G363" s="57">
        <v>0.55164276774018728</v>
      </c>
      <c r="H363" s="57">
        <v>0.49488029550416807</v>
      </c>
      <c r="I363" s="57">
        <v>0.42608572081291829</v>
      </c>
      <c r="J363" s="57">
        <v>0.4062163079439608</v>
      </c>
      <c r="K363" s="45">
        <v>0.43657916882593112</v>
      </c>
      <c r="L363" s="45">
        <v>0.36161293420915608</v>
      </c>
      <c r="M363" s="57">
        <v>0.44978929832800024</v>
      </c>
      <c r="N363" s="57">
        <v>0.44256351257701226</v>
      </c>
      <c r="GZ363" s="55"/>
      <c r="HA363" s="55"/>
      <c r="HB363" s="55"/>
      <c r="HC363" s="55"/>
      <c r="HD363" s="55"/>
    </row>
    <row r="364" spans="1:212" ht="12.75" customHeight="1" x14ac:dyDescent="0.2">
      <c r="A364" s="56" t="s">
        <v>127</v>
      </c>
      <c r="B364" s="66">
        <v>0.35852365007954989</v>
      </c>
      <c r="C364" s="57">
        <v>0.36786634183919381</v>
      </c>
      <c r="D364" s="57">
        <v>0.38460871076836761</v>
      </c>
      <c r="E364" s="65">
        <v>0.38587083578780101</v>
      </c>
      <c r="F364" s="57">
        <v>0.38893553149411614</v>
      </c>
      <c r="G364" s="57">
        <v>0.3651222971756935</v>
      </c>
      <c r="H364" s="57">
        <v>0.36415959516132268</v>
      </c>
      <c r="I364" s="57">
        <v>0.39494790645814232</v>
      </c>
      <c r="J364" s="57">
        <v>0.36981761107846151</v>
      </c>
      <c r="K364" s="45">
        <v>0.39056331213062645</v>
      </c>
      <c r="L364" s="45">
        <v>0.42572464455784176</v>
      </c>
      <c r="M364" s="57">
        <v>0.39729222383317891</v>
      </c>
      <c r="N364" s="57">
        <v>0.44295834598227929</v>
      </c>
      <c r="GZ364" s="55"/>
      <c r="HA364" s="55"/>
      <c r="HB364" s="55"/>
      <c r="HC364" s="55"/>
      <c r="HD364" s="55"/>
    </row>
    <row r="365" spans="1:212" ht="12.75" customHeight="1" x14ac:dyDescent="0.2">
      <c r="A365" s="56" t="s">
        <v>7070</v>
      </c>
      <c r="B365" s="66">
        <v>0.43500944748775572</v>
      </c>
      <c r="C365" s="57">
        <v>0.4499580411979574</v>
      </c>
      <c r="D365" s="57">
        <v>0.44913337431373784</v>
      </c>
      <c r="E365" s="65">
        <v>0.46737894671241192</v>
      </c>
      <c r="F365" s="57">
        <v>0.47193138296673187</v>
      </c>
      <c r="G365" s="57">
        <v>0.42411401382816533</v>
      </c>
      <c r="H365" s="57">
        <v>0.4379320614834103</v>
      </c>
      <c r="I365" s="57">
        <v>0.44557731902797387</v>
      </c>
      <c r="J365" s="57">
        <v>0.44955164163914296</v>
      </c>
      <c r="K365" s="45">
        <v>0.45960808964548239</v>
      </c>
      <c r="L365" s="45">
        <v>0.44171443735042371</v>
      </c>
      <c r="M365" s="57">
        <v>0.45157106730684771</v>
      </c>
      <c r="N365" s="57">
        <v>0.45445969079198062</v>
      </c>
      <c r="GZ365" s="55"/>
      <c r="HA365" s="55"/>
      <c r="HB365" s="55"/>
      <c r="HC365" s="55"/>
      <c r="HD365" s="55"/>
    </row>
    <row r="366" spans="1:212" ht="12.75" customHeight="1" x14ac:dyDescent="0.2">
      <c r="A366" s="56" t="s">
        <v>381</v>
      </c>
      <c r="B366" s="66">
        <v>0.54361397043913662</v>
      </c>
      <c r="C366" s="57">
        <v>0.55976258324064743</v>
      </c>
      <c r="D366" s="57">
        <v>0.51469625422850662</v>
      </c>
      <c r="E366" s="65">
        <v>0.58216776904946632</v>
      </c>
      <c r="F366" s="57">
        <v>0.65159959787649813</v>
      </c>
      <c r="G366" s="57">
        <v>0.59716729589018258</v>
      </c>
      <c r="H366" s="57">
        <v>0.61779040935845453</v>
      </c>
      <c r="I366" s="57">
        <v>0.55625422069407215</v>
      </c>
      <c r="J366" s="57">
        <v>0.55336408152589189</v>
      </c>
      <c r="K366" s="45">
        <v>0.63403479225865933</v>
      </c>
      <c r="L366" s="45">
        <v>0.53938552624965141</v>
      </c>
      <c r="M366" s="57">
        <v>0.63705954797094799</v>
      </c>
      <c r="N366" s="57">
        <v>0.60016719860568324</v>
      </c>
      <c r="GZ366" s="55"/>
      <c r="HA366" s="55"/>
      <c r="HB366" s="55"/>
      <c r="HC366" s="55"/>
      <c r="HD366" s="55"/>
    </row>
    <row r="367" spans="1:212" ht="12.75" customHeight="1" x14ac:dyDescent="0.2">
      <c r="A367" s="56" t="s">
        <v>391</v>
      </c>
      <c r="B367" s="66">
        <v>0.49307880502805834</v>
      </c>
      <c r="C367" s="57">
        <v>0.50135123810292714</v>
      </c>
      <c r="D367" s="57">
        <v>0.49901964092144852</v>
      </c>
      <c r="E367" s="65">
        <v>0.5109384108790932</v>
      </c>
      <c r="F367" s="57">
        <v>0.50540373680256756</v>
      </c>
      <c r="G367" s="57">
        <v>0.46825978983477273</v>
      </c>
      <c r="H367" s="57">
        <v>0.47806008113092874</v>
      </c>
      <c r="I367" s="57">
        <v>0.5171231139085356</v>
      </c>
      <c r="J367" s="57">
        <v>0.49167830497420273</v>
      </c>
      <c r="K367" s="45">
        <v>0.48827680891557074</v>
      </c>
      <c r="L367" s="45">
        <v>0.50742992585868285</v>
      </c>
      <c r="M367" s="57">
        <v>0.53197622823625135</v>
      </c>
      <c r="N367" s="57">
        <v>0.57342204632921578</v>
      </c>
      <c r="GZ367" s="55"/>
      <c r="HA367" s="55"/>
      <c r="HB367" s="55"/>
      <c r="HC367" s="55"/>
      <c r="HD367" s="55"/>
    </row>
    <row r="368" spans="1:212" ht="12.75" customHeight="1" x14ac:dyDescent="0.2">
      <c r="A368" s="56" t="s">
        <v>320</v>
      </c>
      <c r="B368" s="66">
        <v>0.40356843472348009</v>
      </c>
      <c r="C368" s="57">
        <v>0.43017463710331461</v>
      </c>
      <c r="D368" s="57">
        <v>0.41914987535510889</v>
      </c>
      <c r="E368" s="65">
        <v>0.43236414931727246</v>
      </c>
      <c r="F368" s="57">
        <v>0.43707040075226217</v>
      </c>
      <c r="G368" s="57">
        <v>0.41634745386485383</v>
      </c>
      <c r="H368" s="57">
        <v>0.43216336681418849</v>
      </c>
      <c r="I368" s="57">
        <v>0.43622119621861644</v>
      </c>
      <c r="J368" s="57">
        <v>0.42843847748329966</v>
      </c>
      <c r="K368" s="45">
        <v>0.44926024039638218</v>
      </c>
      <c r="L368" s="45">
        <v>0.44698753883375741</v>
      </c>
      <c r="M368" s="57">
        <v>0.44584856878949586</v>
      </c>
      <c r="N368" s="57">
        <v>0.48822375734090667</v>
      </c>
      <c r="GZ368" s="55"/>
      <c r="HA368" s="55"/>
      <c r="HB368" s="55"/>
      <c r="HC368" s="55"/>
      <c r="HD368" s="55"/>
    </row>
    <row r="369" spans="1:212" ht="12.75" customHeight="1" x14ac:dyDescent="0.2">
      <c r="A369" s="56" t="s">
        <v>128</v>
      </c>
      <c r="B369" s="66">
        <v>0.45497138800973935</v>
      </c>
      <c r="C369" s="57">
        <v>0.45376585761487354</v>
      </c>
      <c r="D369" s="57">
        <v>0.4484844671042037</v>
      </c>
      <c r="E369" s="65">
        <v>0.44786279234352772</v>
      </c>
      <c r="F369" s="57">
        <v>0.46530736526289029</v>
      </c>
      <c r="G369" s="57">
        <v>0.43171106508949308</v>
      </c>
      <c r="H369" s="57">
        <v>0.44892027613987984</v>
      </c>
      <c r="I369" s="57">
        <v>0.4679939117520262</v>
      </c>
      <c r="J369" s="57">
        <v>0.47315050894573779</v>
      </c>
      <c r="K369" s="45">
        <v>0.48979778161644555</v>
      </c>
      <c r="L369" s="45">
        <v>0.46654488543861461</v>
      </c>
      <c r="M369" s="57">
        <v>0.48567541522275359</v>
      </c>
      <c r="N369" s="57">
        <v>0.51538803911184183</v>
      </c>
      <c r="GZ369" s="55"/>
      <c r="HA369" s="55"/>
      <c r="HB369" s="55"/>
      <c r="HC369" s="55"/>
      <c r="HD369" s="55"/>
    </row>
    <row r="370" spans="1:212" ht="12.75" customHeight="1" x14ac:dyDescent="0.2">
      <c r="A370" s="56" t="s">
        <v>112</v>
      </c>
      <c r="B370" s="66">
        <v>0.47779038128483947</v>
      </c>
      <c r="C370" s="57">
        <v>0.49647398624577366</v>
      </c>
      <c r="D370" s="57">
        <v>0.51385242628658445</v>
      </c>
      <c r="E370" s="65">
        <v>0.4915553389494986</v>
      </c>
      <c r="F370" s="57">
        <v>0.5030611211488778</v>
      </c>
      <c r="G370" s="57">
        <v>0.48651520284278904</v>
      </c>
      <c r="H370" s="57">
        <v>0.49351077311325053</v>
      </c>
      <c r="I370" s="57">
        <v>0.50038391222223733</v>
      </c>
      <c r="J370" s="57">
        <v>0.50506321320283831</v>
      </c>
      <c r="K370" s="45">
        <v>0.50242981794673525</v>
      </c>
      <c r="L370" s="45">
        <v>0.48655118824360505</v>
      </c>
      <c r="M370" s="57">
        <v>0.50042578968907936</v>
      </c>
      <c r="N370" s="57">
        <v>0.53354738488017417</v>
      </c>
      <c r="GZ370" s="55"/>
      <c r="HA370" s="55"/>
      <c r="HB370" s="55"/>
      <c r="HC370" s="55"/>
      <c r="HD370" s="55"/>
    </row>
    <row r="371" spans="1:212" ht="12.75" customHeight="1" x14ac:dyDescent="0.2">
      <c r="A371" s="56" t="s">
        <v>176</v>
      </c>
      <c r="B371" s="66">
        <v>0.47841207765278426</v>
      </c>
      <c r="C371" s="57">
        <v>0.45396655784884693</v>
      </c>
      <c r="D371" s="57">
        <v>0.45619964393652901</v>
      </c>
      <c r="E371" s="65">
        <v>0.46122546824463462</v>
      </c>
      <c r="F371" s="57">
        <v>0.47185480647955635</v>
      </c>
      <c r="G371" s="57">
        <v>0.46457171298768807</v>
      </c>
      <c r="H371" s="57">
        <v>0.46968845879484494</v>
      </c>
      <c r="I371" s="57">
        <v>0.47507023331183362</v>
      </c>
      <c r="J371" s="57">
        <v>0.47749468149698654</v>
      </c>
      <c r="K371" s="45">
        <v>0.51300907838485243</v>
      </c>
      <c r="L371" s="45">
        <v>0.50816471219592907</v>
      </c>
      <c r="M371" s="57">
        <v>0.50631568286442241</v>
      </c>
      <c r="N371" s="57">
        <v>0.57189185673574194</v>
      </c>
      <c r="GZ371" s="55"/>
      <c r="HA371" s="55"/>
      <c r="HB371" s="55"/>
      <c r="HC371" s="55"/>
      <c r="HD371" s="55"/>
    </row>
    <row r="372" spans="1:212" ht="12.75" customHeight="1" x14ac:dyDescent="0.2">
      <c r="A372" s="56" t="s">
        <v>382</v>
      </c>
      <c r="B372" s="66">
        <v>0.42198029915600255</v>
      </c>
      <c r="C372" s="57">
        <v>0.41807613506737712</v>
      </c>
      <c r="D372" s="57">
        <v>0.40297795427430344</v>
      </c>
      <c r="E372" s="65">
        <v>0.45479816807685058</v>
      </c>
      <c r="F372" s="57">
        <v>0.45236394794302903</v>
      </c>
      <c r="G372" s="57">
        <v>0.39900617720171921</v>
      </c>
      <c r="H372" s="57">
        <v>0.41971620719793024</v>
      </c>
      <c r="I372" s="57">
        <v>0.46603023568708357</v>
      </c>
      <c r="J372" s="57">
        <v>0.43725097387829864</v>
      </c>
      <c r="K372" s="45">
        <v>0.45480636708128114</v>
      </c>
      <c r="L372" s="45">
        <v>0.45275263274512062</v>
      </c>
      <c r="M372" s="57">
        <v>0.45482776349439558</v>
      </c>
      <c r="N372" s="57">
        <v>0.4996310290034327</v>
      </c>
      <c r="GZ372" s="55"/>
      <c r="HA372" s="55"/>
      <c r="HB372" s="55"/>
      <c r="HC372" s="55"/>
      <c r="HD372" s="55"/>
    </row>
    <row r="373" spans="1:212" ht="12.75" customHeight="1" x14ac:dyDescent="0.2">
      <c r="A373" s="56" t="s">
        <v>113</v>
      </c>
      <c r="B373" s="66">
        <v>0.42553443528424506</v>
      </c>
      <c r="C373" s="57">
        <v>0.4278902847905785</v>
      </c>
      <c r="D373" s="57">
        <v>0.44139563192996301</v>
      </c>
      <c r="E373" s="65">
        <v>0.46444284542776171</v>
      </c>
      <c r="F373" s="57">
        <v>0.44121164748181663</v>
      </c>
      <c r="G373" s="57">
        <v>0.42949163146104435</v>
      </c>
      <c r="H373" s="57">
        <v>0.41460629790534642</v>
      </c>
      <c r="I373" s="57">
        <v>0.42905748367916191</v>
      </c>
      <c r="J373" s="57">
        <v>0.45896493558365348</v>
      </c>
      <c r="K373" s="45">
        <v>0.40343196447434543</v>
      </c>
      <c r="L373" s="45">
        <v>0.42439550041030055</v>
      </c>
      <c r="M373" s="57">
        <v>0.4247112090776381</v>
      </c>
      <c r="N373" s="57">
        <v>0.53693044406813806</v>
      </c>
      <c r="GZ373" s="55"/>
      <c r="HA373" s="55"/>
      <c r="HB373" s="55"/>
      <c r="HC373" s="55"/>
      <c r="HD373" s="55"/>
    </row>
    <row r="374" spans="1:212" ht="12.75" customHeight="1" x14ac:dyDescent="0.2">
      <c r="A374" s="56" t="s">
        <v>271</v>
      </c>
      <c r="B374" s="66">
        <v>0.396571458730474</v>
      </c>
      <c r="C374" s="57">
        <v>0.40848743641796942</v>
      </c>
      <c r="D374" s="57">
        <v>0.42753622178254402</v>
      </c>
      <c r="E374" s="65">
        <v>0.44702079946290252</v>
      </c>
      <c r="F374" s="57">
        <v>0.42856317104944086</v>
      </c>
      <c r="G374" s="57">
        <v>0.44211705256381273</v>
      </c>
      <c r="H374" s="57">
        <v>0.4133419317764328</v>
      </c>
      <c r="I374" s="57">
        <v>0.45515464227173069</v>
      </c>
      <c r="J374" s="57">
        <v>0.43169853360772192</v>
      </c>
      <c r="K374" s="45">
        <v>0.44747612729831315</v>
      </c>
      <c r="L374" s="45">
        <v>0.44929967174787599</v>
      </c>
      <c r="M374" s="57">
        <v>0.47054517337407215</v>
      </c>
      <c r="N374" s="57">
        <v>0.51259136470127931</v>
      </c>
      <c r="GZ374" s="55"/>
      <c r="HA374" s="55"/>
      <c r="HB374" s="55"/>
      <c r="HC374" s="55"/>
      <c r="HD374" s="55"/>
    </row>
    <row r="375" spans="1:212" ht="12.75" customHeight="1" x14ac:dyDescent="0.2">
      <c r="A375" s="56" t="s">
        <v>246</v>
      </c>
      <c r="B375" s="66">
        <v>0.61024138055669885</v>
      </c>
      <c r="C375" s="57">
        <v>0.60599722110848409</v>
      </c>
      <c r="D375" s="57">
        <v>0.63040547979961892</v>
      </c>
      <c r="E375" s="65">
        <v>0.64317670435096508</v>
      </c>
      <c r="F375" s="57">
        <v>0.61093817168272324</v>
      </c>
      <c r="G375" s="57">
        <v>0.5402529810191703</v>
      </c>
      <c r="H375" s="57">
        <v>0.5629848186948283</v>
      </c>
      <c r="I375" s="57">
        <v>0.51058358531594161</v>
      </c>
      <c r="J375" s="57">
        <v>0.5411585000775021</v>
      </c>
      <c r="K375" s="45">
        <v>0.53703514716065237</v>
      </c>
      <c r="L375" s="45">
        <v>0.50619245365839016</v>
      </c>
      <c r="M375" s="57">
        <v>0.54160416520597876</v>
      </c>
      <c r="N375" s="57">
        <v>0.54553637903641095</v>
      </c>
      <c r="GZ375" s="55"/>
      <c r="HA375" s="55"/>
      <c r="HB375" s="55"/>
      <c r="HC375" s="55"/>
      <c r="HD375" s="55"/>
    </row>
    <row r="376" spans="1:212" ht="12.75" customHeight="1" x14ac:dyDescent="0.2">
      <c r="A376" s="56" t="s">
        <v>272</v>
      </c>
      <c r="B376" s="66">
        <v>0.37384810099669974</v>
      </c>
      <c r="C376" s="57">
        <v>0.39595223797440937</v>
      </c>
      <c r="D376" s="57">
        <v>0.36089984263117864</v>
      </c>
      <c r="E376" s="65">
        <v>0.41964420973576716</v>
      </c>
      <c r="F376" s="57">
        <v>0.39025886655977104</v>
      </c>
      <c r="G376" s="57">
        <v>0.38640518392877116</v>
      </c>
      <c r="H376" s="57">
        <v>0.38451353057886195</v>
      </c>
      <c r="I376" s="57">
        <v>0.40303026285703786</v>
      </c>
      <c r="J376" s="57">
        <v>0.37489505090639724</v>
      </c>
      <c r="K376" s="45">
        <v>0.38666145528150497</v>
      </c>
      <c r="L376" s="45">
        <v>0.35814683515718843</v>
      </c>
      <c r="M376" s="57">
        <v>0.41586505466300072</v>
      </c>
      <c r="N376" s="57">
        <v>0.43132962973241756</v>
      </c>
      <c r="GZ376" s="55"/>
      <c r="HA376" s="55"/>
      <c r="HB376" s="55"/>
      <c r="HC376" s="55"/>
      <c r="HD376" s="55"/>
    </row>
    <row r="377" spans="1:212" ht="12.75" customHeight="1" x14ac:dyDescent="0.2">
      <c r="A377" s="56" t="s">
        <v>61</v>
      </c>
      <c r="B377" s="66">
        <v>0.38841196262209116</v>
      </c>
      <c r="C377" s="57">
        <v>0.40570596247924612</v>
      </c>
      <c r="D377" s="57">
        <v>0.37333909667216658</v>
      </c>
      <c r="E377" s="65">
        <v>0.41031027956355948</v>
      </c>
      <c r="F377" s="57">
        <v>0.40002452393823457</v>
      </c>
      <c r="G377" s="57">
        <v>0.39964623520794651</v>
      </c>
      <c r="H377" s="57">
        <v>0.40811723636980685</v>
      </c>
      <c r="I377" s="57">
        <v>0.41976818543613525</v>
      </c>
      <c r="J377" s="57">
        <v>0.40544636090890229</v>
      </c>
      <c r="K377" s="45">
        <v>0.4309750341157918</v>
      </c>
      <c r="L377" s="45">
        <v>0.44747203581749406</v>
      </c>
      <c r="M377" s="57">
        <v>0.4437511055781449</v>
      </c>
      <c r="N377" s="57">
        <v>0.51526129383155028</v>
      </c>
      <c r="GZ377" s="55"/>
      <c r="HA377" s="55"/>
      <c r="HB377" s="55"/>
      <c r="HC377" s="55"/>
      <c r="HD377" s="55"/>
    </row>
    <row r="378" spans="1:212" ht="12.75" customHeight="1" x14ac:dyDescent="0.2">
      <c r="A378" s="56" t="s">
        <v>52</v>
      </c>
      <c r="B378" s="66">
        <v>0.55558286769694831</v>
      </c>
      <c r="C378" s="57">
        <v>0.65196998256672367</v>
      </c>
      <c r="D378" s="57">
        <v>0.54601124429383063</v>
      </c>
      <c r="E378" s="65">
        <v>0.58786247257832025</v>
      </c>
      <c r="F378" s="57">
        <v>0.60403260096146449</v>
      </c>
      <c r="G378" s="57">
        <v>0.62980208413792693</v>
      </c>
      <c r="H378" s="57">
        <v>0.61330010413271241</v>
      </c>
      <c r="I378" s="57">
        <v>0.63995712924449177</v>
      </c>
      <c r="J378" s="57">
        <v>0.61929154327239877</v>
      </c>
      <c r="K378" s="45">
        <v>0.58898495949627927</v>
      </c>
      <c r="L378" s="45">
        <v>0.56979031282947268</v>
      </c>
      <c r="M378" s="57">
        <v>0.60730612615350532</v>
      </c>
      <c r="N378" s="57">
        <v>0.63970115406192207</v>
      </c>
      <c r="GZ378" s="55"/>
      <c r="HA378" s="55"/>
      <c r="HB378" s="55"/>
      <c r="HC378" s="55"/>
      <c r="HD378" s="55"/>
    </row>
    <row r="379" spans="1:212" ht="12.75" customHeight="1" x14ac:dyDescent="0.2">
      <c r="A379" s="56" t="s">
        <v>206</v>
      </c>
      <c r="B379" s="66">
        <v>0.49268421537700396</v>
      </c>
      <c r="C379" s="57">
        <v>0.49844598143717339</v>
      </c>
      <c r="D379" s="57">
        <v>0.50091432775277489</v>
      </c>
      <c r="E379" s="65">
        <v>0.49024650505493006</v>
      </c>
      <c r="F379" s="57">
        <v>0.51461267333384553</v>
      </c>
      <c r="G379" s="57">
        <v>0.49006571623315881</v>
      </c>
      <c r="H379" s="57">
        <v>0.47531739011126839</v>
      </c>
      <c r="I379" s="57">
        <v>0.49974557267967679</v>
      </c>
      <c r="J379" s="57">
        <v>0.50802514983262981</v>
      </c>
      <c r="K379" s="45">
        <v>0.50750804239616087</v>
      </c>
      <c r="L379" s="45">
        <v>0.483752858835169</v>
      </c>
      <c r="M379" s="57">
        <v>0.49664509279761471</v>
      </c>
      <c r="N379" s="57">
        <v>0.51917401176664835</v>
      </c>
      <c r="GZ379" s="55"/>
      <c r="HA379" s="55"/>
      <c r="HB379" s="55"/>
      <c r="HC379" s="55"/>
      <c r="HD379" s="55"/>
    </row>
    <row r="380" spans="1:212" ht="12.75" customHeight="1" x14ac:dyDescent="0.2">
      <c r="A380" s="56" t="s">
        <v>235</v>
      </c>
      <c r="B380" s="66">
        <v>0.5002530966932236</v>
      </c>
      <c r="C380" s="57">
        <v>0.54377883719873832</v>
      </c>
      <c r="D380" s="57">
        <v>0.52144319504126257</v>
      </c>
      <c r="E380" s="65">
        <v>0.53084224654999634</v>
      </c>
      <c r="F380" s="57">
        <v>0.50832246920002244</v>
      </c>
      <c r="G380" s="57">
        <v>0.48121824418340658</v>
      </c>
      <c r="H380" s="57">
        <v>0.47616948356847155</v>
      </c>
      <c r="I380" s="57">
        <v>0.46668531233257382</v>
      </c>
      <c r="J380" s="57">
        <v>0.46125470227369342</v>
      </c>
      <c r="K380" s="45">
        <v>0.44318168869598462</v>
      </c>
      <c r="L380" s="45">
        <v>0.44156466178894355</v>
      </c>
      <c r="M380" s="57">
        <v>0.42539426575617501</v>
      </c>
      <c r="N380" s="57">
        <v>0.52153583439165707</v>
      </c>
      <c r="GZ380" s="55"/>
      <c r="HA380" s="55"/>
      <c r="HB380" s="55"/>
      <c r="HC380" s="55"/>
      <c r="HD380" s="55"/>
    </row>
    <row r="381" spans="1:212" ht="12.75" customHeight="1" x14ac:dyDescent="0.2">
      <c r="A381" s="56" t="s">
        <v>328</v>
      </c>
      <c r="B381" s="66">
        <v>0.47653082850304851</v>
      </c>
      <c r="C381" s="57">
        <v>0.46031685169328834</v>
      </c>
      <c r="D381" s="57">
        <v>0.45321452562821962</v>
      </c>
      <c r="E381" s="65">
        <v>0.49450202180882591</v>
      </c>
      <c r="F381" s="57">
        <v>0.49414923115903081</v>
      </c>
      <c r="G381" s="57">
        <v>0.45504354764863414</v>
      </c>
      <c r="H381" s="57">
        <v>0.45473847347510166</v>
      </c>
      <c r="I381" s="57">
        <v>0.46013501959578068</v>
      </c>
      <c r="J381" s="57">
        <v>0.45653969668268779</v>
      </c>
      <c r="K381" s="45">
        <v>0.39483275859346822</v>
      </c>
      <c r="L381" s="45">
        <v>0.46889028519048559</v>
      </c>
      <c r="M381" s="57">
        <v>0.47246380617134076</v>
      </c>
      <c r="N381" s="57">
        <v>0.47672540256547569</v>
      </c>
      <c r="GZ381" s="55"/>
      <c r="HA381" s="55"/>
      <c r="HB381" s="55"/>
      <c r="HC381" s="55"/>
      <c r="HD381" s="55"/>
    </row>
    <row r="382" spans="1:212" ht="12.75" customHeight="1" x14ac:dyDescent="0.2">
      <c r="A382" s="56" t="s">
        <v>44</v>
      </c>
      <c r="B382" s="66">
        <v>0.46551613799703473</v>
      </c>
      <c r="C382" s="57">
        <v>0.48186466725015981</v>
      </c>
      <c r="D382" s="57">
        <v>0.48452285069365603</v>
      </c>
      <c r="E382" s="65">
        <v>0.53067705378728436</v>
      </c>
      <c r="F382" s="57">
        <v>0.5114347104604352</v>
      </c>
      <c r="G382" s="57">
        <v>0.49898253027187994</v>
      </c>
      <c r="H382" s="57">
        <v>0.49103344423567435</v>
      </c>
      <c r="I382" s="57">
        <v>0.53040488234347083</v>
      </c>
      <c r="J382" s="57">
        <v>0.50233504721143041</v>
      </c>
      <c r="K382" s="45">
        <v>0.5201447660965155</v>
      </c>
      <c r="L382" s="45">
        <v>0.51190640350637417</v>
      </c>
      <c r="M382" s="57">
        <v>0.56040908836169256</v>
      </c>
      <c r="N382" s="57">
        <v>0.48176756389072167</v>
      </c>
      <c r="GZ382" s="55"/>
      <c r="HA382" s="55"/>
      <c r="HB382" s="55"/>
      <c r="HC382" s="55"/>
      <c r="HD382" s="55"/>
    </row>
    <row r="383" spans="1:212" ht="12.75" customHeight="1" x14ac:dyDescent="0.2">
      <c r="A383" s="56" t="s">
        <v>410</v>
      </c>
      <c r="B383" s="66">
        <v>0.4874264642283041</v>
      </c>
      <c r="C383" s="57">
        <v>0.485197997727638</v>
      </c>
      <c r="D383" s="57">
        <v>0.49492526604338005</v>
      </c>
      <c r="E383" s="65">
        <v>0.54080802264254424</v>
      </c>
      <c r="F383" s="57">
        <v>0.50474638597333465</v>
      </c>
      <c r="G383" s="57">
        <v>0.44837071529971984</v>
      </c>
      <c r="H383" s="57">
        <v>0.44750233393979938</v>
      </c>
      <c r="I383" s="57">
        <v>0.39663784573191913</v>
      </c>
      <c r="J383" s="57">
        <v>0.40536404720401137</v>
      </c>
      <c r="K383" s="45">
        <v>0.37309936252318182</v>
      </c>
      <c r="L383" s="45">
        <v>0.36842209617102034</v>
      </c>
      <c r="M383" s="57">
        <v>0.41736271964028726</v>
      </c>
      <c r="N383" s="57">
        <v>0.471023780443734</v>
      </c>
      <c r="GZ383" s="55"/>
      <c r="HA383" s="55"/>
      <c r="HB383" s="55"/>
      <c r="HC383" s="55"/>
      <c r="HD383" s="55"/>
    </row>
    <row r="384" spans="1:212" ht="12.75" customHeight="1" x14ac:dyDescent="0.2">
      <c r="A384" s="56" t="s">
        <v>321</v>
      </c>
      <c r="B384" s="66">
        <v>0.64747676631051432</v>
      </c>
      <c r="C384" s="57">
        <v>0.65463228262671391</v>
      </c>
      <c r="D384" s="57">
        <v>0.59973830829262931</v>
      </c>
      <c r="E384" s="65">
        <v>0.70015614475488053</v>
      </c>
      <c r="F384" s="57">
        <v>0.70119961750243009</v>
      </c>
      <c r="G384" s="57">
        <v>0.66482611696872829</v>
      </c>
      <c r="H384" s="57">
        <v>0.67481113963646233</v>
      </c>
      <c r="I384" s="57">
        <v>0.69896039257857512</v>
      </c>
      <c r="J384" s="57">
        <v>0.67229583230470824</v>
      </c>
      <c r="K384" s="45">
        <v>0.67328907391316428</v>
      </c>
      <c r="L384" s="45">
        <v>0.69007222105770427</v>
      </c>
      <c r="M384" s="57">
        <v>0.69373053620178626</v>
      </c>
      <c r="N384" s="57">
        <v>0.71519360265438414</v>
      </c>
      <c r="GZ384" s="55"/>
      <c r="HA384" s="55"/>
      <c r="HB384" s="55"/>
      <c r="HC384" s="55"/>
      <c r="HD384" s="55"/>
    </row>
    <row r="385" spans="1:212" ht="12.75" customHeight="1" x14ac:dyDescent="0.2">
      <c r="A385" s="56" t="s">
        <v>170</v>
      </c>
      <c r="B385" s="66">
        <v>0.33117539648521144</v>
      </c>
      <c r="C385" s="57">
        <v>0.34202140204233344</v>
      </c>
      <c r="D385" s="57">
        <v>0.34223476815591714</v>
      </c>
      <c r="E385" s="65">
        <v>0.37764591506599554</v>
      </c>
      <c r="F385" s="57">
        <v>0.37646327405623053</v>
      </c>
      <c r="G385" s="57">
        <v>0.34574799830436853</v>
      </c>
      <c r="H385" s="57">
        <v>0.35816431212274447</v>
      </c>
      <c r="I385" s="57">
        <v>0.36352875098886961</v>
      </c>
      <c r="J385" s="57">
        <v>0.39405057676672517</v>
      </c>
      <c r="K385" s="45">
        <v>0.38744552266225962</v>
      </c>
      <c r="L385" s="45">
        <v>0.36466190956386135</v>
      </c>
      <c r="M385" s="57">
        <v>0.40001939388188867</v>
      </c>
      <c r="N385" s="57">
        <v>0.42893082538573923</v>
      </c>
      <c r="GZ385" s="55"/>
      <c r="HA385" s="55"/>
      <c r="HB385" s="55"/>
      <c r="HC385" s="55"/>
      <c r="HD385" s="55"/>
    </row>
    <row r="386" spans="1:212" ht="12.75" customHeight="1" x14ac:dyDescent="0.2">
      <c r="A386" s="56" t="s">
        <v>349</v>
      </c>
      <c r="B386" s="66">
        <v>0.40461745950100469</v>
      </c>
      <c r="C386" s="57">
        <v>0.42585860656735769</v>
      </c>
      <c r="D386" s="57">
        <v>0.40385055492759808</v>
      </c>
      <c r="E386" s="65">
        <v>0.42530606710125884</v>
      </c>
      <c r="F386" s="57">
        <v>0.41471038034076441</v>
      </c>
      <c r="G386" s="57">
        <v>0.41364836998654286</v>
      </c>
      <c r="H386" s="57">
        <v>0.40317224141531749</v>
      </c>
      <c r="I386" s="57">
        <v>0.41354784299470887</v>
      </c>
      <c r="J386" s="57">
        <v>0.42221747669987397</v>
      </c>
      <c r="K386" s="45">
        <v>0.45176124793309591</v>
      </c>
      <c r="L386" s="45">
        <v>0.42262931748794952</v>
      </c>
      <c r="M386" s="57">
        <v>0.44776749993310783</v>
      </c>
      <c r="N386" s="57">
        <v>0.48641252453377815</v>
      </c>
      <c r="GZ386" s="55"/>
      <c r="HA386" s="55"/>
      <c r="HB386" s="55"/>
      <c r="HC386" s="55"/>
      <c r="HD386" s="55"/>
    </row>
    <row r="387" spans="1:212" ht="12.75" customHeight="1" x14ac:dyDescent="0.2">
      <c r="A387" s="56" t="s">
        <v>404</v>
      </c>
      <c r="B387" s="66">
        <v>0.51835377450499664</v>
      </c>
      <c r="C387" s="57">
        <v>0.51188158323019917</v>
      </c>
      <c r="D387" s="57">
        <v>0.52138450444383466</v>
      </c>
      <c r="E387" s="65">
        <v>0.55092422746354719</v>
      </c>
      <c r="F387" s="57">
        <v>0.49199368301704421</v>
      </c>
      <c r="G387" s="57">
        <v>0.46201485812937682</v>
      </c>
      <c r="H387" s="57">
        <v>0.39166479423660361</v>
      </c>
      <c r="I387" s="57">
        <v>0.42631322823962942</v>
      </c>
      <c r="J387" s="57">
        <v>0.40097598499031234</v>
      </c>
      <c r="K387" s="45">
        <v>0.36465602524396939</v>
      </c>
      <c r="L387" s="45">
        <v>0.41045357229756391</v>
      </c>
      <c r="M387" s="57">
        <v>0.48760015070143353</v>
      </c>
      <c r="N387" s="57">
        <v>0.51535569108878421</v>
      </c>
      <c r="GZ387" s="55"/>
      <c r="HA387" s="55"/>
      <c r="HB387" s="55"/>
      <c r="HC387" s="55"/>
      <c r="HD387" s="55"/>
    </row>
    <row r="388" spans="1:212" ht="12.75" customHeight="1" x14ac:dyDescent="0.2">
      <c r="A388" s="56" t="s">
        <v>247</v>
      </c>
      <c r="B388" s="66">
        <v>0.33383236282810008</v>
      </c>
      <c r="C388" s="57">
        <v>0.48553912504654806</v>
      </c>
      <c r="D388" s="57">
        <v>0.34150903870102839</v>
      </c>
      <c r="E388" s="65">
        <v>0.372673220883802</v>
      </c>
      <c r="F388" s="57">
        <v>0.37125261977943125</v>
      </c>
      <c r="G388" s="57">
        <v>0.33757024866416602</v>
      </c>
      <c r="H388" s="57">
        <v>0.36223817434850641</v>
      </c>
      <c r="I388" s="57">
        <v>0.36299332904508763</v>
      </c>
      <c r="J388" s="57">
        <v>0.35140146797027194</v>
      </c>
      <c r="K388" s="45">
        <v>0.35250050650062897</v>
      </c>
      <c r="L388" s="45">
        <v>0.34032229957607063</v>
      </c>
      <c r="M388" s="57">
        <v>0.3352836547004035</v>
      </c>
      <c r="N388" s="57">
        <v>0.36417426318068341</v>
      </c>
      <c r="GZ388" s="55"/>
      <c r="HA388" s="55"/>
      <c r="HB388" s="55"/>
      <c r="HC388" s="55"/>
      <c r="HD388" s="55"/>
    </row>
    <row r="389" spans="1:212" ht="12.75" customHeight="1" x14ac:dyDescent="0.2">
      <c r="A389" s="56" t="s">
        <v>337</v>
      </c>
      <c r="B389" s="66">
        <v>0.42501329091738282</v>
      </c>
      <c r="C389" s="57">
        <v>0.41602506719294796</v>
      </c>
      <c r="D389" s="57">
        <v>0.43176515505807112</v>
      </c>
      <c r="E389" s="65">
        <v>0.45322971006691198</v>
      </c>
      <c r="F389" s="57">
        <v>0.46232805303415087</v>
      </c>
      <c r="G389" s="57">
        <v>0.43571166735126221</v>
      </c>
      <c r="H389" s="57">
        <v>0.44495394144321154</v>
      </c>
      <c r="I389" s="57">
        <v>0.44080761748431463</v>
      </c>
      <c r="J389" s="57">
        <v>0.47227770603021696</v>
      </c>
      <c r="K389" s="45">
        <v>0.43543820129756977</v>
      </c>
      <c r="L389" s="45">
        <v>0.44037697423366468</v>
      </c>
      <c r="M389" s="57">
        <v>0.48951387949530872</v>
      </c>
      <c r="N389" s="57">
        <v>0.52840213288072779</v>
      </c>
      <c r="GZ389" s="55"/>
      <c r="HA389" s="55"/>
      <c r="HB389" s="55"/>
      <c r="HC389" s="55"/>
      <c r="HD389" s="55"/>
    </row>
    <row r="390" spans="1:212" ht="12.75" customHeight="1" x14ac:dyDescent="0.2">
      <c r="A390" s="56" t="s">
        <v>70</v>
      </c>
      <c r="B390" s="66">
        <v>0.43050186081413844</v>
      </c>
      <c r="C390" s="57">
        <v>0.4973088140141142</v>
      </c>
      <c r="D390" s="57">
        <v>0.37844287680467692</v>
      </c>
      <c r="E390" s="65">
        <v>0.45489511522200077</v>
      </c>
      <c r="F390" s="57">
        <v>0.44037299826999415</v>
      </c>
      <c r="G390" s="57">
        <v>0.42896696615759217</v>
      </c>
      <c r="H390" s="57">
        <v>0.39673580383717905</v>
      </c>
      <c r="I390" s="57">
        <v>0.49648073489459343</v>
      </c>
      <c r="J390" s="57">
        <v>0.347009964711531</v>
      </c>
      <c r="K390" s="45">
        <v>0.46568008313180037</v>
      </c>
      <c r="L390" s="45">
        <v>0.46231407476063258</v>
      </c>
      <c r="M390" s="57">
        <v>0.47992488139153033</v>
      </c>
      <c r="N390" s="57">
        <v>0.47586976382208157</v>
      </c>
      <c r="GZ390" s="55"/>
      <c r="HA390" s="55"/>
      <c r="HB390" s="55"/>
      <c r="HC390" s="55"/>
      <c r="HD390" s="55"/>
    </row>
    <row r="391" spans="1:212" ht="12.75" customHeight="1" x14ac:dyDescent="0.2">
      <c r="A391" s="56" t="s">
        <v>259</v>
      </c>
      <c r="B391" s="66">
        <v>0.43444064298495</v>
      </c>
      <c r="C391" s="57">
        <v>0.44337903729570527</v>
      </c>
      <c r="D391" s="57">
        <v>0.44238856392268644</v>
      </c>
      <c r="E391" s="65">
        <v>0.47054828441155017</v>
      </c>
      <c r="F391" s="57">
        <v>0.53897518154262036</v>
      </c>
      <c r="G391" s="57">
        <v>0.51377084542211793</v>
      </c>
      <c r="H391" s="57">
        <v>0.49826500084840769</v>
      </c>
      <c r="I391" s="57">
        <v>0.52061223144287982</v>
      </c>
      <c r="J391" s="57">
        <v>0.5375755118746206</v>
      </c>
      <c r="K391" s="45">
        <v>0.58635789097747559</v>
      </c>
      <c r="L391" s="45">
        <v>0.58357555102521519</v>
      </c>
      <c r="M391" s="57">
        <v>0.62021569613436811</v>
      </c>
      <c r="N391" s="57">
        <v>0.59644265424670961</v>
      </c>
      <c r="GZ391" s="55"/>
      <c r="HA391" s="55"/>
      <c r="HB391" s="55"/>
      <c r="HC391" s="55"/>
      <c r="HD391" s="55"/>
    </row>
    <row r="392" spans="1:212" ht="12.75" customHeight="1" x14ac:dyDescent="0.2">
      <c r="A392" s="56" t="s">
        <v>248</v>
      </c>
      <c r="B392" s="66">
        <v>0.52589699680952517</v>
      </c>
      <c r="C392" s="57">
        <v>0.52682685365000737</v>
      </c>
      <c r="D392" s="57">
        <v>0.53276387675697501</v>
      </c>
      <c r="E392" s="65">
        <v>0.54907510062655662</v>
      </c>
      <c r="F392" s="57">
        <v>0.55879647691256085</v>
      </c>
      <c r="G392" s="57">
        <v>0.52642756492622722</v>
      </c>
      <c r="H392" s="57">
        <v>0.50742552018827702</v>
      </c>
      <c r="I392" s="57">
        <v>0.53629592539841553</v>
      </c>
      <c r="J392" s="57">
        <v>0.52573886494764321</v>
      </c>
      <c r="K392" s="45">
        <v>0.52568143894159214</v>
      </c>
      <c r="L392" s="45">
        <v>0.52104173636982754</v>
      </c>
      <c r="M392" s="57">
        <v>0.54299762993636957</v>
      </c>
      <c r="N392" s="57">
        <v>0.54182085468922681</v>
      </c>
      <c r="GZ392" s="55"/>
      <c r="HA392" s="55"/>
      <c r="HB392" s="55"/>
      <c r="HC392" s="55"/>
      <c r="HD392" s="55"/>
    </row>
    <row r="393" spans="1:212" ht="12.75" customHeight="1" x14ac:dyDescent="0.2">
      <c r="A393" s="56" t="s">
        <v>32</v>
      </c>
      <c r="B393" s="66">
        <v>0.52018555320598581</v>
      </c>
      <c r="C393" s="57">
        <v>0.51294939841114773</v>
      </c>
      <c r="D393" s="57">
        <v>0.51764732320212292</v>
      </c>
      <c r="E393" s="65">
        <v>0.52218959308759771</v>
      </c>
      <c r="F393" s="57">
        <v>0.52638620237393519</v>
      </c>
      <c r="G393" s="57">
        <v>0.49259465597271113</v>
      </c>
      <c r="H393" s="57">
        <v>0.49092731604022133</v>
      </c>
      <c r="I393" s="57">
        <v>0.51021500953156262</v>
      </c>
      <c r="J393" s="57">
        <v>0.50599314909354443</v>
      </c>
      <c r="K393" s="45">
        <v>0.48841165435490241</v>
      </c>
      <c r="L393" s="45">
        <v>0.47602300676985226</v>
      </c>
      <c r="M393" s="57">
        <v>0.51933166257566898</v>
      </c>
      <c r="N393" s="57">
        <v>0.53220730547220962</v>
      </c>
      <c r="GZ393" s="55"/>
      <c r="HA393" s="55"/>
      <c r="HB393" s="55"/>
      <c r="HC393" s="55"/>
      <c r="HD393" s="55"/>
    </row>
    <row r="394" spans="1:212" ht="12.75" customHeight="1" x14ac:dyDescent="0.2">
      <c r="A394" s="56" t="s">
        <v>236</v>
      </c>
      <c r="B394" s="66">
        <v>0.3964888302420852</v>
      </c>
      <c r="C394" s="57">
        <v>0.42508223929411881</v>
      </c>
      <c r="D394" s="57">
        <v>0.40303403777755309</v>
      </c>
      <c r="E394" s="65">
        <v>0.43341471250265479</v>
      </c>
      <c r="F394" s="57">
        <v>0.41172703634665592</v>
      </c>
      <c r="G394" s="57">
        <v>0.42393998826283452</v>
      </c>
      <c r="H394" s="57">
        <v>0.36406538098130548</v>
      </c>
      <c r="I394" s="57">
        <v>0.42470005632555385</v>
      </c>
      <c r="J394" s="57">
        <v>0.40016864195717949</v>
      </c>
      <c r="K394" s="45">
        <v>0.41988332989794613</v>
      </c>
      <c r="L394" s="45">
        <v>0.39402020552581618</v>
      </c>
      <c r="M394" s="57">
        <v>0.42116446231637139</v>
      </c>
      <c r="N394" s="57">
        <v>0.47644793755266379</v>
      </c>
      <c r="GZ394" s="55"/>
      <c r="HA394" s="55"/>
      <c r="HB394" s="55"/>
      <c r="HC394" s="55"/>
      <c r="HD394" s="55"/>
    </row>
    <row r="395" spans="1:212" ht="12.75" customHeight="1" x14ac:dyDescent="0.2">
      <c r="A395" s="56" t="s">
        <v>129</v>
      </c>
      <c r="B395" s="66">
        <v>0.36319890850534919</v>
      </c>
      <c r="C395" s="57">
        <v>0.38824753630139974</v>
      </c>
      <c r="D395" s="57">
        <v>0.37448816541402291</v>
      </c>
      <c r="E395" s="65">
        <v>0.40159787129105567</v>
      </c>
      <c r="F395" s="57">
        <v>0.34923031912743013</v>
      </c>
      <c r="G395" s="57">
        <v>0.33890581430128641</v>
      </c>
      <c r="H395" s="57">
        <v>0.34976617435768137</v>
      </c>
      <c r="I395" s="57">
        <v>0.38462157162326832</v>
      </c>
      <c r="J395" s="57">
        <v>0.36435508933696525</v>
      </c>
      <c r="K395" s="45">
        <v>0.3717398698570844</v>
      </c>
      <c r="L395" s="45">
        <v>0.38542987450421184</v>
      </c>
      <c r="M395" s="57">
        <v>0.40736872346510067</v>
      </c>
      <c r="N395" s="57">
        <v>0.43508632419533466</v>
      </c>
      <c r="GZ395" s="55"/>
      <c r="HA395" s="55"/>
      <c r="HB395" s="55"/>
      <c r="HC395" s="55"/>
      <c r="HD395" s="55"/>
    </row>
    <row r="396" spans="1:212" ht="12.75" customHeight="1" x14ac:dyDescent="0.2">
      <c r="A396" s="56" t="s">
        <v>40</v>
      </c>
      <c r="B396" s="66">
        <v>0.45352246750664632</v>
      </c>
      <c r="C396" s="57">
        <v>0.41176334948100063</v>
      </c>
      <c r="D396" s="57">
        <v>0.42308731516939835</v>
      </c>
      <c r="E396" s="65">
        <v>0.43989491641358008</v>
      </c>
      <c r="F396" s="57">
        <v>0.4568185974591375</v>
      </c>
      <c r="G396" s="57">
        <v>0.44078437897505529</v>
      </c>
      <c r="H396" s="57">
        <v>0.42904230504130531</v>
      </c>
      <c r="I396" s="57">
        <v>0.45099877930585047</v>
      </c>
      <c r="J396" s="57">
        <v>0.42944301131160084</v>
      </c>
      <c r="K396" s="45">
        <v>0.41620077913617037</v>
      </c>
      <c r="L396" s="45">
        <v>0.43032080537459766</v>
      </c>
      <c r="M396" s="57">
        <v>0.46824224344545823</v>
      </c>
      <c r="N396" s="57">
        <v>0.51451757893850025</v>
      </c>
      <c r="GZ396" s="55"/>
      <c r="HA396" s="55"/>
      <c r="HB396" s="55"/>
      <c r="HC396" s="55"/>
      <c r="HD396" s="55"/>
    </row>
    <row r="397" spans="1:212" ht="12.75" customHeight="1" x14ac:dyDescent="0.2">
      <c r="A397" s="56" t="s">
        <v>322</v>
      </c>
      <c r="B397" s="66">
        <v>0.35930236939597593</v>
      </c>
      <c r="C397" s="57">
        <v>0.37612916216056064</v>
      </c>
      <c r="D397" s="57">
        <v>0.37632842266951078</v>
      </c>
      <c r="E397" s="65">
        <v>0.37471221122298592</v>
      </c>
      <c r="F397" s="57">
        <v>0.39115481176089828</v>
      </c>
      <c r="G397" s="57">
        <v>0.36457842457743167</v>
      </c>
      <c r="H397" s="57">
        <v>0.36048463922962443</v>
      </c>
      <c r="I397" s="57">
        <v>0.39018709919567329</v>
      </c>
      <c r="J397" s="57">
        <v>0.36994312171790533</v>
      </c>
      <c r="K397" s="45">
        <v>0.38113208882677602</v>
      </c>
      <c r="L397" s="45">
        <v>0.38631741458704694</v>
      </c>
      <c r="M397" s="57">
        <v>0.38167275303682802</v>
      </c>
      <c r="N397" s="57">
        <v>0.43025867135973622</v>
      </c>
      <c r="GZ397" s="55"/>
      <c r="HA397" s="55"/>
      <c r="HB397" s="55"/>
      <c r="HC397" s="55"/>
      <c r="HD397" s="55"/>
    </row>
    <row r="398" spans="1:212" ht="12.75" customHeight="1" x14ac:dyDescent="0.2">
      <c r="A398" s="56" t="s">
        <v>363</v>
      </c>
      <c r="B398" s="66">
        <v>0.36562607577693362</v>
      </c>
      <c r="C398" s="57">
        <v>0.38665013034855328</v>
      </c>
      <c r="D398" s="57">
        <v>0.36052616752248007</v>
      </c>
      <c r="E398" s="65">
        <v>0.42490340242582131</v>
      </c>
      <c r="F398" s="57">
        <v>0.42081470468517568</v>
      </c>
      <c r="G398" s="57">
        <v>0.4057754902748531</v>
      </c>
      <c r="H398" s="57">
        <v>0.39392912039130101</v>
      </c>
      <c r="I398" s="57">
        <v>0.43366560494912271</v>
      </c>
      <c r="J398" s="57">
        <v>0.42816893121636856</v>
      </c>
      <c r="K398" s="45">
        <v>0.45953143880378611</v>
      </c>
      <c r="L398" s="45">
        <v>0.44550733593770325</v>
      </c>
      <c r="M398" s="57">
        <v>0.4856259457221121</v>
      </c>
      <c r="N398" s="57">
        <v>0.49080155409376519</v>
      </c>
      <c r="GZ398" s="55"/>
      <c r="HA398" s="55"/>
      <c r="HB398" s="55"/>
      <c r="HC398" s="55"/>
      <c r="HD398" s="55"/>
    </row>
    <row r="399" spans="1:212" ht="12.75" customHeight="1" x14ac:dyDescent="0.2">
      <c r="A399" s="56" t="s">
        <v>7069</v>
      </c>
      <c r="B399" s="66">
        <v>0.36070557719941609</v>
      </c>
      <c r="C399" s="57">
        <v>0.38410853585502663</v>
      </c>
      <c r="D399" s="57">
        <v>0.36459002306690519</v>
      </c>
      <c r="E399" s="65">
        <v>0.37394668205563253</v>
      </c>
      <c r="F399" s="57">
        <v>0.39485105118531555</v>
      </c>
      <c r="G399" s="57">
        <v>0.40443441028703853</v>
      </c>
      <c r="H399" s="57">
        <v>0.36799340959224464</v>
      </c>
      <c r="I399" s="57">
        <v>0.41295539326210856</v>
      </c>
      <c r="J399" s="57">
        <v>0.42690908897418933</v>
      </c>
      <c r="K399" s="45">
        <v>0.3931835970810984</v>
      </c>
      <c r="L399" s="45">
        <v>0.39680108546057752</v>
      </c>
      <c r="M399" s="57">
        <v>0.44555302125655738</v>
      </c>
      <c r="N399" s="57">
        <v>0.49944786967575272</v>
      </c>
      <c r="GZ399" s="55"/>
      <c r="HA399" s="55"/>
      <c r="HB399" s="55"/>
      <c r="HC399" s="55"/>
      <c r="HD399" s="55"/>
    </row>
    <row r="400" spans="1:212" ht="12.75" customHeight="1" x14ac:dyDescent="0.2">
      <c r="A400" s="56" t="s">
        <v>390</v>
      </c>
      <c r="B400" s="66">
        <v>0.49043443457883196</v>
      </c>
      <c r="C400" s="57">
        <v>0.52765104763917714</v>
      </c>
      <c r="D400" s="57">
        <v>0.48198160385103006</v>
      </c>
      <c r="E400" s="65">
        <v>0.56035277001677031</v>
      </c>
      <c r="F400" s="57">
        <v>0.57634710263265876</v>
      </c>
      <c r="G400" s="57">
        <v>0.50260834983502811</v>
      </c>
      <c r="H400" s="57">
        <v>0.5009227422869923</v>
      </c>
      <c r="I400" s="57">
        <v>0.50061423589699228</v>
      </c>
      <c r="J400" s="57">
        <v>0.53332186325945163</v>
      </c>
      <c r="K400" s="45">
        <v>0.57383158408354373</v>
      </c>
      <c r="L400" s="45">
        <v>0.48538627114107263</v>
      </c>
      <c r="M400" s="57">
        <v>0.55158033152097152</v>
      </c>
      <c r="N400" s="57">
        <v>0.52482725067043168</v>
      </c>
      <c r="GZ400" s="55"/>
      <c r="HA400" s="55"/>
      <c r="HB400" s="55"/>
      <c r="HC400" s="55"/>
      <c r="HD400" s="55"/>
    </row>
    <row r="401" spans="1:212" ht="12.75" customHeight="1" x14ac:dyDescent="0.2">
      <c r="A401" s="56" t="s">
        <v>41</v>
      </c>
      <c r="B401" s="66">
        <v>0.37126040134655636</v>
      </c>
      <c r="C401" s="57">
        <v>0.38581196263662954</v>
      </c>
      <c r="D401" s="57">
        <v>0.39151267047500976</v>
      </c>
      <c r="E401" s="65">
        <v>0.40047870923914147</v>
      </c>
      <c r="F401" s="57">
        <v>0.38893688142275595</v>
      </c>
      <c r="G401" s="57">
        <v>0.37768567075403864</v>
      </c>
      <c r="H401" s="57">
        <v>0.38406810561403615</v>
      </c>
      <c r="I401" s="57">
        <v>0.42860129915897072</v>
      </c>
      <c r="J401" s="57">
        <v>0.40102332029857063</v>
      </c>
      <c r="K401" s="45">
        <v>0.4524711145833602</v>
      </c>
      <c r="L401" s="45">
        <v>0.33734712953646373</v>
      </c>
      <c r="M401" s="57">
        <v>0.49219719853492311</v>
      </c>
      <c r="N401" s="57">
        <v>0.39509691582024331</v>
      </c>
      <c r="GZ401" s="55"/>
      <c r="HA401" s="55"/>
      <c r="HB401" s="55"/>
      <c r="HC401" s="55"/>
      <c r="HD401" s="55"/>
    </row>
    <row r="402" spans="1:212" ht="12.75" customHeight="1" x14ac:dyDescent="0.2">
      <c r="A402" s="64" t="s">
        <v>284</v>
      </c>
      <c r="B402" s="63">
        <v>0.35521021981286599</v>
      </c>
      <c r="C402" s="61">
        <v>0.35205803585609219</v>
      </c>
      <c r="D402" s="61">
        <v>0.39557359767276856</v>
      </c>
      <c r="E402" s="62">
        <v>0.36403857073640805</v>
      </c>
      <c r="F402" s="61">
        <v>0.35542084383048972</v>
      </c>
      <c r="G402" s="61">
        <v>0.3460900559386777</v>
      </c>
      <c r="H402" s="61">
        <v>0.33853908573870034</v>
      </c>
      <c r="I402" s="61">
        <v>0.35993388419887801</v>
      </c>
      <c r="J402" s="61">
        <v>0.37901816879007155</v>
      </c>
      <c r="K402" s="42">
        <v>0.34116002199355822</v>
      </c>
      <c r="L402" s="42">
        <v>0.36400189800054633</v>
      </c>
      <c r="M402" s="57">
        <v>0.33651760765021099</v>
      </c>
      <c r="N402" s="61">
        <v>0.37612105708387505</v>
      </c>
      <c r="GZ402" s="55"/>
      <c r="HA402" s="55"/>
      <c r="HB402" s="55"/>
      <c r="HC402" s="55"/>
      <c r="HD402" s="55"/>
    </row>
    <row r="403" spans="1:212" ht="12" customHeight="1" x14ac:dyDescent="0.2">
      <c r="E403" s="57"/>
      <c r="F403" s="57"/>
      <c r="G403" s="57"/>
      <c r="J403" s="57"/>
      <c r="L403" s="57"/>
      <c r="M403" s="60"/>
    </row>
    <row r="404" spans="1:212" ht="12.75" customHeight="1" x14ac:dyDescent="0.2"/>
    <row r="405" spans="1:212" ht="12.75" customHeight="1" x14ac:dyDescent="0.2"/>
    <row r="406" spans="1:212" ht="12.75" customHeight="1" x14ac:dyDescent="0.2"/>
    <row r="407" spans="1:212" ht="12.75" customHeight="1" x14ac:dyDescent="0.2"/>
  </sheetData>
  <sheetProtection selectLockedCells="1" selectUnlockedCells="1"/>
  <mergeCells count="2">
    <mergeCell ref="A2:A3"/>
    <mergeCell ref="B2:N2"/>
  </mergeCells>
  <pageMargins left="0.75" right="0.28000000000000003" top="0.98402777777777772" bottom="0.98402777777777772" header="0.51180555555555551" footer="0.51180555555555551"/>
  <pageSetup paperSize="9" scale="61" firstPageNumber="0" orientation="portrait" horizontalDpi="300" verticalDpi="300" r:id="rId1"/>
  <headerFooter alignWithMargins="0"/>
  <rowBreaks count="4" manualBreakCount="4">
    <brk id="86" max="9" man="1"/>
    <brk id="169" max="9" man="1"/>
    <brk id="252" max="9" man="1"/>
    <brk id="335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B21-A94C-469A-9B5F-BD7FDBCF7CDF}">
  <dimension ref="A1:N4103"/>
  <sheetViews>
    <sheetView zoomScaleNormal="100" workbookViewId="0">
      <selection activeCell="I32" sqref="I32"/>
    </sheetView>
  </sheetViews>
  <sheetFormatPr defaultRowHeight="12.75" x14ac:dyDescent="0.2"/>
  <cols>
    <col min="1" max="1" width="26.7109375" style="56" customWidth="1"/>
    <col min="2" max="4" width="11.7109375" style="57" customWidth="1"/>
    <col min="5" max="6" width="11.7109375" style="56" customWidth="1"/>
    <col min="7" max="7" width="11.7109375" style="71" customWidth="1"/>
    <col min="8" max="8" width="11.7109375" style="70" customWidth="1"/>
    <col min="9" max="9" width="11.7109375" style="57" customWidth="1"/>
    <col min="10" max="10" width="11.7109375" style="56" customWidth="1"/>
    <col min="11" max="11" width="11.7109375" style="57" customWidth="1"/>
    <col min="12" max="13" width="11.7109375" style="56" customWidth="1"/>
    <col min="14" max="14" width="10.42578125" style="56" customWidth="1"/>
    <col min="15" max="16384" width="9.140625" style="56"/>
  </cols>
  <sheetData>
    <row r="1" spans="1:14" s="89" customFormat="1" ht="19.5" x14ac:dyDescent="0.3">
      <c r="A1" s="138" t="s">
        <v>7103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 ht="17.25" customHeight="1" x14ac:dyDescent="0.2">
      <c r="A2" s="169" t="s">
        <v>7095</v>
      </c>
      <c r="B2" s="165" t="s">
        <v>7102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4" ht="17.25" customHeight="1" x14ac:dyDescent="0.2">
      <c r="A3" s="170"/>
      <c r="B3" s="82">
        <v>2010</v>
      </c>
      <c r="C3" s="82">
        <v>2011</v>
      </c>
      <c r="D3" s="80">
        <v>2012</v>
      </c>
      <c r="E3" s="81">
        <v>2013</v>
      </c>
      <c r="F3" s="80">
        <v>2014</v>
      </c>
      <c r="G3" s="80">
        <v>2015</v>
      </c>
      <c r="H3" s="80">
        <v>2016</v>
      </c>
      <c r="I3" s="80">
        <v>2017</v>
      </c>
      <c r="J3" s="80">
        <v>2018</v>
      </c>
      <c r="K3" s="52">
        <v>2019</v>
      </c>
      <c r="L3" s="52">
        <v>2020</v>
      </c>
      <c r="M3" s="51">
        <v>2021</v>
      </c>
      <c r="N3" s="51">
        <v>2022</v>
      </c>
    </row>
    <row r="4" spans="1:14" ht="15" customHeight="1" x14ac:dyDescent="0.2">
      <c r="A4" s="56" t="s">
        <v>131</v>
      </c>
      <c r="B4" s="79">
        <v>0.56315158245905106</v>
      </c>
      <c r="C4" s="57">
        <v>0.5454129209714863</v>
      </c>
      <c r="D4" s="57">
        <v>0.62936677059046475</v>
      </c>
      <c r="E4" s="57">
        <v>0.62692667299148042</v>
      </c>
      <c r="F4" s="57">
        <v>0.6084789820481219</v>
      </c>
      <c r="G4" s="78">
        <v>0.66152117932447696</v>
      </c>
      <c r="H4" s="57">
        <v>0.72820996112584147</v>
      </c>
      <c r="I4" s="57">
        <v>0.83054768861073291</v>
      </c>
      <c r="J4" s="57">
        <v>0.83172177045396622</v>
      </c>
      <c r="K4" s="77">
        <v>0.87022740912524577</v>
      </c>
      <c r="L4" s="72">
        <v>0.82255326712041277</v>
      </c>
      <c r="M4" s="57">
        <v>0.84281087522607867</v>
      </c>
      <c r="N4" s="57">
        <v>0.84839757010865779</v>
      </c>
    </row>
    <row r="5" spans="1:14" ht="12.75" customHeight="1" x14ac:dyDescent="0.2">
      <c r="A5" s="56" t="s">
        <v>7093</v>
      </c>
      <c r="B5" s="79">
        <v>0.41467131775331867</v>
      </c>
      <c r="C5" s="57">
        <v>0.59466468734727895</v>
      </c>
      <c r="D5" s="57">
        <v>0.47051475197597759</v>
      </c>
      <c r="E5" s="57">
        <v>0.51933327512562044</v>
      </c>
      <c r="F5" s="57">
        <v>0.56612363448413361</v>
      </c>
      <c r="G5" s="78">
        <v>0.48705924870770495</v>
      </c>
      <c r="H5" s="57">
        <v>0.52628198473983601</v>
      </c>
      <c r="I5" s="57">
        <v>0.67402543517605862</v>
      </c>
      <c r="J5" s="57">
        <v>0.68311416502067879</v>
      </c>
      <c r="K5" s="77">
        <v>0.67991079317041925</v>
      </c>
      <c r="L5" s="72">
        <v>0.70741979889421447</v>
      </c>
      <c r="M5" s="57">
        <v>0.54836513784849528</v>
      </c>
      <c r="N5" s="57">
        <v>0.59600720269930874</v>
      </c>
    </row>
    <row r="6" spans="1:14" ht="12.75" customHeight="1" x14ac:dyDescent="0.2">
      <c r="A6" s="56" t="s">
        <v>405</v>
      </c>
      <c r="B6" s="79">
        <v>0.3198129874885367</v>
      </c>
      <c r="C6" s="57">
        <v>0.41604092518660651</v>
      </c>
      <c r="D6" s="57">
        <v>0.35198045150328261</v>
      </c>
      <c r="E6" s="57">
        <v>0.47551149061552866</v>
      </c>
      <c r="F6" s="57">
        <v>0.55309974360116854</v>
      </c>
      <c r="G6" s="78">
        <v>0.55480574435097019</v>
      </c>
      <c r="H6" s="57">
        <v>0.59740486060223807</v>
      </c>
      <c r="I6" s="57">
        <v>0.58523215237803039</v>
      </c>
      <c r="J6" s="57">
        <v>0.64733151179170645</v>
      </c>
      <c r="K6" s="77">
        <v>0.66225517720757077</v>
      </c>
      <c r="L6" s="72">
        <v>0.64515009340708962</v>
      </c>
      <c r="M6" s="57">
        <v>0.75401941193319222</v>
      </c>
      <c r="N6" s="57">
        <v>0.73709325243764878</v>
      </c>
    </row>
    <row r="7" spans="1:14" ht="12.75" customHeight="1" x14ac:dyDescent="0.2">
      <c r="A7" s="56" t="s">
        <v>6</v>
      </c>
      <c r="B7" s="79">
        <v>0.29307830069796992</v>
      </c>
      <c r="C7" s="57">
        <v>0.35720372603530537</v>
      </c>
      <c r="D7" s="57">
        <v>0.34769181439788943</v>
      </c>
      <c r="E7" s="57">
        <v>0.41327505104756207</v>
      </c>
      <c r="F7" s="57">
        <v>0.39490771712052941</v>
      </c>
      <c r="G7" s="78">
        <v>0.44702289488888647</v>
      </c>
      <c r="H7" s="57">
        <v>0.46448814607325212</v>
      </c>
      <c r="I7" s="57">
        <v>0.54142311286071865</v>
      </c>
      <c r="J7" s="57">
        <v>0.55759042191801933</v>
      </c>
      <c r="K7" s="77">
        <v>0.65102369163368701</v>
      </c>
      <c r="L7" s="72">
        <v>0.6347689167259184</v>
      </c>
      <c r="M7" s="57">
        <v>0.6383753665691041</v>
      </c>
      <c r="N7" s="57">
        <v>0.65513360907090046</v>
      </c>
    </row>
    <row r="8" spans="1:14" ht="12.75" customHeight="1" x14ac:dyDescent="0.2">
      <c r="A8" s="56" t="s">
        <v>250</v>
      </c>
      <c r="B8" s="79">
        <v>0.57520105671781763</v>
      </c>
      <c r="C8" s="57">
        <v>0.60137128051772681</v>
      </c>
      <c r="D8" s="57">
        <v>0.5927761477563922</v>
      </c>
      <c r="E8" s="57">
        <v>0.62832838492417187</v>
      </c>
      <c r="F8" s="57">
        <v>0.62085445775137016</v>
      </c>
      <c r="G8" s="78">
        <v>0.68459421671490983</v>
      </c>
      <c r="H8" s="57">
        <v>0.68596217062465858</v>
      </c>
      <c r="I8" s="57">
        <v>0.70829640666974691</v>
      </c>
      <c r="J8" s="57">
        <v>0.73226046135171607</v>
      </c>
      <c r="K8" s="77">
        <v>0.86654668752697817</v>
      </c>
      <c r="L8" s="72">
        <v>0.89441047049609435</v>
      </c>
      <c r="M8" s="57">
        <v>0.85247481146259552</v>
      </c>
      <c r="N8" s="57">
        <v>0.8472575789144754</v>
      </c>
    </row>
    <row r="9" spans="1:14" ht="12.75" customHeight="1" x14ac:dyDescent="0.2">
      <c r="A9" s="56" t="s">
        <v>297</v>
      </c>
      <c r="B9" s="79">
        <v>0.56255603357023887</v>
      </c>
      <c r="C9" s="57">
        <v>0.69743451499143572</v>
      </c>
      <c r="D9" s="57">
        <v>0.63594080873758529</v>
      </c>
      <c r="E9" s="57">
        <v>0.64068535634810997</v>
      </c>
      <c r="F9" s="57">
        <v>0.63095571590216104</v>
      </c>
      <c r="G9" s="78">
        <v>0.70496996128177791</v>
      </c>
      <c r="H9" s="57">
        <v>0.82990749237359873</v>
      </c>
      <c r="I9" s="57">
        <v>0.74829690953586792</v>
      </c>
      <c r="J9" s="57">
        <v>0.77781957508466693</v>
      </c>
      <c r="K9" s="77">
        <v>0.88248614901649647</v>
      </c>
      <c r="L9" s="72">
        <v>0.91377283986470381</v>
      </c>
      <c r="M9" s="57">
        <v>0.95142748439291447</v>
      </c>
      <c r="N9" s="57">
        <v>0.9448637722333455</v>
      </c>
    </row>
    <row r="10" spans="1:14" ht="12.75" customHeight="1" x14ac:dyDescent="0.2">
      <c r="A10" s="56" t="s">
        <v>224</v>
      </c>
      <c r="B10" s="79">
        <v>0.716935278158503</v>
      </c>
      <c r="C10" s="57">
        <v>0.73065795501987663</v>
      </c>
      <c r="D10" s="57">
        <v>0.64432002471107519</v>
      </c>
      <c r="E10" s="57">
        <v>0.68402240800597014</v>
      </c>
      <c r="F10" s="57">
        <v>0.70597655433776318</v>
      </c>
      <c r="G10" s="78">
        <v>0.79546788711324612</v>
      </c>
      <c r="H10" s="57">
        <v>0.81829540424049085</v>
      </c>
      <c r="I10" s="57">
        <v>0.74090676545831236</v>
      </c>
      <c r="J10" s="57">
        <v>0.74254291551165819</v>
      </c>
      <c r="K10" s="77">
        <v>0.87353598401810895</v>
      </c>
      <c r="L10" s="72">
        <v>0.87966850916714534</v>
      </c>
      <c r="M10" s="57">
        <v>0.8283139359938223</v>
      </c>
      <c r="N10" s="57">
        <v>0.84501970375761803</v>
      </c>
    </row>
    <row r="11" spans="1:14" ht="12.75" customHeight="1" x14ac:dyDescent="0.2">
      <c r="A11" s="56" t="s">
        <v>274</v>
      </c>
      <c r="B11" s="79">
        <v>0.6859142538295615</v>
      </c>
      <c r="C11" s="57">
        <v>0.64821421658239609</v>
      </c>
      <c r="D11" s="57">
        <v>0.62621161928775626</v>
      </c>
      <c r="E11" s="57">
        <v>0.65562624722148033</v>
      </c>
      <c r="F11" s="57">
        <v>0.65364396175608308</v>
      </c>
      <c r="G11" s="78">
        <v>0.7267599842494572</v>
      </c>
      <c r="H11" s="57">
        <v>0.75384445082987805</v>
      </c>
      <c r="I11" s="57">
        <v>0.78197298355293632</v>
      </c>
      <c r="J11" s="57">
        <v>0.81211278805017084</v>
      </c>
      <c r="K11" s="77">
        <v>0.87708069740958916</v>
      </c>
      <c r="L11" s="72">
        <v>0.88179122890949757</v>
      </c>
      <c r="M11" s="57">
        <v>0.87949484892456387</v>
      </c>
      <c r="N11" s="57">
        <v>0.88431272605272881</v>
      </c>
    </row>
    <row r="12" spans="1:14" ht="12.75" customHeight="1" x14ac:dyDescent="0.2">
      <c r="A12" s="56" t="s">
        <v>275</v>
      </c>
      <c r="B12" s="79">
        <v>0.86173832656826321</v>
      </c>
      <c r="C12" s="57">
        <v>0.82912386545768857</v>
      </c>
      <c r="D12" s="57">
        <v>0.78318676057375858</v>
      </c>
      <c r="E12" s="57">
        <v>0.81433181306849522</v>
      </c>
      <c r="F12" s="57">
        <v>0.81048999981175773</v>
      </c>
      <c r="G12" s="78">
        <v>0.81230014845092691</v>
      </c>
      <c r="H12" s="57">
        <v>0.78813191419461637</v>
      </c>
      <c r="I12" s="57">
        <v>0.83323487426386</v>
      </c>
      <c r="J12" s="57">
        <v>0.85239435693117649</v>
      </c>
      <c r="K12" s="77">
        <v>0.90981246624744305</v>
      </c>
      <c r="L12" s="72">
        <v>0.90814204749532468</v>
      </c>
      <c r="M12" s="57">
        <v>0.92672186818613511</v>
      </c>
      <c r="N12" s="57">
        <v>0.94073766970186412</v>
      </c>
    </row>
    <row r="13" spans="1:14" ht="12.75" customHeight="1" x14ac:dyDescent="0.2">
      <c r="A13" s="56" t="s">
        <v>101</v>
      </c>
      <c r="B13" s="79">
        <v>0.59454110107329139</v>
      </c>
      <c r="C13" s="57">
        <v>0.62888205997067137</v>
      </c>
      <c r="D13" s="57">
        <v>0.63124260976133362</v>
      </c>
      <c r="E13" s="57">
        <v>0.65544094650211315</v>
      </c>
      <c r="F13" s="57">
        <v>0.67250148246653896</v>
      </c>
      <c r="G13" s="78">
        <v>0.61570811036851181</v>
      </c>
      <c r="H13" s="57">
        <v>0.65076577220560117</v>
      </c>
      <c r="I13" s="57">
        <v>0.73362991483305406</v>
      </c>
      <c r="J13" s="57">
        <v>0.75230913463765581</v>
      </c>
      <c r="K13" s="77">
        <v>0.82189754513274405</v>
      </c>
      <c r="L13" s="72">
        <v>0.81811440559062032</v>
      </c>
      <c r="M13" s="57">
        <v>0.74801476932221245</v>
      </c>
      <c r="N13" s="57">
        <v>0.80356727446122156</v>
      </c>
    </row>
    <row r="14" spans="1:14" ht="12.75" customHeight="1" x14ac:dyDescent="0.2">
      <c r="A14" s="56" t="s">
        <v>261</v>
      </c>
      <c r="B14" s="79">
        <v>0.48695761127705423</v>
      </c>
      <c r="C14" s="57">
        <v>0.5554196201752285</v>
      </c>
      <c r="D14" s="57">
        <v>0.57101313300666201</v>
      </c>
      <c r="E14" s="57">
        <v>0.46919010330798688</v>
      </c>
      <c r="F14" s="57">
        <v>0.52002021527265141</v>
      </c>
      <c r="G14" s="78">
        <v>0.59973983358271044</v>
      </c>
      <c r="H14" s="57">
        <v>0.60993180217224585</v>
      </c>
      <c r="I14" s="57">
        <v>0.63677725529176643</v>
      </c>
      <c r="J14" s="57">
        <v>0.6381390286137687</v>
      </c>
      <c r="K14" s="77">
        <v>0.76358907853816693</v>
      </c>
      <c r="L14" s="72">
        <v>0.80021993750023779</v>
      </c>
      <c r="M14" s="57">
        <v>0.74866588817289403</v>
      </c>
      <c r="N14" s="57">
        <v>0.83922711438812014</v>
      </c>
    </row>
    <row r="15" spans="1:14" ht="12.75" customHeight="1" x14ac:dyDescent="0.2">
      <c r="A15" s="56" t="s">
        <v>365</v>
      </c>
      <c r="B15" s="79">
        <v>0.70735136147517153</v>
      </c>
      <c r="C15" s="57">
        <v>0.76418269622798973</v>
      </c>
      <c r="D15" s="57">
        <v>0.73158389348621378</v>
      </c>
      <c r="E15" s="57">
        <v>0.82773134740230636</v>
      </c>
      <c r="F15" s="57">
        <v>0.82406109076783784</v>
      </c>
      <c r="G15" s="78">
        <v>0.81585787857327963</v>
      </c>
      <c r="H15" s="57">
        <v>0.81673075506647452</v>
      </c>
      <c r="I15" s="57">
        <v>0.84470870368232776</v>
      </c>
      <c r="J15" s="57">
        <v>0.90890474443566049</v>
      </c>
      <c r="K15" s="77">
        <v>0.94972263547517588</v>
      </c>
      <c r="L15" s="72">
        <v>0.95607232908708784</v>
      </c>
      <c r="M15" s="57">
        <v>0.94955837444447988</v>
      </c>
      <c r="N15" s="57">
        <v>0.95062409142767779</v>
      </c>
    </row>
    <row r="16" spans="1:14" ht="12.75" customHeight="1" x14ac:dyDescent="0.2">
      <c r="A16" s="56" t="s">
        <v>339</v>
      </c>
      <c r="B16" s="79">
        <v>0.74153424143639735</v>
      </c>
      <c r="C16" s="57">
        <v>0.71378681555227386</v>
      </c>
      <c r="D16" s="57">
        <v>0.65030658254570251</v>
      </c>
      <c r="E16" s="57">
        <v>0.73615397332512067</v>
      </c>
      <c r="F16" s="57">
        <v>0.81297464616581971</v>
      </c>
      <c r="G16" s="78">
        <v>0.75076671316179766</v>
      </c>
      <c r="H16" s="57">
        <v>0.7490203392740834</v>
      </c>
      <c r="I16" s="57">
        <v>0.84782236839098679</v>
      </c>
      <c r="J16" s="57">
        <v>0.88092091036214581</v>
      </c>
      <c r="K16" s="77">
        <v>0.8747447803304893</v>
      </c>
      <c r="L16" s="72">
        <v>0.86496114017671355</v>
      </c>
      <c r="M16" s="57">
        <v>0.90075715881465179</v>
      </c>
      <c r="N16" s="57">
        <v>0.92268036998719116</v>
      </c>
    </row>
    <row r="17" spans="1:14" ht="12.75" customHeight="1" x14ac:dyDescent="0.2">
      <c r="A17" s="56" t="s">
        <v>139</v>
      </c>
      <c r="B17" s="79">
        <v>0.67280883870306152</v>
      </c>
      <c r="C17" s="57">
        <v>0.72778863826115481</v>
      </c>
      <c r="D17" s="57">
        <v>0.74324059711996937</v>
      </c>
      <c r="E17" s="57">
        <v>0.73711930244020663</v>
      </c>
      <c r="F17" s="57">
        <v>0.74159372348312014</v>
      </c>
      <c r="G17" s="78">
        <v>0.80472330536160097</v>
      </c>
      <c r="H17" s="57">
        <v>0.79974420517560518</v>
      </c>
      <c r="I17" s="57">
        <v>0.83988181782753224</v>
      </c>
      <c r="J17" s="57">
        <v>0.88793515965971381</v>
      </c>
      <c r="K17" s="77">
        <v>0.94708190370183243</v>
      </c>
      <c r="L17" s="72">
        <v>0.94154988822203156</v>
      </c>
      <c r="M17" s="57">
        <v>0.93423481543648157</v>
      </c>
      <c r="N17" s="57">
        <v>0.93581068477806262</v>
      </c>
    </row>
    <row r="18" spans="1:14" ht="12.75" customHeight="1" x14ac:dyDescent="0.2">
      <c r="A18" s="56" t="s">
        <v>187</v>
      </c>
      <c r="B18" s="79">
        <v>0.78400205768866982</v>
      </c>
      <c r="C18" s="57">
        <v>0.72843461842597035</v>
      </c>
      <c r="D18" s="57">
        <v>0.70541889842950489</v>
      </c>
      <c r="E18" s="57">
        <v>0.69247862693334783</v>
      </c>
      <c r="F18" s="57">
        <v>0.70792039893637415</v>
      </c>
      <c r="G18" s="78">
        <v>0.70425641732576016</v>
      </c>
      <c r="H18" s="57">
        <v>0.7389396241365922</v>
      </c>
      <c r="I18" s="57">
        <v>0.81595004197430221</v>
      </c>
      <c r="J18" s="57">
        <v>0.8134093912656698</v>
      </c>
      <c r="K18" s="77">
        <v>0.91620794314099074</v>
      </c>
      <c r="L18" s="72">
        <v>0.87033593565564993</v>
      </c>
      <c r="M18" s="57">
        <v>0.90184459450436938</v>
      </c>
      <c r="N18" s="57">
        <v>0.89489046835444719</v>
      </c>
    </row>
    <row r="19" spans="1:14" ht="12.75" customHeight="1" x14ac:dyDescent="0.2">
      <c r="A19" s="56" t="s">
        <v>3</v>
      </c>
      <c r="B19" s="79">
        <v>0.38101548227748094</v>
      </c>
      <c r="C19" s="57">
        <v>0.36596257113726616</v>
      </c>
      <c r="D19" s="57">
        <v>0.36059536025960709</v>
      </c>
      <c r="E19" s="57">
        <v>0.33434182181353522</v>
      </c>
      <c r="F19" s="57">
        <v>0.4126638732054852</v>
      </c>
      <c r="G19" s="78">
        <v>0.49040502424805188</v>
      </c>
      <c r="H19" s="57">
        <v>0.50685029089005906</v>
      </c>
      <c r="I19" s="57">
        <v>0.5697684843895221</v>
      </c>
      <c r="J19" s="57">
        <v>0.5563684311263295</v>
      </c>
      <c r="K19" s="77">
        <v>0.58789560457193057</v>
      </c>
      <c r="L19" s="72">
        <v>0.59859823654945576</v>
      </c>
      <c r="M19" s="57">
        <v>0.69705652705025734</v>
      </c>
      <c r="N19" s="57">
        <v>0.73349154373481018</v>
      </c>
    </row>
    <row r="20" spans="1:14" ht="12.75" customHeight="1" x14ac:dyDescent="0.2">
      <c r="A20" s="56" t="s">
        <v>21</v>
      </c>
      <c r="B20" s="79">
        <v>0.68718189122993267</v>
      </c>
      <c r="C20" s="57">
        <v>0.75921867064842596</v>
      </c>
      <c r="D20" s="57">
        <v>0.61868648473664067</v>
      </c>
      <c r="E20" s="57">
        <v>0.71310488465205357</v>
      </c>
      <c r="F20" s="57">
        <v>0.69632582010828359</v>
      </c>
      <c r="G20" s="78">
        <v>0.73227778302913016</v>
      </c>
      <c r="H20" s="57">
        <v>0.70970771197576987</v>
      </c>
      <c r="I20" s="57">
        <v>0.75333270629296789</v>
      </c>
      <c r="J20" s="57">
        <v>0.8044137411620107</v>
      </c>
      <c r="K20" s="77">
        <v>0.85119674036337023</v>
      </c>
      <c r="L20" s="72">
        <v>0.83687085991943222</v>
      </c>
      <c r="M20" s="57">
        <v>0.90054575824624572</v>
      </c>
      <c r="N20" s="57">
        <v>0.87999913715657552</v>
      </c>
    </row>
    <row r="21" spans="1:14" ht="12.75" customHeight="1" x14ac:dyDescent="0.2">
      <c r="A21" s="56" t="s">
        <v>149</v>
      </c>
      <c r="B21" s="79">
        <v>0.76497210214399181</v>
      </c>
      <c r="C21" s="57">
        <v>0.79434909646289731</v>
      </c>
      <c r="D21" s="57">
        <v>0.80812948585799815</v>
      </c>
      <c r="E21" s="57">
        <v>0.81240685546155689</v>
      </c>
      <c r="F21" s="57">
        <v>0.81451281912294515</v>
      </c>
      <c r="G21" s="78">
        <v>0.83972600757490867</v>
      </c>
      <c r="H21" s="57">
        <v>0.86180846576306114</v>
      </c>
      <c r="I21" s="57">
        <v>0.85660810232331519</v>
      </c>
      <c r="J21" s="57">
        <v>0.88231419125450505</v>
      </c>
      <c r="K21" s="77">
        <v>0.9297030936633659</v>
      </c>
      <c r="L21" s="72">
        <v>0.91833592482232451</v>
      </c>
      <c r="M21" s="57">
        <v>0.9335247698686483</v>
      </c>
      <c r="N21" s="57">
        <v>0.94446671173251417</v>
      </c>
    </row>
    <row r="22" spans="1:14" ht="12.75" customHeight="1" x14ac:dyDescent="0.2">
      <c r="A22" s="56" t="s">
        <v>88</v>
      </c>
      <c r="B22" s="79">
        <v>0.76305003903185442</v>
      </c>
      <c r="C22" s="57">
        <v>0.75107715483882997</v>
      </c>
      <c r="D22" s="57">
        <v>0.75911139687815865</v>
      </c>
      <c r="E22" s="57">
        <v>0.76223907860992668</v>
      </c>
      <c r="F22" s="57">
        <v>0.78324406192819673</v>
      </c>
      <c r="G22" s="78">
        <v>0.83501015784208943</v>
      </c>
      <c r="H22" s="57">
        <v>0.86467567375377175</v>
      </c>
      <c r="I22" s="57">
        <v>0.87435929265375656</v>
      </c>
      <c r="J22" s="57">
        <v>0.881413251521043</v>
      </c>
      <c r="K22" s="77">
        <v>0.92171632910787515</v>
      </c>
      <c r="L22" s="72">
        <v>0.90245780313587898</v>
      </c>
      <c r="M22" s="57">
        <v>0.91353981746189494</v>
      </c>
      <c r="N22" s="57">
        <v>0.9501264408266592</v>
      </c>
    </row>
    <row r="23" spans="1:14" ht="12.75" customHeight="1" x14ac:dyDescent="0.2">
      <c r="A23" s="56" t="s">
        <v>34</v>
      </c>
      <c r="B23" s="79">
        <v>0.6066183336577019</v>
      </c>
      <c r="C23" s="57">
        <v>0.68428166419057523</v>
      </c>
      <c r="D23" s="57">
        <v>0.63976865731679033</v>
      </c>
      <c r="E23" s="57">
        <v>0.66948560983271699</v>
      </c>
      <c r="F23" s="57">
        <v>0.68417413810065408</v>
      </c>
      <c r="G23" s="78">
        <v>0.73841511113709257</v>
      </c>
      <c r="H23" s="57">
        <v>0.74054468840523913</v>
      </c>
      <c r="I23" s="57">
        <v>0.78974843623294311</v>
      </c>
      <c r="J23" s="57">
        <v>0.77632125908320004</v>
      </c>
      <c r="K23" s="77">
        <v>0.88061911402195836</v>
      </c>
      <c r="L23" s="72">
        <v>0.89282734345468107</v>
      </c>
      <c r="M23" s="57">
        <v>0.89656217982132791</v>
      </c>
      <c r="N23" s="57">
        <v>0.93214933657938148</v>
      </c>
    </row>
    <row r="24" spans="1:14" ht="12.75" customHeight="1" x14ac:dyDescent="0.2">
      <c r="A24" s="56" t="s">
        <v>150</v>
      </c>
      <c r="B24" s="79">
        <v>0.66255741334490581</v>
      </c>
      <c r="C24" s="57">
        <v>0.64018882696219692</v>
      </c>
      <c r="D24" s="57">
        <v>0.61627194010359365</v>
      </c>
      <c r="E24" s="57">
        <v>0.76080693273930489</v>
      </c>
      <c r="F24" s="57">
        <v>0.79679400524916988</v>
      </c>
      <c r="G24" s="78">
        <v>0.87896216749527434</v>
      </c>
      <c r="H24" s="57">
        <v>0.8421354445759176</v>
      </c>
      <c r="I24" s="57">
        <v>0.82500200668771229</v>
      </c>
      <c r="J24" s="57">
        <v>0.85799296323181351</v>
      </c>
      <c r="K24" s="77">
        <v>0.81207022333519141</v>
      </c>
      <c r="L24" s="72">
        <v>0.80308387731888142</v>
      </c>
      <c r="M24" s="57">
        <v>0.85918190281508511</v>
      </c>
      <c r="N24" s="57">
        <v>0.89851819050583881</v>
      </c>
    </row>
    <row r="25" spans="1:14" ht="12.75" customHeight="1" x14ac:dyDescent="0.2">
      <c r="A25" s="56" t="s">
        <v>238</v>
      </c>
      <c r="B25" s="79">
        <v>0.550781887948949</v>
      </c>
      <c r="C25" s="57">
        <v>0.70068173540455392</v>
      </c>
      <c r="D25" s="57">
        <v>0.66827120012591157</v>
      </c>
      <c r="E25" s="57">
        <v>0.61781280951219064</v>
      </c>
      <c r="F25" s="57">
        <v>0.60744062445564706</v>
      </c>
      <c r="G25" s="78">
        <v>0.70655545539914133</v>
      </c>
      <c r="H25" s="57">
        <v>0.73797081544489951</v>
      </c>
      <c r="I25" s="57">
        <v>0.83717119483965674</v>
      </c>
      <c r="J25" s="57">
        <v>0.88387853172423814</v>
      </c>
      <c r="K25" s="77">
        <v>0.92849057517710443</v>
      </c>
      <c r="L25" s="72">
        <v>0.93528611688258356</v>
      </c>
      <c r="M25" s="57">
        <v>0.93313956350125105</v>
      </c>
      <c r="N25" s="57">
        <v>0.91097716239783022</v>
      </c>
    </row>
    <row r="26" spans="1:14" ht="12.75" customHeight="1" x14ac:dyDescent="0.2">
      <c r="A26" s="56" t="s">
        <v>7092</v>
      </c>
      <c r="B26" s="79">
        <v>0.55611383052939389</v>
      </c>
      <c r="C26" s="57">
        <v>0.60368173344776022</v>
      </c>
      <c r="D26" s="57">
        <v>0.59979815549798876</v>
      </c>
      <c r="E26" s="57">
        <v>0.63605709698550572</v>
      </c>
      <c r="F26" s="57">
        <v>0.65763530359171429</v>
      </c>
      <c r="G26" s="78">
        <v>0.68249566403457751</v>
      </c>
      <c r="H26" s="57">
        <v>0.69274229824297551</v>
      </c>
      <c r="I26" s="57">
        <v>0.74030994543895501</v>
      </c>
      <c r="J26" s="57">
        <v>0.75681705758172879</v>
      </c>
      <c r="K26" s="77">
        <v>0.8742744181240979</v>
      </c>
      <c r="L26" s="72">
        <v>0.8715462444645985</v>
      </c>
      <c r="M26" s="57">
        <v>0.86281703845821434</v>
      </c>
      <c r="N26" s="57">
        <v>0.87895319298947572</v>
      </c>
    </row>
    <row r="27" spans="1:14" ht="12.75" customHeight="1" x14ac:dyDescent="0.2">
      <c r="A27" s="56" t="s">
        <v>151</v>
      </c>
      <c r="B27" s="79">
        <v>0.67585127292058855</v>
      </c>
      <c r="C27" s="57">
        <v>0.71319976349025427</v>
      </c>
      <c r="D27" s="57">
        <v>0.71183657090249541</v>
      </c>
      <c r="E27" s="57">
        <v>0.76802926952856676</v>
      </c>
      <c r="F27" s="57">
        <v>0.72929341761030175</v>
      </c>
      <c r="G27" s="78">
        <v>0.61285948827261927</v>
      </c>
      <c r="H27" s="57">
        <v>0.66852289762174766</v>
      </c>
      <c r="I27" s="57">
        <v>0.80544714689459773</v>
      </c>
      <c r="J27" s="57">
        <v>0.79273895667263694</v>
      </c>
      <c r="K27" s="77">
        <v>0.96202822456575643</v>
      </c>
      <c r="L27" s="72">
        <v>0.9398876966180344</v>
      </c>
      <c r="M27" s="57">
        <v>0.95039723916743157</v>
      </c>
      <c r="N27" s="57">
        <v>0.98067655818387989</v>
      </c>
    </row>
    <row r="28" spans="1:14" ht="12.75" customHeight="1" x14ac:dyDescent="0.2">
      <c r="A28" s="56" t="s">
        <v>115</v>
      </c>
      <c r="B28" s="79">
        <v>0.58763084023593537</v>
      </c>
      <c r="C28" s="57">
        <v>0.75017489920903924</v>
      </c>
      <c r="D28" s="57">
        <v>0.6783833305117567</v>
      </c>
      <c r="E28" s="57">
        <v>0.78610972568829096</v>
      </c>
      <c r="F28" s="57">
        <v>0.81575452940679161</v>
      </c>
      <c r="G28" s="78">
        <v>0.79235779574842957</v>
      </c>
      <c r="H28" s="57">
        <v>0.78913910828927403</v>
      </c>
      <c r="I28" s="57">
        <v>0.77807782988273899</v>
      </c>
      <c r="J28" s="57">
        <v>0.8133179838607566</v>
      </c>
      <c r="K28" s="77">
        <v>0.89667943117204996</v>
      </c>
      <c r="L28" s="72">
        <v>0.90157452564248475</v>
      </c>
      <c r="M28" s="57">
        <v>0.88423481417126648</v>
      </c>
      <c r="N28" s="57">
        <v>0.91005716720191321</v>
      </c>
    </row>
    <row r="29" spans="1:14" ht="12.75" customHeight="1" x14ac:dyDescent="0.2">
      <c r="A29" s="56" t="s">
        <v>276</v>
      </c>
      <c r="B29" s="79">
        <v>0.77472813356218573</v>
      </c>
      <c r="C29" s="57">
        <v>0.78574490795080421</v>
      </c>
      <c r="D29" s="57">
        <v>0.79631260101768109</v>
      </c>
      <c r="E29" s="57">
        <v>0.84814455119897014</v>
      </c>
      <c r="F29" s="57">
        <v>0.83489303529093029</v>
      </c>
      <c r="G29" s="78">
        <v>0.86685364584958557</v>
      </c>
      <c r="H29" s="57">
        <v>0.86120200170728567</v>
      </c>
      <c r="I29" s="57">
        <v>0.86940468334863685</v>
      </c>
      <c r="J29" s="57">
        <v>0.86783268847293904</v>
      </c>
      <c r="K29" s="77">
        <v>0.92870798017917056</v>
      </c>
      <c r="L29" s="72">
        <v>0.91885904617035752</v>
      </c>
      <c r="M29" s="57">
        <v>0.94516175523102375</v>
      </c>
      <c r="N29" s="57">
        <v>0.9452178097546633</v>
      </c>
    </row>
    <row r="30" spans="1:14" ht="12.75" customHeight="1" x14ac:dyDescent="0.2">
      <c r="A30" s="56" t="s">
        <v>89</v>
      </c>
      <c r="B30" s="79">
        <v>0.78382784849447085</v>
      </c>
      <c r="C30" s="57">
        <v>0.84508264647994547</v>
      </c>
      <c r="D30" s="57">
        <v>0.81084068686770316</v>
      </c>
      <c r="E30" s="57">
        <v>0.86304842481335164</v>
      </c>
      <c r="F30" s="57">
        <v>0.86937936680954087</v>
      </c>
      <c r="G30" s="78">
        <v>0.87787680773774857</v>
      </c>
      <c r="H30" s="57">
        <v>0.87589526404284512</v>
      </c>
      <c r="I30" s="57">
        <v>0.90937036810877259</v>
      </c>
      <c r="J30" s="57">
        <v>0.89736490009795111</v>
      </c>
      <c r="K30" s="77">
        <v>0.94668847570041192</v>
      </c>
      <c r="L30" s="72">
        <v>0.95497054180310503</v>
      </c>
      <c r="M30" s="57">
        <v>0.95412620650527258</v>
      </c>
      <c r="N30" s="57">
        <v>0.94351706317864792</v>
      </c>
    </row>
    <row r="31" spans="1:14" ht="12.75" customHeight="1" x14ac:dyDescent="0.2">
      <c r="A31" s="56" t="s">
        <v>225</v>
      </c>
      <c r="B31" s="79">
        <v>0.82331347754592543</v>
      </c>
      <c r="C31" s="57">
        <v>0.91569014866963128</v>
      </c>
      <c r="D31" s="57">
        <v>0.90417267337418616</v>
      </c>
      <c r="E31" s="57">
        <v>0.92810839469597106</v>
      </c>
      <c r="F31" s="57">
        <v>0.89349708590698274</v>
      </c>
      <c r="G31" s="78">
        <v>0.89174507383116208</v>
      </c>
      <c r="H31" s="57">
        <v>0.90127148337278862</v>
      </c>
      <c r="I31" s="57">
        <v>0.93161913326779522</v>
      </c>
      <c r="J31" s="57">
        <v>0.9474962454509579</v>
      </c>
      <c r="K31" s="77">
        <v>0.96535388801256672</v>
      </c>
      <c r="L31" s="72">
        <v>0.96860691921081599</v>
      </c>
      <c r="M31" s="57">
        <v>0.99128167502022779</v>
      </c>
      <c r="N31" s="57">
        <v>0.98294129562453614</v>
      </c>
    </row>
    <row r="32" spans="1:14" ht="12.75" customHeight="1" x14ac:dyDescent="0.2">
      <c r="A32" s="56" t="s">
        <v>406</v>
      </c>
      <c r="B32" s="79">
        <v>0.59769435942938631</v>
      </c>
      <c r="C32" s="57">
        <v>0.62573236997127912</v>
      </c>
      <c r="D32" s="57">
        <v>0.56691868075249197</v>
      </c>
      <c r="E32" s="57">
        <v>0.71504370880491019</v>
      </c>
      <c r="F32" s="57">
        <v>0.71718390048312508</v>
      </c>
      <c r="G32" s="78">
        <v>0.71157301225316061</v>
      </c>
      <c r="H32" s="57">
        <v>0.65690624044069368</v>
      </c>
      <c r="I32" s="57">
        <v>0.79857537864185901</v>
      </c>
      <c r="J32" s="57">
        <v>0.80538072949248174</v>
      </c>
      <c r="K32" s="77">
        <v>0.83132977967572563</v>
      </c>
      <c r="L32" s="72">
        <v>0.83513743881477343</v>
      </c>
      <c r="M32" s="57">
        <v>0.70565267220648731</v>
      </c>
      <c r="N32" s="57">
        <v>0.7286979382261235</v>
      </c>
    </row>
    <row r="33" spans="1:14" ht="12.75" customHeight="1" x14ac:dyDescent="0.2">
      <c r="A33" s="56" t="s">
        <v>132</v>
      </c>
      <c r="B33" s="79">
        <v>0.60584044380314295</v>
      </c>
      <c r="C33" s="57">
        <v>0.69197263419253652</v>
      </c>
      <c r="D33" s="57">
        <v>0.67296052793651706</v>
      </c>
      <c r="E33" s="57">
        <v>0.64786992971608715</v>
      </c>
      <c r="F33" s="57">
        <v>0.694219876799688</v>
      </c>
      <c r="G33" s="78">
        <v>0.77059168150425394</v>
      </c>
      <c r="H33" s="57">
        <v>0.79474246270173776</v>
      </c>
      <c r="I33" s="57">
        <v>0.79818253291098518</v>
      </c>
      <c r="J33" s="57">
        <v>0.80024580634638598</v>
      </c>
      <c r="K33" s="77">
        <v>0.87935967182928987</v>
      </c>
      <c r="L33" s="72">
        <v>0.89526021211493201</v>
      </c>
      <c r="M33" s="57">
        <v>0.87599829590520273</v>
      </c>
      <c r="N33" s="57">
        <v>0.87282285623553058</v>
      </c>
    </row>
    <row r="34" spans="1:14" ht="12.75" customHeight="1" x14ac:dyDescent="0.2">
      <c r="A34" s="56" t="s">
        <v>196</v>
      </c>
      <c r="B34" s="79">
        <v>0.67964709513131583</v>
      </c>
      <c r="C34" s="57">
        <v>0.71133457217431606</v>
      </c>
      <c r="D34" s="57">
        <v>0.72894638144908108</v>
      </c>
      <c r="E34" s="57">
        <v>0.66895726226753527</v>
      </c>
      <c r="F34" s="57">
        <v>0.6621627642138912</v>
      </c>
      <c r="G34" s="78">
        <v>0.68349804171634854</v>
      </c>
      <c r="H34" s="57">
        <v>0.7201614349956128</v>
      </c>
      <c r="I34" s="57">
        <v>0.70392431806208022</v>
      </c>
      <c r="J34" s="57">
        <v>0.72491373955870264</v>
      </c>
      <c r="K34" s="77">
        <v>0.80195056414299726</v>
      </c>
      <c r="L34" s="72">
        <v>0.83593403087549845</v>
      </c>
      <c r="M34" s="57">
        <v>0.83508151626293714</v>
      </c>
      <c r="N34" s="57">
        <v>0.86253929687958952</v>
      </c>
    </row>
    <row r="35" spans="1:14" ht="12.75" customHeight="1" x14ac:dyDescent="0.2">
      <c r="A35" s="56" t="s">
        <v>140</v>
      </c>
      <c r="B35" s="79">
        <v>0.76248167046853499</v>
      </c>
      <c r="C35" s="57">
        <v>0.75423624720863813</v>
      </c>
      <c r="D35" s="57">
        <v>0.70335499238767007</v>
      </c>
      <c r="E35" s="57">
        <v>0.69089401541067585</v>
      </c>
      <c r="F35" s="57">
        <v>0.70710931526202159</v>
      </c>
      <c r="G35" s="78">
        <v>0.84818419127598044</v>
      </c>
      <c r="H35" s="57">
        <v>0.81436015852455346</v>
      </c>
      <c r="I35" s="57">
        <v>0.81238218237113258</v>
      </c>
      <c r="J35" s="57">
        <v>0.82252314366272727</v>
      </c>
      <c r="K35" s="77">
        <v>0.9463251821589953</v>
      </c>
      <c r="L35" s="72">
        <v>0.95303638124936618</v>
      </c>
      <c r="M35" s="57">
        <v>0.92992625081771141</v>
      </c>
      <c r="N35" s="57">
        <v>0.91797833381791361</v>
      </c>
    </row>
    <row r="36" spans="1:14" ht="12.75" customHeight="1" x14ac:dyDescent="0.2">
      <c r="A36" s="56" t="s">
        <v>7091</v>
      </c>
      <c r="B36" s="79">
        <v>0.76173167774341566</v>
      </c>
      <c r="C36" s="57">
        <v>0.72651336892250673</v>
      </c>
      <c r="D36" s="57">
        <v>0.6868332374710171</v>
      </c>
      <c r="E36" s="57">
        <v>0.73400342734224477</v>
      </c>
      <c r="F36" s="57">
        <v>0.75995601034867255</v>
      </c>
      <c r="G36" s="78">
        <v>0.82735759504685169</v>
      </c>
      <c r="H36" s="57">
        <v>0.82931448960360798</v>
      </c>
      <c r="I36" s="57">
        <v>0.85337178361131971</v>
      </c>
      <c r="J36" s="57">
        <v>0.87166486663450471</v>
      </c>
      <c r="K36" s="77">
        <v>0.92604478379059163</v>
      </c>
      <c r="L36" s="72">
        <v>0.94631629250633487</v>
      </c>
      <c r="M36" s="57">
        <v>0.95883375414965466</v>
      </c>
      <c r="N36" s="57">
        <v>0.94689897071880924</v>
      </c>
    </row>
    <row r="37" spans="1:14" ht="12.75" customHeight="1" x14ac:dyDescent="0.2">
      <c r="A37" s="56" t="s">
        <v>366</v>
      </c>
      <c r="B37" s="79">
        <v>0.62846950537210811</v>
      </c>
      <c r="C37" s="57">
        <v>0.70091128957005033</v>
      </c>
      <c r="D37" s="57">
        <v>0.6516065462602133</v>
      </c>
      <c r="E37" s="57">
        <v>0.66109356159610866</v>
      </c>
      <c r="F37" s="57">
        <v>0.68089988688517433</v>
      </c>
      <c r="G37" s="78">
        <v>0.7284156409493443</v>
      </c>
      <c r="H37" s="57">
        <v>0.79754763333393863</v>
      </c>
      <c r="I37" s="57">
        <v>0.78384817929161721</v>
      </c>
      <c r="J37" s="57">
        <v>0.82373942014410473</v>
      </c>
      <c r="K37" s="77">
        <v>0.88243757155995961</v>
      </c>
      <c r="L37" s="72">
        <v>0.89088772259815274</v>
      </c>
      <c r="M37" s="57">
        <v>0.91789586360876985</v>
      </c>
      <c r="N37" s="57">
        <v>0.86932675634824275</v>
      </c>
    </row>
    <row r="38" spans="1:14" ht="12.75" customHeight="1" x14ac:dyDescent="0.2">
      <c r="A38" s="56" t="s">
        <v>102</v>
      </c>
      <c r="B38" s="79">
        <v>0.47680245598705562</v>
      </c>
      <c r="C38" s="57">
        <v>0.58746858818634551</v>
      </c>
      <c r="D38" s="57">
        <v>0.59461332848149928</v>
      </c>
      <c r="E38" s="57">
        <v>0.58531505905348846</v>
      </c>
      <c r="F38" s="57">
        <v>0.61796663566819887</v>
      </c>
      <c r="G38" s="78">
        <v>0.55670164843984415</v>
      </c>
      <c r="H38" s="57">
        <v>0.6277624483751959</v>
      </c>
      <c r="I38" s="57">
        <v>0.66713167477353341</v>
      </c>
      <c r="J38" s="57">
        <v>0.66516580535456182</v>
      </c>
      <c r="K38" s="77">
        <v>0.77828941013483988</v>
      </c>
      <c r="L38" s="72">
        <v>0.78793536299256484</v>
      </c>
      <c r="M38" s="57">
        <v>0.80901049717663764</v>
      </c>
      <c r="N38" s="57">
        <v>0.82979813183903395</v>
      </c>
    </row>
    <row r="39" spans="1:14" ht="12.75" customHeight="1" x14ac:dyDescent="0.2">
      <c r="A39" s="56" t="s">
        <v>27</v>
      </c>
      <c r="B39" s="79">
        <v>0.52866884613947218</v>
      </c>
      <c r="C39" s="57">
        <v>0.69694460214879095</v>
      </c>
      <c r="D39" s="57">
        <v>0.66480875930402838</v>
      </c>
      <c r="E39" s="57">
        <v>0.64612492142510436</v>
      </c>
      <c r="F39" s="57">
        <v>0.6932914078818524</v>
      </c>
      <c r="G39" s="78">
        <v>0.71861933026839697</v>
      </c>
      <c r="H39" s="57">
        <v>0.71352635015614596</v>
      </c>
      <c r="I39" s="57">
        <v>0.7446056901414293</v>
      </c>
      <c r="J39" s="57">
        <v>0.79657378234356069</v>
      </c>
      <c r="K39" s="77">
        <v>0.82324510898587411</v>
      </c>
      <c r="L39" s="72">
        <v>0.81687443077977839</v>
      </c>
      <c r="M39" s="57">
        <v>0.83207724728851074</v>
      </c>
      <c r="N39" s="57">
        <v>0.87734678692101553</v>
      </c>
    </row>
    <row r="40" spans="1:14" ht="12.75" customHeight="1" x14ac:dyDescent="0.2">
      <c r="A40" s="56" t="s">
        <v>251</v>
      </c>
      <c r="B40" s="79">
        <v>0.70427403490149665</v>
      </c>
      <c r="C40" s="57">
        <v>0.76237310708588113</v>
      </c>
      <c r="D40" s="57">
        <v>0.77778138792884233</v>
      </c>
      <c r="E40" s="57">
        <v>0.87369958924469249</v>
      </c>
      <c r="F40" s="57">
        <v>0.92304525417498662</v>
      </c>
      <c r="G40" s="78">
        <v>0.83421829782313428</v>
      </c>
      <c r="H40" s="57">
        <v>0.78129048553666491</v>
      </c>
      <c r="I40" s="57">
        <v>0.83899842866477414</v>
      </c>
      <c r="J40" s="57">
        <v>0.83579710358055137</v>
      </c>
      <c r="K40" s="77">
        <v>0.90956282384401432</v>
      </c>
      <c r="L40" s="72">
        <v>0.92256398200529954</v>
      </c>
      <c r="M40" s="57">
        <v>0.91853494030269633</v>
      </c>
      <c r="N40" s="57">
        <v>0.92143304846730212</v>
      </c>
    </row>
    <row r="41" spans="1:14" ht="12.75" customHeight="1" x14ac:dyDescent="0.2">
      <c r="A41" s="56" t="s">
        <v>351</v>
      </c>
      <c r="B41" s="79">
        <v>0.79628323407382395</v>
      </c>
      <c r="C41" s="57">
        <v>0.82707106442354772</v>
      </c>
      <c r="D41" s="57">
        <v>0.81637776717815391</v>
      </c>
      <c r="E41" s="57">
        <v>0.76220979982449177</v>
      </c>
      <c r="F41" s="57">
        <v>0.77955341751884188</v>
      </c>
      <c r="G41" s="78">
        <v>0.88228297106322395</v>
      </c>
      <c r="H41" s="57">
        <v>0.93571736529423966</v>
      </c>
      <c r="I41" s="57">
        <v>0.8786489115608962</v>
      </c>
      <c r="J41" s="57">
        <v>0.94793955242838057</v>
      </c>
      <c r="K41" s="77">
        <v>0.93587671229243863</v>
      </c>
      <c r="L41" s="72">
        <v>0.95724806709474519</v>
      </c>
      <c r="M41" s="57">
        <v>0.94777224479098421</v>
      </c>
      <c r="N41" s="57">
        <v>0.92891066201133621</v>
      </c>
    </row>
    <row r="42" spans="1:14" ht="12.75" customHeight="1" x14ac:dyDescent="0.2">
      <c r="A42" s="56" t="s">
        <v>63</v>
      </c>
      <c r="B42" s="79">
        <v>0.53529812099378993</v>
      </c>
      <c r="C42" s="57">
        <v>0.57153610535384791</v>
      </c>
      <c r="D42" s="57">
        <v>0.44476255466921533</v>
      </c>
      <c r="E42" s="57">
        <v>0.69931913928383649</v>
      </c>
      <c r="F42" s="57">
        <v>0.64954327228443942</v>
      </c>
      <c r="G42" s="78">
        <v>0.68871341437928479</v>
      </c>
      <c r="H42" s="57">
        <v>0.69196275312429489</v>
      </c>
      <c r="I42" s="57">
        <v>0.76023824959939845</v>
      </c>
      <c r="J42" s="57">
        <v>0.77420565837438371</v>
      </c>
      <c r="K42" s="77">
        <v>0.84769816928020214</v>
      </c>
      <c r="L42" s="72">
        <v>0.87832963619291449</v>
      </c>
      <c r="M42" s="57">
        <v>0.85900780953733114</v>
      </c>
      <c r="N42" s="57">
        <v>0.86204558114415386</v>
      </c>
    </row>
    <row r="43" spans="1:14" ht="12.75" customHeight="1" x14ac:dyDescent="0.2">
      <c r="A43" s="56" t="s">
        <v>340</v>
      </c>
      <c r="B43" s="79">
        <v>0.61534573102191448</v>
      </c>
      <c r="C43" s="57">
        <v>0.62032927976160346</v>
      </c>
      <c r="D43" s="57">
        <v>0.65225500749155518</v>
      </c>
      <c r="E43" s="57">
        <v>0.62688682542138163</v>
      </c>
      <c r="F43" s="57">
        <v>0.6743499893560847</v>
      </c>
      <c r="G43" s="78">
        <v>0.71769463555572888</v>
      </c>
      <c r="H43" s="57">
        <v>0.7448272107653533</v>
      </c>
      <c r="I43" s="57">
        <v>0.77352491575839122</v>
      </c>
      <c r="J43" s="57">
        <v>0.7869807036399018</v>
      </c>
      <c r="K43" s="77">
        <v>0.86617942032509776</v>
      </c>
      <c r="L43" s="72">
        <v>0.87558738110776091</v>
      </c>
      <c r="M43" s="57">
        <v>0.87839565924836216</v>
      </c>
      <c r="N43" s="57">
        <v>0.873819189161263</v>
      </c>
    </row>
    <row r="44" spans="1:14" ht="12.75" customHeight="1" x14ac:dyDescent="0.2">
      <c r="A44" s="56" t="s">
        <v>7</v>
      </c>
      <c r="B44" s="79">
        <v>0.30312056763957812</v>
      </c>
      <c r="C44" s="57">
        <v>0.38244522557764216</v>
      </c>
      <c r="D44" s="57">
        <v>0.35153273595914553</v>
      </c>
      <c r="E44" s="57">
        <v>0.42766596023887093</v>
      </c>
      <c r="F44" s="57">
        <v>0.49880147524442919</v>
      </c>
      <c r="G44" s="78">
        <v>0.41528271971471492</v>
      </c>
      <c r="H44" s="57">
        <v>0.54565526653692975</v>
      </c>
      <c r="I44" s="57">
        <v>0.47707226422517351</v>
      </c>
      <c r="J44" s="57">
        <v>0.5377301728537851</v>
      </c>
      <c r="K44" s="77">
        <v>0.67472252294786395</v>
      </c>
      <c r="L44" s="72">
        <v>0.72204307928403111</v>
      </c>
      <c r="M44" s="57">
        <v>0.60828695292303914</v>
      </c>
      <c r="N44" s="57">
        <v>0.60176328789628764</v>
      </c>
    </row>
    <row r="45" spans="1:14" ht="12.75" customHeight="1" x14ac:dyDescent="0.2">
      <c r="A45" s="56" t="s">
        <v>367</v>
      </c>
      <c r="B45" s="79">
        <v>0.81627203576860541</v>
      </c>
      <c r="C45" s="57">
        <v>0.83356344326352838</v>
      </c>
      <c r="D45" s="57">
        <v>0.7991467819270629</v>
      </c>
      <c r="E45" s="57">
        <v>0.94632989396119493</v>
      </c>
      <c r="F45" s="57">
        <v>0.93058215085968465</v>
      </c>
      <c r="G45" s="78">
        <v>0.90604464533049689</v>
      </c>
      <c r="H45" s="57">
        <v>0.87146278950599132</v>
      </c>
      <c r="I45" s="57">
        <v>0.95169151530206164</v>
      </c>
      <c r="J45" s="57">
        <v>0.95610146581822053</v>
      </c>
      <c r="K45" s="77">
        <v>0.94367675647530991</v>
      </c>
      <c r="L45" s="72">
        <v>0.92536429713204005</v>
      </c>
      <c r="M45" s="57">
        <v>0.98823002942731264</v>
      </c>
      <c r="N45" s="57">
        <v>0.99656694902888521</v>
      </c>
    </row>
    <row r="46" spans="1:14" ht="12.75" customHeight="1" x14ac:dyDescent="0.2">
      <c r="A46" s="56" t="s">
        <v>197</v>
      </c>
      <c r="B46" s="79">
        <v>0.56906175770379896</v>
      </c>
      <c r="C46" s="57">
        <v>0.64175979336856459</v>
      </c>
      <c r="D46" s="57">
        <v>0.69345783398107397</v>
      </c>
      <c r="E46" s="57">
        <v>0.79791300216237482</v>
      </c>
      <c r="F46" s="57">
        <v>0.76860565871991926</v>
      </c>
      <c r="G46" s="78">
        <v>0.76471557742391361</v>
      </c>
      <c r="H46" s="57">
        <v>0.74458535950743021</v>
      </c>
      <c r="I46" s="57">
        <v>0.800914129526626</v>
      </c>
      <c r="J46" s="57">
        <v>0.71159347737130618</v>
      </c>
      <c r="K46" s="77">
        <v>0.85046000017010792</v>
      </c>
      <c r="L46" s="72">
        <v>0.82547063995798664</v>
      </c>
      <c r="M46" s="57">
        <v>0.86310551813952419</v>
      </c>
      <c r="N46" s="57">
        <v>0.86590643707345716</v>
      </c>
    </row>
    <row r="47" spans="1:14" ht="12.75" customHeight="1" x14ac:dyDescent="0.2">
      <c r="A47" s="56" t="s">
        <v>376</v>
      </c>
      <c r="B47" s="79">
        <v>0.77647295797920657</v>
      </c>
      <c r="C47" s="57">
        <v>0.65456304023010636</v>
      </c>
      <c r="D47" s="57">
        <v>0.60278856895290667</v>
      </c>
      <c r="E47" s="57">
        <v>0.87848485058464332</v>
      </c>
      <c r="F47" s="57">
        <v>0.87811927933694989</v>
      </c>
      <c r="G47" s="78">
        <v>0.83083263362634008</v>
      </c>
      <c r="H47" s="57">
        <v>0.88074323767893281</v>
      </c>
      <c r="I47" s="57">
        <v>0.96201760296459027</v>
      </c>
      <c r="J47" s="57">
        <v>0.97776735747394994</v>
      </c>
      <c r="K47" s="77">
        <v>0.94778898823628388</v>
      </c>
      <c r="L47" s="72">
        <v>0.95742472337718632</v>
      </c>
      <c r="M47" s="57">
        <v>0.76214541562923221</v>
      </c>
      <c r="N47" s="57">
        <v>0.81164053751399778</v>
      </c>
    </row>
    <row r="48" spans="1:14" ht="12.75" customHeight="1" x14ac:dyDescent="0.2">
      <c r="A48" s="56" t="s">
        <v>152</v>
      </c>
      <c r="B48" s="79">
        <v>0.69755914078620074</v>
      </c>
      <c r="C48" s="57">
        <v>0.70958979898395569</v>
      </c>
      <c r="D48" s="57">
        <v>0.71702191402978932</v>
      </c>
      <c r="E48" s="57">
        <v>0.83376775075895226</v>
      </c>
      <c r="F48" s="57">
        <v>0.86069447148748901</v>
      </c>
      <c r="G48" s="78">
        <v>0.86377003322526891</v>
      </c>
      <c r="H48" s="57">
        <v>0.87703125962364525</v>
      </c>
      <c r="I48" s="57">
        <v>0.87447669222286528</v>
      </c>
      <c r="J48" s="57">
        <v>0.88477542239125595</v>
      </c>
      <c r="K48" s="77">
        <v>0.94654955678255492</v>
      </c>
      <c r="L48" s="72">
        <v>0.92376012839425492</v>
      </c>
      <c r="M48" s="57">
        <v>0.93523603822756429</v>
      </c>
      <c r="N48" s="57">
        <v>0.94568108119710315</v>
      </c>
    </row>
    <row r="49" spans="1:14" ht="12.75" customHeight="1" x14ac:dyDescent="0.2">
      <c r="A49" s="56" t="s">
        <v>341</v>
      </c>
      <c r="B49" s="79">
        <v>0.69633528187886073</v>
      </c>
      <c r="C49" s="57">
        <v>0.80166825072210823</v>
      </c>
      <c r="D49" s="57">
        <v>0.70981053716895348</v>
      </c>
      <c r="E49" s="57">
        <v>0.76151096518055494</v>
      </c>
      <c r="F49" s="57">
        <v>0.78431060783124273</v>
      </c>
      <c r="G49" s="78">
        <v>0.83231243798262011</v>
      </c>
      <c r="H49" s="57">
        <v>0.77938188662172236</v>
      </c>
      <c r="I49" s="57">
        <v>0.86026476401341434</v>
      </c>
      <c r="J49" s="57">
        <v>0.87152687095976911</v>
      </c>
      <c r="K49" s="77">
        <v>0.90495333489229879</v>
      </c>
      <c r="L49" s="72">
        <v>0.90254296998300176</v>
      </c>
      <c r="M49" s="57">
        <v>0.92026085792316292</v>
      </c>
      <c r="N49" s="57">
        <v>0.96228130643378385</v>
      </c>
    </row>
    <row r="50" spans="1:14" ht="12.75" customHeight="1" x14ac:dyDescent="0.2">
      <c r="A50" s="56" t="s">
        <v>277</v>
      </c>
      <c r="B50" s="79">
        <v>0.65769640576701438</v>
      </c>
      <c r="C50" s="57">
        <v>0.72707755596564472</v>
      </c>
      <c r="D50" s="57">
        <v>0.73707445848485675</v>
      </c>
      <c r="E50" s="57">
        <v>0.75259435470418345</v>
      </c>
      <c r="F50" s="57">
        <v>0.77625030296669884</v>
      </c>
      <c r="G50" s="78">
        <v>0.73293652868143344</v>
      </c>
      <c r="H50" s="57">
        <v>0.69613574578324255</v>
      </c>
      <c r="I50" s="57">
        <v>0.70959313921432488</v>
      </c>
      <c r="J50" s="57">
        <v>0.72315110409002659</v>
      </c>
      <c r="K50" s="77">
        <v>0.81549724187735739</v>
      </c>
      <c r="L50" s="72">
        <v>0.81333495659320365</v>
      </c>
      <c r="M50" s="57">
        <v>0.84794203930071976</v>
      </c>
      <c r="N50" s="57">
        <v>0.89228980891273968</v>
      </c>
    </row>
    <row r="51" spans="1:14" ht="12.75" customHeight="1" x14ac:dyDescent="0.2">
      <c r="A51" s="56" t="s">
        <v>103</v>
      </c>
      <c r="B51" s="79">
        <v>0.61562365806686903</v>
      </c>
      <c r="C51" s="57">
        <v>0.54088333602936678</v>
      </c>
      <c r="D51" s="57">
        <v>0.55022975381416273</v>
      </c>
      <c r="E51" s="57">
        <v>0.72733093285645301</v>
      </c>
      <c r="F51" s="57">
        <v>0.71378761486144326</v>
      </c>
      <c r="G51" s="78">
        <v>0.60965804284803682</v>
      </c>
      <c r="H51" s="57">
        <v>0.63927344973690292</v>
      </c>
      <c r="I51" s="57">
        <v>0.72062545941365996</v>
      </c>
      <c r="J51" s="57">
        <v>0.80474981211147367</v>
      </c>
      <c r="K51" s="77">
        <v>0.89538366750743459</v>
      </c>
      <c r="L51" s="72">
        <v>0.90634192077408637</v>
      </c>
      <c r="M51" s="57">
        <v>0.94132170632818546</v>
      </c>
      <c r="N51" s="57">
        <v>0.93814362841564491</v>
      </c>
    </row>
    <row r="52" spans="1:14" ht="12.75" customHeight="1" x14ac:dyDescent="0.2">
      <c r="A52" s="56" t="s">
        <v>330</v>
      </c>
      <c r="B52" s="79">
        <v>0.82018905025896727</v>
      </c>
      <c r="C52" s="57">
        <v>0.87076844198561132</v>
      </c>
      <c r="D52" s="57">
        <v>0.88154855649121888</v>
      </c>
      <c r="E52" s="57">
        <v>0.80507272597172785</v>
      </c>
      <c r="F52" s="57">
        <v>0.78969467646264058</v>
      </c>
      <c r="G52" s="78">
        <v>0.81821017328332224</v>
      </c>
      <c r="H52" s="57">
        <v>0.85534819448027966</v>
      </c>
      <c r="I52" s="57">
        <v>0.89827124105644018</v>
      </c>
      <c r="J52" s="57">
        <v>0.89651309096924747</v>
      </c>
      <c r="K52" s="77">
        <v>0.90786983252005005</v>
      </c>
      <c r="L52" s="72">
        <v>0.92296496257979654</v>
      </c>
      <c r="M52" s="57">
        <v>0.94713289159559033</v>
      </c>
      <c r="N52" s="57">
        <v>0.94359813954059335</v>
      </c>
    </row>
    <row r="53" spans="1:14" ht="12.75" customHeight="1" x14ac:dyDescent="0.2">
      <c r="A53" s="56" t="s">
        <v>412</v>
      </c>
      <c r="B53" s="79">
        <v>0.61888336303247526</v>
      </c>
      <c r="C53" s="57">
        <v>0.6916661654730355</v>
      </c>
      <c r="D53" s="57">
        <v>0.71700475993944413</v>
      </c>
      <c r="E53" s="57">
        <v>0.72451038223232844</v>
      </c>
      <c r="F53" s="57">
        <v>0.69725337773081475</v>
      </c>
      <c r="G53" s="78">
        <v>0.76303177759400509</v>
      </c>
      <c r="H53" s="57">
        <v>0.78954486151597092</v>
      </c>
      <c r="I53" s="57">
        <v>0.78561159318578344</v>
      </c>
      <c r="J53" s="57">
        <v>0.80303943938003175</v>
      </c>
      <c r="K53" s="77">
        <v>0.85965855592819218</v>
      </c>
      <c r="L53" s="72">
        <v>0.85440407024581644</v>
      </c>
      <c r="M53" s="57">
        <v>0.872758897355014</v>
      </c>
      <c r="N53" s="57">
        <v>0.83451572583009981</v>
      </c>
    </row>
    <row r="54" spans="1:14" ht="12.75" customHeight="1" x14ac:dyDescent="0.2">
      <c r="A54" s="56" t="s">
        <v>7090</v>
      </c>
      <c r="B54" s="79">
        <v>0.75103297544140779</v>
      </c>
      <c r="C54" s="57">
        <v>0.67973236330316766</v>
      </c>
      <c r="D54" s="57">
        <v>0.67498944214180934</v>
      </c>
      <c r="E54" s="57">
        <v>0.78026499128278071</v>
      </c>
      <c r="F54" s="57">
        <v>0.79932957058756193</v>
      </c>
      <c r="G54" s="78">
        <v>0.79099130544673268</v>
      </c>
      <c r="H54" s="57">
        <v>0.79370887189763384</v>
      </c>
      <c r="I54" s="57">
        <v>0.82954816602184966</v>
      </c>
      <c r="J54" s="57">
        <v>0.82886736376730985</v>
      </c>
      <c r="K54" s="77">
        <v>0.86464245570815979</v>
      </c>
      <c r="L54" s="72">
        <v>0.85123057535076296</v>
      </c>
      <c r="M54" s="57">
        <v>0.93332865200819803</v>
      </c>
      <c r="N54" s="57">
        <v>0.93250886895472973</v>
      </c>
    </row>
    <row r="55" spans="1:14" ht="12.75" customHeight="1" x14ac:dyDescent="0.2">
      <c r="A55" s="56" t="s">
        <v>141</v>
      </c>
      <c r="B55" s="79">
        <v>0.55875117710150668</v>
      </c>
      <c r="C55" s="57">
        <v>0.52862270732293692</v>
      </c>
      <c r="D55" s="57">
        <v>0.5258672877251056</v>
      </c>
      <c r="E55" s="57">
        <v>0.58241785926064094</v>
      </c>
      <c r="F55" s="57">
        <v>0.62621511677867148</v>
      </c>
      <c r="G55" s="78">
        <v>0.62357194487107925</v>
      </c>
      <c r="H55" s="57">
        <v>0.6714841850080342</v>
      </c>
      <c r="I55" s="57">
        <v>0.72620861218095589</v>
      </c>
      <c r="J55" s="57">
        <v>0.74780770238592442</v>
      </c>
      <c r="K55" s="77">
        <v>0.84537632836694843</v>
      </c>
      <c r="L55" s="72">
        <v>0.84964943662323844</v>
      </c>
      <c r="M55" s="57">
        <v>0.77217840621877953</v>
      </c>
      <c r="N55" s="57">
        <v>0.80916648136101266</v>
      </c>
    </row>
    <row r="56" spans="1:14" ht="12.75" customHeight="1" x14ac:dyDescent="0.2">
      <c r="A56" s="56" t="s">
        <v>104</v>
      </c>
      <c r="B56" s="79">
        <v>0.65754373833073509</v>
      </c>
      <c r="C56" s="57">
        <v>0.67212418335999446</v>
      </c>
      <c r="D56" s="57">
        <v>0.66535539350744588</v>
      </c>
      <c r="E56" s="57">
        <v>0.69600656427940089</v>
      </c>
      <c r="F56" s="57">
        <v>0.68532712310255828</v>
      </c>
      <c r="G56" s="78">
        <v>0.73325497156482233</v>
      </c>
      <c r="H56" s="57">
        <v>0.76740979144065591</v>
      </c>
      <c r="I56" s="57">
        <v>0.79869195706657115</v>
      </c>
      <c r="J56" s="57">
        <v>0.81152656033500781</v>
      </c>
      <c r="K56" s="77">
        <v>0.86901374349679195</v>
      </c>
      <c r="L56" s="72">
        <v>0.84759757176545336</v>
      </c>
      <c r="M56" s="57">
        <v>0.86230861905030398</v>
      </c>
      <c r="N56" s="57">
        <v>0.88635259547485101</v>
      </c>
    </row>
    <row r="57" spans="1:14" ht="12.75" customHeight="1" x14ac:dyDescent="0.2">
      <c r="A57" s="56" t="s">
        <v>153</v>
      </c>
      <c r="B57" s="79">
        <v>0.67774239323678909</v>
      </c>
      <c r="C57" s="57">
        <v>0.77144363241368641</v>
      </c>
      <c r="D57" s="57">
        <v>0.7993037187826374</v>
      </c>
      <c r="E57" s="57">
        <v>0.84936820833316728</v>
      </c>
      <c r="F57" s="57">
        <v>0.87162293405083879</v>
      </c>
      <c r="G57" s="78">
        <v>0.85567191656748076</v>
      </c>
      <c r="H57" s="57">
        <v>0.85343464767431942</v>
      </c>
      <c r="I57" s="57">
        <v>0.78267192685517728</v>
      </c>
      <c r="J57" s="57">
        <v>0.83039305304800493</v>
      </c>
      <c r="K57" s="77">
        <v>0.89796719523865631</v>
      </c>
      <c r="L57" s="72">
        <v>0.89306220575409134</v>
      </c>
      <c r="M57" s="57">
        <v>0.94076423136179443</v>
      </c>
      <c r="N57" s="57">
        <v>0.90227202042437071</v>
      </c>
    </row>
    <row r="58" spans="1:14" ht="12.75" customHeight="1" x14ac:dyDescent="0.2">
      <c r="A58" s="56" t="s">
        <v>252</v>
      </c>
      <c r="B58" s="79">
        <v>0.60487143719837477</v>
      </c>
      <c r="C58" s="57">
        <v>0.60544198282619743</v>
      </c>
      <c r="D58" s="57">
        <v>0.60420070934608572</v>
      </c>
      <c r="E58" s="57">
        <v>0.70628328090851467</v>
      </c>
      <c r="F58" s="57">
        <v>0.73118401686166135</v>
      </c>
      <c r="G58" s="78">
        <v>0.7674649795608034</v>
      </c>
      <c r="H58" s="57">
        <v>0.79853279266039501</v>
      </c>
      <c r="I58" s="57">
        <v>0.83028493633264355</v>
      </c>
      <c r="J58" s="57">
        <v>0.83171345785954254</v>
      </c>
      <c r="K58" s="77">
        <v>0.82361155497845273</v>
      </c>
      <c r="L58" s="72">
        <v>0.82801985134921119</v>
      </c>
      <c r="M58" s="57">
        <v>0.83222932527399252</v>
      </c>
      <c r="N58" s="57">
        <v>0.82363474228190359</v>
      </c>
    </row>
    <row r="59" spans="1:14" ht="12.75" customHeight="1" x14ac:dyDescent="0.2">
      <c r="A59" s="56" t="s">
        <v>64</v>
      </c>
      <c r="B59" s="79">
        <v>0.41519890351799338</v>
      </c>
      <c r="C59" s="57">
        <v>0.41515536247266344</v>
      </c>
      <c r="D59" s="57">
        <v>0.37689080604309144</v>
      </c>
      <c r="E59" s="57">
        <v>0.5526760033708169</v>
      </c>
      <c r="F59" s="57">
        <v>0.55022727344375677</v>
      </c>
      <c r="G59" s="78">
        <v>0.58041694693862789</v>
      </c>
      <c r="H59" s="57">
        <v>0.60547740469695532</v>
      </c>
      <c r="I59" s="57">
        <v>0.79355713959640595</v>
      </c>
      <c r="J59" s="57">
        <v>0.81032675655008879</v>
      </c>
      <c r="K59" s="77">
        <v>0.83682886647619914</v>
      </c>
      <c r="L59" s="72">
        <v>0.83291044203130982</v>
      </c>
      <c r="M59" s="57">
        <v>0.79704591664949598</v>
      </c>
      <c r="N59" s="57">
        <v>0.85142732252393316</v>
      </c>
    </row>
    <row r="60" spans="1:14" ht="12.75" customHeight="1" x14ac:dyDescent="0.2">
      <c r="A60" s="56" t="s">
        <v>396</v>
      </c>
      <c r="B60" s="79">
        <v>0.5094703399054239</v>
      </c>
      <c r="C60" s="57">
        <v>0.6176505675655859</v>
      </c>
      <c r="D60" s="57">
        <v>0.56813237712069609</v>
      </c>
      <c r="E60" s="57">
        <v>0.65589786485394908</v>
      </c>
      <c r="F60" s="57">
        <v>0.64821072556763981</v>
      </c>
      <c r="G60" s="78">
        <v>0.6911048755477428</v>
      </c>
      <c r="H60" s="57">
        <v>0.69815229135606449</v>
      </c>
      <c r="I60" s="57">
        <v>0.71511053265917235</v>
      </c>
      <c r="J60" s="57">
        <v>0.74123231940334788</v>
      </c>
      <c r="K60" s="77">
        <v>0.86464354484801431</v>
      </c>
      <c r="L60" s="72">
        <v>0.87740161470362088</v>
      </c>
      <c r="M60" s="57">
        <v>0.87535337833843319</v>
      </c>
      <c r="N60" s="57">
        <v>0.89483029616523924</v>
      </c>
    </row>
    <row r="61" spans="1:14" ht="12.75" customHeight="1" x14ac:dyDescent="0.2">
      <c r="A61" s="56" t="s">
        <v>342</v>
      </c>
      <c r="B61" s="79">
        <v>0.67723246814356086</v>
      </c>
      <c r="C61" s="57">
        <v>0.77093167714493371</v>
      </c>
      <c r="D61" s="57">
        <v>0.75668327484735098</v>
      </c>
      <c r="E61" s="57">
        <v>0.79515133496481372</v>
      </c>
      <c r="F61" s="57">
        <v>0.82182934261661023</v>
      </c>
      <c r="G61" s="78">
        <v>0.74410693109426673</v>
      </c>
      <c r="H61" s="57">
        <v>0.77147162164467287</v>
      </c>
      <c r="I61" s="57">
        <v>0.77232550574005399</v>
      </c>
      <c r="J61" s="57">
        <v>0.83907234252149465</v>
      </c>
      <c r="K61" s="77">
        <v>0.80740270506449285</v>
      </c>
      <c r="L61" s="72">
        <v>0.76877158109949273</v>
      </c>
      <c r="M61" s="57">
        <v>0.90818404353390181</v>
      </c>
      <c r="N61" s="57">
        <v>0.92729492471347341</v>
      </c>
    </row>
    <row r="62" spans="1:14" ht="12.75" customHeight="1" x14ac:dyDescent="0.2">
      <c r="A62" s="56" t="s">
        <v>22</v>
      </c>
      <c r="B62" s="79">
        <v>0.50388083311123744</v>
      </c>
      <c r="C62" s="57">
        <v>0.57193801511526465</v>
      </c>
      <c r="D62" s="57">
        <v>0.52358330817166499</v>
      </c>
      <c r="E62" s="57">
        <v>0.60559698568007103</v>
      </c>
      <c r="F62" s="57">
        <v>0.66510058911826719</v>
      </c>
      <c r="G62" s="78">
        <v>0.78085647332578567</v>
      </c>
      <c r="H62" s="57">
        <v>0.76157779430470574</v>
      </c>
      <c r="I62" s="57">
        <v>0.72496733308360495</v>
      </c>
      <c r="J62" s="57">
        <v>0.72231397243305318</v>
      </c>
      <c r="K62" s="77">
        <v>0.83101527134595388</v>
      </c>
      <c r="L62" s="72">
        <v>0.84040448130444234</v>
      </c>
      <c r="M62" s="57">
        <v>0.78749937395167402</v>
      </c>
      <c r="N62" s="57">
        <v>0.83196384977019322</v>
      </c>
    </row>
    <row r="63" spans="1:14" ht="12.75" customHeight="1" x14ac:dyDescent="0.2">
      <c r="A63" s="56" t="s">
        <v>16</v>
      </c>
      <c r="B63" s="79">
        <v>0.6628373916789988</v>
      </c>
      <c r="C63" s="57">
        <v>0.72926957013163429</v>
      </c>
      <c r="D63" s="57">
        <v>0.68443157411654554</v>
      </c>
      <c r="E63" s="57">
        <v>0.73936938395730101</v>
      </c>
      <c r="F63" s="57">
        <v>0.7508900859573765</v>
      </c>
      <c r="G63" s="78">
        <v>0.79684109371763312</v>
      </c>
      <c r="H63" s="57">
        <v>0.79493504200825027</v>
      </c>
      <c r="I63" s="57">
        <v>0.8339562784213419</v>
      </c>
      <c r="J63" s="57">
        <v>0.86169527987095873</v>
      </c>
      <c r="K63" s="77">
        <v>0.91257043010965522</v>
      </c>
      <c r="L63" s="72">
        <v>0.90388359574120525</v>
      </c>
      <c r="M63" s="57">
        <v>0.89571961894859153</v>
      </c>
      <c r="N63" s="57">
        <v>0.92592556561042805</v>
      </c>
    </row>
    <row r="64" spans="1:14" ht="12.75" customHeight="1" x14ac:dyDescent="0.2">
      <c r="A64" s="56" t="s">
        <v>407</v>
      </c>
      <c r="B64" s="79">
        <v>0.55991977314381169</v>
      </c>
      <c r="C64" s="57">
        <v>0.66018189579829945</v>
      </c>
      <c r="D64" s="57">
        <v>0.62468954187331138</v>
      </c>
      <c r="E64" s="57">
        <v>0.63971419271303176</v>
      </c>
      <c r="F64" s="57">
        <v>0.62396155298005185</v>
      </c>
      <c r="G64" s="78">
        <v>0.71163506615163097</v>
      </c>
      <c r="H64" s="57">
        <v>0.67581855858551543</v>
      </c>
      <c r="I64" s="57">
        <v>0.7537224661224381</v>
      </c>
      <c r="J64" s="57">
        <v>0.79763101163079919</v>
      </c>
      <c r="K64" s="77">
        <v>0.80747301687419537</v>
      </c>
      <c r="L64" s="72">
        <v>0.83401510928596934</v>
      </c>
      <c r="M64" s="57">
        <v>0.79803868126155431</v>
      </c>
      <c r="N64" s="57">
        <v>0.80781506891259447</v>
      </c>
    </row>
    <row r="65" spans="1:14" ht="12.75" customHeight="1" x14ac:dyDescent="0.2">
      <c r="A65" s="56" t="s">
        <v>239</v>
      </c>
      <c r="B65" s="79">
        <v>0.69721375596550128</v>
      </c>
      <c r="C65" s="57">
        <v>0.67296674181924665</v>
      </c>
      <c r="D65" s="57">
        <v>0.68109069216535445</v>
      </c>
      <c r="E65" s="57">
        <v>0.81836388584534492</v>
      </c>
      <c r="F65" s="57">
        <v>0.81972710989335129</v>
      </c>
      <c r="G65" s="78">
        <v>0.81571347729525578</v>
      </c>
      <c r="H65" s="57">
        <v>0.81610661474898583</v>
      </c>
      <c r="I65" s="57">
        <v>0.88691512967228114</v>
      </c>
      <c r="J65" s="57">
        <v>0.88219024676748925</v>
      </c>
      <c r="K65" s="77">
        <v>0.89926806964895223</v>
      </c>
      <c r="L65" s="72">
        <v>0.90865750238938392</v>
      </c>
      <c r="M65" s="57">
        <v>0.9424135641863387</v>
      </c>
      <c r="N65" s="57">
        <v>0.92768820363035709</v>
      </c>
    </row>
    <row r="66" spans="1:14" ht="12.75" customHeight="1" x14ac:dyDescent="0.2">
      <c r="A66" s="56" t="s">
        <v>46</v>
      </c>
      <c r="B66" s="79">
        <v>0.49223603182710141</v>
      </c>
      <c r="C66" s="57">
        <v>0.5785119138610717</v>
      </c>
      <c r="D66" s="57">
        <v>0.46909904861436053</v>
      </c>
      <c r="E66" s="57">
        <v>0.58090684785479496</v>
      </c>
      <c r="F66" s="57">
        <v>0.61318365031192235</v>
      </c>
      <c r="G66" s="78">
        <v>0.62273020648885702</v>
      </c>
      <c r="H66" s="57">
        <v>0.64005621204583629</v>
      </c>
      <c r="I66" s="57">
        <v>0.70984884435255535</v>
      </c>
      <c r="J66" s="57">
        <v>0.71361504182893987</v>
      </c>
      <c r="K66" s="77">
        <v>0.7744207795874507</v>
      </c>
      <c r="L66" s="72">
        <v>0.77638559234780169</v>
      </c>
      <c r="M66" s="57">
        <v>0.80847148288801862</v>
      </c>
      <c r="N66" s="57">
        <v>0.84838639391918114</v>
      </c>
    </row>
    <row r="67" spans="1:14" ht="12.75" customHeight="1" x14ac:dyDescent="0.2">
      <c r="A67" s="56" t="s">
        <v>65</v>
      </c>
      <c r="B67" s="79">
        <v>0.51512223140814895</v>
      </c>
      <c r="C67" s="57">
        <v>0.52031729075714017</v>
      </c>
      <c r="D67" s="57">
        <v>0.50896169820978143</v>
      </c>
      <c r="E67" s="57">
        <v>0.57170466983614532</v>
      </c>
      <c r="F67" s="57">
        <v>0.50678671025892119</v>
      </c>
      <c r="G67" s="78">
        <v>0.563519302493384</v>
      </c>
      <c r="H67" s="57">
        <v>0.57976519221647016</v>
      </c>
      <c r="I67" s="57">
        <v>0.64192139275314886</v>
      </c>
      <c r="J67" s="57">
        <v>0.69125320643200561</v>
      </c>
      <c r="K67" s="77">
        <v>0.7987089626355699</v>
      </c>
      <c r="L67" s="72">
        <v>0.80924765053396963</v>
      </c>
      <c r="M67" s="57">
        <v>0.78109037663149394</v>
      </c>
      <c r="N67" s="57">
        <v>0.83839130384531479</v>
      </c>
    </row>
    <row r="68" spans="1:14" ht="12.75" customHeight="1" x14ac:dyDescent="0.2">
      <c r="A68" s="56" t="s">
        <v>394</v>
      </c>
      <c r="B68" s="79">
        <v>0.57901488804390999</v>
      </c>
      <c r="C68" s="57">
        <v>0.56740571618724389</v>
      </c>
      <c r="D68" s="57">
        <v>0.57601075774976374</v>
      </c>
      <c r="E68" s="57">
        <v>0.57278491987102287</v>
      </c>
      <c r="F68" s="57">
        <v>0.6320827009089931</v>
      </c>
      <c r="G68" s="78">
        <v>0.61832087761465448</v>
      </c>
      <c r="H68" s="57">
        <v>0.62476933892063291</v>
      </c>
      <c r="I68" s="57">
        <v>0.67341404649221248</v>
      </c>
      <c r="J68" s="57">
        <v>0.7148130010704129</v>
      </c>
      <c r="K68" s="77">
        <v>0.77318972165097388</v>
      </c>
      <c r="L68" s="72">
        <v>0.83922197870286952</v>
      </c>
      <c r="M68" s="57">
        <v>0.826026343887448</v>
      </c>
      <c r="N68" s="57">
        <v>0.89159033555537981</v>
      </c>
    </row>
    <row r="69" spans="1:14" ht="12.75" customHeight="1" x14ac:dyDescent="0.2">
      <c r="A69" s="56" t="s">
        <v>368</v>
      </c>
      <c r="B69" s="79">
        <v>0.69280837335170964</v>
      </c>
      <c r="C69" s="57">
        <v>0.79153903639691769</v>
      </c>
      <c r="D69" s="57">
        <v>0.80980662112823754</v>
      </c>
      <c r="E69" s="57">
        <v>0.80829966329005054</v>
      </c>
      <c r="F69" s="57">
        <v>0.84319643953247403</v>
      </c>
      <c r="G69" s="78">
        <v>0.88305511723499264</v>
      </c>
      <c r="H69" s="57">
        <v>0.87811464732647981</v>
      </c>
      <c r="I69" s="57">
        <v>0.90860270567193757</v>
      </c>
      <c r="J69" s="57">
        <v>0.94125677797006546</v>
      </c>
      <c r="K69" s="77">
        <v>0.96380722474918035</v>
      </c>
      <c r="L69" s="72">
        <v>0.95514321384059864</v>
      </c>
      <c r="M69" s="57">
        <v>0.94271528473890709</v>
      </c>
      <c r="N69" s="57">
        <v>0.93215153323993705</v>
      </c>
    </row>
    <row r="70" spans="1:14" ht="12.75" customHeight="1" x14ac:dyDescent="0.2">
      <c r="A70" s="56" t="s">
        <v>343</v>
      </c>
      <c r="B70" s="79">
        <v>0.68934966997040314</v>
      </c>
      <c r="C70" s="57">
        <v>0.73441894211126701</v>
      </c>
      <c r="D70" s="57">
        <v>0.72409651203521808</v>
      </c>
      <c r="E70" s="57">
        <v>0.77684598491211654</v>
      </c>
      <c r="F70" s="57">
        <v>0.79210254320556761</v>
      </c>
      <c r="G70" s="78">
        <v>0.79151945174439753</v>
      </c>
      <c r="H70" s="57">
        <v>0.78426310959795609</v>
      </c>
      <c r="I70" s="57">
        <v>0.82353836199116381</v>
      </c>
      <c r="J70" s="57">
        <v>0.85260066481494179</v>
      </c>
      <c r="K70" s="77">
        <v>0.91185383598540459</v>
      </c>
      <c r="L70" s="72">
        <v>0.93398766200953676</v>
      </c>
      <c r="M70" s="57">
        <v>0.95224375625593338</v>
      </c>
      <c r="N70" s="57">
        <v>0.95914460653697764</v>
      </c>
    </row>
    <row r="71" spans="1:14" ht="12.75" customHeight="1" x14ac:dyDescent="0.2">
      <c r="A71" s="56" t="s">
        <v>7089</v>
      </c>
      <c r="B71" s="79">
        <v>0.67900584712740952</v>
      </c>
      <c r="C71" s="57">
        <v>0.71838490875441052</v>
      </c>
      <c r="D71" s="57">
        <v>0.66575216101662404</v>
      </c>
      <c r="E71" s="57">
        <v>0.67909107155531834</v>
      </c>
      <c r="F71" s="57">
        <v>0.71715870345872734</v>
      </c>
      <c r="G71" s="78">
        <v>0.7487568784879246</v>
      </c>
      <c r="H71" s="57">
        <v>0.78992229639702061</v>
      </c>
      <c r="I71" s="57">
        <v>0.79993680747478912</v>
      </c>
      <c r="J71" s="57">
        <v>0.80777106101501828</v>
      </c>
      <c r="K71" s="77">
        <v>0.85343617832002527</v>
      </c>
      <c r="L71" s="72">
        <v>0.84728864677384208</v>
      </c>
      <c r="M71" s="57">
        <v>0.86858749512227151</v>
      </c>
      <c r="N71" s="57">
        <v>0.90466753563116364</v>
      </c>
    </row>
    <row r="72" spans="1:14" ht="12.75" customHeight="1" x14ac:dyDescent="0.2">
      <c r="A72" s="56" t="s">
        <v>142</v>
      </c>
      <c r="B72" s="79">
        <v>0.71266121888981115</v>
      </c>
      <c r="C72" s="57">
        <v>0.8078702419489785</v>
      </c>
      <c r="D72" s="57">
        <v>0.79944269870707829</v>
      </c>
      <c r="E72" s="57">
        <v>0.78376958620218506</v>
      </c>
      <c r="F72" s="57">
        <v>0.81361859167979056</v>
      </c>
      <c r="G72" s="78">
        <v>0.81559993911079942</v>
      </c>
      <c r="H72" s="57">
        <v>0.82642933833879284</v>
      </c>
      <c r="I72" s="57">
        <v>0.85870115653091361</v>
      </c>
      <c r="J72" s="57">
        <v>0.86298964420103763</v>
      </c>
      <c r="K72" s="77">
        <v>0.91831548058587908</v>
      </c>
      <c r="L72" s="72">
        <v>0.91599451345921756</v>
      </c>
      <c r="M72" s="57">
        <v>0.90104646538409983</v>
      </c>
      <c r="N72" s="57">
        <v>0.89378367549844773</v>
      </c>
    </row>
    <row r="73" spans="1:14" ht="12.75" customHeight="1" x14ac:dyDescent="0.2">
      <c r="A73" s="56" t="s">
        <v>331</v>
      </c>
      <c r="B73" s="79">
        <v>0.71959434992852422</v>
      </c>
      <c r="C73" s="57">
        <v>0.7843818158746646</v>
      </c>
      <c r="D73" s="57">
        <v>0.78239365674130279</v>
      </c>
      <c r="E73" s="57">
        <v>0.80088744112173438</v>
      </c>
      <c r="F73" s="57">
        <v>0.82155605367734008</v>
      </c>
      <c r="G73" s="78">
        <v>0.85466055018484988</v>
      </c>
      <c r="H73" s="57">
        <v>0.86380981281823765</v>
      </c>
      <c r="I73" s="57">
        <v>0.8847724393334947</v>
      </c>
      <c r="J73" s="57">
        <v>0.8972638501089768</v>
      </c>
      <c r="K73" s="77">
        <v>0.92068372701961743</v>
      </c>
      <c r="L73" s="72">
        <v>0.91081448039775226</v>
      </c>
      <c r="M73" s="57">
        <v>0.93232831503661717</v>
      </c>
      <c r="N73" s="57">
        <v>0.93458475832175225</v>
      </c>
    </row>
    <row r="74" spans="1:14" ht="12.75" customHeight="1" x14ac:dyDescent="0.2">
      <c r="A74" s="56" t="s">
        <v>35</v>
      </c>
      <c r="B74" s="79">
        <v>0.6941116975641769</v>
      </c>
      <c r="C74" s="57">
        <v>0.69612378034127298</v>
      </c>
      <c r="D74" s="57">
        <v>0.69911905416662878</v>
      </c>
      <c r="E74" s="57">
        <v>0.70501942189551725</v>
      </c>
      <c r="F74" s="57">
        <v>0.71202870846010546</v>
      </c>
      <c r="G74" s="78">
        <v>0.75653378099080582</v>
      </c>
      <c r="H74" s="57">
        <v>0.78842564392332859</v>
      </c>
      <c r="I74" s="57">
        <v>0.80811164841801419</v>
      </c>
      <c r="J74" s="57">
        <v>0.81957509064442668</v>
      </c>
      <c r="K74" s="77">
        <v>0.87136956737075577</v>
      </c>
      <c r="L74" s="72">
        <v>0.88724115442200557</v>
      </c>
      <c r="M74" s="57">
        <v>0.88128831801193497</v>
      </c>
      <c r="N74" s="57">
        <v>0.90495335774783436</v>
      </c>
    </row>
    <row r="75" spans="1:14" ht="12.75" customHeight="1" x14ac:dyDescent="0.2">
      <c r="A75" s="56" t="s">
        <v>344</v>
      </c>
      <c r="B75" s="79">
        <v>0.71719103078431246</v>
      </c>
      <c r="C75" s="57">
        <v>0.59004824813785794</v>
      </c>
      <c r="D75" s="57">
        <v>0.52252052434329055</v>
      </c>
      <c r="E75" s="57">
        <v>0.63196679661735122</v>
      </c>
      <c r="F75" s="57">
        <v>0.62731441554188572</v>
      </c>
      <c r="G75" s="78">
        <v>0.67991294702750193</v>
      </c>
      <c r="H75" s="57">
        <v>0.68904249169749754</v>
      </c>
      <c r="I75" s="57">
        <v>0.74930298654633143</v>
      </c>
      <c r="J75" s="57">
        <v>0.77998393565037416</v>
      </c>
      <c r="K75" s="77">
        <v>0.82828019885136173</v>
      </c>
      <c r="L75" s="72">
        <v>0.85224926129281497</v>
      </c>
      <c r="M75" s="57">
        <v>0.81599767528361589</v>
      </c>
      <c r="N75" s="57">
        <v>0.82507624659852885</v>
      </c>
    </row>
    <row r="76" spans="1:14" ht="12.75" customHeight="1" x14ac:dyDescent="0.2">
      <c r="A76" s="56" t="s">
        <v>90</v>
      </c>
      <c r="B76" s="79">
        <v>0.45412252902409167</v>
      </c>
      <c r="C76" s="57">
        <v>0.47892585786521924</v>
      </c>
      <c r="D76" s="57">
        <v>0.48781966441164742</v>
      </c>
      <c r="E76" s="57">
        <v>0.5468298689596367</v>
      </c>
      <c r="F76" s="57">
        <v>0.57327783467329652</v>
      </c>
      <c r="G76" s="78">
        <v>0.5239351567119741</v>
      </c>
      <c r="H76" s="57">
        <v>0.64478531648632254</v>
      </c>
      <c r="I76" s="57">
        <v>0.74586130763998748</v>
      </c>
      <c r="J76" s="57">
        <v>0.78741012669212573</v>
      </c>
      <c r="K76" s="77">
        <v>0.85337444973032661</v>
      </c>
      <c r="L76" s="72">
        <v>0.85575953231837987</v>
      </c>
      <c r="M76" s="57">
        <v>0.90454009687477577</v>
      </c>
      <c r="N76" s="57">
        <v>0.91626315413168558</v>
      </c>
    </row>
    <row r="77" spans="1:14" ht="12.75" customHeight="1" x14ac:dyDescent="0.2">
      <c r="A77" s="56" t="s">
        <v>8</v>
      </c>
      <c r="B77" s="79">
        <v>0.22663840424311707</v>
      </c>
      <c r="C77" s="57">
        <v>0.34119792929046994</v>
      </c>
      <c r="D77" s="57">
        <v>0.31933092382662187</v>
      </c>
      <c r="E77" s="57">
        <v>0.31319998571152879</v>
      </c>
      <c r="F77" s="57">
        <v>0.29291552767796314</v>
      </c>
      <c r="G77" s="78">
        <v>0.38040658652762283</v>
      </c>
      <c r="H77" s="57">
        <v>0.38980480118583455</v>
      </c>
      <c r="I77" s="57">
        <v>0.46106768836964379</v>
      </c>
      <c r="J77" s="57">
        <v>0.46936840301735078</v>
      </c>
      <c r="K77" s="77">
        <v>0.60054045111002097</v>
      </c>
      <c r="L77" s="72">
        <v>0.59945663127279336</v>
      </c>
      <c r="M77" s="57">
        <v>0.57421278900123363</v>
      </c>
      <c r="N77" s="57">
        <v>0.62443494693797885</v>
      </c>
    </row>
    <row r="78" spans="1:14" ht="12.75" customHeight="1" x14ac:dyDescent="0.2">
      <c r="A78" s="56" t="s">
        <v>303</v>
      </c>
      <c r="B78" s="79">
        <v>0.83184787619036327</v>
      </c>
      <c r="C78" s="57">
        <v>0.78743501931331927</v>
      </c>
      <c r="D78" s="57">
        <v>0.74390704400828334</v>
      </c>
      <c r="E78" s="57">
        <v>0.82565390157703722</v>
      </c>
      <c r="F78" s="57">
        <v>0.83761096681140756</v>
      </c>
      <c r="G78" s="78">
        <v>0.77807650335526057</v>
      </c>
      <c r="H78" s="57">
        <v>0.78734424034039807</v>
      </c>
      <c r="I78" s="57">
        <v>0.89505696325847695</v>
      </c>
      <c r="J78" s="57">
        <v>0.88676842827444802</v>
      </c>
      <c r="K78" s="77">
        <v>0.91277810085040234</v>
      </c>
      <c r="L78" s="72">
        <v>0.91275777380303058</v>
      </c>
      <c r="M78" s="57">
        <v>0.89852450911196902</v>
      </c>
      <c r="N78" s="57">
        <v>0.92550307329704928</v>
      </c>
    </row>
    <row r="79" spans="1:14" ht="12.75" customHeight="1" x14ac:dyDescent="0.2">
      <c r="A79" s="56" t="s">
        <v>377</v>
      </c>
      <c r="B79" s="79">
        <v>0.7534508582448497</v>
      </c>
      <c r="C79" s="57">
        <v>0.68795773635191615</v>
      </c>
      <c r="D79" s="57">
        <v>0.69503983575975492</v>
      </c>
      <c r="E79" s="57">
        <v>0.8416850911659296</v>
      </c>
      <c r="F79" s="57">
        <v>0.86289107743199689</v>
      </c>
      <c r="G79" s="78">
        <v>0.82546399511068425</v>
      </c>
      <c r="H79" s="57">
        <v>0.82908393662582014</v>
      </c>
      <c r="I79" s="57">
        <v>0.90578346605318671</v>
      </c>
      <c r="J79" s="57">
        <v>0.89687116661104116</v>
      </c>
      <c r="K79" s="77">
        <v>0.90919132175106065</v>
      </c>
      <c r="L79" s="72">
        <v>0.92634049483593339</v>
      </c>
      <c r="M79" s="57">
        <v>0.91773246726651381</v>
      </c>
      <c r="N79" s="57">
        <v>0.9067501844537692</v>
      </c>
    </row>
    <row r="80" spans="1:14" ht="12.75" customHeight="1" x14ac:dyDescent="0.2">
      <c r="A80" s="56" t="s">
        <v>208</v>
      </c>
      <c r="B80" s="79">
        <v>0.73133764343135155</v>
      </c>
      <c r="C80" s="57">
        <v>0.78892856137432321</v>
      </c>
      <c r="D80" s="57">
        <v>0.77816357599822761</v>
      </c>
      <c r="E80" s="57">
        <v>0.8096404468782511</v>
      </c>
      <c r="F80" s="57">
        <v>0.81974314306711304</v>
      </c>
      <c r="G80" s="78">
        <v>0.81506420640582755</v>
      </c>
      <c r="H80" s="57">
        <v>0.83952224622644278</v>
      </c>
      <c r="I80" s="57">
        <v>0.89285528715444329</v>
      </c>
      <c r="J80" s="57">
        <v>0.90162185721173005</v>
      </c>
      <c r="K80" s="77">
        <v>0.94373932646176451</v>
      </c>
      <c r="L80" s="72">
        <v>0.93720156214817174</v>
      </c>
      <c r="M80" s="57">
        <v>0.96416478105604397</v>
      </c>
      <c r="N80" s="57">
        <v>0.94837845207385441</v>
      </c>
    </row>
    <row r="81" spans="1:14" ht="12.75" customHeight="1" x14ac:dyDescent="0.2">
      <c r="A81" s="56" t="s">
        <v>262</v>
      </c>
      <c r="B81" s="79">
        <v>0.69921972755249595</v>
      </c>
      <c r="C81" s="57">
        <v>0.69439920359671092</v>
      </c>
      <c r="D81" s="57">
        <v>0.66144503246181341</v>
      </c>
      <c r="E81" s="57">
        <v>0.69879908977889915</v>
      </c>
      <c r="F81" s="57">
        <v>0.70818361416325737</v>
      </c>
      <c r="G81" s="78">
        <v>0.76486641642088615</v>
      </c>
      <c r="H81" s="57">
        <v>0.73920877555355469</v>
      </c>
      <c r="I81" s="57">
        <v>0.7762230410455484</v>
      </c>
      <c r="J81" s="57">
        <v>0.76347529531494951</v>
      </c>
      <c r="K81" s="77">
        <v>0.88457681220700446</v>
      </c>
      <c r="L81" s="72">
        <v>0.88999033687383866</v>
      </c>
      <c r="M81" s="57">
        <v>0.88723789243092333</v>
      </c>
      <c r="N81" s="57">
        <v>0.90333943059941613</v>
      </c>
    </row>
    <row r="82" spans="1:14" ht="12.75" customHeight="1" x14ac:dyDescent="0.2">
      <c r="A82" s="56" t="s">
        <v>384</v>
      </c>
      <c r="B82" s="79">
        <v>0.38996090251834298</v>
      </c>
      <c r="C82" s="57">
        <v>0.38334692633629103</v>
      </c>
      <c r="D82" s="57">
        <v>0.37954459260431567</v>
      </c>
      <c r="E82" s="57">
        <v>0.48091709340417876</v>
      </c>
      <c r="F82" s="57">
        <v>0.50097402043221917</v>
      </c>
      <c r="G82" s="78">
        <v>0.53891247145185639</v>
      </c>
      <c r="H82" s="57">
        <v>0.61924691964514333</v>
      </c>
      <c r="I82" s="57">
        <v>0.58341610862273585</v>
      </c>
      <c r="J82" s="57">
        <v>0.65888588067482867</v>
      </c>
      <c r="K82" s="77">
        <v>0.76402071749741385</v>
      </c>
      <c r="L82" s="72">
        <v>0.76992503536001233</v>
      </c>
      <c r="M82" s="57">
        <v>0.75858879174547145</v>
      </c>
      <c r="N82" s="57">
        <v>0.80613832879299607</v>
      </c>
    </row>
    <row r="83" spans="1:14" ht="12.75" customHeight="1" x14ac:dyDescent="0.2">
      <c r="A83" s="56" t="s">
        <v>9</v>
      </c>
      <c r="B83" s="79">
        <v>0.56182708891106869</v>
      </c>
      <c r="C83" s="57">
        <v>0.59348034627206481</v>
      </c>
      <c r="D83" s="57">
        <v>0.57421821668259121</v>
      </c>
      <c r="E83" s="57">
        <v>0.60759023753118868</v>
      </c>
      <c r="F83" s="57">
        <v>0.60368530641739993</v>
      </c>
      <c r="G83" s="78">
        <v>0.66212239180639598</v>
      </c>
      <c r="H83" s="57">
        <v>0.67906926074229101</v>
      </c>
      <c r="I83" s="57">
        <v>0.71034078867868233</v>
      </c>
      <c r="J83" s="57">
        <v>0.71842215749853666</v>
      </c>
      <c r="K83" s="77">
        <v>0.79278574290568238</v>
      </c>
      <c r="L83" s="72">
        <v>0.77566354196404008</v>
      </c>
      <c r="M83" s="57">
        <v>0.80570181497910032</v>
      </c>
      <c r="N83" s="57">
        <v>0.86446830256932861</v>
      </c>
    </row>
    <row r="84" spans="1:14" ht="12.75" customHeight="1" x14ac:dyDescent="0.2">
      <c r="A84" s="56" t="s">
        <v>188</v>
      </c>
      <c r="B84" s="79">
        <v>0.62648331877123775</v>
      </c>
      <c r="C84" s="57">
        <v>0.69053024944203856</v>
      </c>
      <c r="D84" s="57">
        <v>0.66474416467781949</v>
      </c>
      <c r="E84" s="57">
        <v>0.67053142131363619</v>
      </c>
      <c r="F84" s="57">
        <v>0.65941879639058032</v>
      </c>
      <c r="G84" s="78">
        <v>0.69451388645395806</v>
      </c>
      <c r="H84" s="57">
        <v>0.74170982413752451</v>
      </c>
      <c r="I84" s="57">
        <v>0.81356425796855791</v>
      </c>
      <c r="J84" s="57">
        <v>0.8207717108056527</v>
      </c>
      <c r="K84" s="77">
        <v>0.87575062980643648</v>
      </c>
      <c r="L84" s="72">
        <v>0.8726528704608485</v>
      </c>
      <c r="M84" s="57">
        <v>0.90135767720482418</v>
      </c>
      <c r="N84" s="57">
        <v>0.88757281104975627</v>
      </c>
    </row>
    <row r="85" spans="1:14" ht="12.75" customHeight="1" x14ac:dyDescent="0.2">
      <c r="A85" s="56" t="s">
        <v>116</v>
      </c>
      <c r="B85" s="79">
        <v>0.58916498030928288</v>
      </c>
      <c r="C85" s="57">
        <v>0.55188831482564116</v>
      </c>
      <c r="D85" s="57">
        <v>0.48984877947541955</v>
      </c>
      <c r="E85" s="57">
        <v>0.56051415267764948</v>
      </c>
      <c r="F85" s="57">
        <v>0.56756620984707262</v>
      </c>
      <c r="G85" s="78">
        <v>0.69921228856101569</v>
      </c>
      <c r="H85" s="57">
        <v>0.6832559380790606</v>
      </c>
      <c r="I85" s="57">
        <v>0.71206211724665636</v>
      </c>
      <c r="J85" s="57">
        <v>0.72653619757968491</v>
      </c>
      <c r="K85" s="77">
        <v>0.80781520507460991</v>
      </c>
      <c r="L85" s="72">
        <v>0.7955443040109349</v>
      </c>
      <c r="M85" s="57">
        <v>0.71300106078220105</v>
      </c>
      <c r="N85" s="57">
        <v>0.75315215841734651</v>
      </c>
    </row>
    <row r="86" spans="1:14" ht="12.75" customHeight="1" x14ac:dyDescent="0.2">
      <c r="A86" s="56" t="s">
        <v>133</v>
      </c>
      <c r="B86" s="79">
        <v>0.5268959756265047</v>
      </c>
      <c r="C86" s="57">
        <v>0.69584959092458998</v>
      </c>
      <c r="D86" s="57">
        <v>0.64082279511873119</v>
      </c>
      <c r="E86" s="57">
        <v>0.68192744813438766</v>
      </c>
      <c r="F86" s="57">
        <v>0.61306864420674478</v>
      </c>
      <c r="G86" s="78">
        <v>0.70596388377443176</v>
      </c>
      <c r="H86" s="57">
        <v>0.68709487441550832</v>
      </c>
      <c r="I86" s="57">
        <v>0.69688045137847565</v>
      </c>
      <c r="J86" s="57">
        <v>0.73648409230186984</v>
      </c>
      <c r="K86" s="77">
        <v>0.85207219620578933</v>
      </c>
      <c r="L86" s="72">
        <v>0.84931736124514856</v>
      </c>
      <c r="M86" s="57">
        <v>0.90086398178496585</v>
      </c>
      <c r="N86" s="57">
        <v>0.91324770838417457</v>
      </c>
    </row>
    <row r="87" spans="1:14" ht="12.75" customHeight="1" x14ac:dyDescent="0.2">
      <c r="A87" s="56" t="s">
        <v>408</v>
      </c>
      <c r="B87" s="79">
        <v>0.60648357250003193</v>
      </c>
      <c r="C87" s="57">
        <v>0.64247816725976359</v>
      </c>
      <c r="D87" s="57">
        <v>0.54371887608818015</v>
      </c>
      <c r="E87" s="57">
        <v>0.60552744514507328</v>
      </c>
      <c r="F87" s="57">
        <v>0.67634140901589102</v>
      </c>
      <c r="G87" s="78">
        <v>0.65373519774601263</v>
      </c>
      <c r="H87" s="57">
        <v>0.72831175533375714</v>
      </c>
      <c r="I87" s="57">
        <v>0.75546239259318981</v>
      </c>
      <c r="J87" s="57">
        <v>0.79811824275414323</v>
      </c>
      <c r="K87" s="77">
        <v>0.86532576459758193</v>
      </c>
      <c r="L87" s="72">
        <v>0.80244817071320129</v>
      </c>
      <c r="M87" s="57">
        <v>0.84082046465316418</v>
      </c>
      <c r="N87" s="57">
        <v>0.81990978142258764</v>
      </c>
    </row>
    <row r="88" spans="1:14" ht="12.75" customHeight="1" x14ac:dyDescent="0.2">
      <c r="A88" s="56" t="s">
        <v>332</v>
      </c>
      <c r="B88" s="79">
        <v>0.79033598363548085</v>
      </c>
      <c r="C88" s="57">
        <v>0.76507785656723803</v>
      </c>
      <c r="D88" s="57">
        <v>0.76946938872278703</v>
      </c>
      <c r="E88" s="57">
        <v>0.81687840674743339</v>
      </c>
      <c r="F88" s="57">
        <v>0.83860236578287672</v>
      </c>
      <c r="G88" s="78">
        <v>0.82714837159892862</v>
      </c>
      <c r="H88" s="57">
        <v>0.85339018503641262</v>
      </c>
      <c r="I88" s="57">
        <v>0.90230663239276299</v>
      </c>
      <c r="J88" s="57">
        <v>0.91804092795101322</v>
      </c>
      <c r="K88" s="77">
        <v>0.90985460444681854</v>
      </c>
      <c r="L88" s="72">
        <v>0.91145447131397916</v>
      </c>
      <c r="M88" s="57">
        <v>0.88790823035685273</v>
      </c>
      <c r="N88" s="57">
        <v>0.8949132499303899</v>
      </c>
    </row>
    <row r="89" spans="1:14" ht="12.75" customHeight="1" x14ac:dyDescent="0.2">
      <c r="A89" s="56" t="s">
        <v>117</v>
      </c>
      <c r="B89" s="79">
        <v>0.6514684896008035</v>
      </c>
      <c r="C89" s="57">
        <v>0.69772442463275597</v>
      </c>
      <c r="D89" s="57">
        <v>0.71931969501398241</v>
      </c>
      <c r="E89" s="57">
        <v>0.74807996531126852</v>
      </c>
      <c r="F89" s="57">
        <v>0.74032939925014685</v>
      </c>
      <c r="G89" s="78">
        <v>0.7799502743467025</v>
      </c>
      <c r="H89" s="57">
        <v>0.78417315164080648</v>
      </c>
      <c r="I89" s="57">
        <v>0.81095181860626697</v>
      </c>
      <c r="J89" s="57">
        <v>0.8086542982185958</v>
      </c>
      <c r="K89" s="77">
        <v>0.89181463112858161</v>
      </c>
      <c r="L89" s="72">
        <v>0.8996984777769359</v>
      </c>
      <c r="M89" s="57">
        <v>0.86513187324549068</v>
      </c>
      <c r="N89" s="57">
        <v>0.89036372078562143</v>
      </c>
    </row>
    <row r="90" spans="1:14" ht="12.75" customHeight="1" x14ac:dyDescent="0.2">
      <c r="A90" s="56" t="s">
        <v>385</v>
      </c>
      <c r="B90" s="79">
        <v>0.34081322465919278</v>
      </c>
      <c r="C90" s="57">
        <v>0.44900758550390052</v>
      </c>
      <c r="D90" s="57">
        <v>0.46643078431353407</v>
      </c>
      <c r="E90" s="57">
        <v>0.37166849354319942</v>
      </c>
      <c r="F90" s="57">
        <v>0.44384262850420308</v>
      </c>
      <c r="G90" s="78">
        <v>0.40113065911124385</v>
      </c>
      <c r="H90" s="57">
        <v>0.53651649683262137</v>
      </c>
      <c r="I90" s="57">
        <v>0.57645724407810484</v>
      </c>
      <c r="J90" s="57">
        <v>0.62267970081413859</v>
      </c>
      <c r="K90" s="77">
        <v>0.62534257099906709</v>
      </c>
      <c r="L90" s="72">
        <v>0.66009865229317555</v>
      </c>
      <c r="M90" s="57">
        <v>0.62868879231771424</v>
      </c>
      <c r="N90" s="57">
        <v>0.73261911711072691</v>
      </c>
    </row>
    <row r="91" spans="1:14" ht="12.75" customHeight="1" x14ac:dyDescent="0.2">
      <c r="A91" s="56" t="s">
        <v>378</v>
      </c>
      <c r="B91" s="79">
        <v>0.62497923457351845</v>
      </c>
      <c r="C91" s="57">
        <v>0.71562677921288187</v>
      </c>
      <c r="D91" s="57">
        <v>0.7342894643617528</v>
      </c>
      <c r="E91" s="57">
        <v>0.74999004530018576</v>
      </c>
      <c r="F91" s="57">
        <v>0.76248662567319292</v>
      </c>
      <c r="G91" s="78">
        <v>0.8332781003209051</v>
      </c>
      <c r="H91" s="57">
        <v>0.86689146557202179</v>
      </c>
      <c r="I91" s="57">
        <v>0.87269457183074695</v>
      </c>
      <c r="J91" s="57">
        <v>0.91325479805354015</v>
      </c>
      <c r="K91" s="77">
        <v>0.92882815431463606</v>
      </c>
      <c r="L91" s="72">
        <v>0.94682516744351208</v>
      </c>
      <c r="M91" s="57">
        <v>0.94185389410695231</v>
      </c>
      <c r="N91" s="57">
        <v>0.90773136789345221</v>
      </c>
    </row>
    <row r="92" spans="1:14" ht="12.75" customHeight="1" x14ac:dyDescent="0.2">
      <c r="A92" s="56" t="s">
        <v>198</v>
      </c>
      <c r="B92" s="79">
        <v>0.55561730257113218</v>
      </c>
      <c r="C92" s="57">
        <v>0.69923502857725828</v>
      </c>
      <c r="D92" s="57">
        <v>0.72282246013553431</v>
      </c>
      <c r="E92" s="57">
        <v>0.74967490439892914</v>
      </c>
      <c r="F92" s="57">
        <v>0.75431731843759708</v>
      </c>
      <c r="G92" s="78">
        <v>0.7568344105200413</v>
      </c>
      <c r="H92" s="57">
        <v>0.73787328757091508</v>
      </c>
      <c r="I92" s="57">
        <v>0.86507186171980088</v>
      </c>
      <c r="J92" s="57">
        <v>0.85550441565807966</v>
      </c>
      <c r="K92" s="77">
        <v>0.88898477762411365</v>
      </c>
      <c r="L92" s="72">
        <v>0.87925975718433003</v>
      </c>
      <c r="M92" s="57">
        <v>0.85251873447263582</v>
      </c>
      <c r="N92" s="57">
        <v>0.87700109250842162</v>
      </c>
    </row>
    <row r="93" spans="1:14" ht="12.75" customHeight="1" x14ac:dyDescent="0.2">
      <c r="A93" s="56" t="s">
        <v>28</v>
      </c>
      <c r="B93" s="79">
        <v>0.51905143167124623</v>
      </c>
      <c r="C93" s="57">
        <v>0.60129594523033447</v>
      </c>
      <c r="D93" s="57">
        <v>0.61941071908884715</v>
      </c>
      <c r="E93" s="57">
        <v>0.63828804712529719</v>
      </c>
      <c r="F93" s="57">
        <v>0.65864559606924689</v>
      </c>
      <c r="G93" s="78">
        <v>0.71524362573390454</v>
      </c>
      <c r="H93" s="57">
        <v>0.70664312524814565</v>
      </c>
      <c r="I93" s="57">
        <v>0.75829290862634591</v>
      </c>
      <c r="J93" s="57">
        <v>0.76187512928756385</v>
      </c>
      <c r="K93" s="77">
        <v>0.83941229346938839</v>
      </c>
      <c r="L93" s="72">
        <v>0.84346270465052275</v>
      </c>
      <c r="M93" s="57">
        <v>0.8354443316326482</v>
      </c>
      <c r="N93" s="57">
        <v>0.90011115039892164</v>
      </c>
    </row>
    <row r="94" spans="1:14" ht="12.75" customHeight="1" x14ac:dyDescent="0.2">
      <c r="A94" s="56" t="s">
        <v>352</v>
      </c>
      <c r="B94" s="79">
        <v>0.78834884882684808</v>
      </c>
      <c r="C94" s="57">
        <v>0.83938487754923308</v>
      </c>
      <c r="D94" s="57">
        <v>0.81430712966594943</v>
      </c>
      <c r="E94" s="57">
        <v>0.77295890785433208</v>
      </c>
      <c r="F94" s="57">
        <v>0.77953059642225397</v>
      </c>
      <c r="G94" s="78">
        <v>0.83984858126669426</v>
      </c>
      <c r="H94" s="57">
        <v>0.83291460370107229</v>
      </c>
      <c r="I94" s="57">
        <v>0.8545787900333458</v>
      </c>
      <c r="J94" s="57">
        <v>0.88545127557976044</v>
      </c>
      <c r="K94" s="77">
        <v>0.91032860195334919</v>
      </c>
      <c r="L94" s="72">
        <v>0.9168297239915657</v>
      </c>
      <c r="M94" s="57">
        <v>0.94273326567888804</v>
      </c>
      <c r="N94" s="57">
        <v>0.9256776789977017</v>
      </c>
    </row>
    <row r="95" spans="1:14" ht="12.75" customHeight="1" x14ac:dyDescent="0.2">
      <c r="A95" s="56" t="s">
        <v>240</v>
      </c>
      <c r="B95" s="79">
        <v>0.76093621927959609</v>
      </c>
      <c r="C95" s="57">
        <v>0.83463723477812135</v>
      </c>
      <c r="D95" s="57">
        <v>0.8256888405666869</v>
      </c>
      <c r="E95" s="57">
        <v>0.83908882227833648</v>
      </c>
      <c r="F95" s="57">
        <v>0.88094782525684645</v>
      </c>
      <c r="G95" s="78">
        <v>0.90670220730392903</v>
      </c>
      <c r="H95" s="57">
        <v>0.90948915675270892</v>
      </c>
      <c r="I95" s="57">
        <v>0.92093911453478783</v>
      </c>
      <c r="J95" s="57">
        <v>0.92168290522364993</v>
      </c>
      <c r="K95" s="77">
        <v>0.90679367016251866</v>
      </c>
      <c r="L95" s="72">
        <v>0.91730759837481801</v>
      </c>
      <c r="M95" s="57">
        <v>0.94863394380145538</v>
      </c>
      <c r="N95" s="57">
        <v>0.932847964977359</v>
      </c>
    </row>
    <row r="96" spans="1:14" ht="12.75" customHeight="1" x14ac:dyDescent="0.2">
      <c r="A96" s="56" t="s">
        <v>226</v>
      </c>
      <c r="B96" s="79">
        <v>0.64672550787576955</v>
      </c>
      <c r="C96" s="57">
        <v>0.70061781168158399</v>
      </c>
      <c r="D96" s="57">
        <v>0.70407616236016757</v>
      </c>
      <c r="E96" s="57">
        <v>0.74984910409106453</v>
      </c>
      <c r="F96" s="57">
        <v>0.72821660001427513</v>
      </c>
      <c r="G96" s="78">
        <v>0.734203291942925</v>
      </c>
      <c r="H96" s="57">
        <v>0.71081621854065469</v>
      </c>
      <c r="I96" s="57">
        <v>0.7647682316230825</v>
      </c>
      <c r="J96" s="57">
        <v>0.79322467171717848</v>
      </c>
      <c r="K96" s="77">
        <v>0.86633398849069732</v>
      </c>
      <c r="L96" s="72">
        <v>0.87975096775452211</v>
      </c>
      <c r="M96" s="57">
        <v>0.84262901685479041</v>
      </c>
      <c r="N96" s="57">
        <v>0.89759146519452004</v>
      </c>
    </row>
    <row r="97" spans="1:14" ht="12.75" customHeight="1" x14ac:dyDescent="0.2">
      <c r="A97" s="56" t="s">
        <v>154</v>
      </c>
      <c r="B97" s="79">
        <v>0.53426554226376921</v>
      </c>
      <c r="C97" s="57">
        <v>0.69011450129697172</v>
      </c>
      <c r="D97" s="57">
        <v>0.71679012836463996</v>
      </c>
      <c r="E97" s="57">
        <v>0.71617228723373716</v>
      </c>
      <c r="F97" s="57">
        <v>0.71224213390984037</v>
      </c>
      <c r="G97" s="78">
        <v>0.71776855098489434</v>
      </c>
      <c r="H97" s="57">
        <v>0.69945574556401602</v>
      </c>
      <c r="I97" s="57">
        <v>0.84318510298409477</v>
      </c>
      <c r="J97" s="57">
        <v>0.84973042209666139</v>
      </c>
      <c r="K97" s="77">
        <v>0.91865496235364397</v>
      </c>
      <c r="L97" s="72">
        <v>0.91973750251121489</v>
      </c>
      <c r="M97" s="57">
        <v>0.87002576989943958</v>
      </c>
      <c r="N97" s="57">
        <v>0.8699306238595268</v>
      </c>
    </row>
    <row r="98" spans="1:14" ht="12.75" customHeight="1" x14ac:dyDescent="0.2">
      <c r="A98" s="56" t="s">
        <v>10</v>
      </c>
      <c r="B98" s="79">
        <v>0.73580815888210738</v>
      </c>
      <c r="C98" s="57">
        <v>0.77334745249584269</v>
      </c>
      <c r="D98" s="57">
        <v>0.76795755333823845</v>
      </c>
      <c r="E98" s="57">
        <v>0.78312680616076735</v>
      </c>
      <c r="F98" s="57">
        <v>0.79852289876920302</v>
      </c>
      <c r="G98" s="78">
        <v>0.83472026535211363</v>
      </c>
      <c r="H98" s="57">
        <v>0.85252085097672936</v>
      </c>
      <c r="I98" s="57">
        <v>0.86062241986431287</v>
      </c>
      <c r="J98" s="57">
        <v>0.8705176537103726</v>
      </c>
      <c r="K98" s="77">
        <v>0.8881221179612746</v>
      </c>
      <c r="L98" s="72">
        <v>0.88753339541461995</v>
      </c>
      <c r="M98" s="57">
        <v>0.91119194976208018</v>
      </c>
      <c r="N98" s="57">
        <v>0.94831594388123219</v>
      </c>
    </row>
    <row r="99" spans="1:14" ht="12.75" customHeight="1" x14ac:dyDescent="0.2">
      <c r="A99" s="56" t="s">
        <v>47</v>
      </c>
      <c r="B99" s="79">
        <v>0.40046114297386354</v>
      </c>
      <c r="C99" s="57">
        <v>0.56148970710338075</v>
      </c>
      <c r="D99" s="57">
        <v>0.45646654469573994</v>
      </c>
      <c r="E99" s="57">
        <v>0.58508093787668425</v>
      </c>
      <c r="F99" s="57">
        <v>0.61329214844826974</v>
      </c>
      <c r="G99" s="78">
        <v>0.59791846400943671</v>
      </c>
      <c r="H99" s="57">
        <v>0.61114604838529973</v>
      </c>
      <c r="I99" s="57">
        <v>0.71033515504968692</v>
      </c>
      <c r="J99" s="57">
        <v>0.72210176431089179</v>
      </c>
      <c r="K99" s="77">
        <v>0.76099533737812941</v>
      </c>
      <c r="L99" s="72">
        <v>0.75345645339009049</v>
      </c>
      <c r="M99" s="57">
        <v>0.77013080879373086</v>
      </c>
      <c r="N99" s="57">
        <v>0.83335022701027894</v>
      </c>
    </row>
    <row r="100" spans="1:14" ht="12.75" customHeight="1" x14ac:dyDescent="0.2">
      <c r="A100" s="56" t="s">
        <v>286</v>
      </c>
      <c r="B100" s="79">
        <v>0.76843960395738964</v>
      </c>
      <c r="C100" s="57">
        <v>0.75900577036513872</v>
      </c>
      <c r="D100" s="57">
        <v>0.71024764319007316</v>
      </c>
      <c r="E100" s="57">
        <v>0.80121633453330143</v>
      </c>
      <c r="F100" s="57">
        <v>0.80092825672883738</v>
      </c>
      <c r="G100" s="78">
        <v>0.83917989409491478</v>
      </c>
      <c r="H100" s="57">
        <v>0.82799722837894441</v>
      </c>
      <c r="I100" s="57">
        <v>0.87061231985930121</v>
      </c>
      <c r="J100" s="57">
        <v>0.89483955138210891</v>
      </c>
      <c r="K100" s="77">
        <v>0.93012715974493432</v>
      </c>
      <c r="L100" s="72">
        <v>0.94464118592278012</v>
      </c>
      <c r="M100" s="57">
        <v>0.88273814744323531</v>
      </c>
      <c r="N100" s="57">
        <v>0.8967227466429073</v>
      </c>
    </row>
    <row r="101" spans="1:14" ht="12.75" customHeight="1" x14ac:dyDescent="0.2">
      <c r="A101" s="56" t="s">
        <v>304</v>
      </c>
      <c r="B101" s="79">
        <v>0.44345484655606471</v>
      </c>
      <c r="C101" s="57">
        <v>0.50607726093189132</v>
      </c>
      <c r="D101" s="57">
        <v>0.47669510791699804</v>
      </c>
      <c r="E101" s="57">
        <v>0.60103340080874879</v>
      </c>
      <c r="F101" s="57">
        <v>0.59538894713720802</v>
      </c>
      <c r="G101" s="78">
        <v>0.60426489758811341</v>
      </c>
      <c r="H101" s="57">
        <v>0.63064832934684845</v>
      </c>
      <c r="I101" s="57">
        <v>0.71007456135119362</v>
      </c>
      <c r="J101" s="57">
        <v>0.77606031703250167</v>
      </c>
      <c r="K101" s="77">
        <v>0.83907473288400558</v>
      </c>
      <c r="L101" s="72">
        <v>0.82333358971885739</v>
      </c>
      <c r="M101" s="57">
        <v>0.82840417639175712</v>
      </c>
      <c r="N101" s="57">
        <v>0.85807479075036719</v>
      </c>
    </row>
    <row r="102" spans="1:14" ht="12.75" customHeight="1" x14ac:dyDescent="0.2">
      <c r="A102" s="56" t="s">
        <v>480</v>
      </c>
      <c r="B102" s="79">
        <v>0.50207919952333335</v>
      </c>
      <c r="C102" s="57">
        <v>0.53855565564838492</v>
      </c>
      <c r="D102" s="57">
        <v>0.51872119560629637</v>
      </c>
      <c r="E102" s="57">
        <v>0.58347874843538172</v>
      </c>
      <c r="F102" s="57">
        <v>0.55647502292259865</v>
      </c>
      <c r="G102" s="78">
        <v>0.64668472277346567</v>
      </c>
      <c r="H102" s="57">
        <v>0.64285379402863974</v>
      </c>
      <c r="I102" s="57">
        <v>0.67022083806302846</v>
      </c>
      <c r="J102" s="57">
        <v>0.76129450465263149</v>
      </c>
      <c r="K102" s="77">
        <v>0.82612790675985037</v>
      </c>
      <c r="L102" s="72">
        <v>0.84054665895157488</v>
      </c>
      <c r="M102" s="57">
        <v>0.77134892203511995</v>
      </c>
      <c r="N102" s="57">
        <v>0.83682464702954584</v>
      </c>
    </row>
    <row r="103" spans="1:14" ht="12.75" customHeight="1" x14ac:dyDescent="0.2">
      <c r="A103" s="56" t="s">
        <v>353</v>
      </c>
      <c r="B103" s="79">
        <v>0.77082773020259454</v>
      </c>
      <c r="C103" s="57">
        <v>0.83587463922498284</v>
      </c>
      <c r="D103" s="57">
        <v>0.80853259581117964</v>
      </c>
      <c r="E103" s="57">
        <v>0.84117574939265793</v>
      </c>
      <c r="F103" s="57">
        <v>0.86664996680674389</v>
      </c>
      <c r="G103" s="78">
        <v>0.89699165566734806</v>
      </c>
      <c r="H103" s="57">
        <v>0.8994478601353787</v>
      </c>
      <c r="I103" s="57">
        <v>0.93327310166987054</v>
      </c>
      <c r="J103" s="57">
        <v>0.94893712149152665</v>
      </c>
      <c r="K103" s="77">
        <v>0.9709114955860817</v>
      </c>
      <c r="L103" s="72">
        <v>0.97116896938558828</v>
      </c>
      <c r="M103" s="57">
        <v>0.97526695314635148</v>
      </c>
      <c r="N103" s="57">
        <v>0.9664114635378962</v>
      </c>
    </row>
    <row r="104" spans="1:14" ht="12.75" customHeight="1" x14ac:dyDescent="0.2">
      <c r="A104" s="56" t="s">
        <v>298</v>
      </c>
      <c r="B104" s="79">
        <v>0.71406015301895187</v>
      </c>
      <c r="C104" s="57">
        <v>0.80187678687407904</v>
      </c>
      <c r="D104" s="57">
        <v>0.7976892523382082</v>
      </c>
      <c r="E104" s="57">
        <v>0.78344909295859466</v>
      </c>
      <c r="F104" s="57">
        <v>0.8271022316191613</v>
      </c>
      <c r="G104" s="78">
        <v>0.85168080723849326</v>
      </c>
      <c r="H104" s="57">
        <v>0.8656274703592044</v>
      </c>
      <c r="I104" s="57">
        <v>0.89926606168823453</v>
      </c>
      <c r="J104" s="57">
        <v>0.88765066972812945</v>
      </c>
      <c r="K104" s="77">
        <v>0.97911002091801425</v>
      </c>
      <c r="L104" s="72">
        <v>0.97085240029655184</v>
      </c>
      <c r="M104" s="57">
        <v>0.95887515656962496</v>
      </c>
      <c r="N104" s="57">
        <v>0.95918714138900218</v>
      </c>
    </row>
    <row r="105" spans="1:14" ht="12.75" customHeight="1" x14ac:dyDescent="0.2">
      <c r="A105" s="56" t="s">
        <v>209</v>
      </c>
      <c r="B105" s="79">
        <v>0.87214738470749675</v>
      </c>
      <c r="C105" s="57">
        <v>0.87803255913211342</v>
      </c>
      <c r="D105" s="57">
        <v>0.91353533397647346</v>
      </c>
      <c r="E105" s="57">
        <v>0.89448397177820693</v>
      </c>
      <c r="F105" s="57">
        <v>0.87295303414873648</v>
      </c>
      <c r="G105" s="78">
        <v>0.90051883229456287</v>
      </c>
      <c r="H105" s="57">
        <v>0.83532744723883656</v>
      </c>
      <c r="I105" s="57">
        <v>0.86494697124253572</v>
      </c>
      <c r="J105" s="57">
        <v>0.92433850790714223</v>
      </c>
      <c r="K105" s="77">
        <v>0.94247169343205384</v>
      </c>
      <c r="L105" s="72">
        <v>0.93775206279693368</v>
      </c>
      <c r="M105" s="57">
        <v>0.97781824201982326</v>
      </c>
      <c r="N105" s="57">
        <v>0.97705813535178021</v>
      </c>
    </row>
    <row r="106" spans="1:14" ht="12.75" customHeight="1" x14ac:dyDescent="0.2">
      <c r="A106" s="56" t="s">
        <v>402</v>
      </c>
      <c r="B106" s="79">
        <v>0.29642511376076536</v>
      </c>
      <c r="C106" s="57">
        <v>0.46148471623120502</v>
      </c>
      <c r="D106" s="57">
        <v>0.31658730258960144</v>
      </c>
      <c r="E106" s="57">
        <v>0.38480067747926888</v>
      </c>
      <c r="F106" s="57">
        <v>0.40729479912357403</v>
      </c>
      <c r="G106" s="78">
        <v>0.43565796355298669</v>
      </c>
      <c r="H106" s="57">
        <v>0.42409660590489784</v>
      </c>
      <c r="I106" s="57">
        <v>0.58335633983711832</v>
      </c>
      <c r="J106" s="57">
        <v>0.63076993800917214</v>
      </c>
      <c r="K106" s="77">
        <v>0.66660440324223824</v>
      </c>
      <c r="L106" s="72">
        <v>0.71673553671995582</v>
      </c>
      <c r="M106" s="57">
        <v>0.71067827320011512</v>
      </c>
      <c r="N106" s="57">
        <v>0.71036326645500725</v>
      </c>
    </row>
    <row r="107" spans="1:14" ht="12.75" customHeight="1" x14ac:dyDescent="0.2">
      <c r="A107" s="56" t="s">
        <v>354</v>
      </c>
      <c r="B107" s="79">
        <v>0.78772960590807561</v>
      </c>
      <c r="C107" s="57">
        <v>0.78043310790770382</v>
      </c>
      <c r="D107" s="57">
        <v>0.76775821609859729</v>
      </c>
      <c r="E107" s="57">
        <v>0.74698472127642779</v>
      </c>
      <c r="F107" s="57">
        <v>0.77084661224928686</v>
      </c>
      <c r="G107" s="78">
        <v>0.81184642457377532</v>
      </c>
      <c r="H107" s="57">
        <v>0.8263565968757618</v>
      </c>
      <c r="I107" s="57">
        <v>0.85762033240719504</v>
      </c>
      <c r="J107" s="57">
        <v>0.85594964237581583</v>
      </c>
      <c r="K107" s="77">
        <v>0.87416980380243547</v>
      </c>
      <c r="L107" s="72">
        <v>0.90505215080578161</v>
      </c>
      <c r="M107" s="57">
        <v>0.90236560843873381</v>
      </c>
      <c r="N107" s="57">
        <v>0.90423296375493833</v>
      </c>
    </row>
    <row r="108" spans="1:14" ht="12.75" customHeight="1" x14ac:dyDescent="0.2">
      <c r="A108" s="56" t="s">
        <v>199</v>
      </c>
      <c r="B108" s="79">
        <v>0.79129613281752076</v>
      </c>
      <c r="C108" s="57">
        <v>0.84887409085866294</v>
      </c>
      <c r="D108" s="57">
        <v>0.83987007821744142</v>
      </c>
      <c r="E108" s="57">
        <v>0.7979393238447563</v>
      </c>
      <c r="F108" s="57">
        <v>0.81073274181365906</v>
      </c>
      <c r="G108" s="78">
        <v>0.83632534321307905</v>
      </c>
      <c r="H108" s="57">
        <v>0.83994640803169851</v>
      </c>
      <c r="I108" s="57">
        <v>0.92288594082881914</v>
      </c>
      <c r="J108" s="57">
        <v>0.93147926281991533</v>
      </c>
      <c r="K108" s="77">
        <v>0.94441340173674548</v>
      </c>
      <c r="L108" s="72">
        <v>0.95573995143456725</v>
      </c>
      <c r="M108" s="57">
        <v>0.95198883541166757</v>
      </c>
      <c r="N108" s="57">
        <v>0.96103161426648032</v>
      </c>
    </row>
    <row r="109" spans="1:14" ht="12.75" customHeight="1" x14ac:dyDescent="0.2">
      <c r="A109" s="56" t="s">
        <v>305</v>
      </c>
      <c r="B109" s="79">
        <v>0.86389284907164032</v>
      </c>
      <c r="C109" s="57">
        <v>0.90985995269837461</v>
      </c>
      <c r="D109" s="57">
        <v>0.88037666667063841</v>
      </c>
      <c r="E109" s="57">
        <v>0.89097166040207165</v>
      </c>
      <c r="F109" s="57">
        <v>0.86543139112306189</v>
      </c>
      <c r="G109" s="78">
        <v>0.86270178627026173</v>
      </c>
      <c r="H109" s="57">
        <v>0.91453227386399749</v>
      </c>
      <c r="I109" s="57">
        <v>0.94102320935741257</v>
      </c>
      <c r="J109" s="57">
        <v>0.92479866356992158</v>
      </c>
      <c r="K109" s="77">
        <v>0.98581137130575847</v>
      </c>
      <c r="L109" s="72">
        <v>0.98466462269835553</v>
      </c>
      <c r="M109" s="57">
        <v>0.95937546633924586</v>
      </c>
      <c r="N109" s="57">
        <v>0.97867753395159662</v>
      </c>
    </row>
    <row r="110" spans="1:14" ht="12.75" customHeight="1" x14ac:dyDescent="0.2">
      <c r="A110" s="56" t="s">
        <v>278</v>
      </c>
      <c r="B110" s="79">
        <v>0.77826981364764436</v>
      </c>
      <c r="C110" s="57">
        <v>0.74123879168695506</v>
      </c>
      <c r="D110" s="57">
        <v>0.76948951712947866</v>
      </c>
      <c r="E110" s="57">
        <v>0.90130652142617551</v>
      </c>
      <c r="F110" s="57">
        <v>0.91265681178630431</v>
      </c>
      <c r="G110" s="78">
        <v>0.72411411351079868</v>
      </c>
      <c r="H110" s="57">
        <v>0.6936734936036586</v>
      </c>
      <c r="I110" s="57">
        <v>0.91420213344493095</v>
      </c>
      <c r="J110" s="57">
        <v>0.89751276746584197</v>
      </c>
      <c r="K110" s="77">
        <v>0.93637134647007425</v>
      </c>
      <c r="L110" s="72">
        <v>0.94636712208538554</v>
      </c>
      <c r="M110" s="57">
        <v>0.88821196462084784</v>
      </c>
      <c r="N110" s="57">
        <v>0.90805762785309996</v>
      </c>
    </row>
    <row r="111" spans="1:14" ht="12.75" customHeight="1" x14ac:dyDescent="0.2">
      <c r="A111" s="56" t="s">
        <v>80</v>
      </c>
      <c r="B111" s="79">
        <v>0.50263203517773092</v>
      </c>
      <c r="C111" s="57">
        <v>0.53563854297049163</v>
      </c>
      <c r="D111" s="57">
        <v>0.43168126526206052</v>
      </c>
      <c r="E111" s="57">
        <v>0.48221823595511187</v>
      </c>
      <c r="F111" s="57">
        <v>0.58201032810332098</v>
      </c>
      <c r="G111" s="78">
        <v>0.68828906621512886</v>
      </c>
      <c r="H111" s="57">
        <v>0.61401777034181115</v>
      </c>
      <c r="I111" s="57">
        <v>0.67057771567087388</v>
      </c>
      <c r="J111" s="57">
        <v>0.71262221274666548</v>
      </c>
      <c r="K111" s="77">
        <v>0.80335252844344474</v>
      </c>
      <c r="L111" s="72">
        <v>0.83359702718968542</v>
      </c>
      <c r="M111" s="57">
        <v>0.78683858734723244</v>
      </c>
      <c r="N111" s="57">
        <v>0.81363324575070317</v>
      </c>
    </row>
    <row r="112" spans="1:14" ht="12.75" customHeight="1" x14ac:dyDescent="0.2">
      <c r="A112" s="56" t="s">
        <v>7088</v>
      </c>
      <c r="B112" s="79">
        <v>0.78153800679198637</v>
      </c>
      <c r="C112" s="57">
        <v>0.72821144440383778</v>
      </c>
      <c r="D112" s="57">
        <v>0.76499356248245554</v>
      </c>
      <c r="E112" s="57">
        <v>0.78516792359135845</v>
      </c>
      <c r="F112" s="57">
        <v>0.80573329753990841</v>
      </c>
      <c r="G112" s="78">
        <v>0.80279945511819528</v>
      </c>
      <c r="H112" s="57">
        <v>0.78696989264877515</v>
      </c>
      <c r="I112" s="57">
        <v>0.82626374738847219</v>
      </c>
      <c r="J112" s="57">
        <v>0.81102489681507739</v>
      </c>
      <c r="K112" s="77">
        <v>0.90467482878219641</v>
      </c>
      <c r="L112" s="72">
        <v>0.82121099185110824</v>
      </c>
      <c r="M112" s="57">
        <v>0.79752255077971645</v>
      </c>
      <c r="N112" s="57">
        <v>0.86668340069818006</v>
      </c>
    </row>
    <row r="113" spans="1:14" ht="12.75" customHeight="1" x14ac:dyDescent="0.2">
      <c r="A113" s="56" t="s">
        <v>178</v>
      </c>
      <c r="B113" s="79">
        <v>0.61852940144765423</v>
      </c>
      <c r="C113" s="57">
        <v>0.6312054915466685</v>
      </c>
      <c r="D113" s="57">
        <v>0.60108359357020713</v>
      </c>
      <c r="E113" s="57">
        <v>0.68368462101074279</v>
      </c>
      <c r="F113" s="57">
        <v>0.66510576399517829</v>
      </c>
      <c r="G113" s="78">
        <v>0.71475289713972967</v>
      </c>
      <c r="H113" s="57">
        <v>0.76040816487106722</v>
      </c>
      <c r="I113" s="57">
        <v>0.80819376609243265</v>
      </c>
      <c r="J113" s="57">
        <v>0.81252972037336779</v>
      </c>
      <c r="K113" s="77">
        <v>0.88913973164019811</v>
      </c>
      <c r="L113" s="72">
        <v>0.87793534725330091</v>
      </c>
      <c r="M113" s="57">
        <v>0.87323769962449249</v>
      </c>
      <c r="N113" s="57">
        <v>0.91124402532689208</v>
      </c>
    </row>
    <row r="114" spans="1:14" ht="12.75" customHeight="1" x14ac:dyDescent="0.2">
      <c r="A114" s="56" t="s">
        <v>7087</v>
      </c>
      <c r="B114" s="79">
        <v>0.49623854088582714</v>
      </c>
      <c r="C114" s="57">
        <v>0.63779140702031278</v>
      </c>
      <c r="D114" s="57">
        <v>0.56764214472995644</v>
      </c>
      <c r="E114" s="57">
        <v>0.62269153956967871</v>
      </c>
      <c r="F114" s="57">
        <v>0.64229124329992315</v>
      </c>
      <c r="G114" s="78">
        <v>0.72052307277978311</v>
      </c>
      <c r="H114" s="57">
        <v>0.76318542072564521</v>
      </c>
      <c r="I114" s="57">
        <v>0.78986536010818942</v>
      </c>
      <c r="J114" s="57">
        <v>0.81513157244035261</v>
      </c>
      <c r="K114" s="77">
        <v>0.88129911840406316</v>
      </c>
      <c r="L114" s="72">
        <v>0.86455397228869801</v>
      </c>
      <c r="M114" s="57">
        <v>0.88579533725240323</v>
      </c>
      <c r="N114" s="57">
        <v>0.84822317679183701</v>
      </c>
    </row>
    <row r="115" spans="1:14" ht="12.75" customHeight="1" x14ac:dyDescent="0.2">
      <c r="A115" s="56" t="s">
        <v>155</v>
      </c>
      <c r="B115" s="79">
        <v>0.62759077682152131</v>
      </c>
      <c r="C115" s="57">
        <v>0.65372691807997396</v>
      </c>
      <c r="D115" s="57">
        <v>0.66422483495895701</v>
      </c>
      <c r="E115" s="57">
        <v>0.59482976650868058</v>
      </c>
      <c r="F115" s="57">
        <v>0.58842287786760061</v>
      </c>
      <c r="G115" s="78">
        <v>0.67467584006890402</v>
      </c>
      <c r="H115" s="57">
        <v>0.66736008544489756</v>
      </c>
      <c r="I115" s="57">
        <v>0.83288741512652908</v>
      </c>
      <c r="J115" s="57">
        <v>0.77987385302127832</v>
      </c>
      <c r="K115" s="77">
        <v>0.84979615733904512</v>
      </c>
      <c r="L115" s="72">
        <v>0.85828977141354224</v>
      </c>
      <c r="M115" s="57">
        <v>0.85053371418444312</v>
      </c>
      <c r="N115" s="57">
        <v>0.80575879820057028</v>
      </c>
    </row>
    <row r="116" spans="1:14" ht="12.75" customHeight="1" x14ac:dyDescent="0.2">
      <c r="A116" s="56" t="s">
        <v>54</v>
      </c>
      <c r="B116" s="79">
        <v>0.63742124507993936</v>
      </c>
      <c r="C116" s="57">
        <v>0.61761318299793666</v>
      </c>
      <c r="D116" s="57">
        <v>0.57944042899841741</v>
      </c>
      <c r="E116" s="57">
        <v>0.64207482836265206</v>
      </c>
      <c r="F116" s="57">
        <v>0.69953967323734789</v>
      </c>
      <c r="G116" s="78">
        <v>0.73319118342753775</v>
      </c>
      <c r="H116" s="57">
        <v>0.81277997929996626</v>
      </c>
      <c r="I116" s="57">
        <v>0.76881825974653084</v>
      </c>
      <c r="J116" s="57">
        <v>0.76479042877710313</v>
      </c>
      <c r="K116" s="77">
        <v>0.83417118277693914</v>
      </c>
      <c r="L116" s="72">
        <v>0.84141681401822488</v>
      </c>
      <c r="M116" s="57">
        <v>0.88541078472834045</v>
      </c>
      <c r="N116" s="57">
        <v>0.9042552229736549</v>
      </c>
    </row>
    <row r="117" spans="1:14" ht="12.75" customHeight="1" x14ac:dyDescent="0.2">
      <c r="A117" s="56" t="s">
        <v>166</v>
      </c>
      <c r="B117" s="79">
        <v>0.54801499848403812</v>
      </c>
      <c r="C117" s="57">
        <v>0.64360010314468086</v>
      </c>
      <c r="D117" s="57">
        <v>0.5944371096259391</v>
      </c>
      <c r="E117" s="57">
        <v>0.57782151524060055</v>
      </c>
      <c r="F117" s="57">
        <v>0.5875214941189022</v>
      </c>
      <c r="G117" s="78">
        <v>0.62688735897358638</v>
      </c>
      <c r="H117" s="57">
        <v>0.64611311524593396</v>
      </c>
      <c r="I117" s="57">
        <v>0.79064261074645104</v>
      </c>
      <c r="J117" s="57">
        <v>0.81679893143904181</v>
      </c>
      <c r="K117" s="77">
        <v>0.83624294067921101</v>
      </c>
      <c r="L117" s="72">
        <v>0.80065920441595284</v>
      </c>
      <c r="M117" s="57">
        <v>0.82677829858918961</v>
      </c>
      <c r="N117" s="57">
        <v>0.89344214261393351</v>
      </c>
    </row>
    <row r="118" spans="1:14" ht="12.75" customHeight="1" x14ac:dyDescent="0.2">
      <c r="A118" s="56" t="s">
        <v>355</v>
      </c>
      <c r="B118" s="79">
        <v>0.76045997552079347</v>
      </c>
      <c r="C118" s="57">
        <v>0.76136323051101373</v>
      </c>
      <c r="D118" s="57">
        <v>0.80257057070722848</v>
      </c>
      <c r="E118" s="57">
        <v>0.82144449685222143</v>
      </c>
      <c r="F118" s="57">
        <v>0.87104531598605095</v>
      </c>
      <c r="G118" s="78">
        <v>0.81630432159438648</v>
      </c>
      <c r="H118" s="57">
        <v>0.84081868782333291</v>
      </c>
      <c r="I118" s="57">
        <v>0.90428536523019021</v>
      </c>
      <c r="J118" s="57">
        <v>0.94638219104151144</v>
      </c>
      <c r="K118" s="77">
        <v>0.95060743312029683</v>
      </c>
      <c r="L118" s="72">
        <v>0.97270193034162855</v>
      </c>
      <c r="M118" s="57">
        <v>0.96323706680060284</v>
      </c>
      <c r="N118" s="57">
        <v>0.94879813553726555</v>
      </c>
    </row>
    <row r="119" spans="1:14" ht="12.75" customHeight="1" x14ac:dyDescent="0.2">
      <c r="A119" s="56" t="s">
        <v>210</v>
      </c>
      <c r="B119" s="79">
        <v>0.78417035535245916</v>
      </c>
      <c r="C119" s="57">
        <v>0.79375553251664599</v>
      </c>
      <c r="D119" s="57">
        <v>0.84793983791674954</v>
      </c>
      <c r="E119" s="57">
        <v>0.83836045608797938</v>
      </c>
      <c r="F119" s="57">
        <v>0.84304700873282956</v>
      </c>
      <c r="G119" s="78">
        <v>0.86118951194006532</v>
      </c>
      <c r="H119" s="57">
        <v>0.84172571809970154</v>
      </c>
      <c r="I119" s="57">
        <v>0.88796397899852608</v>
      </c>
      <c r="J119" s="57">
        <v>0.88982175996580382</v>
      </c>
      <c r="K119" s="77">
        <v>0.9564650316776635</v>
      </c>
      <c r="L119" s="72">
        <v>0.92883677324734637</v>
      </c>
      <c r="M119" s="57">
        <v>0.9606650416485647</v>
      </c>
      <c r="N119" s="57">
        <v>0.92604404369943261</v>
      </c>
    </row>
    <row r="120" spans="1:14" ht="12.75" customHeight="1" x14ac:dyDescent="0.2">
      <c r="A120" s="56" t="s">
        <v>200</v>
      </c>
      <c r="B120" s="79">
        <v>0.6704211972401013</v>
      </c>
      <c r="C120" s="57">
        <v>0.78891554217507776</v>
      </c>
      <c r="D120" s="57">
        <v>0.7560758847885144</v>
      </c>
      <c r="E120" s="57">
        <v>0.81455501087063553</v>
      </c>
      <c r="F120" s="57">
        <v>0.78907345309497767</v>
      </c>
      <c r="G120" s="78">
        <v>0.79141099544790061</v>
      </c>
      <c r="H120" s="57">
        <v>0.82912813130205454</v>
      </c>
      <c r="I120" s="57">
        <v>0.79727094035817381</v>
      </c>
      <c r="J120" s="57">
        <v>0.8330882721049907</v>
      </c>
      <c r="K120" s="77">
        <v>0.90977740628579973</v>
      </c>
      <c r="L120" s="72">
        <v>0.89090012720545264</v>
      </c>
      <c r="M120" s="57">
        <v>0.88864220723787202</v>
      </c>
      <c r="N120" s="57">
        <v>0.87292350234992711</v>
      </c>
    </row>
    <row r="121" spans="1:14" ht="12.75" customHeight="1" x14ac:dyDescent="0.2">
      <c r="A121" s="56" t="s">
        <v>91</v>
      </c>
      <c r="B121" s="79">
        <v>0.53304356961333021</v>
      </c>
      <c r="C121" s="57">
        <v>0.62009422254996627</v>
      </c>
      <c r="D121" s="57">
        <v>0.58188966659526353</v>
      </c>
      <c r="E121" s="57">
        <v>0.52912479460230799</v>
      </c>
      <c r="F121" s="57">
        <v>0.56130264051230294</v>
      </c>
      <c r="G121" s="78">
        <v>0.62760162152276511</v>
      </c>
      <c r="H121" s="57">
        <v>0.66423816043817929</v>
      </c>
      <c r="I121" s="57">
        <v>0.66797547688431702</v>
      </c>
      <c r="J121" s="57">
        <v>0.6634717064326211</v>
      </c>
      <c r="K121" s="77">
        <v>0.73672902432392462</v>
      </c>
      <c r="L121" s="72">
        <v>0.76411882197330783</v>
      </c>
      <c r="M121" s="57">
        <v>0.84098858040959468</v>
      </c>
      <c r="N121" s="57">
        <v>0.83397107599035658</v>
      </c>
    </row>
    <row r="122" spans="1:14" ht="12.75" customHeight="1" x14ac:dyDescent="0.2">
      <c r="A122" s="56" t="s">
        <v>227</v>
      </c>
      <c r="B122" s="79">
        <v>0.82645379510162065</v>
      </c>
      <c r="C122" s="57">
        <v>0.86283503758857127</v>
      </c>
      <c r="D122" s="57">
        <v>0.84339015856480293</v>
      </c>
      <c r="E122" s="57">
        <v>0.8693419067242012</v>
      </c>
      <c r="F122" s="57">
        <v>0.84438121785839615</v>
      </c>
      <c r="G122" s="78">
        <v>0.88086515262465892</v>
      </c>
      <c r="H122" s="57">
        <v>0.88321022659616055</v>
      </c>
      <c r="I122" s="57">
        <v>0.90081318117653186</v>
      </c>
      <c r="J122" s="57">
        <v>0.8983025408764268</v>
      </c>
      <c r="K122" s="77">
        <v>0.91713171209401212</v>
      </c>
      <c r="L122" s="72">
        <v>0.89895958078838833</v>
      </c>
      <c r="M122" s="57">
        <v>0.83809522754754573</v>
      </c>
      <c r="N122" s="57">
        <v>0.84616069383883252</v>
      </c>
    </row>
    <row r="123" spans="1:14" ht="12.75" customHeight="1" x14ac:dyDescent="0.2">
      <c r="A123" s="56" t="s">
        <v>333</v>
      </c>
      <c r="B123" s="79">
        <v>0.67790570254407512</v>
      </c>
      <c r="C123" s="57">
        <v>0.75847080348520024</v>
      </c>
      <c r="D123" s="57">
        <v>0.76313261918252173</v>
      </c>
      <c r="E123" s="57">
        <v>0.79261763616749192</v>
      </c>
      <c r="F123" s="57">
        <v>0.80747079889425954</v>
      </c>
      <c r="G123" s="78">
        <v>0.86933558331735883</v>
      </c>
      <c r="H123" s="57">
        <v>0.86790435685343992</v>
      </c>
      <c r="I123" s="57">
        <v>0.88506920102537157</v>
      </c>
      <c r="J123" s="57">
        <v>0.921250966085155</v>
      </c>
      <c r="K123" s="77">
        <v>0.95933431755435594</v>
      </c>
      <c r="L123" s="72">
        <v>0.96014007078471075</v>
      </c>
      <c r="M123" s="57">
        <v>0.95789326126916785</v>
      </c>
      <c r="N123" s="57">
        <v>0.9353052193589374</v>
      </c>
    </row>
    <row r="124" spans="1:14" ht="12.75" customHeight="1" x14ac:dyDescent="0.2">
      <c r="A124" s="56" t="s">
        <v>306</v>
      </c>
      <c r="B124" s="79">
        <v>0.65390739295162281</v>
      </c>
      <c r="C124" s="57">
        <v>0.71701938490481221</v>
      </c>
      <c r="D124" s="57">
        <v>0.71984055903865618</v>
      </c>
      <c r="E124" s="57">
        <v>0.7154982463002213</v>
      </c>
      <c r="F124" s="57">
        <v>0.7157766657122866</v>
      </c>
      <c r="G124" s="78">
        <v>0.73242383835541192</v>
      </c>
      <c r="H124" s="57">
        <v>0.74244172937956399</v>
      </c>
      <c r="I124" s="57">
        <v>0.78708296882929063</v>
      </c>
      <c r="J124" s="57">
        <v>0.80332756523922888</v>
      </c>
      <c r="K124" s="77">
        <v>0.84632873293026878</v>
      </c>
      <c r="L124" s="72">
        <v>0.83564490514237466</v>
      </c>
      <c r="M124" s="57">
        <v>0.87998733084090797</v>
      </c>
      <c r="N124" s="57">
        <v>0.91727593472481417</v>
      </c>
    </row>
    <row r="125" spans="1:14" ht="12.75" customHeight="1" x14ac:dyDescent="0.2">
      <c r="A125" s="56" t="s">
        <v>81</v>
      </c>
      <c r="B125" s="79">
        <v>0.38493506353506973</v>
      </c>
      <c r="C125" s="57">
        <v>0.46242443714664405</v>
      </c>
      <c r="D125" s="57">
        <v>0.50647181845489309</v>
      </c>
      <c r="E125" s="57">
        <v>0.46903358845262366</v>
      </c>
      <c r="F125" s="57">
        <v>0.51766809317655516</v>
      </c>
      <c r="G125" s="78">
        <v>0.51409912923765844</v>
      </c>
      <c r="H125" s="57">
        <v>0.49131640744791727</v>
      </c>
      <c r="I125" s="57">
        <v>0.5366516497999364</v>
      </c>
      <c r="J125" s="57">
        <v>0.54558779257388512</v>
      </c>
      <c r="K125" s="77">
        <v>0.68329591158965974</v>
      </c>
      <c r="L125" s="72">
        <v>0.78670093272270947</v>
      </c>
      <c r="M125" s="57">
        <v>0.67551817961602934</v>
      </c>
      <c r="N125" s="57">
        <v>0.73114086565827108</v>
      </c>
    </row>
    <row r="126" spans="1:14" ht="12.75" customHeight="1" x14ac:dyDescent="0.2">
      <c r="A126" s="56" t="s">
        <v>279</v>
      </c>
      <c r="B126" s="79">
        <v>0.55877060847647442</v>
      </c>
      <c r="C126" s="57">
        <v>0.68951952056316268</v>
      </c>
      <c r="D126" s="57">
        <v>0.69164273303062995</v>
      </c>
      <c r="E126" s="57">
        <v>0.74768344561166722</v>
      </c>
      <c r="F126" s="57">
        <v>0.76442992951560773</v>
      </c>
      <c r="G126" s="78">
        <v>0.72182454106272465</v>
      </c>
      <c r="H126" s="57">
        <v>0.65098974782504859</v>
      </c>
      <c r="I126" s="57">
        <v>0.73875226484365208</v>
      </c>
      <c r="J126" s="57">
        <v>0.80826728960044669</v>
      </c>
      <c r="K126" s="77">
        <v>0.86110136401779847</v>
      </c>
      <c r="L126" s="72">
        <v>0.85172737537079346</v>
      </c>
      <c r="M126" s="57">
        <v>0.80875538630200927</v>
      </c>
      <c r="N126" s="57">
        <v>0.79581602176719002</v>
      </c>
    </row>
    <row r="127" spans="1:14" ht="12.75" customHeight="1" x14ac:dyDescent="0.2">
      <c r="A127" s="56" t="s">
        <v>356</v>
      </c>
      <c r="B127" s="79">
        <v>0.77841542957346743</v>
      </c>
      <c r="C127" s="57">
        <v>0.81653473852281566</v>
      </c>
      <c r="D127" s="57">
        <v>0.80707633258414357</v>
      </c>
      <c r="E127" s="57">
        <v>0.79935006746176873</v>
      </c>
      <c r="F127" s="57">
        <v>0.81916903255145468</v>
      </c>
      <c r="G127" s="78">
        <v>0.8380684925705103</v>
      </c>
      <c r="H127" s="57">
        <v>0.8637240589421421</v>
      </c>
      <c r="I127" s="57">
        <v>0.87257514280175785</v>
      </c>
      <c r="J127" s="57">
        <v>0.89280957234489378</v>
      </c>
      <c r="K127" s="77">
        <v>0.91168327557853157</v>
      </c>
      <c r="L127" s="72">
        <v>0.91161604881613256</v>
      </c>
      <c r="M127" s="57">
        <v>0.94519962380778377</v>
      </c>
      <c r="N127" s="57">
        <v>0.94149503415014046</v>
      </c>
    </row>
    <row r="128" spans="1:14" ht="12.75" customHeight="1" x14ac:dyDescent="0.2">
      <c r="A128" s="56" t="s">
        <v>29</v>
      </c>
      <c r="B128" s="79">
        <v>0.555545557003985</v>
      </c>
      <c r="C128" s="57">
        <v>0.5769532770053486</v>
      </c>
      <c r="D128" s="57">
        <v>0.57524601515567453</v>
      </c>
      <c r="E128" s="57">
        <v>0.57481810132509004</v>
      </c>
      <c r="F128" s="57">
        <v>0.58163087486091403</v>
      </c>
      <c r="G128" s="78">
        <v>0.51426689494034894</v>
      </c>
      <c r="H128" s="57">
        <v>0.59791528988391196</v>
      </c>
      <c r="I128" s="57">
        <v>0.61771236220225334</v>
      </c>
      <c r="J128" s="57">
        <v>0.63697764704663817</v>
      </c>
      <c r="K128" s="77">
        <v>0.70704392987101627</v>
      </c>
      <c r="L128" s="72">
        <v>0.71172227545982392</v>
      </c>
      <c r="M128" s="57">
        <v>0.74274331629397639</v>
      </c>
      <c r="N128" s="57">
        <v>0.77886909541326399</v>
      </c>
    </row>
    <row r="129" spans="1:14" ht="12.75" customHeight="1" x14ac:dyDescent="0.2">
      <c r="A129" s="56" t="s">
        <v>156</v>
      </c>
      <c r="B129" s="79">
        <v>0.60866554095311998</v>
      </c>
      <c r="C129" s="57">
        <v>0.71168144667097444</v>
      </c>
      <c r="D129" s="57">
        <v>0.66351276801156689</v>
      </c>
      <c r="E129" s="57">
        <v>0.67570405568500214</v>
      </c>
      <c r="F129" s="57">
        <v>0.71341934584061406</v>
      </c>
      <c r="G129" s="78">
        <v>0.75605284561943864</v>
      </c>
      <c r="H129" s="57">
        <v>0.72355459985989423</v>
      </c>
      <c r="I129" s="57">
        <v>0.73824625100518226</v>
      </c>
      <c r="J129" s="57">
        <v>0.7786802306690852</v>
      </c>
      <c r="K129" s="77">
        <v>0.86211483408667489</v>
      </c>
      <c r="L129" s="72">
        <v>0.86802574261005472</v>
      </c>
      <c r="M129" s="57">
        <v>0.8802459222089446</v>
      </c>
      <c r="N129" s="57">
        <v>0.93896576775028306</v>
      </c>
    </row>
    <row r="130" spans="1:14" ht="12.75" customHeight="1" x14ac:dyDescent="0.2">
      <c r="A130" s="56" t="s">
        <v>241</v>
      </c>
      <c r="B130" s="79">
        <v>0.65886027091494292</v>
      </c>
      <c r="C130" s="57">
        <v>0.74538963073559161</v>
      </c>
      <c r="D130" s="57">
        <v>0.75328493457508638</v>
      </c>
      <c r="E130" s="57">
        <v>0.73001538891894568</v>
      </c>
      <c r="F130" s="57">
        <v>0.73102813858595939</v>
      </c>
      <c r="G130" s="78">
        <v>0.78329518939881748</v>
      </c>
      <c r="H130" s="57">
        <v>0.78269010821209961</v>
      </c>
      <c r="I130" s="57">
        <v>0.85271138715377304</v>
      </c>
      <c r="J130" s="57">
        <v>0.85963924712185491</v>
      </c>
      <c r="K130" s="77">
        <v>0.88632699253948477</v>
      </c>
      <c r="L130" s="72">
        <v>0.87803250374241482</v>
      </c>
      <c r="M130" s="57">
        <v>0.86352611186985651</v>
      </c>
      <c r="N130" s="57">
        <v>0.85923421639480846</v>
      </c>
    </row>
    <row r="131" spans="1:14" ht="12.75" customHeight="1" x14ac:dyDescent="0.2">
      <c r="A131" s="56" t="s">
        <v>66</v>
      </c>
      <c r="B131" s="79">
        <v>0.28566709193190987</v>
      </c>
      <c r="C131" s="57">
        <v>0.42542067246323639</v>
      </c>
      <c r="D131" s="57">
        <v>0.37758895409275017</v>
      </c>
      <c r="E131" s="57">
        <v>0.47011598393099913</v>
      </c>
      <c r="F131" s="57">
        <v>0.49486782525926337</v>
      </c>
      <c r="G131" s="78">
        <v>0.5839997860958589</v>
      </c>
      <c r="H131" s="57">
        <v>0.59402388012358731</v>
      </c>
      <c r="I131" s="57">
        <v>0.56710605851929163</v>
      </c>
      <c r="J131" s="57">
        <v>0.55729115594761425</v>
      </c>
      <c r="K131" s="77">
        <v>0.78349204037341125</v>
      </c>
      <c r="L131" s="72">
        <v>0.75465179537411853</v>
      </c>
      <c r="M131" s="57">
        <v>0.80274805493889667</v>
      </c>
      <c r="N131" s="57">
        <v>0.8621307733275545</v>
      </c>
    </row>
    <row r="132" spans="1:14" ht="12.75" customHeight="1" x14ac:dyDescent="0.2">
      <c r="A132" s="56" t="s">
        <v>179</v>
      </c>
      <c r="B132" s="79">
        <v>0.48596847042100771</v>
      </c>
      <c r="C132" s="57">
        <v>0.57668354676809663</v>
      </c>
      <c r="D132" s="57">
        <v>0.59715476848489979</v>
      </c>
      <c r="E132" s="57">
        <v>0.6451311498430351</v>
      </c>
      <c r="F132" s="57">
        <v>0.64700999909563173</v>
      </c>
      <c r="G132" s="78">
        <v>0.71449178143529113</v>
      </c>
      <c r="H132" s="57">
        <v>0.74185820708715156</v>
      </c>
      <c r="I132" s="57">
        <v>0.77715673155599096</v>
      </c>
      <c r="J132" s="57">
        <v>0.75822270699151473</v>
      </c>
      <c r="K132" s="77">
        <v>0.86591614907693448</v>
      </c>
      <c r="L132" s="72">
        <v>0.8739566023937505</v>
      </c>
      <c r="M132" s="57">
        <v>0.85629891086043097</v>
      </c>
      <c r="N132" s="57">
        <v>0.87536829102917435</v>
      </c>
    </row>
    <row r="133" spans="1:14" ht="12.75" customHeight="1" x14ac:dyDescent="0.2">
      <c r="A133" s="56" t="s">
        <v>7086</v>
      </c>
      <c r="B133" s="79">
        <v>0.53533393519874817</v>
      </c>
      <c r="C133" s="57">
        <v>0.62317006969252198</v>
      </c>
      <c r="D133" s="57">
        <v>0.63153963991012652</v>
      </c>
      <c r="E133" s="57">
        <v>0.631150352811503</v>
      </c>
      <c r="F133" s="57">
        <v>0.63813139279247111</v>
      </c>
      <c r="G133" s="78">
        <v>0.66143639307399338</v>
      </c>
      <c r="H133" s="57">
        <v>0.65240527318977704</v>
      </c>
      <c r="I133" s="57">
        <v>0.68179453389579847</v>
      </c>
      <c r="J133" s="57">
        <v>0.71571472823257665</v>
      </c>
      <c r="K133" s="77">
        <v>0.78923140917672852</v>
      </c>
      <c r="L133" s="72">
        <v>0.8359788523425411</v>
      </c>
      <c r="M133" s="57">
        <v>0.87238394434452371</v>
      </c>
      <c r="N133" s="57">
        <v>0.90852459104227135</v>
      </c>
    </row>
    <row r="134" spans="1:14" ht="12.75" customHeight="1" x14ac:dyDescent="0.2">
      <c r="A134" s="56" t="s">
        <v>287</v>
      </c>
      <c r="B134" s="79">
        <v>0.62956481488846461</v>
      </c>
      <c r="C134" s="57">
        <v>0.65650713261906224</v>
      </c>
      <c r="D134" s="57">
        <v>0.60270100568075602</v>
      </c>
      <c r="E134" s="57">
        <v>0.61470324666231091</v>
      </c>
      <c r="F134" s="57">
        <v>0.65827729420324865</v>
      </c>
      <c r="G134" s="78">
        <v>0.69947273922098607</v>
      </c>
      <c r="H134" s="57">
        <v>0.69324022457941425</v>
      </c>
      <c r="I134" s="57">
        <v>0.74544303767981546</v>
      </c>
      <c r="J134" s="57">
        <v>0.76741809449486176</v>
      </c>
      <c r="K134" s="77">
        <v>0.79646698999688026</v>
      </c>
      <c r="L134" s="72">
        <v>0.74551772613484124</v>
      </c>
      <c r="M134" s="57">
        <v>0.83527039359863386</v>
      </c>
      <c r="N134" s="57">
        <v>0.83473423166940841</v>
      </c>
    </row>
    <row r="135" spans="1:14" ht="12.75" customHeight="1" x14ac:dyDescent="0.2">
      <c r="A135" s="56" t="s">
        <v>7085</v>
      </c>
      <c r="B135" s="79">
        <v>0.64046926054228914</v>
      </c>
      <c r="C135" s="57">
        <v>0.75853125299973168</v>
      </c>
      <c r="D135" s="57">
        <v>0.68018940438828079</v>
      </c>
      <c r="E135" s="57">
        <v>0.71384511468503553</v>
      </c>
      <c r="F135" s="57">
        <v>0.70858152376203709</v>
      </c>
      <c r="G135" s="78">
        <v>0.72289318641342426</v>
      </c>
      <c r="H135" s="57">
        <v>0.75620302699824826</v>
      </c>
      <c r="I135" s="57">
        <v>0.76506368832997063</v>
      </c>
      <c r="J135" s="57">
        <v>0.80812826330459364</v>
      </c>
      <c r="K135" s="77">
        <v>0.87363872117033059</v>
      </c>
      <c r="L135" s="72">
        <v>0.88029938348220371</v>
      </c>
      <c r="M135" s="57">
        <v>0.87087038269316286</v>
      </c>
      <c r="N135" s="57">
        <v>0.90398228119121971</v>
      </c>
    </row>
    <row r="136" spans="1:14" ht="12.75" customHeight="1" x14ac:dyDescent="0.2">
      <c r="A136" s="56" t="s">
        <v>172</v>
      </c>
      <c r="B136" s="79">
        <v>0.67974601898720166</v>
      </c>
      <c r="C136" s="57">
        <v>0.63915349800768329</v>
      </c>
      <c r="D136" s="57">
        <v>0.65554621088792842</v>
      </c>
      <c r="E136" s="57">
        <v>0.81313028641104645</v>
      </c>
      <c r="F136" s="57">
        <v>0.81639111557315136</v>
      </c>
      <c r="G136" s="78">
        <v>0.89212730333541457</v>
      </c>
      <c r="H136" s="57">
        <v>0.86835612232192039</v>
      </c>
      <c r="I136" s="57">
        <v>0.85111544903054037</v>
      </c>
      <c r="J136" s="57">
        <v>0.87070735812420885</v>
      </c>
      <c r="K136" s="77">
        <v>0.8984038543161651</v>
      </c>
      <c r="L136" s="72">
        <v>0.93715504604317756</v>
      </c>
      <c r="M136" s="57">
        <v>0.94458230223874762</v>
      </c>
      <c r="N136" s="57">
        <v>0.88703951785001833</v>
      </c>
    </row>
    <row r="137" spans="1:14" ht="12.75" customHeight="1" x14ac:dyDescent="0.2">
      <c r="A137" s="56" t="s">
        <v>263</v>
      </c>
      <c r="B137" s="79">
        <v>0.78416146448402113</v>
      </c>
      <c r="C137" s="57">
        <v>0.81977164674162051</v>
      </c>
      <c r="D137" s="57">
        <v>0.7097714894345668</v>
      </c>
      <c r="E137" s="57">
        <v>0.80891608663334091</v>
      </c>
      <c r="F137" s="57">
        <v>0.86200372748601406</v>
      </c>
      <c r="G137" s="78">
        <v>0.76557888781250216</v>
      </c>
      <c r="H137" s="57">
        <v>0.75246688390591543</v>
      </c>
      <c r="I137" s="57">
        <v>0.81224083147573201</v>
      </c>
      <c r="J137" s="57">
        <v>0.80344572845615392</v>
      </c>
      <c r="K137" s="77">
        <v>0.85462942760600868</v>
      </c>
      <c r="L137" s="72">
        <v>0.87384716098338477</v>
      </c>
      <c r="M137" s="57">
        <v>0.85052306041874792</v>
      </c>
      <c r="N137" s="57">
        <v>0.8541133658420359</v>
      </c>
    </row>
    <row r="138" spans="1:14" ht="12.75" customHeight="1" x14ac:dyDescent="0.2">
      <c r="A138" s="56" t="s">
        <v>92</v>
      </c>
      <c r="B138" s="79">
        <v>0.6081828632175621</v>
      </c>
      <c r="C138" s="57">
        <v>0.70442784849289097</v>
      </c>
      <c r="D138" s="57">
        <v>0.7258827416749033</v>
      </c>
      <c r="E138" s="57">
        <v>0.78457054821860106</v>
      </c>
      <c r="F138" s="57">
        <v>0.69943724928917628</v>
      </c>
      <c r="G138" s="78">
        <v>0.73870653373963224</v>
      </c>
      <c r="H138" s="57">
        <v>0.77364395540495334</v>
      </c>
      <c r="I138" s="57">
        <v>0.7815099759842481</v>
      </c>
      <c r="J138" s="57">
        <v>0.77569940068591081</v>
      </c>
      <c r="K138" s="77">
        <v>0.83212087925578826</v>
      </c>
      <c r="L138" s="72">
        <v>0.81574180731117496</v>
      </c>
      <c r="M138" s="57">
        <v>0.88460958901662701</v>
      </c>
      <c r="N138" s="57">
        <v>0.9288628401941359</v>
      </c>
    </row>
    <row r="139" spans="1:14" ht="12.75" customHeight="1" x14ac:dyDescent="0.2">
      <c r="A139" s="56" t="s">
        <v>345</v>
      </c>
      <c r="B139" s="79">
        <v>0.68323311563428712</v>
      </c>
      <c r="C139" s="57">
        <v>0.73142409709005407</v>
      </c>
      <c r="D139" s="57">
        <v>0.65859896872359214</v>
      </c>
      <c r="E139" s="57">
        <v>0.72816122942256289</v>
      </c>
      <c r="F139" s="57">
        <v>0.76585835984062833</v>
      </c>
      <c r="G139" s="78">
        <v>0.75301584238191555</v>
      </c>
      <c r="H139" s="57">
        <v>0.73158827001314897</v>
      </c>
      <c r="I139" s="57">
        <v>0.81427534745417318</v>
      </c>
      <c r="J139" s="57">
        <v>0.8129268291419024</v>
      </c>
      <c r="K139" s="77">
        <v>0.86013925777695388</v>
      </c>
      <c r="L139" s="72">
        <v>0.87778947151519382</v>
      </c>
      <c r="M139" s="57">
        <v>0.87971191036764129</v>
      </c>
      <c r="N139" s="57">
        <v>0.87954660026983189</v>
      </c>
    </row>
    <row r="140" spans="1:14" ht="12.75" customHeight="1" x14ac:dyDescent="0.2">
      <c r="A140" s="56" t="s">
        <v>55</v>
      </c>
      <c r="B140" s="79">
        <v>0.59518336563642515</v>
      </c>
      <c r="C140" s="57">
        <v>0.61403024557755348</v>
      </c>
      <c r="D140" s="57">
        <v>0.62308226369265673</v>
      </c>
      <c r="E140" s="57">
        <v>0.65157586349741758</v>
      </c>
      <c r="F140" s="57">
        <v>0.6680031509196247</v>
      </c>
      <c r="G140" s="78">
        <v>0.70478169639800425</v>
      </c>
      <c r="H140" s="57">
        <v>0.7292088665847436</v>
      </c>
      <c r="I140" s="57">
        <v>0.74610312053970473</v>
      </c>
      <c r="J140" s="57">
        <v>0.77984872010021955</v>
      </c>
      <c r="K140" s="77">
        <v>0.8831390968933448</v>
      </c>
      <c r="L140" s="72">
        <v>0.87816417695133298</v>
      </c>
      <c r="M140" s="57">
        <v>0.86928273140029955</v>
      </c>
      <c r="N140" s="57">
        <v>0.88689857078519685</v>
      </c>
    </row>
    <row r="141" spans="1:14" ht="12.75" customHeight="1" x14ac:dyDescent="0.2">
      <c r="A141" s="56" t="s">
        <v>397</v>
      </c>
      <c r="B141" s="79">
        <v>0.17148414803884773</v>
      </c>
      <c r="C141" s="57">
        <v>0.26321542787808849</v>
      </c>
      <c r="D141" s="57">
        <v>0.23253867042596979</v>
      </c>
      <c r="E141" s="57">
        <v>0.26656487613539559</v>
      </c>
      <c r="F141" s="57">
        <v>0.31140804737210265</v>
      </c>
      <c r="G141" s="78">
        <v>0.37015933545535507</v>
      </c>
      <c r="H141" s="57">
        <v>0.40904639842468327</v>
      </c>
      <c r="I141" s="57">
        <v>0.40548638033952011</v>
      </c>
      <c r="J141" s="57">
        <v>0.49091604641155034</v>
      </c>
      <c r="K141" s="77">
        <v>0.54554383805264761</v>
      </c>
      <c r="L141" s="72">
        <v>0.61746874748794178</v>
      </c>
      <c r="M141" s="57">
        <v>0.62334871868761743</v>
      </c>
      <c r="N141" s="57">
        <v>0.65578527889855653</v>
      </c>
    </row>
    <row r="142" spans="1:14" ht="12.75" customHeight="1" x14ac:dyDescent="0.2">
      <c r="A142" s="56" t="s">
        <v>398</v>
      </c>
      <c r="B142" s="79">
        <v>0.46247835599132908</v>
      </c>
      <c r="C142" s="57">
        <v>0.58544631253059587</v>
      </c>
      <c r="D142" s="57">
        <v>0.57524250943662825</v>
      </c>
      <c r="E142" s="57">
        <v>0.59219868190600422</v>
      </c>
      <c r="F142" s="57">
        <v>0.59312904433069502</v>
      </c>
      <c r="G142" s="78">
        <v>0.69535614840319082</v>
      </c>
      <c r="H142" s="57">
        <v>0.73420385998847004</v>
      </c>
      <c r="I142" s="57">
        <v>0.7937115543268517</v>
      </c>
      <c r="J142" s="57">
        <v>0.80835255650416804</v>
      </c>
      <c r="K142" s="77">
        <v>0.83474592313989826</v>
      </c>
      <c r="L142" s="72">
        <v>0.8093052358304349</v>
      </c>
      <c r="M142" s="57">
        <v>0.86801388985024885</v>
      </c>
      <c r="N142" s="57">
        <v>0.8730105165396288</v>
      </c>
    </row>
    <row r="143" spans="1:14" ht="12.75" customHeight="1" x14ac:dyDescent="0.2">
      <c r="A143" s="56" t="s">
        <v>386</v>
      </c>
      <c r="B143" s="79">
        <v>0.56979362390259947</v>
      </c>
      <c r="C143" s="57">
        <v>0.57301654764153109</v>
      </c>
      <c r="D143" s="57">
        <v>0.58403954433811456</v>
      </c>
      <c r="E143" s="57">
        <v>0.71331844063344119</v>
      </c>
      <c r="F143" s="57">
        <v>0.67067286249393154</v>
      </c>
      <c r="G143" s="78">
        <v>0.72687146567107253</v>
      </c>
      <c r="H143" s="57">
        <v>0.73777562848143052</v>
      </c>
      <c r="I143" s="57">
        <v>0.77131803778838404</v>
      </c>
      <c r="J143" s="57">
        <v>0.83291481287378233</v>
      </c>
      <c r="K143" s="77">
        <v>0.86929589384148997</v>
      </c>
      <c r="L143" s="72">
        <v>0.89790310397272444</v>
      </c>
      <c r="M143" s="57">
        <v>0.84773481026344766</v>
      </c>
      <c r="N143" s="57">
        <v>0.89711505787183421</v>
      </c>
    </row>
    <row r="144" spans="1:14" ht="12.75" customHeight="1" x14ac:dyDescent="0.2">
      <c r="A144" s="56" t="s">
        <v>134</v>
      </c>
      <c r="B144" s="79">
        <v>0.60670449560009776</v>
      </c>
      <c r="C144" s="57">
        <v>0.6274143908943246</v>
      </c>
      <c r="D144" s="57">
        <v>0.62745579515073968</v>
      </c>
      <c r="E144" s="57">
        <v>0.70280908346409765</v>
      </c>
      <c r="F144" s="57">
        <v>0.69609557837118707</v>
      </c>
      <c r="G144" s="78">
        <v>0.72363915153506753</v>
      </c>
      <c r="H144" s="57">
        <v>0.74409447704453291</v>
      </c>
      <c r="I144" s="57">
        <v>0.82004724139772667</v>
      </c>
      <c r="J144" s="57">
        <v>0.82818819470767346</v>
      </c>
      <c r="K144" s="77">
        <v>0.88797762616515052</v>
      </c>
      <c r="L144" s="72">
        <v>0.8963005740123613</v>
      </c>
      <c r="M144" s="57">
        <v>0.84650014937430296</v>
      </c>
      <c r="N144" s="57">
        <v>0.91122345350878675</v>
      </c>
    </row>
    <row r="145" spans="1:14" ht="12.75" customHeight="1" x14ac:dyDescent="0.2">
      <c r="A145" s="56" t="s">
        <v>7084</v>
      </c>
      <c r="B145" s="79">
        <v>0.70663722145571728</v>
      </c>
      <c r="C145" s="57">
        <v>0.77304458058767944</v>
      </c>
      <c r="D145" s="57">
        <v>0.74038390912917262</v>
      </c>
      <c r="E145" s="57">
        <v>0.74370882065795996</v>
      </c>
      <c r="F145" s="57">
        <v>0.76529158768108008</v>
      </c>
      <c r="G145" s="78">
        <v>0.77256780577949258</v>
      </c>
      <c r="H145" s="57">
        <v>0.76794571505777265</v>
      </c>
      <c r="I145" s="57">
        <v>0.85451399299824837</v>
      </c>
      <c r="J145" s="57">
        <v>0.88698253962039986</v>
      </c>
      <c r="K145" s="77">
        <v>0.80432854136862975</v>
      </c>
      <c r="L145" s="72">
        <v>0.81203149494608884</v>
      </c>
      <c r="M145" s="57">
        <v>0.8864349291729412</v>
      </c>
      <c r="N145" s="57">
        <v>0.89522922193032317</v>
      </c>
    </row>
    <row r="146" spans="1:14" ht="12.75" customHeight="1" x14ac:dyDescent="0.2">
      <c r="A146" s="56" t="s">
        <v>111</v>
      </c>
      <c r="B146" s="79">
        <v>0.62619819272266564</v>
      </c>
      <c r="C146" s="57">
        <v>0.69185025462057048</v>
      </c>
      <c r="D146" s="57">
        <v>0.69208583254228295</v>
      </c>
      <c r="E146" s="57">
        <v>0.73353083773434546</v>
      </c>
      <c r="F146" s="57">
        <v>0.73978262227045255</v>
      </c>
      <c r="G146" s="78">
        <v>0.76705728281889107</v>
      </c>
      <c r="H146" s="57">
        <v>0.77525081855937705</v>
      </c>
      <c r="I146" s="57">
        <v>0.7881670482474159</v>
      </c>
      <c r="J146" s="57">
        <v>0.79606960168544305</v>
      </c>
      <c r="K146" s="77">
        <v>0.87297314727853204</v>
      </c>
      <c r="L146" s="72">
        <v>0.87605450403363105</v>
      </c>
      <c r="M146" s="57">
        <v>0.89592960249579057</v>
      </c>
      <c r="N146" s="57">
        <v>0.88660812707116854</v>
      </c>
    </row>
    <row r="147" spans="1:14" ht="12.75" customHeight="1" x14ac:dyDescent="0.2">
      <c r="A147" s="56" t="s">
        <v>299</v>
      </c>
      <c r="B147" s="79">
        <v>0.61819265870726725</v>
      </c>
      <c r="C147" s="57">
        <v>0.61055839368455977</v>
      </c>
      <c r="D147" s="57">
        <v>0.59384192446202899</v>
      </c>
      <c r="E147" s="57">
        <v>0.54012396832423493</v>
      </c>
      <c r="F147" s="57">
        <v>0.6421708425833218</v>
      </c>
      <c r="G147" s="78">
        <v>0.63212121299432977</v>
      </c>
      <c r="H147" s="57">
        <v>0.70325857510009415</v>
      </c>
      <c r="I147" s="57">
        <v>0.74945241224353798</v>
      </c>
      <c r="J147" s="57">
        <v>0.77643383100226837</v>
      </c>
      <c r="K147" s="77">
        <v>0.86230813541089979</v>
      </c>
      <c r="L147" s="72">
        <v>0.87731281952604756</v>
      </c>
      <c r="M147" s="57">
        <v>0.83080394559407855</v>
      </c>
      <c r="N147" s="57">
        <v>0.8241399000440347</v>
      </c>
    </row>
    <row r="148" spans="1:14" ht="12.75" customHeight="1" x14ac:dyDescent="0.2">
      <c r="A148" s="56" t="s">
        <v>189</v>
      </c>
      <c r="B148" s="79">
        <v>0.70337114375610521</v>
      </c>
      <c r="C148" s="57">
        <v>0.78747558217758507</v>
      </c>
      <c r="D148" s="57">
        <v>0.77624332897778403</v>
      </c>
      <c r="E148" s="57">
        <v>0.73501427380183826</v>
      </c>
      <c r="F148" s="57">
        <v>0.75007535554560478</v>
      </c>
      <c r="G148" s="78">
        <v>0.79372786239853987</v>
      </c>
      <c r="H148" s="57">
        <v>0.80359079321107707</v>
      </c>
      <c r="I148" s="57">
        <v>0.82357042657657797</v>
      </c>
      <c r="J148" s="57">
        <v>0.81549487603821147</v>
      </c>
      <c r="K148" s="77">
        <v>0.92169600374480976</v>
      </c>
      <c r="L148" s="72">
        <v>0.91826926248604246</v>
      </c>
      <c r="M148" s="57">
        <v>0.90667392799161217</v>
      </c>
      <c r="N148" s="57">
        <v>0.90541355551687952</v>
      </c>
    </row>
    <row r="149" spans="1:14" ht="12.75" customHeight="1" x14ac:dyDescent="0.2">
      <c r="A149" s="56" t="s">
        <v>346</v>
      </c>
      <c r="B149" s="79">
        <v>0.81385534758504952</v>
      </c>
      <c r="C149" s="57">
        <v>0.89528634514033434</v>
      </c>
      <c r="D149" s="57">
        <v>0.76787302262772095</v>
      </c>
      <c r="E149" s="57">
        <v>0.86155713351217256</v>
      </c>
      <c r="F149" s="57">
        <v>0.90230725019158053</v>
      </c>
      <c r="G149" s="78">
        <v>0.86795303024368409</v>
      </c>
      <c r="H149" s="57">
        <v>0.91415332305789021</v>
      </c>
      <c r="I149" s="57">
        <v>0.90900465063998637</v>
      </c>
      <c r="J149" s="57">
        <v>0.93848819688598706</v>
      </c>
      <c r="K149" s="77">
        <v>0.98750101863195172</v>
      </c>
      <c r="L149" s="72">
        <v>0.95792127953530337</v>
      </c>
      <c r="M149" s="57">
        <v>0.93361642825265923</v>
      </c>
      <c r="N149" s="57">
        <v>0.97136363636363632</v>
      </c>
    </row>
    <row r="150" spans="1:14" ht="12.75" customHeight="1" x14ac:dyDescent="0.2">
      <c r="A150" s="56" t="s">
        <v>48</v>
      </c>
      <c r="B150" s="79">
        <v>0.38012434871888734</v>
      </c>
      <c r="C150" s="57">
        <v>0.47760268267245287</v>
      </c>
      <c r="D150" s="57">
        <v>0.45603201789302228</v>
      </c>
      <c r="E150" s="57">
        <v>0.4382491112232606</v>
      </c>
      <c r="F150" s="57">
        <v>0.47856010683862182</v>
      </c>
      <c r="G150" s="78">
        <v>0.50663706039957423</v>
      </c>
      <c r="H150" s="57">
        <v>0.55288344194432171</v>
      </c>
      <c r="I150" s="57">
        <v>0.65971356671920001</v>
      </c>
      <c r="J150" s="57">
        <v>0.68434448115638269</v>
      </c>
      <c r="K150" s="77">
        <v>0.67877604140127068</v>
      </c>
      <c r="L150" s="72">
        <v>0.69541646145652647</v>
      </c>
      <c r="M150" s="57">
        <v>0.70969456396489672</v>
      </c>
      <c r="N150" s="57">
        <v>0.69351426815191719</v>
      </c>
    </row>
    <row r="151" spans="1:14" ht="12.75" customHeight="1" x14ac:dyDescent="0.2">
      <c r="A151" s="56" t="s">
        <v>56</v>
      </c>
      <c r="B151" s="79">
        <v>0.57804736315815208</v>
      </c>
      <c r="C151" s="57">
        <v>0.6100533239786452</v>
      </c>
      <c r="D151" s="57">
        <v>0.53377928343952208</v>
      </c>
      <c r="E151" s="57">
        <v>0.55415877134453151</v>
      </c>
      <c r="F151" s="57">
        <v>0.59761712856080951</v>
      </c>
      <c r="G151" s="78">
        <v>0.62881426733762202</v>
      </c>
      <c r="H151" s="57">
        <v>0.6516106133499171</v>
      </c>
      <c r="I151" s="57">
        <v>0.74888234695089506</v>
      </c>
      <c r="J151" s="57">
        <v>0.7486322979730321</v>
      </c>
      <c r="K151" s="77">
        <v>0.84320491469134284</v>
      </c>
      <c r="L151" s="72">
        <v>0.81358063748591114</v>
      </c>
      <c r="M151" s="57">
        <v>0.87403259168572778</v>
      </c>
      <c r="N151" s="57">
        <v>0.89106370816958913</v>
      </c>
    </row>
    <row r="152" spans="1:14" ht="12.75" customHeight="1" x14ac:dyDescent="0.2">
      <c r="A152" s="56" t="s">
        <v>57</v>
      </c>
      <c r="B152" s="79">
        <v>0.40193291574055984</v>
      </c>
      <c r="C152" s="57">
        <v>0.39468273015980687</v>
      </c>
      <c r="D152" s="57">
        <v>0.357937716556819</v>
      </c>
      <c r="E152" s="57">
        <v>0.42440960656593135</v>
      </c>
      <c r="F152" s="57">
        <v>0.43302275870870127</v>
      </c>
      <c r="G152" s="78">
        <v>0.43412014835786389</v>
      </c>
      <c r="H152" s="57">
        <v>0.45182981266051564</v>
      </c>
      <c r="I152" s="57">
        <v>0.50948970387988846</v>
      </c>
      <c r="J152" s="57">
        <v>0.53528552712252209</v>
      </c>
      <c r="K152" s="77">
        <v>0.68967001523439087</v>
      </c>
      <c r="L152" s="72">
        <v>0.70907854518623337</v>
      </c>
      <c r="M152" s="57">
        <v>0.6558148247230694</v>
      </c>
      <c r="N152" s="57">
        <v>0.78492809840531996</v>
      </c>
    </row>
    <row r="153" spans="1:14" ht="12.75" customHeight="1" x14ac:dyDescent="0.2">
      <c r="A153" s="56" t="s">
        <v>228</v>
      </c>
      <c r="B153" s="79">
        <v>0.69652962263053175</v>
      </c>
      <c r="C153" s="57">
        <v>0.81965766997112333</v>
      </c>
      <c r="D153" s="57">
        <v>0.81216936399242101</v>
      </c>
      <c r="E153" s="57">
        <v>0.88826153990592382</v>
      </c>
      <c r="F153" s="57">
        <v>0.88746311077594453</v>
      </c>
      <c r="G153" s="78">
        <v>0.91592388288664217</v>
      </c>
      <c r="H153" s="57">
        <v>0.89630860830837566</v>
      </c>
      <c r="I153" s="57">
        <v>0.91006817834690068</v>
      </c>
      <c r="J153" s="57">
        <v>0.90647184926951774</v>
      </c>
      <c r="K153" s="77">
        <v>0.92696922934253578</v>
      </c>
      <c r="L153" s="72">
        <v>0.91142312492110267</v>
      </c>
      <c r="M153" s="57">
        <v>0.95655359949392094</v>
      </c>
      <c r="N153" s="57">
        <v>0.8634777571682497</v>
      </c>
    </row>
    <row r="154" spans="1:14" ht="12.75" customHeight="1" x14ac:dyDescent="0.2">
      <c r="A154" s="56" t="s">
        <v>211</v>
      </c>
      <c r="B154" s="79">
        <v>0.82892459215923475</v>
      </c>
      <c r="C154" s="57">
        <v>0.80336624712094473</v>
      </c>
      <c r="D154" s="57">
        <v>0.82506518641461957</v>
      </c>
      <c r="E154" s="57">
        <v>0.8406835910464453</v>
      </c>
      <c r="F154" s="57">
        <v>0.83566814339034645</v>
      </c>
      <c r="G154" s="78">
        <v>0.73969594243197656</v>
      </c>
      <c r="H154" s="57">
        <v>0.77444962619631141</v>
      </c>
      <c r="I154" s="57">
        <v>0.79136470804838388</v>
      </c>
      <c r="J154" s="57">
        <v>0.76658622455928815</v>
      </c>
      <c r="K154" s="77">
        <v>0.68758381947548508</v>
      </c>
      <c r="L154" s="72">
        <v>0.72592661560740701</v>
      </c>
      <c r="M154" s="57">
        <v>0.86190713632181315</v>
      </c>
      <c r="N154" s="57">
        <v>0.88403149205609322</v>
      </c>
    </row>
    <row r="155" spans="1:14" ht="12.75" customHeight="1" x14ac:dyDescent="0.2">
      <c r="A155" s="56" t="s">
        <v>49</v>
      </c>
      <c r="B155" s="79">
        <v>0.58312083520039071</v>
      </c>
      <c r="C155" s="57">
        <v>0.63034410131135221</v>
      </c>
      <c r="D155" s="57">
        <v>0.55422375168356963</v>
      </c>
      <c r="E155" s="57">
        <v>0.55235873957615234</v>
      </c>
      <c r="F155" s="57">
        <v>0.61551168753022112</v>
      </c>
      <c r="G155" s="78">
        <v>0.47400769165730172</v>
      </c>
      <c r="H155" s="57">
        <v>0.49630604621869567</v>
      </c>
      <c r="I155" s="57">
        <v>0.77935532491517534</v>
      </c>
      <c r="J155" s="57">
        <v>0.77323311945225115</v>
      </c>
      <c r="K155" s="77">
        <v>0.80001342141489362</v>
      </c>
      <c r="L155" s="72">
        <v>0.79324962645621611</v>
      </c>
      <c r="M155" s="57">
        <v>0.85366989248383884</v>
      </c>
      <c r="N155" s="57">
        <v>0.88959915337891349</v>
      </c>
    </row>
    <row r="156" spans="1:14" ht="12.75" customHeight="1" x14ac:dyDescent="0.2">
      <c r="A156" s="56" t="s">
        <v>280</v>
      </c>
      <c r="B156" s="79">
        <v>0.66551325796934702</v>
      </c>
      <c r="C156" s="57">
        <v>0.74371699771606392</v>
      </c>
      <c r="D156" s="57">
        <v>0.74087818965796837</v>
      </c>
      <c r="E156" s="57">
        <v>0.77115509836919416</v>
      </c>
      <c r="F156" s="57">
        <v>0.74877482165013054</v>
      </c>
      <c r="G156" s="78">
        <v>0.72784046294081084</v>
      </c>
      <c r="H156" s="57">
        <v>0.79463035974949048</v>
      </c>
      <c r="I156" s="57">
        <v>0.86583745091458053</v>
      </c>
      <c r="J156" s="57">
        <v>0.87549394105495382</v>
      </c>
      <c r="K156" s="77">
        <v>0.90563599902915026</v>
      </c>
      <c r="L156" s="72">
        <v>0.90403088382552643</v>
      </c>
      <c r="M156" s="57">
        <v>0.86780145169280387</v>
      </c>
      <c r="N156" s="57">
        <v>0.81925521608793916</v>
      </c>
    </row>
    <row r="157" spans="1:14" ht="12.75" customHeight="1" x14ac:dyDescent="0.2">
      <c r="A157" s="56" t="s">
        <v>334</v>
      </c>
      <c r="B157" s="79">
        <v>0.65978890845908889</v>
      </c>
      <c r="C157" s="57">
        <v>0.81291975674339056</v>
      </c>
      <c r="D157" s="57">
        <v>0.67291348233782189</v>
      </c>
      <c r="E157" s="57">
        <v>0.73154122203235383</v>
      </c>
      <c r="F157" s="57">
        <v>0.7366608523225312</v>
      </c>
      <c r="G157" s="78">
        <v>0.73253118946181706</v>
      </c>
      <c r="H157" s="57">
        <v>0.75662837762157997</v>
      </c>
      <c r="I157" s="57">
        <v>0.8047208946844403</v>
      </c>
      <c r="J157" s="57">
        <v>0.76849777073034553</v>
      </c>
      <c r="K157" s="77">
        <v>0.89487345267386875</v>
      </c>
      <c r="L157" s="72">
        <v>0.84491545722000783</v>
      </c>
      <c r="M157" s="57">
        <v>0.84070272401832669</v>
      </c>
      <c r="N157" s="57">
        <v>0.84248919049428517</v>
      </c>
    </row>
    <row r="158" spans="1:14" ht="12.75" customHeight="1" x14ac:dyDescent="0.2">
      <c r="A158" s="56" t="s">
        <v>58</v>
      </c>
      <c r="B158" s="79">
        <v>0.66866944868768907</v>
      </c>
      <c r="C158" s="57">
        <v>0.72711369385626512</v>
      </c>
      <c r="D158" s="57">
        <v>0.7093049948802731</v>
      </c>
      <c r="E158" s="57">
        <v>0.7458356092503059</v>
      </c>
      <c r="F158" s="57">
        <v>0.7743214211941154</v>
      </c>
      <c r="G158" s="78">
        <v>0.79959255488274761</v>
      </c>
      <c r="H158" s="57">
        <v>0.83594190986257333</v>
      </c>
      <c r="I158" s="57">
        <v>0.87423686106161058</v>
      </c>
      <c r="J158" s="57">
        <v>0.88178628209197796</v>
      </c>
      <c r="K158" s="77">
        <v>0.91560498654897382</v>
      </c>
      <c r="L158" s="72">
        <v>0.91038184643070441</v>
      </c>
      <c r="M158" s="57">
        <v>0.92661824851827013</v>
      </c>
      <c r="N158" s="57">
        <v>0.94521576286070053</v>
      </c>
    </row>
    <row r="159" spans="1:14" ht="12.75" customHeight="1" x14ac:dyDescent="0.2">
      <c r="A159" s="56" t="s">
        <v>72</v>
      </c>
      <c r="B159" s="79">
        <v>0.56701769770582944</v>
      </c>
      <c r="C159" s="57">
        <v>0.54920761208983659</v>
      </c>
      <c r="D159" s="57">
        <v>0.54286253580618549</v>
      </c>
      <c r="E159" s="57">
        <v>0.63957860404325495</v>
      </c>
      <c r="F159" s="57">
        <v>0.68178736063590051</v>
      </c>
      <c r="G159" s="78">
        <v>0.72351029686777335</v>
      </c>
      <c r="H159" s="57">
        <v>0.76302738021797767</v>
      </c>
      <c r="I159" s="57">
        <v>0.87139405046261764</v>
      </c>
      <c r="J159" s="57">
        <v>0.89843606995796532</v>
      </c>
      <c r="K159" s="77">
        <v>0.90446663643273606</v>
      </c>
      <c r="L159" s="72">
        <v>0.90766094540587816</v>
      </c>
      <c r="M159" s="57">
        <v>0.89482563710350993</v>
      </c>
      <c r="N159" s="57">
        <v>0.87987400224992751</v>
      </c>
    </row>
    <row r="160" spans="1:14" ht="12.75" customHeight="1" x14ac:dyDescent="0.2">
      <c r="A160" s="56" t="s">
        <v>190</v>
      </c>
      <c r="B160" s="79">
        <v>0.51904275740862349</v>
      </c>
      <c r="C160" s="57">
        <v>0.49443783534615643</v>
      </c>
      <c r="D160" s="57">
        <v>0.45407763781367572</v>
      </c>
      <c r="E160" s="57">
        <v>0.44184666042721421</v>
      </c>
      <c r="F160" s="57">
        <v>0.47507434334925625</v>
      </c>
      <c r="G160" s="78">
        <v>0.60183442044104218</v>
      </c>
      <c r="H160" s="57">
        <v>0.62913397333152532</v>
      </c>
      <c r="I160" s="57">
        <v>0.75318344396155179</v>
      </c>
      <c r="J160" s="57">
        <v>0.81795183581228814</v>
      </c>
      <c r="K160" s="77">
        <v>0.79294457810586394</v>
      </c>
      <c r="L160" s="72">
        <v>0.79242049795776737</v>
      </c>
      <c r="M160" s="57">
        <v>0.81508382427670723</v>
      </c>
      <c r="N160" s="57">
        <v>0.85885567437677879</v>
      </c>
    </row>
    <row r="161" spans="1:14" ht="12.75" customHeight="1" x14ac:dyDescent="0.2">
      <c r="A161" s="56" t="s">
        <v>307</v>
      </c>
      <c r="B161" s="79">
        <v>0.72069021956931645</v>
      </c>
      <c r="C161" s="57">
        <v>0.79214579952990272</v>
      </c>
      <c r="D161" s="57">
        <v>0.77809890520745273</v>
      </c>
      <c r="E161" s="57">
        <v>0.81076340255965873</v>
      </c>
      <c r="F161" s="57">
        <v>0.87062304520627276</v>
      </c>
      <c r="G161" s="78">
        <v>0.82017070261817948</v>
      </c>
      <c r="H161" s="57">
        <v>0.81499850316566969</v>
      </c>
      <c r="I161" s="57">
        <v>0.79430651663745444</v>
      </c>
      <c r="J161" s="57">
        <v>0.78825299548698657</v>
      </c>
      <c r="K161" s="77">
        <v>0.89395514871436677</v>
      </c>
      <c r="L161" s="72">
        <v>0.90118962668835345</v>
      </c>
      <c r="M161" s="57">
        <v>0.93693448671687152</v>
      </c>
      <c r="N161" s="57">
        <v>0.92187827988728743</v>
      </c>
    </row>
    <row r="162" spans="1:14" ht="12.75" customHeight="1" x14ac:dyDescent="0.2">
      <c r="A162" s="56" t="s">
        <v>143</v>
      </c>
      <c r="B162" s="79">
        <v>0.72125330431516455</v>
      </c>
      <c r="C162" s="57">
        <v>0.66569409822570691</v>
      </c>
      <c r="D162" s="57">
        <v>0.65229504770175728</v>
      </c>
      <c r="E162" s="57">
        <v>0.71886597361398163</v>
      </c>
      <c r="F162" s="57">
        <v>0.71785247709794109</v>
      </c>
      <c r="G162" s="78">
        <v>0.76559003017092531</v>
      </c>
      <c r="H162" s="57">
        <v>0.75083287021114864</v>
      </c>
      <c r="I162" s="57">
        <v>0.73091558464758999</v>
      </c>
      <c r="J162" s="57">
        <v>0.64350221443050637</v>
      </c>
      <c r="K162" s="77">
        <v>0.75791388714900021</v>
      </c>
      <c r="L162" s="72">
        <v>0.79278372388491203</v>
      </c>
      <c r="M162" s="57">
        <v>0.8142392619411547</v>
      </c>
      <c r="N162" s="57">
        <v>0.8464930594831992</v>
      </c>
    </row>
    <row r="163" spans="1:14" ht="12.75" customHeight="1" x14ac:dyDescent="0.2">
      <c r="A163" s="56" t="s">
        <v>201</v>
      </c>
      <c r="B163" s="79">
        <v>0.81741443294190375</v>
      </c>
      <c r="C163" s="57">
        <v>0.80591627648845177</v>
      </c>
      <c r="D163" s="57">
        <v>0.81611988747563347</v>
      </c>
      <c r="E163" s="57">
        <v>0.77646946748266954</v>
      </c>
      <c r="F163" s="57">
        <v>0.78008730048205277</v>
      </c>
      <c r="G163" s="78">
        <v>0.84056518534554081</v>
      </c>
      <c r="H163" s="57">
        <v>0.79576018182157282</v>
      </c>
      <c r="I163" s="57">
        <v>0.76215753366449768</v>
      </c>
      <c r="J163" s="57">
        <v>0.75896240070304655</v>
      </c>
      <c r="K163" s="77">
        <v>0.89019534521192356</v>
      </c>
      <c r="L163" s="72">
        <v>0.88937662535493722</v>
      </c>
      <c r="M163" s="57">
        <v>0.93272617222925802</v>
      </c>
      <c r="N163" s="57">
        <v>0.89630519396828279</v>
      </c>
    </row>
    <row r="164" spans="1:14" ht="12.75" customHeight="1" x14ac:dyDescent="0.2">
      <c r="A164" s="56" t="s">
        <v>7083</v>
      </c>
      <c r="B164" s="79">
        <v>0.58517208758387762</v>
      </c>
      <c r="C164" s="57">
        <v>0.74544631913685933</v>
      </c>
      <c r="D164" s="57">
        <v>0.78074992438789736</v>
      </c>
      <c r="E164" s="57">
        <v>0.79249928357692379</v>
      </c>
      <c r="F164" s="57">
        <v>0.84695857787229423</v>
      </c>
      <c r="G164" s="78">
        <v>0.85366534869252997</v>
      </c>
      <c r="H164" s="57">
        <v>0.85462383175513734</v>
      </c>
      <c r="I164" s="57">
        <v>0.88005564826765714</v>
      </c>
      <c r="J164" s="57">
        <v>0.90702000730318233</v>
      </c>
      <c r="K164" s="77">
        <v>0.94129986773936059</v>
      </c>
      <c r="L164" s="72">
        <v>0.96009155052595696</v>
      </c>
      <c r="M164" s="57">
        <v>0.97104612748293828</v>
      </c>
      <c r="N164" s="57">
        <v>0.9677140649876883</v>
      </c>
    </row>
    <row r="165" spans="1:14" ht="12.75" customHeight="1" x14ac:dyDescent="0.2">
      <c r="A165" s="56" t="s">
        <v>11</v>
      </c>
      <c r="B165" s="79">
        <v>0.22855706219206537</v>
      </c>
      <c r="C165" s="57">
        <v>0.33400390165371235</v>
      </c>
      <c r="D165" s="57">
        <v>0.23770480951414782</v>
      </c>
      <c r="E165" s="57">
        <v>0.38579427336926342</v>
      </c>
      <c r="F165" s="57">
        <v>0.40098411019120966</v>
      </c>
      <c r="G165" s="78">
        <v>0.43315327821899924</v>
      </c>
      <c r="H165" s="57">
        <v>0.47157151533456232</v>
      </c>
      <c r="I165" s="57">
        <v>0.5379751459473272</v>
      </c>
      <c r="J165" s="57">
        <v>0.55297064451669342</v>
      </c>
      <c r="K165" s="77">
        <v>0.6536062337933024</v>
      </c>
      <c r="L165" s="72">
        <v>0.68166682763458875</v>
      </c>
      <c r="M165" s="57">
        <v>0.67489049298538839</v>
      </c>
      <c r="N165" s="57">
        <v>0.68267311615062454</v>
      </c>
    </row>
    <row r="166" spans="1:14" ht="12.75" customHeight="1" x14ac:dyDescent="0.2">
      <c r="A166" s="56" t="s">
        <v>7082</v>
      </c>
      <c r="B166" s="79">
        <v>0.65855081754931755</v>
      </c>
      <c r="C166" s="57">
        <v>0.63592942913863881</v>
      </c>
      <c r="D166" s="57">
        <v>0.56012261960576015</v>
      </c>
      <c r="E166" s="57">
        <v>0.61733631288299073</v>
      </c>
      <c r="F166" s="57">
        <v>0.5275620817006218</v>
      </c>
      <c r="G166" s="78">
        <v>0.61427417265390705</v>
      </c>
      <c r="H166" s="57">
        <v>0.61346979549684588</v>
      </c>
      <c r="I166" s="57">
        <v>0.7418918397229971</v>
      </c>
      <c r="J166" s="57">
        <v>0.74378457254261676</v>
      </c>
      <c r="K166" s="77">
        <v>0.76630270440235881</v>
      </c>
      <c r="L166" s="72">
        <v>0.79939737885371354</v>
      </c>
      <c r="M166" s="57">
        <v>0.81937955151469555</v>
      </c>
      <c r="N166" s="57">
        <v>0.86856348888913482</v>
      </c>
    </row>
    <row r="167" spans="1:14" ht="12.75" customHeight="1" x14ac:dyDescent="0.2">
      <c r="A167" s="56" t="s">
        <v>50</v>
      </c>
      <c r="B167" s="79">
        <v>0.57540219145123395</v>
      </c>
      <c r="C167" s="57">
        <v>0.6732790299766408</v>
      </c>
      <c r="D167" s="57">
        <v>0.61443535776918146</v>
      </c>
      <c r="E167" s="57">
        <v>0.58293553513329455</v>
      </c>
      <c r="F167" s="57">
        <v>0.62326104758184586</v>
      </c>
      <c r="G167" s="78">
        <v>0.66977512752545942</v>
      </c>
      <c r="H167" s="57">
        <v>0.71818820275163653</v>
      </c>
      <c r="I167" s="57">
        <v>0.77985977186577182</v>
      </c>
      <c r="J167" s="57">
        <v>0.81882798473747731</v>
      </c>
      <c r="K167" s="77">
        <v>0.84566500580798643</v>
      </c>
      <c r="L167" s="72">
        <v>0.86750075919239922</v>
      </c>
      <c r="M167" s="57">
        <v>0.87192252948625337</v>
      </c>
      <c r="N167" s="57">
        <v>0.90950081995655707</v>
      </c>
    </row>
    <row r="168" spans="1:14" ht="12.75" customHeight="1" x14ac:dyDescent="0.2">
      <c r="A168" s="56" t="s">
        <v>157</v>
      </c>
      <c r="B168" s="79">
        <v>0.72286118509499175</v>
      </c>
      <c r="C168" s="57">
        <v>0.80157653282361674</v>
      </c>
      <c r="D168" s="57">
        <v>0.80537506847206719</v>
      </c>
      <c r="E168" s="57">
        <v>0.80473137760671831</v>
      </c>
      <c r="F168" s="57">
        <v>0.8358625716542305</v>
      </c>
      <c r="G168" s="78">
        <v>0.8664197782849119</v>
      </c>
      <c r="H168" s="57">
        <v>0.8883740302635984</v>
      </c>
      <c r="I168" s="57">
        <v>0.91293409570556017</v>
      </c>
      <c r="J168" s="57">
        <v>0.91333842557552825</v>
      </c>
      <c r="K168" s="77">
        <v>0.93918135287874061</v>
      </c>
      <c r="L168" s="72">
        <v>0.94443342124990637</v>
      </c>
      <c r="M168" s="57">
        <v>0.96241582911198975</v>
      </c>
      <c r="N168" s="57">
        <v>0.9478560496858438</v>
      </c>
    </row>
    <row r="169" spans="1:14" ht="12.75" customHeight="1" x14ac:dyDescent="0.2">
      <c r="A169" s="56" t="s">
        <v>300</v>
      </c>
      <c r="B169" s="79">
        <v>0.60139589781935843</v>
      </c>
      <c r="C169" s="57">
        <v>0.77424640269994294</v>
      </c>
      <c r="D169" s="57">
        <v>0.75546481407166755</v>
      </c>
      <c r="E169" s="57">
        <v>0.78560094375813916</v>
      </c>
      <c r="F169" s="57">
        <v>0.80516421865139809</v>
      </c>
      <c r="G169" s="78">
        <v>0.84627535924665143</v>
      </c>
      <c r="H169" s="57">
        <v>0.89961466002642543</v>
      </c>
      <c r="I169" s="57">
        <v>0.91152343610270359</v>
      </c>
      <c r="J169" s="57">
        <v>0.9004802652549686</v>
      </c>
      <c r="K169" s="77">
        <v>0.91328293565607532</v>
      </c>
      <c r="L169" s="72">
        <v>0.94781571158668754</v>
      </c>
      <c r="M169" s="57">
        <v>0.90800473278700167</v>
      </c>
      <c r="N169" s="57">
        <v>0.93593562669328445</v>
      </c>
    </row>
    <row r="170" spans="1:14" ht="12.75" customHeight="1" x14ac:dyDescent="0.2">
      <c r="A170" s="56" t="s">
        <v>212</v>
      </c>
      <c r="B170" s="79">
        <v>0.92789918491624535</v>
      </c>
      <c r="C170" s="57">
        <v>0.68845894822478459</v>
      </c>
      <c r="D170" s="57">
        <v>0.69717642285866144</v>
      </c>
      <c r="E170" s="57">
        <v>0.90580164109442451</v>
      </c>
      <c r="F170" s="57">
        <v>0.91104114303722195</v>
      </c>
      <c r="G170" s="78">
        <v>0.8057228214617187</v>
      </c>
      <c r="H170" s="57">
        <v>0.83217414002168677</v>
      </c>
      <c r="I170" s="57">
        <v>0.93628816650907443</v>
      </c>
      <c r="J170" s="57">
        <v>0.8971505021165691</v>
      </c>
      <c r="K170" s="77">
        <v>0.95010104504762127</v>
      </c>
      <c r="L170" s="72">
        <v>0.97766098323725559</v>
      </c>
      <c r="M170" s="57">
        <v>0.96852726790999621</v>
      </c>
      <c r="N170" s="57">
        <v>0.9511386152494653</v>
      </c>
    </row>
    <row r="171" spans="1:14" ht="12.75" customHeight="1" x14ac:dyDescent="0.2">
      <c r="A171" s="56" t="s">
        <v>167</v>
      </c>
      <c r="B171" s="79">
        <v>0.58624988588732241</v>
      </c>
      <c r="C171" s="57">
        <v>0.62881803494547073</v>
      </c>
      <c r="D171" s="57">
        <v>0.59963008422498099</v>
      </c>
      <c r="E171" s="57">
        <v>0.62947102339263006</v>
      </c>
      <c r="F171" s="57">
        <v>0.76552656947280151</v>
      </c>
      <c r="G171" s="78">
        <v>0.83915180155712277</v>
      </c>
      <c r="H171" s="57">
        <v>0.8406399560392952</v>
      </c>
      <c r="I171" s="57">
        <v>0.82720484286254947</v>
      </c>
      <c r="J171" s="57">
        <v>0.87409550027957905</v>
      </c>
      <c r="K171" s="77">
        <v>0.95225441179233017</v>
      </c>
      <c r="L171" s="72">
        <v>0.94967632717886152</v>
      </c>
      <c r="M171" s="57">
        <v>0.87170676147164516</v>
      </c>
      <c r="N171" s="57">
        <v>0.88697867174661815</v>
      </c>
    </row>
    <row r="172" spans="1:14" ht="12.75" customHeight="1" x14ac:dyDescent="0.2">
      <c r="A172" s="56" t="s">
        <v>144</v>
      </c>
      <c r="B172" s="79">
        <v>0.51383633112655513</v>
      </c>
      <c r="C172" s="57">
        <v>0.64907190572928408</v>
      </c>
      <c r="D172" s="57">
        <v>0.65918016489270748</v>
      </c>
      <c r="E172" s="57">
        <v>0.61836540138063512</v>
      </c>
      <c r="F172" s="57">
        <v>0.68592177665691167</v>
      </c>
      <c r="G172" s="78">
        <v>0.67623703684942216</v>
      </c>
      <c r="H172" s="57">
        <v>0.70839681413638977</v>
      </c>
      <c r="I172" s="57">
        <v>0.74755601409404715</v>
      </c>
      <c r="J172" s="57">
        <v>0.7619003277792129</v>
      </c>
      <c r="K172" s="77">
        <v>0.81471209859667282</v>
      </c>
      <c r="L172" s="72">
        <v>0.80298548887500865</v>
      </c>
      <c r="M172" s="57">
        <v>0.76163381711029543</v>
      </c>
      <c r="N172" s="57">
        <v>0.76686574259287343</v>
      </c>
    </row>
    <row r="173" spans="1:14" ht="12.75" customHeight="1" x14ac:dyDescent="0.2">
      <c r="A173" s="56" t="s">
        <v>93</v>
      </c>
      <c r="B173" s="79">
        <v>0.65555364506662683</v>
      </c>
      <c r="C173" s="57">
        <v>0.65496714718949756</v>
      </c>
      <c r="D173" s="57">
        <v>0.69088788979687266</v>
      </c>
      <c r="E173" s="57">
        <v>0.67139335317100468</v>
      </c>
      <c r="F173" s="57">
        <v>0.65060108748544021</v>
      </c>
      <c r="G173" s="78">
        <v>0.73202360367780384</v>
      </c>
      <c r="H173" s="57">
        <v>0.76556085567367704</v>
      </c>
      <c r="I173" s="57">
        <v>0.71535581777066626</v>
      </c>
      <c r="J173" s="57">
        <v>0.71941370686711203</v>
      </c>
      <c r="K173" s="77">
        <v>0.82928868408563461</v>
      </c>
      <c r="L173" s="72">
        <v>0.82966197514893336</v>
      </c>
      <c r="M173" s="57">
        <v>0.84684339515595852</v>
      </c>
      <c r="N173" s="57">
        <v>0.82452875156800998</v>
      </c>
    </row>
    <row r="174" spans="1:14" ht="12.75" customHeight="1" x14ac:dyDescent="0.2">
      <c r="A174" s="56" t="s">
        <v>36</v>
      </c>
      <c r="B174" s="79">
        <v>0.59440558849041703</v>
      </c>
      <c r="C174" s="57">
        <v>0.6285804993479277</v>
      </c>
      <c r="D174" s="57">
        <v>0.62439820618956565</v>
      </c>
      <c r="E174" s="57">
        <v>0.67453998692769546</v>
      </c>
      <c r="F174" s="57">
        <v>0.69101619134012093</v>
      </c>
      <c r="G174" s="78">
        <v>0.75422312202755659</v>
      </c>
      <c r="H174" s="57">
        <v>0.75260384365279764</v>
      </c>
      <c r="I174" s="57">
        <v>0.82291349332211672</v>
      </c>
      <c r="J174" s="57">
        <v>0.82710717288389146</v>
      </c>
      <c r="K174" s="77">
        <v>0.86409009633648215</v>
      </c>
      <c r="L174" s="72">
        <v>0.86296331205604693</v>
      </c>
      <c r="M174" s="57">
        <v>0.87811511930907793</v>
      </c>
      <c r="N174" s="57">
        <v>0.89895330311024002</v>
      </c>
    </row>
    <row r="175" spans="1:14" ht="12.75" customHeight="1" x14ac:dyDescent="0.2">
      <c r="A175" s="56" t="s">
        <v>202</v>
      </c>
      <c r="B175" s="79">
        <v>0.78804236460137567</v>
      </c>
      <c r="C175" s="57">
        <v>0.79059654244511068</v>
      </c>
      <c r="D175" s="57">
        <v>0.78071688825279317</v>
      </c>
      <c r="E175" s="57">
        <v>0.84197259715556994</v>
      </c>
      <c r="F175" s="57">
        <v>0.859067744329717</v>
      </c>
      <c r="G175" s="78">
        <v>0.8860072215052377</v>
      </c>
      <c r="H175" s="57">
        <v>0.87907255451862909</v>
      </c>
      <c r="I175" s="57">
        <v>0.89086297993427987</v>
      </c>
      <c r="J175" s="57">
        <v>0.89231533457521617</v>
      </c>
      <c r="K175" s="77">
        <v>0.94199558764633973</v>
      </c>
      <c r="L175" s="72">
        <v>0.92981929259284435</v>
      </c>
      <c r="M175" s="57">
        <v>0.94904192982537505</v>
      </c>
      <c r="N175" s="57">
        <v>0.95829550098026217</v>
      </c>
    </row>
    <row r="176" spans="1:14" ht="12.75" customHeight="1" x14ac:dyDescent="0.2">
      <c r="A176" s="56" t="s">
        <v>253</v>
      </c>
      <c r="B176" s="79">
        <v>0.68503130848121829</v>
      </c>
      <c r="C176" s="57">
        <v>0.71442545328463336</v>
      </c>
      <c r="D176" s="57">
        <v>0.74839505206966861</v>
      </c>
      <c r="E176" s="57">
        <v>0.78986431723747286</v>
      </c>
      <c r="F176" s="57">
        <v>0.83588718868124157</v>
      </c>
      <c r="G176" s="78">
        <v>0.82885303941073751</v>
      </c>
      <c r="H176" s="57">
        <v>0.81649100314006628</v>
      </c>
      <c r="I176" s="57">
        <v>0.800179915199009</v>
      </c>
      <c r="J176" s="57">
        <v>0.81262829747858878</v>
      </c>
      <c r="K176" s="77">
        <v>0.88216853116402094</v>
      </c>
      <c r="L176" s="72">
        <v>0.89062832702971606</v>
      </c>
      <c r="M176" s="57">
        <v>0.84462336517256043</v>
      </c>
      <c r="N176" s="57">
        <v>0.86892708582780764</v>
      </c>
    </row>
    <row r="177" spans="1:14" ht="12.75" customHeight="1" x14ac:dyDescent="0.2">
      <c r="A177" s="56" t="s">
        <v>168</v>
      </c>
      <c r="B177" s="79">
        <v>0.55293733865313277</v>
      </c>
      <c r="C177" s="57">
        <v>0.53755094179051055</v>
      </c>
      <c r="D177" s="57">
        <v>0.46336057681776593</v>
      </c>
      <c r="E177" s="57">
        <v>0.59031956119823392</v>
      </c>
      <c r="F177" s="57">
        <v>0.6151813783908161</v>
      </c>
      <c r="G177" s="78">
        <v>0.65103752595588082</v>
      </c>
      <c r="H177" s="57">
        <v>0.6126158109573544</v>
      </c>
      <c r="I177" s="57">
        <v>0.75031640267264865</v>
      </c>
      <c r="J177" s="57">
        <v>0.71779011505984935</v>
      </c>
      <c r="K177" s="77">
        <v>0.87929341981850972</v>
      </c>
      <c r="L177" s="72">
        <v>0.88692989431454083</v>
      </c>
      <c r="M177" s="57">
        <v>0.57566231877329554</v>
      </c>
      <c r="N177" s="57">
        <v>0.65409773144389649</v>
      </c>
    </row>
    <row r="178" spans="1:14" ht="12.75" customHeight="1" x14ac:dyDescent="0.2">
      <c r="A178" s="56" t="s">
        <v>213</v>
      </c>
      <c r="B178" s="79">
        <v>0.82585142488908747</v>
      </c>
      <c r="C178" s="57">
        <v>0.83059582023561773</v>
      </c>
      <c r="D178" s="57">
        <v>0.8355087182426526</v>
      </c>
      <c r="E178" s="57">
        <v>0.82776850870213847</v>
      </c>
      <c r="F178" s="57">
        <v>0.83005024592004617</v>
      </c>
      <c r="G178" s="78">
        <v>0.83513898653609175</v>
      </c>
      <c r="H178" s="57">
        <v>0.88000535066900765</v>
      </c>
      <c r="I178" s="57">
        <v>0.96201303960629203</v>
      </c>
      <c r="J178" s="57">
        <v>0.95636657109478374</v>
      </c>
      <c r="K178" s="77">
        <v>0.96646005339389751</v>
      </c>
      <c r="L178" s="72">
        <v>0.96362086393662028</v>
      </c>
      <c r="M178" s="57">
        <v>0.96846318952564947</v>
      </c>
      <c r="N178" s="57">
        <v>0.97232555791174391</v>
      </c>
    </row>
    <row r="179" spans="1:14" ht="12.75" customHeight="1" x14ac:dyDescent="0.2">
      <c r="A179" s="56" t="s">
        <v>158</v>
      </c>
      <c r="B179" s="79">
        <v>0.62302834896374593</v>
      </c>
      <c r="C179" s="57">
        <v>0.65537237315740871</v>
      </c>
      <c r="D179" s="57">
        <v>0.62675126405143733</v>
      </c>
      <c r="E179" s="57">
        <v>0.64399333828882632</v>
      </c>
      <c r="F179" s="57">
        <v>0.64344480771580281</v>
      </c>
      <c r="G179" s="78">
        <v>0.69635045273076601</v>
      </c>
      <c r="H179" s="57">
        <v>0.74236904164966722</v>
      </c>
      <c r="I179" s="57">
        <v>0.83112529676447899</v>
      </c>
      <c r="J179" s="57">
        <v>0.77996122625755071</v>
      </c>
      <c r="K179" s="77">
        <v>0.87164226445024096</v>
      </c>
      <c r="L179" s="72">
        <v>0.87763697285008946</v>
      </c>
      <c r="M179" s="57">
        <v>0.74991202820790903</v>
      </c>
      <c r="N179" s="57">
        <v>0.79098566275772275</v>
      </c>
    </row>
    <row r="180" spans="1:14" ht="12.75" customHeight="1" x14ac:dyDescent="0.2">
      <c r="A180" s="56" t="s">
        <v>229</v>
      </c>
      <c r="B180" s="79">
        <v>0.67592465752671516</v>
      </c>
      <c r="C180" s="57">
        <v>0.73003667016070717</v>
      </c>
      <c r="D180" s="57">
        <v>0.69099490270606256</v>
      </c>
      <c r="E180" s="57">
        <v>0.80818246459844312</v>
      </c>
      <c r="F180" s="57">
        <v>0.8309683491854406</v>
      </c>
      <c r="G180" s="78">
        <v>0.82056839037144969</v>
      </c>
      <c r="H180" s="57">
        <v>0.81560788841175202</v>
      </c>
      <c r="I180" s="57">
        <v>0.91779140742860554</v>
      </c>
      <c r="J180" s="57">
        <v>0.95073842692602972</v>
      </c>
      <c r="K180" s="77">
        <v>0.95246873862731729</v>
      </c>
      <c r="L180" s="72">
        <v>0.9179623029576538</v>
      </c>
      <c r="M180" s="57">
        <v>0.86373272539982715</v>
      </c>
      <c r="N180" s="57">
        <v>0.85185483204135448</v>
      </c>
    </row>
    <row r="181" spans="1:14" ht="12.75" customHeight="1" x14ac:dyDescent="0.2">
      <c r="A181" s="56" t="s">
        <v>118</v>
      </c>
      <c r="B181" s="79">
        <v>0.58124754801184064</v>
      </c>
      <c r="C181" s="57">
        <v>0.55021064616139581</v>
      </c>
      <c r="D181" s="57">
        <v>0.52786554742785197</v>
      </c>
      <c r="E181" s="57">
        <v>0.59027942816094281</v>
      </c>
      <c r="F181" s="57">
        <v>0.58973309071013646</v>
      </c>
      <c r="G181" s="78">
        <v>0.61912435504944174</v>
      </c>
      <c r="H181" s="57">
        <v>0.57216738284930513</v>
      </c>
      <c r="I181" s="57">
        <v>0.58822703313962366</v>
      </c>
      <c r="J181" s="57">
        <v>0.61287642418537591</v>
      </c>
      <c r="K181" s="77">
        <v>0.71826126392534007</v>
      </c>
      <c r="L181" s="72">
        <v>0.74091426988823872</v>
      </c>
      <c r="M181" s="57">
        <v>0.79935250150276682</v>
      </c>
      <c r="N181" s="57">
        <v>0.81767451415728709</v>
      </c>
    </row>
    <row r="182" spans="1:14" ht="12.75" customHeight="1" x14ac:dyDescent="0.2">
      <c r="A182" s="56" t="s">
        <v>335</v>
      </c>
      <c r="B182" s="79">
        <v>0.73044667047330514</v>
      </c>
      <c r="C182" s="57">
        <v>0.77977696666942842</v>
      </c>
      <c r="D182" s="57">
        <v>0.80383676954287953</v>
      </c>
      <c r="E182" s="57">
        <v>0.80130463913385563</v>
      </c>
      <c r="F182" s="57">
        <v>0.83075559097663709</v>
      </c>
      <c r="G182" s="78">
        <v>0.79578631065193617</v>
      </c>
      <c r="H182" s="57">
        <v>0.75430712456085425</v>
      </c>
      <c r="I182" s="57">
        <v>0.8379477703152417</v>
      </c>
      <c r="J182" s="57">
        <v>0.86850801385663312</v>
      </c>
      <c r="K182" s="77">
        <v>0.92859808665479993</v>
      </c>
      <c r="L182" s="72">
        <v>0.92378148730670318</v>
      </c>
      <c r="M182" s="57">
        <v>0.90971473966217842</v>
      </c>
      <c r="N182" s="57">
        <v>0.91280879600957376</v>
      </c>
    </row>
    <row r="183" spans="1:14" ht="12.75" customHeight="1" x14ac:dyDescent="0.2">
      <c r="A183" s="56" t="s">
        <v>173</v>
      </c>
      <c r="B183" s="79">
        <v>0.74800770779875969</v>
      </c>
      <c r="C183" s="57">
        <v>0.7752158801843112</v>
      </c>
      <c r="D183" s="57">
        <v>0.78401956276772211</v>
      </c>
      <c r="E183" s="57">
        <v>0.76948449267470787</v>
      </c>
      <c r="F183" s="57">
        <v>0.77422688550273411</v>
      </c>
      <c r="G183" s="78">
        <v>0.777668223060063</v>
      </c>
      <c r="H183" s="57">
        <v>0.82234524111036067</v>
      </c>
      <c r="I183" s="57">
        <v>0.85026104527588164</v>
      </c>
      <c r="J183" s="57">
        <v>0.86713865083746511</v>
      </c>
      <c r="K183" s="77">
        <v>0.89306075573233568</v>
      </c>
      <c r="L183" s="72">
        <v>0.87668621042795358</v>
      </c>
      <c r="M183" s="57">
        <v>0.93191144380603297</v>
      </c>
      <c r="N183" s="57">
        <v>0.92552663399923629</v>
      </c>
    </row>
    <row r="184" spans="1:14" ht="12.75" customHeight="1" x14ac:dyDescent="0.2">
      <c r="A184" s="56" t="s">
        <v>135</v>
      </c>
      <c r="B184" s="79">
        <v>0.66283807993538724</v>
      </c>
      <c r="C184" s="57">
        <v>0.70352256917339717</v>
      </c>
      <c r="D184" s="57">
        <v>0.6657498026313533</v>
      </c>
      <c r="E184" s="57">
        <v>0.66240166422367841</v>
      </c>
      <c r="F184" s="57">
        <v>0.71955926500209577</v>
      </c>
      <c r="G184" s="78">
        <v>0.72283723393507904</v>
      </c>
      <c r="H184" s="57">
        <v>0.74333679582852696</v>
      </c>
      <c r="I184" s="57">
        <v>0.76522519745958684</v>
      </c>
      <c r="J184" s="57">
        <v>0.84413906850125364</v>
      </c>
      <c r="K184" s="77">
        <v>0.85721885584177904</v>
      </c>
      <c r="L184" s="72">
        <v>0.85822392946604653</v>
      </c>
      <c r="M184" s="57">
        <v>0.87710033994629677</v>
      </c>
      <c r="N184" s="57">
        <v>0.85792317933238671</v>
      </c>
    </row>
    <row r="185" spans="1:14" ht="12.75" customHeight="1" x14ac:dyDescent="0.2">
      <c r="A185" s="56" t="s">
        <v>254</v>
      </c>
      <c r="B185" s="79">
        <v>0.63090703406155524</v>
      </c>
      <c r="C185" s="57">
        <v>0.67168172531936521</v>
      </c>
      <c r="D185" s="57">
        <v>0.64740959836475387</v>
      </c>
      <c r="E185" s="57">
        <v>0.71480436148920812</v>
      </c>
      <c r="F185" s="57">
        <v>0.73250010909511643</v>
      </c>
      <c r="G185" s="78">
        <v>0.75132080934027812</v>
      </c>
      <c r="H185" s="57">
        <v>0.75309792948310039</v>
      </c>
      <c r="I185" s="57">
        <v>0.7635287359166425</v>
      </c>
      <c r="J185" s="57">
        <v>0.72567896894637995</v>
      </c>
      <c r="K185" s="77">
        <v>0.84466288189014493</v>
      </c>
      <c r="L185" s="72">
        <v>0.83595500008660761</v>
      </c>
      <c r="M185" s="57">
        <v>0.9326480227100703</v>
      </c>
      <c r="N185" s="57">
        <v>0.8856856872133213</v>
      </c>
    </row>
    <row r="186" spans="1:14" ht="12.75" customHeight="1" x14ac:dyDescent="0.2">
      <c r="A186" s="56" t="s">
        <v>214</v>
      </c>
      <c r="B186" s="79">
        <v>0.7626197039608541</v>
      </c>
      <c r="C186" s="57">
        <v>0.74487534840518355</v>
      </c>
      <c r="D186" s="57">
        <v>0.72310032789431522</v>
      </c>
      <c r="E186" s="57">
        <v>0.75321780518862225</v>
      </c>
      <c r="F186" s="57">
        <v>0.77169710150398751</v>
      </c>
      <c r="G186" s="78">
        <v>0.6817049316156053</v>
      </c>
      <c r="H186" s="57">
        <v>0.77498083244490301</v>
      </c>
      <c r="I186" s="57">
        <v>0.76779504341206062</v>
      </c>
      <c r="J186" s="57">
        <v>0.74624478260895932</v>
      </c>
      <c r="K186" s="77">
        <v>0.86377649276547197</v>
      </c>
      <c r="L186" s="72">
        <v>0.85129590238009156</v>
      </c>
      <c r="M186" s="57">
        <v>0.83293824790976212</v>
      </c>
      <c r="N186" s="57">
        <v>0.88055348331219585</v>
      </c>
    </row>
    <row r="187" spans="1:14" ht="12.75" customHeight="1" x14ac:dyDescent="0.2">
      <c r="A187" s="56" t="s">
        <v>159</v>
      </c>
      <c r="B187" s="79">
        <v>0.79445989748805224</v>
      </c>
      <c r="C187" s="57">
        <v>0.81918405509710379</v>
      </c>
      <c r="D187" s="57">
        <v>0.82447819536600941</v>
      </c>
      <c r="E187" s="57">
        <v>0.84475670575061768</v>
      </c>
      <c r="F187" s="57">
        <v>0.87637711728401746</v>
      </c>
      <c r="G187" s="78">
        <v>0.95212695039267914</v>
      </c>
      <c r="H187" s="57">
        <v>0.9321043709643464</v>
      </c>
      <c r="I187" s="57">
        <v>0.91047213876759525</v>
      </c>
      <c r="J187" s="57">
        <v>0.89431993840365032</v>
      </c>
      <c r="K187" s="77">
        <v>0.93825305360611866</v>
      </c>
      <c r="L187" s="72">
        <v>0.9556289631345728</v>
      </c>
      <c r="M187" s="57">
        <v>0.97763170808349276</v>
      </c>
      <c r="N187" s="57">
        <v>0.95521512254230945</v>
      </c>
    </row>
    <row r="188" spans="1:14" ht="12.75" customHeight="1" x14ac:dyDescent="0.2">
      <c r="A188" s="56" t="s">
        <v>17</v>
      </c>
      <c r="B188" s="79">
        <v>0.59493388175575534</v>
      </c>
      <c r="C188" s="57">
        <v>0.66752292538859037</v>
      </c>
      <c r="D188" s="57">
        <v>0.63858126347492616</v>
      </c>
      <c r="E188" s="57">
        <v>0.68051009450074562</v>
      </c>
      <c r="F188" s="57">
        <v>0.69196322778732888</v>
      </c>
      <c r="G188" s="78">
        <v>0.7524517091139481</v>
      </c>
      <c r="H188" s="57">
        <v>0.7833828620015032</v>
      </c>
      <c r="I188" s="57">
        <v>0.84356585226548664</v>
      </c>
      <c r="J188" s="57">
        <v>0.86146911853161823</v>
      </c>
      <c r="K188" s="77">
        <v>0.8854704368510653</v>
      </c>
      <c r="L188" s="72">
        <v>0.87159469427887748</v>
      </c>
      <c r="M188" s="57">
        <v>0.85786621745172031</v>
      </c>
      <c r="N188" s="57">
        <v>0.90600191220088855</v>
      </c>
    </row>
    <row r="189" spans="1:14" ht="12.75" customHeight="1" x14ac:dyDescent="0.2">
      <c r="A189" s="56" t="s">
        <v>73</v>
      </c>
      <c r="B189" s="79">
        <v>0.35644613904433176</v>
      </c>
      <c r="C189" s="57">
        <v>0.42137325692633087</v>
      </c>
      <c r="D189" s="57">
        <v>0.39478642634987732</v>
      </c>
      <c r="E189" s="57">
        <v>0.47832658608372947</v>
      </c>
      <c r="F189" s="57">
        <v>0.54002167642846377</v>
      </c>
      <c r="G189" s="78">
        <v>0.56369180712047828</v>
      </c>
      <c r="H189" s="57">
        <v>0.59019782801243736</v>
      </c>
      <c r="I189" s="57">
        <v>0.63138234849917363</v>
      </c>
      <c r="J189" s="57">
        <v>0.67005563202145446</v>
      </c>
      <c r="K189" s="77">
        <v>0.69166653605006689</v>
      </c>
      <c r="L189" s="72">
        <v>0.7221301645276238</v>
      </c>
      <c r="M189" s="57">
        <v>0.77277501857964126</v>
      </c>
      <c r="N189" s="57">
        <v>0.77423051110009444</v>
      </c>
    </row>
    <row r="190" spans="1:14" ht="12.75" customHeight="1" x14ac:dyDescent="0.2">
      <c r="A190" s="56" t="s">
        <v>82</v>
      </c>
      <c r="B190" s="79">
        <v>0.70316245765883212</v>
      </c>
      <c r="C190" s="57">
        <v>0.77687898265136024</v>
      </c>
      <c r="D190" s="57">
        <v>0.74264525371651269</v>
      </c>
      <c r="E190" s="57">
        <v>0.75639920364226099</v>
      </c>
      <c r="F190" s="57">
        <v>0.77978577778993452</v>
      </c>
      <c r="G190" s="78">
        <v>0.83897741040625751</v>
      </c>
      <c r="H190" s="57">
        <v>0.8688001429932396</v>
      </c>
      <c r="I190" s="57">
        <v>0.86115881971721175</v>
      </c>
      <c r="J190" s="57">
        <v>0.8514560868203862</v>
      </c>
      <c r="K190" s="77">
        <v>0.87504753465776175</v>
      </c>
      <c r="L190" s="72">
        <v>0.87873115060875628</v>
      </c>
      <c r="M190" s="57">
        <v>0.88937279633824362</v>
      </c>
      <c r="N190" s="57">
        <v>0.87459943385550465</v>
      </c>
    </row>
    <row r="191" spans="1:14" ht="12.75" customHeight="1" x14ac:dyDescent="0.2">
      <c r="A191" s="56" t="s">
        <v>119</v>
      </c>
      <c r="B191" s="79">
        <v>0.48178393339914366</v>
      </c>
      <c r="C191" s="57">
        <v>0.62253821119616193</v>
      </c>
      <c r="D191" s="57">
        <v>0.62763925319366853</v>
      </c>
      <c r="E191" s="57">
        <v>0.70716469091913103</v>
      </c>
      <c r="F191" s="57">
        <v>0.7143303941280994</v>
      </c>
      <c r="G191" s="78">
        <v>0.69587928660855303</v>
      </c>
      <c r="H191" s="57">
        <v>0.79055773389655748</v>
      </c>
      <c r="I191" s="57">
        <v>0.84552649237364053</v>
      </c>
      <c r="J191" s="57">
        <v>0.83303257027618305</v>
      </c>
      <c r="K191" s="77">
        <v>0.91170400479820812</v>
      </c>
      <c r="L191" s="72">
        <v>0.89437625818113875</v>
      </c>
      <c r="M191" s="57">
        <v>0.91814078711866609</v>
      </c>
      <c r="N191" s="57">
        <v>0.92980835095060665</v>
      </c>
    </row>
    <row r="192" spans="1:14" ht="12.75" customHeight="1" x14ac:dyDescent="0.2">
      <c r="A192" s="56" t="s">
        <v>160</v>
      </c>
      <c r="B192" s="79">
        <v>0.72926511042174258</v>
      </c>
      <c r="C192" s="57">
        <v>0.71411844124955881</v>
      </c>
      <c r="D192" s="57">
        <v>0.68082233711395468</v>
      </c>
      <c r="E192" s="57">
        <v>0.80423126241176723</v>
      </c>
      <c r="F192" s="57">
        <v>0.83864436660748631</v>
      </c>
      <c r="G192" s="78">
        <v>0.87591689676901152</v>
      </c>
      <c r="H192" s="57">
        <v>0.8729318030896821</v>
      </c>
      <c r="I192" s="57">
        <v>0.92095938121120047</v>
      </c>
      <c r="J192" s="57">
        <v>0.93230114029627753</v>
      </c>
      <c r="K192" s="77">
        <v>0.92139415469079744</v>
      </c>
      <c r="L192" s="72">
        <v>0.93601889507896263</v>
      </c>
      <c r="M192" s="57">
        <v>0.97074105621805795</v>
      </c>
      <c r="N192" s="57">
        <v>0.97019062948778612</v>
      </c>
    </row>
    <row r="193" spans="1:14" ht="12.75" customHeight="1" x14ac:dyDescent="0.2">
      <c r="A193" s="56" t="s">
        <v>7081</v>
      </c>
      <c r="B193" s="79">
        <v>0.61944027804173507</v>
      </c>
      <c r="C193" s="57">
        <v>0.76512432927559404</v>
      </c>
      <c r="D193" s="57">
        <v>0.72275759447901766</v>
      </c>
      <c r="E193" s="57">
        <v>0.72421762478646534</v>
      </c>
      <c r="F193" s="57">
        <v>0.77562470280815399</v>
      </c>
      <c r="G193" s="78">
        <v>0.78915212152734127</v>
      </c>
      <c r="H193" s="57">
        <v>0.77499658652774461</v>
      </c>
      <c r="I193" s="57">
        <v>0.829232308683577</v>
      </c>
      <c r="J193" s="57">
        <v>0.83986064397701965</v>
      </c>
      <c r="K193" s="77">
        <v>0.85028931426818088</v>
      </c>
      <c r="L193" s="72">
        <v>0.85323435204610509</v>
      </c>
      <c r="M193" s="57">
        <v>0.92332363142131513</v>
      </c>
      <c r="N193" s="57">
        <v>0.93304323369808129</v>
      </c>
    </row>
    <row r="194" spans="1:14" ht="12.75" customHeight="1" x14ac:dyDescent="0.2">
      <c r="A194" s="56" t="s">
        <v>288</v>
      </c>
      <c r="B194" s="79">
        <v>0.72906832721216119</v>
      </c>
      <c r="C194" s="57">
        <v>0.72401902891551673</v>
      </c>
      <c r="D194" s="57">
        <v>0.7153510498373441</v>
      </c>
      <c r="E194" s="57">
        <v>0.65854557575045281</v>
      </c>
      <c r="F194" s="57">
        <v>0.6995304518651787</v>
      </c>
      <c r="G194" s="78">
        <v>0.75681365389234878</v>
      </c>
      <c r="H194" s="57">
        <v>0.75499967507406984</v>
      </c>
      <c r="I194" s="57">
        <v>0.79879407561310023</v>
      </c>
      <c r="J194" s="57">
        <v>0.82094095335786699</v>
      </c>
      <c r="K194" s="77">
        <v>0.87526435149773985</v>
      </c>
      <c r="L194" s="72">
        <v>0.82411537916237365</v>
      </c>
      <c r="M194" s="57">
        <v>0.91222815268254953</v>
      </c>
      <c r="N194" s="57">
        <v>0.91596583171979562</v>
      </c>
    </row>
    <row r="195" spans="1:14" ht="12.75" customHeight="1" x14ac:dyDescent="0.2">
      <c r="A195" s="56" t="s">
        <v>191</v>
      </c>
      <c r="B195" s="79">
        <v>0.91431530160799823</v>
      </c>
      <c r="C195" s="57">
        <v>0.86716098823785825</v>
      </c>
      <c r="D195" s="57">
        <v>0.86563738092491416</v>
      </c>
      <c r="E195" s="57">
        <v>0.87866996240767681</v>
      </c>
      <c r="F195" s="57">
        <v>0.86868206110156332</v>
      </c>
      <c r="G195" s="78">
        <v>0.90575159648152825</v>
      </c>
      <c r="H195" s="57">
        <v>0.90881941108981668</v>
      </c>
      <c r="I195" s="57">
        <v>0.92504546795330878</v>
      </c>
      <c r="J195" s="57">
        <v>0.88898563011061749</v>
      </c>
      <c r="K195" s="77">
        <v>0.90647086881506544</v>
      </c>
      <c r="L195" s="72">
        <v>0.94254675683059996</v>
      </c>
      <c r="M195" s="57">
        <v>0.95682220681932073</v>
      </c>
      <c r="N195" s="57">
        <v>0.95373756729207404</v>
      </c>
    </row>
    <row r="196" spans="1:14" ht="12.75" customHeight="1" x14ac:dyDescent="0.2">
      <c r="A196" s="56" t="s">
        <v>105</v>
      </c>
      <c r="B196" s="79">
        <v>0.7334175491475432</v>
      </c>
      <c r="C196" s="57">
        <v>0.74162313270344482</v>
      </c>
      <c r="D196" s="57">
        <v>0.73124305541793744</v>
      </c>
      <c r="E196" s="57">
        <v>0.77022300838459234</v>
      </c>
      <c r="F196" s="57">
        <v>0.77364470512331052</v>
      </c>
      <c r="G196" s="78">
        <v>0.79861760744031818</v>
      </c>
      <c r="H196" s="57">
        <v>0.8246289474684817</v>
      </c>
      <c r="I196" s="57">
        <v>0.86718056025735768</v>
      </c>
      <c r="J196" s="57">
        <v>0.8759495780150528</v>
      </c>
      <c r="K196" s="77">
        <v>0.91060825575922066</v>
      </c>
      <c r="L196" s="72">
        <v>0.91741900846677615</v>
      </c>
      <c r="M196" s="57">
        <v>0.90269239123381384</v>
      </c>
      <c r="N196" s="57">
        <v>0.92894398614727924</v>
      </c>
    </row>
    <row r="197" spans="1:14" ht="12.75" customHeight="1" x14ac:dyDescent="0.2">
      <c r="A197" s="56" t="s">
        <v>255</v>
      </c>
      <c r="B197" s="79">
        <v>0.43262436685990491</v>
      </c>
      <c r="C197" s="57">
        <v>0.47438193435370002</v>
      </c>
      <c r="D197" s="57">
        <v>0.49106027677683556</v>
      </c>
      <c r="E197" s="57">
        <v>0.55435932972588087</v>
      </c>
      <c r="F197" s="57">
        <v>0.59251880961591408</v>
      </c>
      <c r="G197" s="78">
        <v>0.63199666269042043</v>
      </c>
      <c r="H197" s="57">
        <v>0.63234591232860116</v>
      </c>
      <c r="I197" s="57">
        <v>0.62276586654553945</v>
      </c>
      <c r="J197" s="57">
        <v>0.66846778587532341</v>
      </c>
      <c r="K197" s="77">
        <v>0.73365924070357236</v>
      </c>
      <c r="L197" s="72">
        <v>0.76735659176245519</v>
      </c>
      <c r="M197" s="57">
        <v>0.65591061037619269</v>
      </c>
      <c r="N197" s="57">
        <v>0.67493249312328951</v>
      </c>
    </row>
    <row r="198" spans="1:14" ht="12.75" customHeight="1" x14ac:dyDescent="0.2">
      <c r="A198" s="56" t="s">
        <v>161</v>
      </c>
      <c r="B198" s="79">
        <v>0.6041116694747195</v>
      </c>
      <c r="C198" s="57">
        <v>0.67049373056853401</v>
      </c>
      <c r="D198" s="57">
        <v>0.67512396591051638</v>
      </c>
      <c r="E198" s="57">
        <v>0.59507762240501239</v>
      </c>
      <c r="F198" s="57">
        <v>0.60455222196826941</v>
      </c>
      <c r="G198" s="78">
        <v>0.75985737590154989</v>
      </c>
      <c r="H198" s="57">
        <v>0.76179105660961288</v>
      </c>
      <c r="I198" s="57">
        <v>0.76084092122184888</v>
      </c>
      <c r="J198" s="57">
        <v>0.79472635806203396</v>
      </c>
      <c r="K198" s="77">
        <v>0.89128700803059657</v>
      </c>
      <c r="L198" s="72">
        <v>0.91516053200283498</v>
      </c>
      <c r="M198" s="57">
        <v>0.88247402356546323</v>
      </c>
      <c r="N198" s="57">
        <v>0.9300472572400299</v>
      </c>
    </row>
    <row r="199" spans="1:14" ht="12.75" customHeight="1" x14ac:dyDescent="0.2">
      <c r="A199" s="56" t="s">
        <v>106</v>
      </c>
      <c r="B199" s="79">
        <v>0.52572119135072826</v>
      </c>
      <c r="C199" s="57">
        <v>0.6758665517276744</v>
      </c>
      <c r="D199" s="57">
        <v>0.62906736839645538</v>
      </c>
      <c r="E199" s="57">
        <v>0.6058449410794372</v>
      </c>
      <c r="F199" s="57">
        <v>0.56148347391104181</v>
      </c>
      <c r="G199" s="78">
        <v>0.54156710472618808</v>
      </c>
      <c r="H199" s="57">
        <v>0.66845096297083684</v>
      </c>
      <c r="I199" s="57">
        <v>0.635384161411223</v>
      </c>
      <c r="J199" s="57">
        <v>0.6565674472375902</v>
      </c>
      <c r="K199" s="77">
        <v>0.6946342032744568</v>
      </c>
      <c r="L199" s="72">
        <v>0.72809497014030344</v>
      </c>
      <c r="M199" s="57">
        <v>0.79937253883547954</v>
      </c>
      <c r="N199" s="57">
        <v>0.82463662598017162</v>
      </c>
    </row>
    <row r="200" spans="1:14" ht="12.75" customHeight="1" x14ac:dyDescent="0.2">
      <c r="A200" s="56" t="s">
        <v>392</v>
      </c>
      <c r="B200" s="79">
        <v>0.70792963916204577</v>
      </c>
      <c r="C200" s="57">
        <v>0.75062615691629497</v>
      </c>
      <c r="D200" s="57">
        <v>0.68217838917773854</v>
      </c>
      <c r="E200" s="57">
        <v>0.70849123564530181</v>
      </c>
      <c r="F200" s="57">
        <v>0.73335084244710191</v>
      </c>
      <c r="G200" s="78">
        <v>0.82615071924565708</v>
      </c>
      <c r="H200" s="57">
        <v>0.84317404518305039</v>
      </c>
      <c r="I200" s="57">
        <v>0.83392788142624807</v>
      </c>
      <c r="J200" s="57">
        <v>0.87497338023541671</v>
      </c>
      <c r="K200" s="77">
        <v>0.907613018175078</v>
      </c>
      <c r="L200" s="72">
        <v>0.91874012229460433</v>
      </c>
      <c r="M200" s="57">
        <v>0.90189474112377999</v>
      </c>
      <c r="N200" s="57">
        <v>0.90786035368618268</v>
      </c>
    </row>
    <row r="201" spans="1:14" ht="12.75" customHeight="1" x14ac:dyDescent="0.2">
      <c r="A201" s="56" t="s">
        <v>256</v>
      </c>
      <c r="B201" s="79">
        <v>0.69572889716807407</v>
      </c>
      <c r="C201" s="57">
        <v>0.68989219886483932</v>
      </c>
      <c r="D201" s="57">
        <v>0.67684446310556201</v>
      </c>
      <c r="E201" s="57">
        <v>0.69539302315059359</v>
      </c>
      <c r="F201" s="57">
        <v>0.69016462061811279</v>
      </c>
      <c r="G201" s="78">
        <v>0.73090882000675506</v>
      </c>
      <c r="H201" s="57">
        <v>0.770661469893823</v>
      </c>
      <c r="I201" s="57">
        <v>0.78428418602529526</v>
      </c>
      <c r="J201" s="57">
        <v>0.81789993655077309</v>
      </c>
      <c r="K201" s="77">
        <v>0.86417019335610579</v>
      </c>
      <c r="L201" s="72">
        <v>0.87422862329775253</v>
      </c>
      <c r="M201" s="57">
        <v>0.87460892721816752</v>
      </c>
      <c r="N201" s="57">
        <v>0.88007257848738152</v>
      </c>
    </row>
    <row r="202" spans="1:14" ht="12.75" customHeight="1" x14ac:dyDescent="0.2">
      <c r="A202" s="56" t="s">
        <v>215</v>
      </c>
      <c r="B202" s="79">
        <v>0.65939266616961845</v>
      </c>
      <c r="C202" s="57">
        <v>0.69836094918581493</v>
      </c>
      <c r="D202" s="57">
        <v>0.70289913044505159</v>
      </c>
      <c r="E202" s="57">
        <v>0.75830253499424405</v>
      </c>
      <c r="F202" s="57">
        <v>0.78150093810074373</v>
      </c>
      <c r="G202" s="78">
        <v>0.802394457378099</v>
      </c>
      <c r="H202" s="57">
        <v>0.82201313897596295</v>
      </c>
      <c r="I202" s="57">
        <v>0.84937420546227349</v>
      </c>
      <c r="J202" s="57">
        <v>0.86571746640857516</v>
      </c>
      <c r="K202" s="77">
        <v>0.930579791134868</v>
      </c>
      <c r="L202" s="72">
        <v>0.92383399046071513</v>
      </c>
      <c r="M202" s="57">
        <v>0.92493220289668521</v>
      </c>
      <c r="N202" s="57">
        <v>0.92418142995022035</v>
      </c>
    </row>
    <row r="203" spans="1:14" ht="12.75" customHeight="1" x14ac:dyDescent="0.2">
      <c r="A203" s="56" t="s">
        <v>7080</v>
      </c>
      <c r="B203" s="79">
        <v>0.78819669283018623</v>
      </c>
      <c r="C203" s="57">
        <v>0.83760411032534232</v>
      </c>
      <c r="D203" s="57">
        <v>0.82886803468456227</v>
      </c>
      <c r="E203" s="57">
        <v>0.83762675480868998</v>
      </c>
      <c r="F203" s="57">
        <v>0.84105130407338458</v>
      </c>
      <c r="G203" s="78">
        <v>0.82958446198223346</v>
      </c>
      <c r="H203" s="57">
        <v>0.85670641740117603</v>
      </c>
      <c r="I203" s="57">
        <v>0.87445723581447576</v>
      </c>
      <c r="J203" s="57">
        <v>0.88615997738285612</v>
      </c>
      <c r="K203" s="77">
        <v>0.93299849078873853</v>
      </c>
      <c r="L203" s="72">
        <v>0.9499049857212789</v>
      </c>
      <c r="M203" s="57">
        <v>0.9617164351007752</v>
      </c>
      <c r="N203" s="57">
        <v>0.94516512474734371</v>
      </c>
    </row>
    <row r="204" spans="1:14" ht="12.75" customHeight="1" x14ac:dyDescent="0.2">
      <c r="A204" s="56" t="s">
        <v>409</v>
      </c>
      <c r="B204" s="79">
        <v>0.48095955895535797</v>
      </c>
      <c r="C204" s="57">
        <v>0.5107687028202077</v>
      </c>
      <c r="D204" s="57">
        <v>0.47968905772684234</v>
      </c>
      <c r="E204" s="57">
        <v>0.49557162772011482</v>
      </c>
      <c r="F204" s="57">
        <v>0.52845977566786384</v>
      </c>
      <c r="G204" s="78">
        <v>0.66331992543881468</v>
      </c>
      <c r="H204" s="57">
        <v>0.64035311546172791</v>
      </c>
      <c r="I204" s="57">
        <v>0.74064873847547252</v>
      </c>
      <c r="J204" s="57">
        <v>0.72033343116906068</v>
      </c>
      <c r="K204" s="77">
        <v>0.79863106585945465</v>
      </c>
      <c r="L204" s="72">
        <v>0.81316206996839913</v>
      </c>
      <c r="M204" s="57">
        <v>0.81534761049865156</v>
      </c>
      <c r="N204" s="57">
        <v>0.88197488659713297</v>
      </c>
    </row>
    <row r="205" spans="1:14" ht="12.75" customHeight="1" x14ac:dyDescent="0.2">
      <c r="A205" s="56" t="s">
        <v>357</v>
      </c>
      <c r="B205" s="79">
        <v>0.63281843958974826</v>
      </c>
      <c r="C205" s="57">
        <v>0.70778016398423549</v>
      </c>
      <c r="D205" s="57">
        <v>0.61733053515133496</v>
      </c>
      <c r="E205" s="57">
        <v>0.67119104707197286</v>
      </c>
      <c r="F205" s="57">
        <v>0.68391321570006636</v>
      </c>
      <c r="G205" s="78">
        <v>0.62148416909056037</v>
      </c>
      <c r="H205" s="57">
        <v>0.66767333036276189</v>
      </c>
      <c r="I205" s="57">
        <v>0.71970414605249688</v>
      </c>
      <c r="J205" s="57">
        <v>0.83389967578305435</v>
      </c>
      <c r="K205" s="77">
        <v>0.83703422560698892</v>
      </c>
      <c r="L205" s="72">
        <v>0.85072300839151482</v>
      </c>
      <c r="M205" s="57">
        <v>0.64075852608821537</v>
      </c>
      <c r="N205" s="57">
        <v>0.6887043369087833</v>
      </c>
    </row>
    <row r="206" spans="1:14" ht="12.75" customHeight="1" x14ac:dyDescent="0.2">
      <c r="A206" s="56" t="s">
        <v>387</v>
      </c>
      <c r="B206" s="79">
        <v>0.46104966636536066</v>
      </c>
      <c r="C206" s="57">
        <v>0.56019599788835606</v>
      </c>
      <c r="D206" s="57">
        <v>0.59375279741730347</v>
      </c>
      <c r="E206" s="57">
        <v>0.66091816851059648</v>
      </c>
      <c r="F206" s="57">
        <v>0.6657644457871954</v>
      </c>
      <c r="G206" s="78">
        <v>0.68337345455893261</v>
      </c>
      <c r="H206" s="57">
        <v>0.75342730916742062</v>
      </c>
      <c r="I206" s="57">
        <v>0.74842300870216905</v>
      </c>
      <c r="J206" s="57">
        <v>0.74407657557287132</v>
      </c>
      <c r="K206" s="77">
        <v>0.8789767735199906</v>
      </c>
      <c r="L206" s="72">
        <v>0.89232010001860917</v>
      </c>
      <c r="M206" s="57">
        <v>0.83471321543073917</v>
      </c>
      <c r="N206" s="57">
        <v>0.85411866211365373</v>
      </c>
    </row>
    <row r="207" spans="1:14" ht="12.75" customHeight="1" x14ac:dyDescent="0.2">
      <c r="A207" s="56" t="s">
        <v>74</v>
      </c>
      <c r="B207" s="79">
        <v>0.61892059590551285</v>
      </c>
      <c r="C207" s="57">
        <v>0.6724720155542232</v>
      </c>
      <c r="D207" s="57">
        <v>0.6484156801797758</v>
      </c>
      <c r="E207" s="57">
        <v>0.63694673041745387</v>
      </c>
      <c r="F207" s="57">
        <v>0.56671485750501349</v>
      </c>
      <c r="G207" s="78">
        <v>0.59586398275841557</v>
      </c>
      <c r="H207" s="57">
        <v>0.70117934807597482</v>
      </c>
      <c r="I207" s="57">
        <v>0.72036457543181753</v>
      </c>
      <c r="J207" s="57">
        <v>0.72461854472785259</v>
      </c>
      <c r="K207" s="77">
        <v>0.82981410662327237</v>
      </c>
      <c r="L207" s="72">
        <v>0.78361115971698048</v>
      </c>
      <c r="M207" s="57">
        <v>0.81841552859940592</v>
      </c>
      <c r="N207" s="57">
        <v>0.69870253646071445</v>
      </c>
    </row>
    <row r="208" spans="1:14" ht="12.75" customHeight="1" x14ac:dyDescent="0.2">
      <c r="A208" s="56" t="s">
        <v>308</v>
      </c>
      <c r="B208" s="79">
        <v>0.75540450843409124</v>
      </c>
      <c r="C208" s="57">
        <v>0.77099069383379248</v>
      </c>
      <c r="D208" s="57">
        <v>0.80063733345811339</v>
      </c>
      <c r="E208" s="57">
        <v>0.85238116275361409</v>
      </c>
      <c r="F208" s="57">
        <v>0.86230255631170982</v>
      </c>
      <c r="G208" s="78">
        <v>0.87599227021458925</v>
      </c>
      <c r="H208" s="57">
        <v>0.87319090121380305</v>
      </c>
      <c r="I208" s="57">
        <v>0.89901553580124716</v>
      </c>
      <c r="J208" s="57">
        <v>0.89140888880772007</v>
      </c>
      <c r="K208" s="77">
        <v>0.9109925619987278</v>
      </c>
      <c r="L208" s="72">
        <v>0.9236209737379969</v>
      </c>
      <c r="M208" s="57">
        <v>0.95385403276647562</v>
      </c>
      <c r="N208" s="57">
        <v>0.94116205009136922</v>
      </c>
    </row>
    <row r="209" spans="1:14" ht="12.75" customHeight="1" x14ac:dyDescent="0.2">
      <c r="A209" s="56" t="s">
        <v>301</v>
      </c>
      <c r="B209" s="79">
        <v>0.66126979483859494</v>
      </c>
      <c r="C209" s="57">
        <v>0.63722372092004187</v>
      </c>
      <c r="D209" s="57">
        <v>0.59957233364089102</v>
      </c>
      <c r="E209" s="57">
        <v>0.62985555366480983</v>
      </c>
      <c r="F209" s="57">
        <v>0.64323536769979262</v>
      </c>
      <c r="G209" s="78">
        <v>0.64116025668843635</v>
      </c>
      <c r="H209" s="57">
        <v>0.68827028849863048</v>
      </c>
      <c r="I209" s="57">
        <v>0.7758233025957425</v>
      </c>
      <c r="J209" s="57">
        <v>0.8015888159517458</v>
      </c>
      <c r="K209" s="77">
        <v>0.91959865623171377</v>
      </c>
      <c r="L209" s="72">
        <v>0.93370446267749174</v>
      </c>
      <c r="M209" s="57">
        <v>0.87997860906137115</v>
      </c>
      <c r="N209" s="57">
        <v>0.8581574251884786</v>
      </c>
    </row>
    <row r="210" spans="1:14" ht="12.75" customHeight="1" x14ac:dyDescent="0.2">
      <c r="A210" s="56" t="s">
        <v>203</v>
      </c>
      <c r="B210" s="79">
        <v>0.68314529274769775</v>
      </c>
      <c r="C210" s="57">
        <v>0.72240462363990132</v>
      </c>
      <c r="D210" s="57">
        <v>0.71377671851340996</v>
      </c>
      <c r="E210" s="57">
        <v>0.7574420562130848</v>
      </c>
      <c r="F210" s="57">
        <v>0.74359505430457118</v>
      </c>
      <c r="G210" s="78">
        <v>0.75517627888503702</v>
      </c>
      <c r="H210" s="57">
        <v>0.73982167217653494</v>
      </c>
      <c r="I210" s="57">
        <v>0.81498735406840983</v>
      </c>
      <c r="J210" s="57">
        <v>0.8492135688612128</v>
      </c>
      <c r="K210" s="77">
        <v>0.89266437164578472</v>
      </c>
      <c r="L210" s="72">
        <v>0.89978420464116904</v>
      </c>
      <c r="M210" s="57">
        <v>0.92203835392004307</v>
      </c>
      <c r="N210" s="57">
        <v>0.93041147325433182</v>
      </c>
    </row>
    <row r="211" spans="1:14" ht="12.75" customHeight="1" x14ac:dyDescent="0.2">
      <c r="A211" s="56" t="s">
        <v>180</v>
      </c>
      <c r="B211" s="79">
        <v>0.70080515516643815</v>
      </c>
      <c r="C211" s="57">
        <v>0.6341858757234623</v>
      </c>
      <c r="D211" s="57">
        <v>0.60218579370180325</v>
      </c>
      <c r="E211" s="57">
        <v>0.65088596314483327</v>
      </c>
      <c r="F211" s="57">
        <v>0.71599827374005043</v>
      </c>
      <c r="G211" s="78">
        <v>0.65670368719523819</v>
      </c>
      <c r="H211" s="57">
        <v>0.68918445219169178</v>
      </c>
      <c r="I211" s="57">
        <v>0.7727536559928978</v>
      </c>
      <c r="J211" s="57">
        <v>0.83352708573829393</v>
      </c>
      <c r="K211" s="77">
        <v>0.79699315368157997</v>
      </c>
      <c r="L211" s="72">
        <v>0.80807925377614598</v>
      </c>
      <c r="M211" s="57">
        <v>0.87077727461090459</v>
      </c>
      <c r="N211" s="57">
        <v>0.86874233717392335</v>
      </c>
    </row>
    <row r="212" spans="1:14" ht="12.75" customHeight="1" x14ac:dyDescent="0.2">
      <c r="A212" s="56" t="s">
        <v>289</v>
      </c>
      <c r="B212" s="79">
        <v>0.83139704385171942</v>
      </c>
      <c r="C212" s="57">
        <v>0.85409538196787971</v>
      </c>
      <c r="D212" s="57">
        <v>0.83063912282714369</v>
      </c>
      <c r="E212" s="57">
        <v>0.85679374004702102</v>
      </c>
      <c r="F212" s="57">
        <v>0.83448376278656788</v>
      </c>
      <c r="G212" s="78">
        <v>0.85332725599262038</v>
      </c>
      <c r="H212" s="57">
        <v>0.87645883215047227</v>
      </c>
      <c r="I212" s="57">
        <v>0.80714463351907906</v>
      </c>
      <c r="J212" s="57">
        <v>0.87005914530699502</v>
      </c>
      <c r="K212" s="77">
        <v>0.92352701804595716</v>
      </c>
      <c r="L212" s="72">
        <v>0.90778934162020608</v>
      </c>
      <c r="M212" s="57">
        <v>0.93677481570502297</v>
      </c>
      <c r="N212" s="57">
        <v>0.92440407196505103</v>
      </c>
    </row>
    <row r="213" spans="1:14" ht="12.75" customHeight="1" x14ac:dyDescent="0.2">
      <c r="A213" s="56" t="s">
        <v>242</v>
      </c>
      <c r="B213" s="79">
        <v>0.45068042767442529</v>
      </c>
      <c r="C213" s="57">
        <v>0.51507825865525825</v>
      </c>
      <c r="D213" s="57">
        <v>0.56379438538412274</v>
      </c>
      <c r="E213" s="57">
        <v>0.53795257219035875</v>
      </c>
      <c r="F213" s="57">
        <v>0.53139834607862979</v>
      </c>
      <c r="G213" s="78">
        <v>0.56560579183499649</v>
      </c>
      <c r="H213" s="57">
        <v>0.62344416209193743</v>
      </c>
      <c r="I213" s="57">
        <v>0.6858624072298003</v>
      </c>
      <c r="J213" s="57">
        <v>0.65002609809921741</v>
      </c>
      <c r="K213" s="77">
        <v>0.74148252988523211</v>
      </c>
      <c r="L213" s="72">
        <v>0.79555187756679657</v>
      </c>
      <c r="M213" s="57">
        <v>0.79216419431739415</v>
      </c>
      <c r="N213" s="57">
        <v>0.81526746418320595</v>
      </c>
    </row>
    <row r="214" spans="1:14" ht="12.75" customHeight="1" x14ac:dyDescent="0.2">
      <c r="A214" s="56" t="s">
        <v>192</v>
      </c>
      <c r="B214" s="79">
        <v>0.80218561149384182</v>
      </c>
      <c r="C214" s="57">
        <v>0.82137073852261466</v>
      </c>
      <c r="D214" s="57">
        <v>0.8338967067385491</v>
      </c>
      <c r="E214" s="57">
        <v>0.83528258759631557</v>
      </c>
      <c r="F214" s="57">
        <v>0.83378068006233141</v>
      </c>
      <c r="G214" s="78">
        <v>0.86079488950042093</v>
      </c>
      <c r="H214" s="57">
        <v>0.87089213296888657</v>
      </c>
      <c r="I214" s="57">
        <v>0.88016275583015313</v>
      </c>
      <c r="J214" s="57">
        <v>0.88173241889555953</v>
      </c>
      <c r="K214" s="77">
        <v>0.93581032979091605</v>
      </c>
      <c r="L214" s="72">
        <v>0.92028181096084127</v>
      </c>
      <c r="M214" s="57">
        <v>0.94474328785018147</v>
      </c>
      <c r="N214" s="57">
        <v>0.94514757117122794</v>
      </c>
    </row>
    <row r="215" spans="1:14" ht="12.75" customHeight="1" x14ac:dyDescent="0.2">
      <c r="A215" s="56" t="s">
        <v>388</v>
      </c>
      <c r="B215" s="79">
        <v>0.57591158091009642</v>
      </c>
      <c r="C215" s="57">
        <v>0.6192490598555257</v>
      </c>
      <c r="D215" s="57">
        <v>0.58508941675042914</v>
      </c>
      <c r="E215" s="57">
        <v>0.65442907048461052</v>
      </c>
      <c r="F215" s="57">
        <v>0.70135542856673538</v>
      </c>
      <c r="G215" s="78">
        <v>0.76148492495252795</v>
      </c>
      <c r="H215" s="57">
        <v>0.76295555759667111</v>
      </c>
      <c r="I215" s="57">
        <v>0.79767650280322855</v>
      </c>
      <c r="J215" s="57">
        <v>0.82857499175188687</v>
      </c>
      <c r="K215" s="77">
        <v>0.88319027978193698</v>
      </c>
      <c r="L215" s="72">
        <v>0.8572442449027553</v>
      </c>
      <c r="M215" s="57">
        <v>0.91867857674966935</v>
      </c>
      <c r="N215" s="57">
        <v>0.91276222448786415</v>
      </c>
    </row>
    <row r="216" spans="1:14" ht="12.75" customHeight="1" x14ac:dyDescent="0.2">
      <c r="A216" s="56" t="s">
        <v>324</v>
      </c>
      <c r="B216" s="79">
        <v>0.88050953910815954</v>
      </c>
      <c r="C216" s="57">
        <v>0.90255319451430682</v>
      </c>
      <c r="D216" s="57">
        <v>0.91317452303732227</v>
      </c>
      <c r="E216" s="57">
        <v>0.92331848342664546</v>
      </c>
      <c r="F216" s="57">
        <v>0.89148167661382627</v>
      </c>
      <c r="G216" s="78">
        <v>0.86884910186791098</v>
      </c>
      <c r="H216" s="57">
        <v>0.86550963141028892</v>
      </c>
      <c r="I216" s="57">
        <v>0.94747788247493203</v>
      </c>
      <c r="J216" s="57">
        <v>0.93953900515596012</v>
      </c>
      <c r="K216" s="77">
        <v>0.95658171313129436</v>
      </c>
      <c r="L216" s="72">
        <v>0.95093814613998862</v>
      </c>
      <c r="M216" s="57">
        <v>0.96862800229802226</v>
      </c>
      <c r="N216" s="57">
        <v>0.96024888966172428</v>
      </c>
    </row>
    <row r="217" spans="1:14" ht="12.75" customHeight="1" x14ac:dyDescent="0.2">
      <c r="A217" s="56" t="s">
        <v>358</v>
      </c>
      <c r="B217" s="79">
        <v>0.66933457189809642</v>
      </c>
      <c r="C217" s="57">
        <v>0.78862046694608456</v>
      </c>
      <c r="D217" s="57">
        <v>0.73853085920748807</v>
      </c>
      <c r="E217" s="57">
        <v>0.76494071299295985</v>
      </c>
      <c r="F217" s="57">
        <v>0.78977094460149078</v>
      </c>
      <c r="G217" s="78">
        <v>0.82630164500693359</v>
      </c>
      <c r="H217" s="57">
        <v>0.85798157243741091</v>
      </c>
      <c r="I217" s="57">
        <v>0.88440043613350316</v>
      </c>
      <c r="J217" s="57">
        <v>0.90632595392577897</v>
      </c>
      <c r="K217" s="77">
        <v>0.93070015823674268</v>
      </c>
      <c r="L217" s="72">
        <v>0.96003214093830858</v>
      </c>
      <c r="M217" s="57">
        <v>0.96913908212723709</v>
      </c>
      <c r="N217" s="57">
        <v>0.93442743145703056</v>
      </c>
    </row>
    <row r="218" spans="1:14" ht="12.75" customHeight="1" x14ac:dyDescent="0.2">
      <c r="A218" s="56" t="s">
        <v>395</v>
      </c>
      <c r="B218" s="79">
        <v>0.54091226567619588</v>
      </c>
      <c r="C218" s="57">
        <v>0.65780389299845277</v>
      </c>
      <c r="D218" s="57">
        <v>0.58765547828873321</v>
      </c>
      <c r="E218" s="57">
        <v>0.67065948559503852</v>
      </c>
      <c r="F218" s="57">
        <v>0.71184208465397969</v>
      </c>
      <c r="G218" s="78">
        <v>0.70257604564803267</v>
      </c>
      <c r="H218" s="57">
        <v>0.72940988340920399</v>
      </c>
      <c r="I218" s="57">
        <v>0.73322058173420102</v>
      </c>
      <c r="J218" s="57">
        <v>0.69973056049469651</v>
      </c>
      <c r="K218" s="77">
        <v>0.82161100894353567</v>
      </c>
      <c r="L218" s="72">
        <v>0.84707466513778906</v>
      </c>
      <c r="M218" s="57">
        <v>0.90499068716950914</v>
      </c>
      <c r="N218" s="57">
        <v>0.91641724509604028</v>
      </c>
    </row>
    <row r="219" spans="1:14" ht="12.75" customHeight="1" x14ac:dyDescent="0.2">
      <c r="A219" s="56" t="s">
        <v>204</v>
      </c>
      <c r="B219" s="79">
        <v>0.67439150374509083</v>
      </c>
      <c r="C219" s="57">
        <v>0.64047256565357646</v>
      </c>
      <c r="D219" s="57">
        <v>0.66833789986579706</v>
      </c>
      <c r="E219" s="57">
        <v>0.70029735427958906</v>
      </c>
      <c r="F219" s="57">
        <v>0.72708322371586243</v>
      </c>
      <c r="G219" s="78">
        <v>0.79531125634570599</v>
      </c>
      <c r="H219" s="57">
        <v>0.8304466195700545</v>
      </c>
      <c r="I219" s="57">
        <v>0.77216879477106382</v>
      </c>
      <c r="J219" s="57">
        <v>0.80182919422998478</v>
      </c>
      <c r="K219" s="77">
        <v>0.91213231221421143</v>
      </c>
      <c r="L219" s="72">
        <v>0.91478411795790548</v>
      </c>
      <c r="M219" s="57">
        <v>0.91399335068297272</v>
      </c>
      <c r="N219" s="57">
        <v>0.91999878368357635</v>
      </c>
    </row>
    <row r="220" spans="1:14" ht="12.75" customHeight="1" x14ac:dyDescent="0.2">
      <c r="A220" s="56" t="s">
        <v>309</v>
      </c>
      <c r="B220" s="79">
        <v>0.6356045114539417</v>
      </c>
      <c r="C220" s="57">
        <v>0.70851123936329274</v>
      </c>
      <c r="D220" s="57">
        <v>0.67501275142655048</v>
      </c>
      <c r="E220" s="57">
        <v>0.67504243315184442</v>
      </c>
      <c r="F220" s="57">
        <v>0.71744695575905437</v>
      </c>
      <c r="G220" s="78">
        <v>0.74067939829051688</v>
      </c>
      <c r="H220" s="57">
        <v>0.77285694658696957</v>
      </c>
      <c r="I220" s="57">
        <v>0.84730983692496598</v>
      </c>
      <c r="J220" s="57">
        <v>0.87503980773448997</v>
      </c>
      <c r="K220" s="77">
        <v>0.8949193815417833</v>
      </c>
      <c r="L220" s="72">
        <v>0.90941372978683088</v>
      </c>
      <c r="M220" s="57">
        <v>0.87211991909441544</v>
      </c>
      <c r="N220" s="57">
        <v>0.88843900507159901</v>
      </c>
    </row>
    <row r="221" spans="1:14" ht="12.75" customHeight="1" x14ac:dyDescent="0.2">
      <c r="A221" s="56" t="s">
        <v>399</v>
      </c>
      <c r="B221" s="79">
        <v>0.62046500933126914</v>
      </c>
      <c r="C221" s="57">
        <v>0.656103836502125</v>
      </c>
      <c r="D221" s="57">
        <v>0.71785309114584039</v>
      </c>
      <c r="E221" s="57">
        <v>0.77400380394283674</v>
      </c>
      <c r="F221" s="57">
        <v>0.79232869793531824</v>
      </c>
      <c r="G221" s="78">
        <v>0.84282814099602843</v>
      </c>
      <c r="H221" s="57">
        <v>0.86468074451854515</v>
      </c>
      <c r="I221" s="57">
        <v>0.8539128255488998</v>
      </c>
      <c r="J221" s="57">
        <v>0.83205060830552324</v>
      </c>
      <c r="K221" s="77">
        <v>0.86551891666288006</v>
      </c>
      <c r="L221" s="72">
        <v>0.83228077895033004</v>
      </c>
      <c r="M221" s="57">
        <v>0.93071816186454748</v>
      </c>
      <c r="N221" s="57">
        <v>0.92436497239196047</v>
      </c>
    </row>
    <row r="222" spans="1:14" ht="12.75" customHeight="1" x14ac:dyDescent="0.2">
      <c r="A222" s="56" t="s">
        <v>75</v>
      </c>
      <c r="B222" s="79">
        <v>0.40296890117279571</v>
      </c>
      <c r="C222" s="57">
        <v>0.54180650651469875</v>
      </c>
      <c r="D222" s="57">
        <v>0.5344266064701102</v>
      </c>
      <c r="E222" s="57">
        <v>0.49811671500278581</v>
      </c>
      <c r="F222" s="57">
        <v>0.52396924643274889</v>
      </c>
      <c r="G222" s="78">
        <v>0.63326020026954755</v>
      </c>
      <c r="H222" s="57">
        <v>0.63819889819561149</v>
      </c>
      <c r="I222" s="57">
        <v>0.69410103409870627</v>
      </c>
      <c r="J222" s="57">
        <v>0.73973401828102558</v>
      </c>
      <c r="K222" s="77">
        <v>0.82738536928764728</v>
      </c>
      <c r="L222" s="72">
        <v>0.85987004591173566</v>
      </c>
      <c r="M222" s="57">
        <v>0.86758053050558892</v>
      </c>
      <c r="N222" s="57">
        <v>0.86814562834850983</v>
      </c>
    </row>
    <row r="223" spans="1:14" ht="12.75" customHeight="1" x14ac:dyDescent="0.2">
      <c r="A223" s="56" t="s">
        <v>181</v>
      </c>
      <c r="B223" s="79">
        <v>0.51065364327877671</v>
      </c>
      <c r="C223" s="57">
        <v>0.60439395465744217</v>
      </c>
      <c r="D223" s="57">
        <v>0.57715711346626597</v>
      </c>
      <c r="E223" s="57">
        <v>0.56769164506055114</v>
      </c>
      <c r="F223" s="57">
        <v>0.54425442557296555</v>
      </c>
      <c r="G223" s="78">
        <v>0.58819609842502629</v>
      </c>
      <c r="H223" s="57">
        <v>0.66906750975283291</v>
      </c>
      <c r="I223" s="57">
        <v>0.63027329381623742</v>
      </c>
      <c r="J223" s="57">
        <v>0.70185472117173842</v>
      </c>
      <c r="K223" s="77">
        <v>0.78659188273458369</v>
      </c>
      <c r="L223" s="72">
        <v>0.73548508867571893</v>
      </c>
      <c r="M223" s="57">
        <v>0.80839658702432116</v>
      </c>
      <c r="N223" s="57">
        <v>0.83851596083576319</v>
      </c>
    </row>
    <row r="224" spans="1:14" ht="12.75" customHeight="1" x14ac:dyDescent="0.2">
      <c r="A224" s="56" t="s">
        <v>310</v>
      </c>
      <c r="B224" s="79">
        <v>0.76125676368980921</v>
      </c>
      <c r="C224" s="57">
        <v>0.74469166907430318</v>
      </c>
      <c r="D224" s="57">
        <v>0.71278706969186478</v>
      </c>
      <c r="E224" s="57">
        <v>0.77878204079968028</v>
      </c>
      <c r="F224" s="57">
        <v>0.8035225159351933</v>
      </c>
      <c r="G224" s="78">
        <v>0.80767954716845991</v>
      </c>
      <c r="H224" s="57">
        <v>0.81547990910661738</v>
      </c>
      <c r="I224" s="57">
        <v>0.89438475316745802</v>
      </c>
      <c r="J224" s="57">
        <v>0.89910621914758593</v>
      </c>
      <c r="K224" s="77">
        <v>0.90865435209803325</v>
      </c>
      <c r="L224" s="72">
        <v>0.89817485283840315</v>
      </c>
      <c r="M224" s="57">
        <v>0.92894481728612099</v>
      </c>
      <c r="N224" s="57">
        <v>0.92360338640898942</v>
      </c>
    </row>
    <row r="225" spans="1:14" ht="12.75" customHeight="1" x14ac:dyDescent="0.2">
      <c r="A225" s="56" t="s">
        <v>7079</v>
      </c>
      <c r="B225" s="79">
        <v>0.86578698980488999</v>
      </c>
      <c r="C225" s="57">
        <v>0.92348581043046762</v>
      </c>
      <c r="D225" s="57">
        <v>0.85811721054953027</v>
      </c>
      <c r="E225" s="57">
        <v>0.897066128406389</v>
      </c>
      <c r="F225" s="57">
        <v>0.90567528033268929</v>
      </c>
      <c r="G225" s="78">
        <v>0.85106421774789043</v>
      </c>
      <c r="H225" s="57">
        <v>0.84123081471844363</v>
      </c>
      <c r="I225" s="57">
        <v>0.86768363253333147</v>
      </c>
      <c r="J225" s="57">
        <v>0.90314023666684629</v>
      </c>
      <c r="K225" s="77">
        <v>0.93873240237198852</v>
      </c>
      <c r="L225" s="72">
        <v>0.93825591978420253</v>
      </c>
      <c r="M225" s="57">
        <v>0.95518453207934084</v>
      </c>
      <c r="N225" s="57">
        <v>0.93374679101109592</v>
      </c>
    </row>
    <row r="226" spans="1:14" ht="12.75" customHeight="1" x14ac:dyDescent="0.2">
      <c r="A226" s="56" t="s">
        <v>264</v>
      </c>
      <c r="B226" s="79">
        <v>0.74136351315700999</v>
      </c>
      <c r="C226" s="57">
        <v>0.66673883864079286</v>
      </c>
      <c r="D226" s="57">
        <v>0.62430854489345422</v>
      </c>
      <c r="E226" s="57">
        <v>0.76294910632817448</v>
      </c>
      <c r="F226" s="57">
        <v>0.76687050913254018</v>
      </c>
      <c r="G226" s="78">
        <v>0.80733987822926523</v>
      </c>
      <c r="H226" s="57">
        <v>0.76295906302036831</v>
      </c>
      <c r="I226" s="57">
        <v>0.79188613154827414</v>
      </c>
      <c r="J226" s="57">
        <v>0.81234844834262177</v>
      </c>
      <c r="K226" s="77">
        <v>0.87235144397115838</v>
      </c>
      <c r="L226" s="72">
        <v>0.88366901054746361</v>
      </c>
      <c r="M226" s="57">
        <v>0.75804512766740795</v>
      </c>
      <c r="N226" s="57">
        <v>0.75441544349949619</v>
      </c>
    </row>
    <row r="227" spans="1:14" ht="12.75" customHeight="1" x14ac:dyDescent="0.2">
      <c r="A227" s="56" t="s">
        <v>94</v>
      </c>
      <c r="B227" s="79">
        <v>0.75767477380074089</v>
      </c>
      <c r="C227" s="57">
        <v>0.60982909064484536</v>
      </c>
      <c r="D227" s="57">
        <v>0.58897658044495815</v>
      </c>
      <c r="E227" s="57">
        <v>0.71514681486160969</v>
      </c>
      <c r="F227" s="57">
        <v>0.79168507059053772</v>
      </c>
      <c r="G227" s="78">
        <v>0.70661210661384244</v>
      </c>
      <c r="H227" s="57">
        <v>0.71190599199482629</v>
      </c>
      <c r="I227" s="57">
        <v>0.80679958780531802</v>
      </c>
      <c r="J227" s="57">
        <v>0.80295028807020308</v>
      </c>
      <c r="K227" s="77">
        <v>0.84404034567403485</v>
      </c>
      <c r="L227" s="72">
        <v>0.85844837945752694</v>
      </c>
      <c r="M227" s="57">
        <v>0.68969161293553871</v>
      </c>
      <c r="N227" s="57">
        <v>0.69415753886618337</v>
      </c>
    </row>
    <row r="228" spans="1:14" ht="12.75" customHeight="1" x14ac:dyDescent="0.2">
      <c r="A228" s="56" t="s">
        <v>311</v>
      </c>
      <c r="B228" s="79">
        <v>0.7787076919847109</v>
      </c>
      <c r="C228" s="57">
        <v>0.78154007671658532</v>
      </c>
      <c r="D228" s="57">
        <v>0.7536092919084395</v>
      </c>
      <c r="E228" s="57">
        <v>0.86788580498823642</v>
      </c>
      <c r="F228" s="57">
        <v>0.85551478289638516</v>
      </c>
      <c r="G228" s="78">
        <v>0.85135515061363709</v>
      </c>
      <c r="H228" s="57">
        <v>0.804201035014251</v>
      </c>
      <c r="I228" s="57">
        <v>0.8769598476561693</v>
      </c>
      <c r="J228" s="57">
        <v>0.88856091395742332</v>
      </c>
      <c r="K228" s="77">
        <v>0.9437808877659265</v>
      </c>
      <c r="L228" s="72">
        <v>0.95234291835804818</v>
      </c>
      <c r="M228" s="57">
        <v>0.92742197262398574</v>
      </c>
      <c r="N228" s="57">
        <v>0.91535279491560917</v>
      </c>
    </row>
    <row r="229" spans="1:14" ht="12.75" customHeight="1" x14ac:dyDescent="0.2">
      <c r="A229" s="56" t="s">
        <v>243</v>
      </c>
      <c r="B229" s="79">
        <v>0.59428297317995005</v>
      </c>
      <c r="C229" s="57">
        <v>0.66717954162347393</v>
      </c>
      <c r="D229" s="57">
        <v>0.59257113402664219</v>
      </c>
      <c r="E229" s="57">
        <v>0.6253575439750757</v>
      </c>
      <c r="F229" s="57">
        <v>0.64522782068072704</v>
      </c>
      <c r="G229" s="78">
        <v>0.68858421381981116</v>
      </c>
      <c r="H229" s="57">
        <v>0.70973327112973217</v>
      </c>
      <c r="I229" s="57">
        <v>0.78133209669374548</v>
      </c>
      <c r="J229" s="57">
        <v>0.79881049801318471</v>
      </c>
      <c r="K229" s="77">
        <v>0.84398756176384071</v>
      </c>
      <c r="L229" s="72">
        <v>0.85196878989615321</v>
      </c>
      <c r="M229" s="57">
        <v>0.88387331038736183</v>
      </c>
      <c r="N229" s="57">
        <v>0.89102153757482794</v>
      </c>
    </row>
    <row r="230" spans="1:14" ht="12.75" customHeight="1" x14ac:dyDescent="0.2">
      <c r="A230" s="56" t="s">
        <v>400</v>
      </c>
      <c r="B230" s="79">
        <v>0.34081145576151961</v>
      </c>
      <c r="C230" s="57">
        <v>0.41618412163926211</v>
      </c>
      <c r="D230" s="57">
        <v>0.47098828931468406</v>
      </c>
      <c r="E230" s="57">
        <v>0.47200913684950985</v>
      </c>
      <c r="F230" s="57">
        <v>0.44230020759087696</v>
      </c>
      <c r="G230" s="78">
        <v>0.47272171973158633</v>
      </c>
      <c r="H230" s="57">
        <v>0.51594117258777206</v>
      </c>
      <c r="I230" s="57">
        <v>0.59315288794729848</v>
      </c>
      <c r="J230" s="57">
        <v>0.64116894584723993</v>
      </c>
      <c r="K230" s="77">
        <v>0.65239778483045718</v>
      </c>
      <c r="L230" s="72">
        <v>0.68942112029445124</v>
      </c>
      <c r="M230" s="57">
        <v>0.76426437057030217</v>
      </c>
      <c r="N230" s="57">
        <v>0.77996941573353873</v>
      </c>
    </row>
    <row r="231" spans="1:14" ht="12.75" customHeight="1" x14ac:dyDescent="0.2">
      <c r="A231" s="56" t="s">
        <v>479</v>
      </c>
      <c r="B231" s="79">
        <v>0.71934276783468154</v>
      </c>
      <c r="C231" s="57">
        <v>0.75794633669617018</v>
      </c>
      <c r="D231" s="57">
        <v>0.71018985498414389</v>
      </c>
      <c r="E231" s="57">
        <v>0.72184855403167636</v>
      </c>
      <c r="F231" s="57">
        <v>0.68548553117709254</v>
      </c>
      <c r="G231" s="78">
        <v>0.77169445766045386</v>
      </c>
      <c r="H231" s="57">
        <v>0.85077772147163644</v>
      </c>
      <c r="I231" s="57">
        <v>0.83159988806319418</v>
      </c>
      <c r="J231" s="57">
        <v>0.8131765334432548</v>
      </c>
      <c r="K231" s="77">
        <v>0.87380544662186821</v>
      </c>
      <c r="L231" s="72">
        <v>0.88808091790183274</v>
      </c>
      <c r="M231" s="57">
        <v>0.89448829343892833</v>
      </c>
      <c r="N231" s="57">
        <v>0.91882408380437608</v>
      </c>
    </row>
    <row r="232" spans="1:14" ht="12.75" customHeight="1" x14ac:dyDescent="0.2">
      <c r="A232" s="56" t="s">
        <v>95</v>
      </c>
      <c r="B232" s="79">
        <v>0.61271963857834599</v>
      </c>
      <c r="C232" s="57">
        <v>0.67898762600054208</v>
      </c>
      <c r="D232" s="57">
        <v>0.66028649289392527</v>
      </c>
      <c r="E232" s="57">
        <v>0.60962230146351937</v>
      </c>
      <c r="F232" s="57">
        <v>0.64456226330553479</v>
      </c>
      <c r="G232" s="78">
        <v>0.54334543429724191</v>
      </c>
      <c r="H232" s="57">
        <v>0.66562121650450279</v>
      </c>
      <c r="I232" s="57">
        <v>0.80037055475748142</v>
      </c>
      <c r="J232" s="57">
        <v>0.78030013428158773</v>
      </c>
      <c r="K232" s="77">
        <v>0.79802190693566666</v>
      </c>
      <c r="L232" s="72">
        <v>0.83346110411769025</v>
      </c>
      <c r="M232" s="57">
        <v>0.76194753864828013</v>
      </c>
      <c r="N232" s="57">
        <v>0.75462833813136543</v>
      </c>
    </row>
    <row r="233" spans="1:14" ht="12.75" customHeight="1" x14ac:dyDescent="0.2">
      <c r="A233" s="56" t="s">
        <v>265</v>
      </c>
      <c r="B233" s="79">
        <v>0.87937131103868549</v>
      </c>
      <c r="C233" s="57">
        <v>0.81214235775202659</v>
      </c>
      <c r="D233" s="57">
        <v>0.75142253941814818</v>
      </c>
      <c r="E233" s="57">
        <v>0.88351908997711326</v>
      </c>
      <c r="F233" s="57">
        <v>0.76942667242046858</v>
      </c>
      <c r="G233" s="78">
        <v>0.72442511298264556</v>
      </c>
      <c r="H233" s="57">
        <v>0.78069091801842538</v>
      </c>
      <c r="I233" s="57">
        <v>0.81963597164470259</v>
      </c>
      <c r="J233" s="57">
        <v>0.83456892631279889</v>
      </c>
      <c r="K233" s="77">
        <v>0.94215921043629292</v>
      </c>
      <c r="L233" s="72">
        <v>0.9476443514624483</v>
      </c>
      <c r="M233" s="57">
        <v>0.85511316507140789</v>
      </c>
      <c r="N233" s="57">
        <v>0.9434270808765739</v>
      </c>
    </row>
    <row r="234" spans="1:14" ht="12.75" customHeight="1" x14ac:dyDescent="0.2">
      <c r="A234" s="56" t="s">
        <v>120</v>
      </c>
      <c r="B234" s="79">
        <v>0.6799053257753902</v>
      </c>
      <c r="C234" s="57">
        <v>0.69799842948827062</v>
      </c>
      <c r="D234" s="57">
        <v>0.62039779741262024</v>
      </c>
      <c r="E234" s="57">
        <v>0.67810134956312296</v>
      </c>
      <c r="F234" s="57">
        <v>0.65780648135059483</v>
      </c>
      <c r="G234" s="78">
        <v>0.69632214979532969</v>
      </c>
      <c r="H234" s="57">
        <v>0.74237833333621983</v>
      </c>
      <c r="I234" s="57">
        <v>0.88746375195027827</v>
      </c>
      <c r="J234" s="57">
        <v>0.88349995392686564</v>
      </c>
      <c r="K234" s="77">
        <v>0.90211730044779437</v>
      </c>
      <c r="L234" s="72">
        <v>0.91113886743615058</v>
      </c>
      <c r="M234" s="57">
        <v>0.71459211789184707</v>
      </c>
      <c r="N234" s="57">
        <v>0.73449144380850662</v>
      </c>
    </row>
    <row r="235" spans="1:14" ht="12.75" customHeight="1" x14ac:dyDescent="0.2">
      <c r="A235" s="56" t="s">
        <v>336</v>
      </c>
      <c r="B235" s="79">
        <v>0.72371426848656928</v>
      </c>
      <c r="C235" s="57">
        <v>0.72677735461710813</v>
      </c>
      <c r="D235" s="57">
        <v>0.75263324151991551</v>
      </c>
      <c r="E235" s="57">
        <v>0.79638648852354776</v>
      </c>
      <c r="F235" s="57">
        <v>0.78283402455457995</v>
      </c>
      <c r="G235" s="78">
        <v>0.83353800870875616</v>
      </c>
      <c r="H235" s="57">
        <v>0.84223041156567169</v>
      </c>
      <c r="I235" s="57">
        <v>0.8718573610756144</v>
      </c>
      <c r="J235" s="57">
        <v>0.89348924635596549</v>
      </c>
      <c r="K235" s="77">
        <v>0.93057559991822147</v>
      </c>
      <c r="L235" s="72">
        <v>0.94747664967205503</v>
      </c>
      <c r="M235" s="57">
        <v>0.9289031913059228</v>
      </c>
      <c r="N235" s="57">
        <v>0.91707234634959911</v>
      </c>
    </row>
    <row r="236" spans="1:14" ht="12.75" customHeight="1" x14ac:dyDescent="0.2">
      <c r="A236" s="56" t="s">
        <v>257</v>
      </c>
      <c r="B236" s="79">
        <v>0.72090324560605845</v>
      </c>
      <c r="C236" s="57">
        <v>0.61606704051168593</v>
      </c>
      <c r="D236" s="57">
        <v>0.63110878167962037</v>
      </c>
      <c r="E236" s="57">
        <v>0.70962592807996139</v>
      </c>
      <c r="F236" s="57">
        <v>0.74743132336727303</v>
      </c>
      <c r="G236" s="78">
        <v>0.73522868753565185</v>
      </c>
      <c r="H236" s="57">
        <v>0.72445453103450086</v>
      </c>
      <c r="I236" s="57">
        <v>0.80296838430291206</v>
      </c>
      <c r="J236" s="57">
        <v>0.83409207855258227</v>
      </c>
      <c r="K236" s="77">
        <v>0.89373198530713704</v>
      </c>
      <c r="L236" s="72">
        <v>0.89421053742896406</v>
      </c>
      <c r="M236" s="57">
        <v>0.84363296887799499</v>
      </c>
      <c r="N236" s="57">
        <v>0.84748637446497399</v>
      </c>
    </row>
    <row r="237" spans="1:14" ht="12.75" customHeight="1" x14ac:dyDescent="0.2">
      <c r="A237" s="56" t="s">
        <v>216</v>
      </c>
      <c r="B237" s="79">
        <v>0.66377567859041997</v>
      </c>
      <c r="C237" s="57">
        <v>0.69289110339535975</v>
      </c>
      <c r="D237" s="57">
        <v>0.70149824838675845</v>
      </c>
      <c r="E237" s="57">
        <v>0.74057968982480871</v>
      </c>
      <c r="F237" s="57">
        <v>0.75267007980920075</v>
      </c>
      <c r="G237" s="78">
        <v>0.8009189828388833</v>
      </c>
      <c r="H237" s="57">
        <v>0.82143001510714919</v>
      </c>
      <c r="I237" s="57">
        <v>0.89742896478770229</v>
      </c>
      <c r="J237" s="57">
        <v>0.89106428199732601</v>
      </c>
      <c r="K237" s="77">
        <v>0.91751729161581685</v>
      </c>
      <c r="L237" s="72">
        <v>0.93677819571874676</v>
      </c>
      <c r="M237" s="57">
        <v>0.91934307430459905</v>
      </c>
      <c r="N237" s="57">
        <v>0.94626496207555943</v>
      </c>
    </row>
    <row r="238" spans="1:14" ht="12.75" customHeight="1" x14ac:dyDescent="0.2">
      <c r="A238" s="56" t="s">
        <v>359</v>
      </c>
      <c r="B238" s="79">
        <v>0.6208447969358577</v>
      </c>
      <c r="C238" s="57">
        <v>0.69323983943551315</v>
      </c>
      <c r="D238" s="57">
        <v>0.60295097772867279</v>
      </c>
      <c r="E238" s="57">
        <v>0.65615019439865696</v>
      </c>
      <c r="F238" s="57">
        <v>0.70854120787745223</v>
      </c>
      <c r="G238" s="78">
        <v>0.73482753651031196</v>
      </c>
      <c r="H238" s="57">
        <v>0.68982914171484977</v>
      </c>
      <c r="I238" s="57">
        <v>0.75243484167807895</v>
      </c>
      <c r="J238" s="57">
        <v>0.79295015001897406</v>
      </c>
      <c r="K238" s="77">
        <v>0.87603695534509141</v>
      </c>
      <c r="L238" s="72">
        <v>0.89282742011018212</v>
      </c>
      <c r="M238" s="57">
        <v>0.91574619822057435</v>
      </c>
      <c r="N238" s="57">
        <v>0.89972753801409466</v>
      </c>
    </row>
    <row r="239" spans="1:14" ht="12.75" customHeight="1" x14ac:dyDescent="0.2">
      <c r="A239" s="56" t="s">
        <v>121</v>
      </c>
      <c r="B239" s="79">
        <v>0.56054621895388579</v>
      </c>
      <c r="C239" s="57">
        <v>0.58918916890934547</v>
      </c>
      <c r="D239" s="57">
        <v>0.48654425434705995</v>
      </c>
      <c r="E239" s="57">
        <v>0.47649295910685358</v>
      </c>
      <c r="F239" s="57">
        <v>0.57714525864976851</v>
      </c>
      <c r="G239" s="78">
        <v>0.68119671508682889</v>
      </c>
      <c r="H239" s="57">
        <v>0.7318409070583235</v>
      </c>
      <c r="I239" s="57">
        <v>0.77616429292258038</v>
      </c>
      <c r="J239" s="57">
        <v>0.76073540202358214</v>
      </c>
      <c r="K239" s="77">
        <v>0.88450482591249757</v>
      </c>
      <c r="L239" s="72">
        <v>0.90535559903531337</v>
      </c>
      <c r="M239" s="57">
        <v>0.88866167718009825</v>
      </c>
      <c r="N239" s="57">
        <v>0.9147694169842594</v>
      </c>
    </row>
    <row r="240" spans="1:14" ht="12.75" customHeight="1" x14ac:dyDescent="0.2">
      <c r="A240" s="56" t="s">
        <v>83</v>
      </c>
      <c r="B240" s="79">
        <v>0.45880023469798759</v>
      </c>
      <c r="C240" s="57">
        <v>0.53879307083212091</v>
      </c>
      <c r="D240" s="57">
        <v>0.46595100081089602</v>
      </c>
      <c r="E240" s="57">
        <v>0.47455819992763559</v>
      </c>
      <c r="F240" s="57">
        <v>0.51389551939093336</v>
      </c>
      <c r="G240" s="78">
        <v>0.54835587565893684</v>
      </c>
      <c r="H240" s="57">
        <v>0.59748422632778464</v>
      </c>
      <c r="I240" s="57">
        <v>0.61868402399381839</v>
      </c>
      <c r="J240" s="57">
        <v>0.61650900388711904</v>
      </c>
      <c r="K240" s="77">
        <v>0.71164331685527316</v>
      </c>
      <c r="L240" s="72">
        <v>0.72176452262458968</v>
      </c>
      <c r="M240" s="57">
        <v>0.74541199098815458</v>
      </c>
      <c r="N240" s="57">
        <v>0.76199120058729586</v>
      </c>
    </row>
    <row r="241" spans="1:14" ht="12.75" customHeight="1" x14ac:dyDescent="0.2">
      <c r="A241" s="56" t="s">
        <v>290</v>
      </c>
      <c r="B241" s="79">
        <v>0.77334850779448872</v>
      </c>
      <c r="C241" s="57">
        <v>0.84017796822084412</v>
      </c>
      <c r="D241" s="57">
        <v>0.82453489929962176</v>
      </c>
      <c r="E241" s="57">
        <v>0.80606495534826017</v>
      </c>
      <c r="F241" s="57">
        <v>0.83520445294131862</v>
      </c>
      <c r="G241" s="78">
        <v>0.86502497782097298</v>
      </c>
      <c r="H241" s="57">
        <v>0.87484051219726855</v>
      </c>
      <c r="I241" s="57">
        <v>0.88364516775468316</v>
      </c>
      <c r="J241" s="57">
        <v>0.91642625561190261</v>
      </c>
      <c r="K241" s="77">
        <v>0.94194531537601589</v>
      </c>
      <c r="L241" s="72">
        <v>0.94898937103742287</v>
      </c>
      <c r="M241" s="57">
        <v>0.95538870937678455</v>
      </c>
      <c r="N241" s="57">
        <v>0.93141504775244544</v>
      </c>
    </row>
    <row r="242" spans="1:14" ht="12.75" customHeight="1" x14ac:dyDescent="0.2">
      <c r="A242" s="56" t="s">
        <v>266</v>
      </c>
      <c r="B242" s="79">
        <v>0.78385320541383041</v>
      </c>
      <c r="C242" s="57">
        <v>0.84434728311236495</v>
      </c>
      <c r="D242" s="57">
        <v>0.82784510579205028</v>
      </c>
      <c r="E242" s="57">
        <v>0.82160461545824826</v>
      </c>
      <c r="F242" s="57">
        <v>0.83888291167924556</v>
      </c>
      <c r="G242" s="78">
        <v>0.84405632648805073</v>
      </c>
      <c r="H242" s="57">
        <v>0.86968501388635655</v>
      </c>
      <c r="I242" s="57">
        <v>0.85958178718114131</v>
      </c>
      <c r="J242" s="57">
        <v>0.85992944989749664</v>
      </c>
      <c r="K242" s="77">
        <v>0.94029465209194207</v>
      </c>
      <c r="L242" s="72">
        <v>0.94842340476689535</v>
      </c>
      <c r="M242" s="57">
        <v>0.89908616482292036</v>
      </c>
      <c r="N242" s="57">
        <v>0.92484455770542151</v>
      </c>
    </row>
    <row r="243" spans="1:14" ht="12.75" customHeight="1" x14ac:dyDescent="0.2">
      <c r="A243" s="56" t="s">
        <v>369</v>
      </c>
      <c r="B243" s="79">
        <v>0.6647682367080715</v>
      </c>
      <c r="C243" s="57">
        <v>0.68028620573932075</v>
      </c>
      <c r="D243" s="57">
        <v>0.69724101529616889</v>
      </c>
      <c r="E243" s="57">
        <v>0.70908548284492678</v>
      </c>
      <c r="F243" s="57">
        <v>0.68561947991140937</v>
      </c>
      <c r="G243" s="78">
        <v>0.71841793373065532</v>
      </c>
      <c r="H243" s="57">
        <v>0.83588641538470421</v>
      </c>
      <c r="I243" s="57">
        <v>0.84371906541832464</v>
      </c>
      <c r="J243" s="57">
        <v>0.85277516960358546</v>
      </c>
      <c r="K243" s="77">
        <v>0.92236121749177391</v>
      </c>
      <c r="L243" s="72">
        <v>0.91987158864683138</v>
      </c>
      <c r="M243" s="57">
        <v>0.92886771949084568</v>
      </c>
      <c r="N243" s="57">
        <v>0.89865212177454901</v>
      </c>
    </row>
    <row r="244" spans="1:14" ht="12.75" customHeight="1" x14ac:dyDescent="0.2">
      <c r="A244" s="56" t="s">
        <v>122</v>
      </c>
      <c r="B244" s="79">
        <v>0.50594793814764205</v>
      </c>
      <c r="C244" s="57">
        <v>0.66709630065893433</v>
      </c>
      <c r="D244" s="57">
        <v>0.61802571278186347</v>
      </c>
      <c r="E244" s="57">
        <v>0.5878264680982993</v>
      </c>
      <c r="F244" s="57">
        <v>0.5903608318530551</v>
      </c>
      <c r="G244" s="78">
        <v>0.63846500637948145</v>
      </c>
      <c r="H244" s="57">
        <v>0.68228501887890014</v>
      </c>
      <c r="I244" s="57">
        <v>0.79472205449439093</v>
      </c>
      <c r="J244" s="57">
        <v>0.80127190837927209</v>
      </c>
      <c r="K244" s="77">
        <v>0.79045343781083122</v>
      </c>
      <c r="L244" s="72">
        <v>0.82029303042917734</v>
      </c>
      <c r="M244" s="57">
        <v>0.8405303620457526</v>
      </c>
      <c r="N244" s="57">
        <v>0.83854922972934542</v>
      </c>
    </row>
    <row r="245" spans="1:14" ht="12.75" customHeight="1" x14ac:dyDescent="0.2">
      <c r="A245" s="56" t="s">
        <v>325</v>
      </c>
      <c r="B245" s="79">
        <v>0.76318803479161712</v>
      </c>
      <c r="C245" s="57">
        <v>0.78546273886183682</v>
      </c>
      <c r="D245" s="57">
        <v>0.79723226542217829</v>
      </c>
      <c r="E245" s="57">
        <v>0.82955004880544614</v>
      </c>
      <c r="F245" s="57">
        <v>0.79833091729502004</v>
      </c>
      <c r="G245" s="78">
        <v>0.87056174587432078</v>
      </c>
      <c r="H245" s="57">
        <v>0.89527444660021116</v>
      </c>
      <c r="I245" s="57">
        <v>0.93182920825540871</v>
      </c>
      <c r="J245" s="57">
        <v>0.94377511772257416</v>
      </c>
      <c r="K245" s="77">
        <v>0.93060699998381624</v>
      </c>
      <c r="L245" s="72">
        <v>0.90727721374900805</v>
      </c>
      <c r="M245" s="57">
        <v>0.94247198279737998</v>
      </c>
      <c r="N245" s="57">
        <v>0.89281813686138267</v>
      </c>
    </row>
    <row r="246" spans="1:14" ht="12.75" customHeight="1" x14ac:dyDescent="0.2">
      <c r="A246" s="56" t="s">
        <v>76</v>
      </c>
      <c r="B246" s="79">
        <v>0.69473046639937253</v>
      </c>
      <c r="C246" s="57">
        <v>0.66416374992362615</v>
      </c>
      <c r="D246" s="57">
        <v>0.56989641572703265</v>
      </c>
      <c r="E246" s="57">
        <v>0.63197287566319427</v>
      </c>
      <c r="F246" s="57">
        <v>0.64243715069425678</v>
      </c>
      <c r="G246" s="78">
        <v>0.70329628676374945</v>
      </c>
      <c r="H246" s="57">
        <v>0.729188282903936</v>
      </c>
      <c r="I246" s="57">
        <v>0.78415652936575386</v>
      </c>
      <c r="J246" s="57">
        <v>0.8008652588044638</v>
      </c>
      <c r="K246" s="77">
        <v>0.83075135981230619</v>
      </c>
      <c r="L246" s="72">
        <v>0.829404714210491</v>
      </c>
      <c r="M246" s="57">
        <v>0.8471771510280488</v>
      </c>
      <c r="N246" s="57">
        <v>0.86239950070707805</v>
      </c>
    </row>
    <row r="247" spans="1:14" ht="12.75" customHeight="1" x14ac:dyDescent="0.2">
      <c r="A247" s="56" t="s">
        <v>162</v>
      </c>
      <c r="B247" s="79">
        <v>0.8329146778086155</v>
      </c>
      <c r="C247" s="57">
        <v>0.85232101302875241</v>
      </c>
      <c r="D247" s="57">
        <v>0.82754572698985873</v>
      </c>
      <c r="E247" s="57">
        <v>0.7750770381119283</v>
      </c>
      <c r="F247" s="57">
        <v>0.82702556231704916</v>
      </c>
      <c r="G247" s="78">
        <v>0.88707879917548094</v>
      </c>
      <c r="H247" s="57">
        <v>0.89648864794607441</v>
      </c>
      <c r="I247" s="57">
        <v>0.88931335426474967</v>
      </c>
      <c r="J247" s="57">
        <v>0.89949607016665056</v>
      </c>
      <c r="K247" s="77">
        <v>0.95428494069260184</v>
      </c>
      <c r="L247" s="72">
        <v>0.9592013737713585</v>
      </c>
      <c r="M247" s="57">
        <v>0.97353100099052603</v>
      </c>
      <c r="N247" s="57">
        <v>0.90039702763661389</v>
      </c>
    </row>
    <row r="248" spans="1:14" ht="12.75" customHeight="1" x14ac:dyDescent="0.2">
      <c r="A248" s="56" t="s">
        <v>182</v>
      </c>
      <c r="B248" s="79">
        <v>0.43519440131236287</v>
      </c>
      <c r="C248" s="57">
        <v>0.49930588157293221</v>
      </c>
      <c r="D248" s="57">
        <v>0.49253368479770882</v>
      </c>
      <c r="E248" s="57">
        <v>0.49608386369594643</v>
      </c>
      <c r="F248" s="57">
        <v>0.52907726696176471</v>
      </c>
      <c r="G248" s="78">
        <v>0.55280819455775709</v>
      </c>
      <c r="H248" s="57">
        <v>0.56122273407194079</v>
      </c>
      <c r="I248" s="57">
        <v>0.66003290090291833</v>
      </c>
      <c r="J248" s="57">
        <v>0.6612278767288402</v>
      </c>
      <c r="K248" s="77">
        <v>0.79861256089146737</v>
      </c>
      <c r="L248" s="72">
        <v>0.79876000523012669</v>
      </c>
      <c r="M248" s="57">
        <v>0.78656982576450718</v>
      </c>
      <c r="N248" s="57">
        <v>0.80090873118581263</v>
      </c>
    </row>
    <row r="249" spans="1:14" ht="12.75" customHeight="1" x14ac:dyDescent="0.2">
      <c r="A249" s="56" t="s">
        <v>217</v>
      </c>
      <c r="B249" s="79">
        <v>0.73573606482874943</v>
      </c>
      <c r="C249" s="57">
        <v>0.71861510640773174</v>
      </c>
      <c r="D249" s="57">
        <v>0.68574161028253799</v>
      </c>
      <c r="E249" s="57">
        <v>0.69744659155165301</v>
      </c>
      <c r="F249" s="57">
        <v>0.72224260437048737</v>
      </c>
      <c r="G249" s="78">
        <v>0.75111770522974186</v>
      </c>
      <c r="H249" s="57">
        <v>0.74277714913705584</v>
      </c>
      <c r="I249" s="57">
        <v>0.83400795490324575</v>
      </c>
      <c r="J249" s="57">
        <v>0.88110896960541096</v>
      </c>
      <c r="K249" s="77">
        <v>0.90432409991373841</v>
      </c>
      <c r="L249" s="72">
        <v>0.89194118637393849</v>
      </c>
      <c r="M249" s="57">
        <v>0.92921093633949725</v>
      </c>
      <c r="N249" s="57">
        <v>0.91037775099602636</v>
      </c>
    </row>
    <row r="250" spans="1:14" ht="12.75" customHeight="1" x14ac:dyDescent="0.2">
      <c r="A250" s="56" t="s">
        <v>312</v>
      </c>
      <c r="B250" s="79">
        <v>0.60107345047371474</v>
      </c>
      <c r="C250" s="57">
        <v>0.75777364955051907</v>
      </c>
      <c r="D250" s="57">
        <v>0.78135992684335609</v>
      </c>
      <c r="E250" s="57">
        <v>0.77536579964522878</v>
      </c>
      <c r="F250" s="57">
        <v>0.8443664969535668</v>
      </c>
      <c r="G250" s="78">
        <v>0.82102795162096276</v>
      </c>
      <c r="H250" s="57">
        <v>0.84821383631762959</v>
      </c>
      <c r="I250" s="57">
        <v>0.87566952582911373</v>
      </c>
      <c r="J250" s="57">
        <v>0.88258691740262407</v>
      </c>
      <c r="K250" s="77">
        <v>0.88262959324847123</v>
      </c>
      <c r="L250" s="72">
        <v>0.89325407774138432</v>
      </c>
      <c r="M250" s="57">
        <v>0.89175809272661732</v>
      </c>
      <c r="N250" s="57">
        <v>0.89005722446653768</v>
      </c>
    </row>
    <row r="251" spans="1:14" ht="12.75" customHeight="1" x14ac:dyDescent="0.2">
      <c r="A251" s="56" t="s">
        <v>7078</v>
      </c>
      <c r="B251" s="79">
        <v>0.67545065533539206</v>
      </c>
      <c r="C251" s="57">
        <v>0.66034395817315228</v>
      </c>
      <c r="D251" s="57">
        <v>0.65882584455791871</v>
      </c>
      <c r="E251" s="57">
        <v>0.70492887322841746</v>
      </c>
      <c r="F251" s="57">
        <v>0.71258724943039142</v>
      </c>
      <c r="G251" s="78">
        <v>0.75570641314056886</v>
      </c>
      <c r="H251" s="57">
        <v>0.79749022864975716</v>
      </c>
      <c r="I251" s="57">
        <v>0.82266297626965512</v>
      </c>
      <c r="J251" s="57">
        <v>0.83507869797991707</v>
      </c>
      <c r="K251" s="77">
        <v>0.88334870287263556</v>
      </c>
      <c r="L251" s="72">
        <v>0.89103587150058161</v>
      </c>
      <c r="M251" s="57">
        <v>0.88481207460459421</v>
      </c>
      <c r="N251" s="57">
        <v>0.88993744986718704</v>
      </c>
    </row>
    <row r="252" spans="1:14" ht="12.75" customHeight="1" x14ac:dyDescent="0.2">
      <c r="A252" s="56" t="s">
        <v>389</v>
      </c>
      <c r="B252" s="79">
        <v>0.37277342419165244</v>
      </c>
      <c r="C252" s="57">
        <v>0.45571799693713005</v>
      </c>
      <c r="D252" s="57">
        <v>0.4391110701297492</v>
      </c>
      <c r="E252" s="57">
        <v>0.46226687687096107</v>
      </c>
      <c r="F252" s="57">
        <v>0.5226035815052984</v>
      </c>
      <c r="G252" s="78">
        <v>0.47591085403303079</v>
      </c>
      <c r="H252" s="57">
        <v>0.56214552112153826</v>
      </c>
      <c r="I252" s="57">
        <v>0.56295558500069642</v>
      </c>
      <c r="J252" s="57">
        <v>0.59292010054143929</v>
      </c>
      <c r="K252" s="77">
        <v>0.6807946588038668</v>
      </c>
      <c r="L252" s="72">
        <v>0.66216819930220816</v>
      </c>
      <c r="M252" s="57">
        <v>0.67045138557479245</v>
      </c>
      <c r="N252" s="57">
        <v>0.72698026104750368</v>
      </c>
    </row>
    <row r="253" spans="1:14" ht="12.75" customHeight="1" x14ac:dyDescent="0.2">
      <c r="A253" s="56" t="s">
        <v>23</v>
      </c>
      <c r="B253" s="79">
        <v>0.66330844518104237</v>
      </c>
      <c r="C253" s="57">
        <v>0.67259207540862587</v>
      </c>
      <c r="D253" s="57">
        <v>0.64479773444847266</v>
      </c>
      <c r="E253" s="57">
        <v>0.71817253429933747</v>
      </c>
      <c r="F253" s="57">
        <v>0.70925910627814281</v>
      </c>
      <c r="G253" s="78">
        <v>0.75611488299841734</v>
      </c>
      <c r="H253" s="57">
        <v>0.79954404291800363</v>
      </c>
      <c r="I253" s="57">
        <v>0.82224496978460504</v>
      </c>
      <c r="J253" s="57">
        <v>0.85692437419086698</v>
      </c>
      <c r="K253" s="77">
        <v>0.90559604473865929</v>
      </c>
      <c r="L253" s="72">
        <v>0.90069793132515452</v>
      </c>
      <c r="M253" s="57">
        <v>0.89653365855074107</v>
      </c>
      <c r="N253" s="57">
        <v>0.92390972013890493</v>
      </c>
    </row>
    <row r="254" spans="1:14" ht="12.75" customHeight="1" x14ac:dyDescent="0.2">
      <c r="A254" s="56" t="s">
        <v>77</v>
      </c>
      <c r="B254" s="79">
        <v>0.46424934028742448</v>
      </c>
      <c r="C254" s="57">
        <v>0.55632828628237641</v>
      </c>
      <c r="D254" s="57">
        <v>0.49563856295563308</v>
      </c>
      <c r="E254" s="57">
        <v>0.59117135998501469</v>
      </c>
      <c r="F254" s="57">
        <v>0.59743721762835333</v>
      </c>
      <c r="G254" s="78">
        <v>0.65488434958945563</v>
      </c>
      <c r="H254" s="57">
        <v>0.68935262206477388</v>
      </c>
      <c r="I254" s="57">
        <v>0.74579197311055512</v>
      </c>
      <c r="J254" s="57">
        <v>0.76493946042820882</v>
      </c>
      <c r="K254" s="77">
        <v>0.83304232786658661</v>
      </c>
      <c r="L254" s="72">
        <v>0.83976392566782643</v>
      </c>
      <c r="M254" s="57">
        <v>0.82459324060828709</v>
      </c>
      <c r="N254" s="57">
        <v>0.86652927163979132</v>
      </c>
    </row>
    <row r="255" spans="1:14" ht="12.75" customHeight="1" x14ac:dyDescent="0.2">
      <c r="A255" s="56" t="s">
        <v>326</v>
      </c>
      <c r="B255" s="79">
        <v>0.75688503260042095</v>
      </c>
      <c r="C255" s="57">
        <v>0.81976290921802586</v>
      </c>
      <c r="D255" s="57">
        <v>0.83124163887570479</v>
      </c>
      <c r="E255" s="57">
        <v>0.86664534410616834</v>
      </c>
      <c r="F255" s="57">
        <v>0.87422060162498705</v>
      </c>
      <c r="G255" s="78">
        <v>0.893588119524096</v>
      </c>
      <c r="H255" s="57">
        <v>0.89735988190445148</v>
      </c>
      <c r="I255" s="57">
        <v>0.90537311523334252</v>
      </c>
      <c r="J255" s="57">
        <v>0.93029012597798844</v>
      </c>
      <c r="K255" s="77">
        <v>0.92045830368938841</v>
      </c>
      <c r="L255" s="72">
        <v>0.9503913391683575</v>
      </c>
      <c r="M255" s="57">
        <v>0.96058193391388469</v>
      </c>
      <c r="N255" s="57">
        <v>0.95328303601782527</v>
      </c>
    </row>
    <row r="256" spans="1:14" ht="12.75" customHeight="1" x14ac:dyDescent="0.2">
      <c r="A256" s="56" t="s">
        <v>267</v>
      </c>
      <c r="B256" s="79">
        <v>0.72612056241857414</v>
      </c>
      <c r="C256" s="57">
        <v>0.83760324243188067</v>
      </c>
      <c r="D256" s="57">
        <v>0.72921415785196064</v>
      </c>
      <c r="E256" s="57">
        <v>0.77159874231523118</v>
      </c>
      <c r="F256" s="57">
        <v>0.76859275990347087</v>
      </c>
      <c r="G256" s="78">
        <v>0.76828235852436144</v>
      </c>
      <c r="H256" s="57">
        <v>0.75536961501589395</v>
      </c>
      <c r="I256" s="57">
        <v>0.83309502114224077</v>
      </c>
      <c r="J256" s="57">
        <v>0.86687670961949903</v>
      </c>
      <c r="K256" s="77">
        <v>0.90555671531987325</v>
      </c>
      <c r="L256" s="72">
        <v>0.90758717548952028</v>
      </c>
      <c r="M256" s="57">
        <v>0.94596803916108885</v>
      </c>
      <c r="N256" s="57">
        <v>0.91025790436643084</v>
      </c>
    </row>
    <row r="257" spans="1:14" ht="12.75" customHeight="1" x14ac:dyDescent="0.2">
      <c r="A257" s="56" t="s">
        <v>230</v>
      </c>
      <c r="B257" s="79">
        <v>0.63429204665003303</v>
      </c>
      <c r="C257" s="57">
        <v>0.65823857542138853</v>
      </c>
      <c r="D257" s="57">
        <v>0.62695158741994617</v>
      </c>
      <c r="E257" s="57">
        <v>0.64159136983218223</v>
      </c>
      <c r="F257" s="57">
        <v>0.62032793029276423</v>
      </c>
      <c r="G257" s="78">
        <v>0.68693834898449713</v>
      </c>
      <c r="H257" s="57">
        <v>0.64200138484580904</v>
      </c>
      <c r="I257" s="57">
        <v>0.67904405995552308</v>
      </c>
      <c r="J257" s="57">
        <v>0.69585480997980609</v>
      </c>
      <c r="K257" s="77">
        <v>0.78680451999643974</v>
      </c>
      <c r="L257" s="72">
        <v>0.78529913596452117</v>
      </c>
      <c r="M257" s="57">
        <v>0.78171735524209041</v>
      </c>
      <c r="N257" s="57">
        <v>0.84677047892471968</v>
      </c>
    </row>
    <row r="258" spans="1:14" ht="12.75" customHeight="1" x14ac:dyDescent="0.2">
      <c r="A258" s="56" t="s">
        <v>7077</v>
      </c>
      <c r="B258" s="79">
        <v>0.58200120886192308</v>
      </c>
      <c r="C258" s="57">
        <v>0.56203772139762254</v>
      </c>
      <c r="D258" s="57">
        <v>0.53891958465984513</v>
      </c>
      <c r="E258" s="57">
        <v>0.58518316228025791</v>
      </c>
      <c r="F258" s="57">
        <v>0.59025879534250691</v>
      </c>
      <c r="G258" s="78">
        <v>0.63435084067285352</v>
      </c>
      <c r="H258" s="57">
        <v>0.65603517060540695</v>
      </c>
      <c r="I258" s="57">
        <v>0.6682614760729837</v>
      </c>
      <c r="J258" s="57">
        <v>0.67421361518139933</v>
      </c>
      <c r="K258" s="77">
        <v>0.77270697936156829</v>
      </c>
      <c r="L258" s="72">
        <v>0.76085867091312376</v>
      </c>
      <c r="M258" s="57">
        <v>0.7413704287609223</v>
      </c>
      <c r="N258" s="57">
        <v>0.77469202897319323</v>
      </c>
    </row>
    <row r="259" spans="1:14" ht="12.75" customHeight="1" x14ac:dyDescent="0.2">
      <c r="A259" s="56" t="s">
        <v>231</v>
      </c>
      <c r="B259" s="79">
        <v>0.53109544105902862</v>
      </c>
      <c r="C259" s="57">
        <v>0.61159285181106071</v>
      </c>
      <c r="D259" s="57">
        <v>0.58037407167992561</v>
      </c>
      <c r="E259" s="57">
        <v>0.6268556974784939</v>
      </c>
      <c r="F259" s="57">
        <v>0.69867461483890436</v>
      </c>
      <c r="G259" s="78">
        <v>0.71035450682141521</v>
      </c>
      <c r="H259" s="57">
        <v>0.72670228149165994</v>
      </c>
      <c r="I259" s="57">
        <v>0.85936569200239321</v>
      </c>
      <c r="J259" s="57">
        <v>0.89260140053562631</v>
      </c>
      <c r="K259" s="77">
        <v>0.94763090899733105</v>
      </c>
      <c r="L259" s="72">
        <v>0.94192242079098565</v>
      </c>
      <c r="M259" s="57">
        <v>0.77505893944712534</v>
      </c>
      <c r="N259" s="57">
        <v>0.77941984027530498</v>
      </c>
    </row>
    <row r="260" spans="1:14" ht="12.75" customHeight="1" x14ac:dyDescent="0.2">
      <c r="A260" s="56" t="s">
        <v>232</v>
      </c>
      <c r="B260" s="79">
        <v>0.7651578366309062</v>
      </c>
      <c r="C260" s="57">
        <v>0.82071157075346224</v>
      </c>
      <c r="D260" s="57">
        <v>0.83814329622546913</v>
      </c>
      <c r="E260" s="57">
        <v>0.82563956024204321</v>
      </c>
      <c r="F260" s="57">
        <v>0.83753134016980979</v>
      </c>
      <c r="G260" s="78">
        <v>0.86776985024154807</v>
      </c>
      <c r="H260" s="57">
        <v>0.87327900020231231</v>
      </c>
      <c r="I260" s="57">
        <v>0.87829780332548013</v>
      </c>
      <c r="J260" s="57">
        <v>0.87013789929320873</v>
      </c>
      <c r="K260" s="77">
        <v>0.91751263854840026</v>
      </c>
      <c r="L260" s="72">
        <v>0.9204716710876385</v>
      </c>
      <c r="M260" s="57">
        <v>0.95130618754941609</v>
      </c>
      <c r="N260" s="57">
        <v>0.95058097821930576</v>
      </c>
    </row>
    <row r="261" spans="1:14" ht="12.75" customHeight="1" x14ac:dyDescent="0.2">
      <c r="A261" s="56" t="s">
        <v>313</v>
      </c>
      <c r="B261" s="79">
        <v>0.82194425854876252</v>
      </c>
      <c r="C261" s="57">
        <v>0.85325327138189788</v>
      </c>
      <c r="D261" s="57">
        <v>0.80969492065486715</v>
      </c>
      <c r="E261" s="57">
        <v>0.81783988319731349</v>
      </c>
      <c r="F261" s="57">
        <v>0.82044958610061336</v>
      </c>
      <c r="G261" s="78">
        <v>0.82635456500909732</v>
      </c>
      <c r="H261" s="57">
        <v>0.8537198321863092</v>
      </c>
      <c r="I261" s="57">
        <v>0.87816189412906831</v>
      </c>
      <c r="J261" s="57">
        <v>0.86745112108204547</v>
      </c>
      <c r="K261" s="77">
        <v>0.94901816449882814</v>
      </c>
      <c r="L261" s="72">
        <v>0.92968646634794549</v>
      </c>
      <c r="M261" s="57">
        <v>0.91710761476414993</v>
      </c>
      <c r="N261" s="57">
        <v>0.92164657297831298</v>
      </c>
    </row>
    <row r="262" spans="1:14" ht="12.75" customHeight="1" x14ac:dyDescent="0.2">
      <c r="A262" s="56" t="s">
        <v>379</v>
      </c>
      <c r="B262" s="79">
        <v>0.81042500737897405</v>
      </c>
      <c r="C262" s="57">
        <v>0.84367872706264857</v>
      </c>
      <c r="D262" s="57">
        <v>0.84557242819250733</v>
      </c>
      <c r="E262" s="57">
        <v>0.86868156564263865</v>
      </c>
      <c r="F262" s="57">
        <v>0.87077318682224536</v>
      </c>
      <c r="G262" s="78">
        <v>0.90606209523776904</v>
      </c>
      <c r="H262" s="57">
        <v>0.90960497044521538</v>
      </c>
      <c r="I262" s="57">
        <v>0.91186938728088962</v>
      </c>
      <c r="J262" s="57">
        <v>0.91038988269646415</v>
      </c>
      <c r="K262" s="77">
        <v>0.93583150863418707</v>
      </c>
      <c r="L262" s="72">
        <v>0.92957707359463149</v>
      </c>
      <c r="M262" s="57">
        <v>0.95456388410724624</v>
      </c>
      <c r="N262" s="57">
        <v>0.94353563627396841</v>
      </c>
    </row>
    <row r="263" spans="1:14" ht="12.75" customHeight="1" x14ac:dyDescent="0.2">
      <c r="A263" s="56" t="s">
        <v>30</v>
      </c>
      <c r="B263" s="79">
        <v>0.69026918995198705</v>
      </c>
      <c r="C263" s="57">
        <v>0.78239588161637219</v>
      </c>
      <c r="D263" s="57">
        <v>0.77732635648316961</v>
      </c>
      <c r="E263" s="57">
        <v>0.79827440020530449</v>
      </c>
      <c r="F263" s="57">
        <v>0.80623745420962689</v>
      </c>
      <c r="G263" s="78">
        <v>0.85577319219860426</v>
      </c>
      <c r="H263" s="57">
        <v>0.85194310521928807</v>
      </c>
      <c r="I263" s="57">
        <v>0.91010294660293578</v>
      </c>
      <c r="J263" s="57">
        <v>0.89065077873966558</v>
      </c>
      <c r="K263" s="77">
        <v>0.88163790170732359</v>
      </c>
      <c r="L263" s="72">
        <v>0.87417377681223152</v>
      </c>
      <c r="M263" s="57">
        <v>0.88868108893276232</v>
      </c>
      <c r="N263" s="57">
        <v>0.88277493901327353</v>
      </c>
    </row>
    <row r="264" spans="1:14" ht="12.75" customHeight="1" x14ac:dyDescent="0.2">
      <c r="A264" s="56" t="s">
        <v>393</v>
      </c>
      <c r="B264" s="79">
        <v>0.75423485540361268</v>
      </c>
      <c r="C264" s="57">
        <v>0.80792235454237915</v>
      </c>
      <c r="D264" s="57">
        <v>0.75347728983418083</v>
      </c>
      <c r="E264" s="57">
        <v>0.75142980470910459</v>
      </c>
      <c r="F264" s="57">
        <v>0.80923734682492032</v>
      </c>
      <c r="G264" s="78">
        <v>0.83179921128917123</v>
      </c>
      <c r="H264" s="57">
        <v>0.84173848572171495</v>
      </c>
      <c r="I264" s="57">
        <v>0.8171094000628133</v>
      </c>
      <c r="J264" s="57">
        <v>0.8381251408544409</v>
      </c>
      <c r="K264" s="77">
        <v>0.87634744724631564</v>
      </c>
      <c r="L264" s="72">
        <v>0.87723310696715584</v>
      </c>
      <c r="M264" s="57">
        <v>0.87809455760481658</v>
      </c>
      <c r="N264" s="57">
        <v>0.90757103583682464</v>
      </c>
    </row>
    <row r="265" spans="1:14" ht="12.75" customHeight="1" x14ac:dyDescent="0.2">
      <c r="A265" s="56" t="s">
        <v>244</v>
      </c>
      <c r="B265" s="79">
        <v>0.62282047355668302</v>
      </c>
      <c r="C265" s="57">
        <v>0.76036096660913566</v>
      </c>
      <c r="D265" s="57">
        <v>0.77353586571404598</v>
      </c>
      <c r="E265" s="57">
        <v>0.66027768272317555</v>
      </c>
      <c r="F265" s="57">
        <v>0.70694519464128813</v>
      </c>
      <c r="G265" s="78">
        <v>0.8300552319316874</v>
      </c>
      <c r="H265" s="57">
        <v>0.82289291622352201</v>
      </c>
      <c r="I265" s="57">
        <v>0.80548720108145011</v>
      </c>
      <c r="J265" s="57">
        <v>0.8319859580563711</v>
      </c>
      <c r="K265" s="77">
        <v>0.9016925241196071</v>
      </c>
      <c r="L265" s="72">
        <v>0.90422318361320897</v>
      </c>
      <c r="M265" s="57">
        <v>0.95065208321463535</v>
      </c>
      <c r="N265" s="57">
        <v>0.93894830824769093</v>
      </c>
    </row>
    <row r="266" spans="1:14" ht="12.75" customHeight="1" x14ac:dyDescent="0.2">
      <c r="A266" s="56" t="s">
        <v>281</v>
      </c>
      <c r="B266" s="79">
        <v>0.73219455441802361</v>
      </c>
      <c r="C266" s="57">
        <v>0.77031228132484053</v>
      </c>
      <c r="D266" s="57">
        <v>0.71880499578408308</v>
      </c>
      <c r="E266" s="57">
        <v>0.77458543204854824</v>
      </c>
      <c r="F266" s="57">
        <v>0.81164056073414093</v>
      </c>
      <c r="G266" s="78">
        <v>0.84709380051293381</v>
      </c>
      <c r="H266" s="57">
        <v>0.80188613541168596</v>
      </c>
      <c r="I266" s="57">
        <v>0.78526352089844642</v>
      </c>
      <c r="J266" s="57">
        <v>0.82519704589159171</v>
      </c>
      <c r="K266" s="77">
        <v>0.89288325186369621</v>
      </c>
      <c r="L266" s="72">
        <v>0.89806016908731068</v>
      </c>
      <c r="M266" s="57">
        <v>0.90072627199175126</v>
      </c>
      <c r="N266" s="57">
        <v>0.84751730658151192</v>
      </c>
    </row>
    <row r="267" spans="1:14" ht="12.75" customHeight="1" x14ac:dyDescent="0.2">
      <c r="A267" s="56" t="s">
        <v>282</v>
      </c>
      <c r="B267" s="79">
        <v>0.67808980265714625</v>
      </c>
      <c r="C267" s="57">
        <v>0.76357722387210392</v>
      </c>
      <c r="D267" s="57">
        <v>0.78262236140690855</v>
      </c>
      <c r="E267" s="57">
        <v>0.81888420508276993</v>
      </c>
      <c r="F267" s="57">
        <v>0.86274599205757396</v>
      </c>
      <c r="G267" s="78">
        <v>0.84865607421338518</v>
      </c>
      <c r="H267" s="57">
        <v>0.85333870532962253</v>
      </c>
      <c r="I267" s="57">
        <v>0.863057967212712</v>
      </c>
      <c r="J267" s="57">
        <v>0.89447376930159694</v>
      </c>
      <c r="K267" s="77">
        <v>0.88243094335680849</v>
      </c>
      <c r="L267" s="72">
        <v>0.90490596854574168</v>
      </c>
      <c r="M267" s="57">
        <v>0.92985696986343047</v>
      </c>
      <c r="N267" s="57">
        <v>0.8934061960753652</v>
      </c>
    </row>
    <row r="268" spans="1:14" ht="12.75" customHeight="1" x14ac:dyDescent="0.2">
      <c r="A268" s="56" t="s">
        <v>7076</v>
      </c>
      <c r="B268" s="79">
        <v>0.68054962115279616</v>
      </c>
      <c r="C268" s="57">
        <v>0.76478193914501758</v>
      </c>
      <c r="D268" s="57">
        <v>0.67752047480363919</v>
      </c>
      <c r="E268" s="57">
        <v>0.76122996170168367</v>
      </c>
      <c r="F268" s="57">
        <v>0.77514692305253452</v>
      </c>
      <c r="G268" s="78">
        <v>0.79777167944091432</v>
      </c>
      <c r="H268" s="57">
        <v>0.76671029570841531</v>
      </c>
      <c r="I268" s="57">
        <v>0.85298621637451977</v>
      </c>
      <c r="J268" s="57">
        <v>0.86296985626942457</v>
      </c>
      <c r="K268" s="77">
        <v>0.93475698344329561</v>
      </c>
      <c r="L268" s="72">
        <v>0.93390763696065127</v>
      </c>
      <c r="M268" s="57">
        <v>0.95977470617176353</v>
      </c>
      <c r="N268" s="57">
        <v>0.95946165883756673</v>
      </c>
    </row>
    <row r="269" spans="1:14" ht="12.75" customHeight="1" x14ac:dyDescent="0.2">
      <c r="A269" s="56" t="s">
        <v>18</v>
      </c>
      <c r="B269" s="79">
        <v>0.63224468812854751</v>
      </c>
      <c r="C269" s="57">
        <v>0.67306625291354971</v>
      </c>
      <c r="D269" s="57">
        <v>0.63069908324041868</v>
      </c>
      <c r="E269" s="57">
        <v>0.76424699040154409</v>
      </c>
      <c r="F269" s="57">
        <v>0.79142422292841397</v>
      </c>
      <c r="G269" s="78">
        <v>0.77120578054440914</v>
      </c>
      <c r="H269" s="57">
        <v>0.80535733611248972</v>
      </c>
      <c r="I269" s="57">
        <v>0.89352921939599306</v>
      </c>
      <c r="J269" s="57">
        <v>0.86252418605360659</v>
      </c>
      <c r="K269" s="77">
        <v>0.93099415574614375</v>
      </c>
      <c r="L269" s="72">
        <v>0.9213418360345772</v>
      </c>
      <c r="M269" s="57">
        <v>0.8826298230291163</v>
      </c>
      <c r="N269" s="57">
        <v>0.92238126870733994</v>
      </c>
    </row>
    <row r="270" spans="1:14" ht="12.75" customHeight="1" x14ac:dyDescent="0.2">
      <c r="A270" s="56" t="s">
        <v>12</v>
      </c>
      <c r="B270" s="79">
        <v>0.62167992104482395</v>
      </c>
      <c r="C270" s="57">
        <v>0.67974118945387796</v>
      </c>
      <c r="D270" s="57">
        <v>0.71002688818900939</v>
      </c>
      <c r="E270" s="57">
        <v>0.73158468025796231</v>
      </c>
      <c r="F270" s="57">
        <v>0.73226812025435695</v>
      </c>
      <c r="G270" s="78">
        <v>0.79130901625922934</v>
      </c>
      <c r="H270" s="57">
        <v>0.79056825601884784</v>
      </c>
      <c r="I270" s="57">
        <v>0.82028017328580261</v>
      </c>
      <c r="J270" s="57">
        <v>0.83285511143560853</v>
      </c>
      <c r="K270" s="77">
        <v>0.87458520715241705</v>
      </c>
      <c r="L270" s="72">
        <v>0.86964809397879084</v>
      </c>
      <c r="M270" s="57">
        <v>0.89635875563019607</v>
      </c>
      <c r="N270" s="57">
        <v>0.91562302976921162</v>
      </c>
    </row>
    <row r="271" spans="1:14" ht="12.75" customHeight="1" x14ac:dyDescent="0.2">
      <c r="A271" s="56" t="s">
        <v>370</v>
      </c>
      <c r="B271" s="79">
        <v>0.70362010559865118</v>
      </c>
      <c r="C271" s="57">
        <v>0.75316276123368131</v>
      </c>
      <c r="D271" s="57">
        <v>0.72459013589373333</v>
      </c>
      <c r="E271" s="57">
        <v>0.71660047073640343</v>
      </c>
      <c r="F271" s="57">
        <v>0.68333021406217875</v>
      </c>
      <c r="G271" s="78">
        <v>0.66473680200270646</v>
      </c>
      <c r="H271" s="57">
        <v>0.65246713717355265</v>
      </c>
      <c r="I271" s="57">
        <v>0.7661133952153375</v>
      </c>
      <c r="J271" s="57">
        <v>0.88763348972088096</v>
      </c>
      <c r="K271" s="77">
        <v>0.89785853118052927</v>
      </c>
      <c r="L271" s="72">
        <v>0.91902690916647112</v>
      </c>
      <c r="M271" s="57">
        <v>0.8685844785223189</v>
      </c>
      <c r="N271" s="57">
        <v>0.88904426095784439</v>
      </c>
    </row>
    <row r="272" spans="1:14" ht="12.75" customHeight="1" x14ac:dyDescent="0.2">
      <c r="A272" s="56" t="s">
        <v>169</v>
      </c>
      <c r="B272" s="79">
        <v>0.6126177434095712</v>
      </c>
      <c r="C272" s="57">
        <v>0.69125678911050947</v>
      </c>
      <c r="D272" s="57">
        <v>0.66300023060616864</v>
      </c>
      <c r="E272" s="57">
        <v>0.71038286252724037</v>
      </c>
      <c r="F272" s="57">
        <v>0.73204093596253517</v>
      </c>
      <c r="G272" s="78">
        <v>0.82656040254808538</v>
      </c>
      <c r="H272" s="57">
        <v>0.85035381758497053</v>
      </c>
      <c r="I272" s="57">
        <v>0.84535061814385837</v>
      </c>
      <c r="J272" s="57">
        <v>0.83344883829396743</v>
      </c>
      <c r="K272" s="77">
        <v>0.90641505915630827</v>
      </c>
      <c r="L272" s="72">
        <v>0.9111995897106927</v>
      </c>
      <c r="M272" s="57">
        <v>0.92195660209405428</v>
      </c>
      <c r="N272" s="57">
        <v>0.90780953160989886</v>
      </c>
    </row>
    <row r="273" spans="1:14" ht="12.75" customHeight="1" x14ac:dyDescent="0.2">
      <c r="A273" s="56" t="s">
        <v>67</v>
      </c>
      <c r="B273" s="79">
        <v>0.43165521519905331</v>
      </c>
      <c r="C273" s="57">
        <v>0.46107397079482831</v>
      </c>
      <c r="D273" s="57">
        <v>0.42227242633956713</v>
      </c>
      <c r="E273" s="57">
        <v>0.46671122326959613</v>
      </c>
      <c r="F273" s="57">
        <v>0.46036799277680884</v>
      </c>
      <c r="G273" s="78">
        <v>0.53287790964646065</v>
      </c>
      <c r="H273" s="57">
        <v>0.58815842771605409</v>
      </c>
      <c r="I273" s="57">
        <v>0.67312877263297033</v>
      </c>
      <c r="J273" s="57">
        <v>0.6718713193525313</v>
      </c>
      <c r="K273" s="77">
        <v>0.76807303550449446</v>
      </c>
      <c r="L273" s="72">
        <v>0.77374213543788262</v>
      </c>
      <c r="M273" s="57">
        <v>0.75332986814367497</v>
      </c>
      <c r="N273" s="57">
        <v>0.76996944105367948</v>
      </c>
    </row>
    <row r="274" spans="1:14" ht="12.75" customHeight="1" x14ac:dyDescent="0.2">
      <c r="A274" s="56" t="s">
        <v>37</v>
      </c>
      <c r="B274" s="79">
        <v>0.55096891859287389</v>
      </c>
      <c r="C274" s="57">
        <v>0.61258851116871882</v>
      </c>
      <c r="D274" s="57">
        <v>0.53809511499894702</v>
      </c>
      <c r="E274" s="57">
        <v>0.5919403679618116</v>
      </c>
      <c r="F274" s="57">
        <v>0.6049957611732879</v>
      </c>
      <c r="G274" s="78">
        <v>0.59236743328057095</v>
      </c>
      <c r="H274" s="57">
        <v>0.61963818814244254</v>
      </c>
      <c r="I274" s="57">
        <v>0.68101026324241287</v>
      </c>
      <c r="J274" s="57">
        <v>0.72310164863543358</v>
      </c>
      <c r="K274" s="77">
        <v>0.81270103732718846</v>
      </c>
      <c r="L274" s="72">
        <v>0.81232716542840067</v>
      </c>
      <c r="M274" s="57">
        <v>0.81677878928023562</v>
      </c>
      <c r="N274" s="57">
        <v>0.85230698164171159</v>
      </c>
    </row>
    <row r="275" spans="1:14" ht="12.75" customHeight="1" x14ac:dyDescent="0.2">
      <c r="A275" s="56" t="s">
        <v>13</v>
      </c>
      <c r="B275" s="79">
        <v>0.38127797382665879</v>
      </c>
      <c r="C275" s="57">
        <v>0.48734846121723846</v>
      </c>
      <c r="D275" s="57">
        <v>0.43781538827116151</v>
      </c>
      <c r="E275" s="57">
        <v>0.45843843917063459</v>
      </c>
      <c r="F275" s="57">
        <v>0.45283201673180468</v>
      </c>
      <c r="G275" s="78">
        <v>0.49699462026876867</v>
      </c>
      <c r="H275" s="57">
        <v>0.53366593318073108</v>
      </c>
      <c r="I275" s="57">
        <v>0.56358124755613781</v>
      </c>
      <c r="J275" s="57">
        <v>0.57817444808773077</v>
      </c>
      <c r="K275" s="77">
        <v>0.68890958400387015</v>
      </c>
      <c r="L275" s="72">
        <v>0.68914209327470299</v>
      </c>
      <c r="M275" s="57">
        <v>0.71097738638246177</v>
      </c>
      <c r="N275" s="57">
        <v>0.74044269102543847</v>
      </c>
    </row>
    <row r="276" spans="1:14" ht="12.75" customHeight="1" x14ac:dyDescent="0.2">
      <c r="A276" s="56" t="s">
        <v>68</v>
      </c>
      <c r="B276" s="79">
        <v>0.67500387040850252</v>
      </c>
      <c r="C276" s="57">
        <v>0.73881083040506057</v>
      </c>
      <c r="D276" s="57">
        <v>0.67871569989366842</v>
      </c>
      <c r="E276" s="57">
        <v>0.72162340165725603</v>
      </c>
      <c r="F276" s="57">
        <v>0.73973192335948434</v>
      </c>
      <c r="G276" s="78">
        <v>0.79087603475888146</v>
      </c>
      <c r="H276" s="57">
        <v>0.79886624412800722</v>
      </c>
      <c r="I276" s="57">
        <v>0.83010308849579251</v>
      </c>
      <c r="J276" s="57">
        <v>0.83944911443408976</v>
      </c>
      <c r="K276" s="77">
        <v>0.88860110381204505</v>
      </c>
      <c r="L276" s="72">
        <v>0.89676850424959165</v>
      </c>
      <c r="M276" s="57">
        <v>0.90651656570338679</v>
      </c>
      <c r="N276" s="57">
        <v>0.8804391302640886</v>
      </c>
    </row>
    <row r="277" spans="1:14" ht="12.75" customHeight="1" x14ac:dyDescent="0.2">
      <c r="A277" s="56" t="s">
        <v>96</v>
      </c>
      <c r="B277" s="79">
        <v>0.74898247489294145</v>
      </c>
      <c r="C277" s="57">
        <v>0.70229121741956191</v>
      </c>
      <c r="D277" s="57">
        <v>0.79355755319690635</v>
      </c>
      <c r="E277" s="57">
        <v>0.83041580616583854</v>
      </c>
      <c r="F277" s="57">
        <v>0.81683537542206153</v>
      </c>
      <c r="G277" s="78">
        <v>0.75210743790810541</v>
      </c>
      <c r="H277" s="57">
        <v>0.78366153781905623</v>
      </c>
      <c r="I277" s="57">
        <v>0.82209872328044786</v>
      </c>
      <c r="J277" s="57">
        <v>0.83440254801073399</v>
      </c>
      <c r="K277" s="77">
        <v>0.82726290343189346</v>
      </c>
      <c r="L277" s="72">
        <v>0.85760747095183798</v>
      </c>
      <c r="M277" s="57">
        <v>0.918719152839652</v>
      </c>
      <c r="N277" s="57">
        <v>0.90777017429660267</v>
      </c>
    </row>
    <row r="278" spans="1:14" ht="12.75" customHeight="1" x14ac:dyDescent="0.2">
      <c r="A278" s="56" t="s">
        <v>291</v>
      </c>
      <c r="B278" s="79">
        <v>0.59204651759836546</v>
      </c>
      <c r="C278" s="57">
        <v>0.69758797403687745</v>
      </c>
      <c r="D278" s="57">
        <v>0.66563145970202686</v>
      </c>
      <c r="E278" s="57">
        <v>0.71517226559994374</v>
      </c>
      <c r="F278" s="57">
        <v>0.72932219161751632</v>
      </c>
      <c r="G278" s="78">
        <v>0.7321893004123633</v>
      </c>
      <c r="H278" s="57">
        <v>0.75597017057966465</v>
      </c>
      <c r="I278" s="57">
        <v>0.79002912877265663</v>
      </c>
      <c r="J278" s="57">
        <v>0.80595007898087134</v>
      </c>
      <c r="K278" s="77">
        <v>0.87797638221537544</v>
      </c>
      <c r="L278" s="72">
        <v>0.85429581735939286</v>
      </c>
      <c r="M278" s="57">
        <v>0.82795893911118756</v>
      </c>
      <c r="N278" s="57">
        <v>0.87056838841415918</v>
      </c>
    </row>
    <row r="279" spans="1:14" ht="12.75" customHeight="1" x14ac:dyDescent="0.2">
      <c r="A279" s="56" t="s">
        <v>371</v>
      </c>
      <c r="B279" s="79">
        <v>0.75791065435811378</v>
      </c>
      <c r="C279" s="57">
        <v>0.82244673617205732</v>
      </c>
      <c r="D279" s="57">
        <v>0.78647277442534658</v>
      </c>
      <c r="E279" s="57">
        <v>0.77462589171261975</v>
      </c>
      <c r="F279" s="57">
        <v>0.7769846533780761</v>
      </c>
      <c r="G279" s="78">
        <v>0.80184556024879461</v>
      </c>
      <c r="H279" s="57">
        <v>0.79756531744569048</v>
      </c>
      <c r="I279" s="57">
        <v>0.84652067069221359</v>
      </c>
      <c r="J279" s="57">
        <v>0.88588749806553513</v>
      </c>
      <c r="K279" s="77">
        <v>0.915336264980259</v>
      </c>
      <c r="L279" s="72">
        <v>0.93844549959272539</v>
      </c>
      <c r="M279" s="57">
        <v>0.9573993700360609</v>
      </c>
      <c r="N279" s="57">
        <v>0.93151222353430219</v>
      </c>
    </row>
    <row r="280" spans="1:14" ht="12.75" customHeight="1" x14ac:dyDescent="0.2">
      <c r="A280" s="56" t="s">
        <v>43</v>
      </c>
      <c r="B280" s="79">
        <v>0.70769775385019351</v>
      </c>
      <c r="C280" s="57">
        <v>0.7543909124895638</v>
      </c>
      <c r="D280" s="57">
        <v>0.74343683128687876</v>
      </c>
      <c r="E280" s="57">
        <v>0.7195555971536417</v>
      </c>
      <c r="F280" s="57">
        <v>0.72499907723211099</v>
      </c>
      <c r="G280" s="78">
        <v>0.76861760504051369</v>
      </c>
      <c r="H280" s="57">
        <v>0.79846987425788074</v>
      </c>
      <c r="I280" s="57">
        <v>0.81527669073057152</v>
      </c>
      <c r="J280" s="57">
        <v>0.82542248865846157</v>
      </c>
      <c r="K280" s="77">
        <v>0.86699735861542315</v>
      </c>
      <c r="L280" s="72">
        <v>0.80749815720826446</v>
      </c>
      <c r="M280" s="57">
        <v>0.85876303647529251</v>
      </c>
      <c r="N280" s="57">
        <v>0.91212796236383464</v>
      </c>
    </row>
    <row r="281" spans="1:14" ht="12.75" customHeight="1" x14ac:dyDescent="0.2">
      <c r="A281" s="56" t="s">
        <v>401</v>
      </c>
      <c r="B281" s="79">
        <v>0.62047045977649029</v>
      </c>
      <c r="C281" s="57">
        <v>0.61077792911899176</v>
      </c>
      <c r="D281" s="57">
        <v>0.59934802516993801</v>
      </c>
      <c r="E281" s="57">
        <v>0.69994986167121453</v>
      </c>
      <c r="F281" s="57">
        <v>0.76551283745520493</v>
      </c>
      <c r="G281" s="78">
        <v>0.77278620891496408</v>
      </c>
      <c r="H281" s="57">
        <v>0.78429396743646684</v>
      </c>
      <c r="I281" s="57">
        <v>0.83833354675077065</v>
      </c>
      <c r="J281" s="57">
        <v>0.8371937076817475</v>
      </c>
      <c r="K281" s="77">
        <v>0.88381212050980984</v>
      </c>
      <c r="L281" s="72">
        <v>0.80987840716253967</v>
      </c>
      <c r="M281" s="57">
        <v>0.87655445175409563</v>
      </c>
      <c r="N281" s="57">
        <v>0.87261304046028165</v>
      </c>
    </row>
    <row r="282" spans="1:14" ht="12.75" customHeight="1" x14ac:dyDescent="0.2">
      <c r="A282" s="56" t="s">
        <v>107</v>
      </c>
      <c r="B282" s="79">
        <v>0.70208012726232849</v>
      </c>
      <c r="C282" s="57">
        <v>0.61101517020568274</v>
      </c>
      <c r="D282" s="57">
        <v>0.55232395050513527</v>
      </c>
      <c r="E282" s="57">
        <v>0.76477785779672924</v>
      </c>
      <c r="F282" s="57">
        <v>0.79562613927423875</v>
      </c>
      <c r="G282" s="78">
        <v>0.80569511125873161</v>
      </c>
      <c r="H282" s="57">
        <v>0.8182417501772411</v>
      </c>
      <c r="I282" s="57">
        <v>0.83732900859169679</v>
      </c>
      <c r="J282" s="57">
        <v>0.82658080778527931</v>
      </c>
      <c r="K282" s="77">
        <v>0.88259117522052577</v>
      </c>
      <c r="L282" s="72">
        <v>0.89886102261832768</v>
      </c>
      <c r="M282" s="57">
        <v>0.86221852249482211</v>
      </c>
      <c r="N282" s="57">
        <v>0.91514269644303914</v>
      </c>
    </row>
    <row r="283" spans="1:14" ht="12.75" customHeight="1" x14ac:dyDescent="0.2">
      <c r="A283" s="56" t="s">
        <v>7075</v>
      </c>
      <c r="B283" s="79">
        <v>0.44447335513332775</v>
      </c>
      <c r="C283" s="57">
        <v>0.55321957299581304</v>
      </c>
      <c r="D283" s="57">
        <v>0.46805715270916343</v>
      </c>
      <c r="E283" s="57">
        <v>0.56890561046881649</v>
      </c>
      <c r="F283" s="57">
        <v>0.5937522838887237</v>
      </c>
      <c r="G283" s="78">
        <v>0.6053818891860433</v>
      </c>
      <c r="H283" s="57">
        <v>0.64215203923242903</v>
      </c>
      <c r="I283" s="57">
        <v>0.67712922130343045</v>
      </c>
      <c r="J283" s="57">
        <v>0.696775246820039</v>
      </c>
      <c r="K283" s="77">
        <v>0.75160362695890859</v>
      </c>
      <c r="L283" s="72">
        <v>0.81855091800505209</v>
      </c>
      <c r="M283" s="57">
        <v>0.8905908733639063</v>
      </c>
      <c r="N283" s="57">
        <v>0.91930278943105936</v>
      </c>
    </row>
    <row r="284" spans="1:14" ht="12.75" customHeight="1" x14ac:dyDescent="0.2">
      <c r="A284" s="56" t="s">
        <v>84</v>
      </c>
      <c r="B284" s="79">
        <v>0.5496121432943859</v>
      </c>
      <c r="C284" s="57">
        <v>0.65219835185015429</v>
      </c>
      <c r="D284" s="57">
        <v>0.57191187170506297</v>
      </c>
      <c r="E284" s="57">
        <v>0.6263831346508415</v>
      </c>
      <c r="F284" s="57">
        <v>0.72477185355115792</v>
      </c>
      <c r="G284" s="78">
        <v>0.67577899075925107</v>
      </c>
      <c r="H284" s="57">
        <v>0.69024727141505127</v>
      </c>
      <c r="I284" s="57">
        <v>0.7630397500618683</v>
      </c>
      <c r="J284" s="57">
        <v>0.77536893188763711</v>
      </c>
      <c r="K284" s="77">
        <v>0.86613941942358941</v>
      </c>
      <c r="L284" s="72">
        <v>0.83455444596694073</v>
      </c>
      <c r="M284" s="57">
        <v>0.84858637387719593</v>
      </c>
      <c r="N284" s="57">
        <v>0.89182027596923552</v>
      </c>
    </row>
    <row r="285" spans="1:14" ht="12.75" customHeight="1" x14ac:dyDescent="0.2">
      <c r="A285" s="56" t="s">
        <v>292</v>
      </c>
      <c r="B285" s="79">
        <v>0.72323442112467295</v>
      </c>
      <c r="C285" s="57">
        <v>0.64007321233577752</v>
      </c>
      <c r="D285" s="57">
        <v>0.65738854135379443</v>
      </c>
      <c r="E285" s="57">
        <v>0.77002614289436921</v>
      </c>
      <c r="F285" s="57">
        <v>0.77941755471295038</v>
      </c>
      <c r="G285" s="78">
        <v>0.71589343220769541</v>
      </c>
      <c r="H285" s="57">
        <v>0.616669765457597</v>
      </c>
      <c r="I285" s="57">
        <v>0.71740800048080389</v>
      </c>
      <c r="J285" s="57">
        <v>0.71800379720211671</v>
      </c>
      <c r="K285" s="77">
        <v>0.84987112465693049</v>
      </c>
      <c r="L285" s="72">
        <v>0.68245431609813711</v>
      </c>
      <c r="M285" s="57">
        <v>0.8113719018307417</v>
      </c>
      <c r="N285" s="57">
        <v>0.90261487964689846</v>
      </c>
    </row>
    <row r="286" spans="1:14" ht="12.75" customHeight="1" x14ac:dyDescent="0.2">
      <c r="A286" s="56" t="s">
        <v>31</v>
      </c>
      <c r="B286" s="79">
        <v>0.74066096797444991</v>
      </c>
      <c r="C286" s="57">
        <v>0.69572839192395153</v>
      </c>
      <c r="D286" s="57">
        <v>0.61768665202816975</v>
      </c>
      <c r="E286" s="57">
        <v>0.68709559080175109</v>
      </c>
      <c r="F286" s="57">
        <v>0.68558786554336426</v>
      </c>
      <c r="G286" s="78">
        <v>0.74411452793228494</v>
      </c>
      <c r="H286" s="57">
        <v>0.77908629472698732</v>
      </c>
      <c r="I286" s="57">
        <v>0.84544253867006613</v>
      </c>
      <c r="J286" s="57">
        <v>0.861698322606543</v>
      </c>
      <c r="K286" s="77">
        <v>0.85562202670844867</v>
      </c>
      <c r="L286" s="72">
        <v>0.88984220461312291</v>
      </c>
      <c r="M286" s="57">
        <v>0.87628440097941374</v>
      </c>
      <c r="N286" s="57">
        <v>0.8954657689334814</v>
      </c>
    </row>
    <row r="287" spans="1:14" ht="12.75" customHeight="1" x14ac:dyDescent="0.2">
      <c r="A287" s="56" t="s">
        <v>97</v>
      </c>
      <c r="B287" s="79">
        <v>0.43238708068461612</v>
      </c>
      <c r="C287" s="57">
        <v>0.57338369719207982</v>
      </c>
      <c r="D287" s="57">
        <v>0.57488258385936841</v>
      </c>
      <c r="E287" s="57">
        <v>0.60347093750574687</v>
      </c>
      <c r="F287" s="57">
        <v>0.65405130646014165</v>
      </c>
      <c r="G287" s="78">
        <v>0.58273027705830338</v>
      </c>
      <c r="H287" s="57">
        <v>0.71462532239822962</v>
      </c>
      <c r="I287" s="57">
        <v>0.76124041548866739</v>
      </c>
      <c r="J287" s="57">
        <v>0.70562686811822584</v>
      </c>
      <c r="K287" s="77">
        <v>0.73094553087887293</v>
      </c>
      <c r="L287" s="72">
        <v>0.7843474685151518</v>
      </c>
      <c r="M287" s="57">
        <v>0.84924282206799939</v>
      </c>
      <c r="N287" s="57">
        <v>0.83197451545145762</v>
      </c>
    </row>
    <row r="288" spans="1:14" ht="12.75" customHeight="1" x14ac:dyDescent="0.2">
      <c r="A288" s="56" t="s">
        <v>7074</v>
      </c>
      <c r="B288" s="79">
        <v>0.71205847111017462</v>
      </c>
      <c r="C288" s="57">
        <v>0.75807201986945816</v>
      </c>
      <c r="D288" s="57">
        <v>0.7518026758323324</v>
      </c>
      <c r="E288" s="57">
        <v>0.75873218856863323</v>
      </c>
      <c r="F288" s="57">
        <v>0.76207781539468133</v>
      </c>
      <c r="G288" s="78">
        <v>0.8101004472839185</v>
      </c>
      <c r="H288" s="57">
        <v>0.76086075028264333</v>
      </c>
      <c r="I288" s="57">
        <v>0.85258804930740295</v>
      </c>
      <c r="J288" s="57">
        <v>0.88574892221601198</v>
      </c>
      <c r="K288" s="77">
        <v>0.77470545835141513</v>
      </c>
      <c r="L288" s="72">
        <v>0.80690486265499461</v>
      </c>
      <c r="M288" s="57">
        <v>0.90428558333878795</v>
      </c>
      <c r="N288" s="57">
        <v>0.89934585960301017</v>
      </c>
    </row>
    <row r="289" spans="1:14" ht="12.75" customHeight="1" x14ac:dyDescent="0.2">
      <c r="A289" s="56" t="s">
        <v>218</v>
      </c>
      <c r="B289" s="79">
        <v>0.74582222124500885</v>
      </c>
      <c r="C289" s="57">
        <v>0.7202789958762249</v>
      </c>
      <c r="D289" s="57">
        <v>0.68836785404018275</v>
      </c>
      <c r="E289" s="57">
        <v>0.76481295592607346</v>
      </c>
      <c r="F289" s="57">
        <v>0.77698901905116113</v>
      </c>
      <c r="G289" s="78">
        <v>0.81602370150944903</v>
      </c>
      <c r="H289" s="57">
        <v>0.74880481915081021</v>
      </c>
      <c r="I289" s="57">
        <v>0.80393709950605075</v>
      </c>
      <c r="J289" s="57">
        <v>0.87607768066345815</v>
      </c>
      <c r="K289" s="77">
        <v>0.81831173936543267</v>
      </c>
      <c r="L289" s="72">
        <v>0.86392276162389037</v>
      </c>
      <c r="M289" s="57">
        <v>0.8858342964183451</v>
      </c>
      <c r="N289" s="57">
        <v>0.87553285569407657</v>
      </c>
    </row>
    <row r="290" spans="1:14" ht="12.75" customHeight="1" x14ac:dyDescent="0.2">
      <c r="A290" s="56" t="s">
        <v>108</v>
      </c>
      <c r="B290" s="79">
        <v>0.57094255673581895</v>
      </c>
      <c r="C290" s="57">
        <v>0.57634888371003068</v>
      </c>
      <c r="D290" s="57">
        <v>0.66589980064833709</v>
      </c>
      <c r="E290" s="57">
        <v>0.56132348380761943</v>
      </c>
      <c r="F290" s="57">
        <v>0.64860816346253969</v>
      </c>
      <c r="G290" s="78">
        <v>0.71901070450476523</v>
      </c>
      <c r="H290" s="57">
        <v>0.73546788894115434</v>
      </c>
      <c r="I290" s="57">
        <v>0.73169229650192591</v>
      </c>
      <c r="J290" s="57">
        <v>0.71612994273352126</v>
      </c>
      <c r="K290" s="77">
        <v>0.83329053093341432</v>
      </c>
      <c r="L290" s="72">
        <v>0.7655281820495603</v>
      </c>
      <c r="M290" s="57">
        <v>0.70521727708485737</v>
      </c>
      <c r="N290" s="57">
        <v>0.6970145599109604</v>
      </c>
    </row>
    <row r="291" spans="1:14" ht="12.75" customHeight="1" x14ac:dyDescent="0.2">
      <c r="A291" s="56" t="s">
        <v>59</v>
      </c>
      <c r="B291" s="79">
        <v>0.6423591111986372</v>
      </c>
      <c r="C291" s="57">
        <v>0.68824971288001269</v>
      </c>
      <c r="D291" s="57">
        <v>0.65317576293309632</v>
      </c>
      <c r="E291" s="57">
        <v>0.7130638128045087</v>
      </c>
      <c r="F291" s="57">
        <v>0.71460730598710021</v>
      </c>
      <c r="G291" s="78">
        <v>0.77475739657069187</v>
      </c>
      <c r="H291" s="57">
        <v>0.82180093887082506</v>
      </c>
      <c r="I291" s="57">
        <v>0.84019472911182747</v>
      </c>
      <c r="J291" s="57">
        <v>0.8380375285231072</v>
      </c>
      <c r="K291" s="77">
        <v>0.89195128522567757</v>
      </c>
      <c r="L291" s="72">
        <v>0.90629826091501076</v>
      </c>
      <c r="M291" s="57">
        <v>0.88348499397574753</v>
      </c>
      <c r="N291" s="57">
        <v>0.93785060458418612</v>
      </c>
    </row>
    <row r="292" spans="1:14" ht="12.75" customHeight="1" x14ac:dyDescent="0.2">
      <c r="A292" s="56" t="s">
        <v>245</v>
      </c>
      <c r="B292" s="79">
        <v>0.51925455909999296</v>
      </c>
      <c r="C292" s="57">
        <v>0.69824502894305107</v>
      </c>
      <c r="D292" s="57">
        <v>0.69425671515155518</v>
      </c>
      <c r="E292" s="57">
        <v>0.74472745186797573</v>
      </c>
      <c r="F292" s="57">
        <v>0.7421390613773422</v>
      </c>
      <c r="G292" s="78">
        <v>0.79268883639831345</v>
      </c>
      <c r="H292" s="57">
        <v>0.79255327876540438</v>
      </c>
      <c r="I292" s="57">
        <v>0.83299836079998357</v>
      </c>
      <c r="J292" s="57">
        <v>0.85621597922756709</v>
      </c>
      <c r="K292" s="77">
        <v>0.87508052949532034</v>
      </c>
      <c r="L292" s="72">
        <v>0.85069632138128304</v>
      </c>
      <c r="M292" s="57">
        <v>0.86436809293676575</v>
      </c>
      <c r="N292" s="57">
        <v>0.84489767316507691</v>
      </c>
    </row>
    <row r="293" spans="1:14" ht="12.75" customHeight="1" x14ac:dyDescent="0.2">
      <c r="A293" s="56" t="s">
        <v>174</v>
      </c>
      <c r="B293" s="79">
        <v>0.74037063467180442</v>
      </c>
      <c r="C293" s="57">
        <v>0.85003992111295568</v>
      </c>
      <c r="D293" s="57">
        <v>0.88552279696445113</v>
      </c>
      <c r="E293" s="57">
        <v>0.83737827444728696</v>
      </c>
      <c r="F293" s="57">
        <v>0.85474779108953691</v>
      </c>
      <c r="G293" s="78">
        <v>0.89538454264736034</v>
      </c>
      <c r="H293" s="57">
        <v>0.90444567129464515</v>
      </c>
      <c r="I293" s="57">
        <v>0.94486476755939586</v>
      </c>
      <c r="J293" s="57">
        <v>0.95214760871626825</v>
      </c>
      <c r="K293" s="77">
        <v>0.9199859131030389</v>
      </c>
      <c r="L293" s="72">
        <v>0.93961988001175001</v>
      </c>
      <c r="M293" s="57">
        <v>0.95772990115706647</v>
      </c>
      <c r="N293" s="57">
        <v>0.94515551635010819</v>
      </c>
    </row>
    <row r="294" spans="1:14" ht="12.75" customHeight="1" x14ac:dyDescent="0.2">
      <c r="A294" s="56" t="s">
        <v>4</v>
      </c>
      <c r="B294" s="79">
        <v>0.58265941691884648</v>
      </c>
      <c r="C294" s="57">
        <v>0.60181904722739954</v>
      </c>
      <c r="D294" s="57">
        <v>0.64110482210279396</v>
      </c>
      <c r="E294" s="57">
        <v>0.68324890052576626</v>
      </c>
      <c r="F294" s="57">
        <v>0.6884454629912985</v>
      </c>
      <c r="G294" s="78">
        <v>0.72000533792438526</v>
      </c>
      <c r="H294" s="57">
        <v>0.73094877748334119</v>
      </c>
      <c r="I294" s="57">
        <v>0.82934181512725991</v>
      </c>
      <c r="J294" s="57">
        <v>0.84818207932152223</v>
      </c>
      <c r="K294" s="77">
        <v>0.88596258693124996</v>
      </c>
      <c r="L294" s="72">
        <v>0.87827657430335981</v>
      </c>
      <c r="M294" s="57">
        <v>0.89180245321687357</v>
      </c>
      <c r="N294" s="57">
        <v>0.91950194327603829</v>
      </c>
    </row>
    <row r="295" spans="1:14" ht="12.75" customHeight="1" x14ac:dyDescent="0.2">
      <c r="A295" s="56" t="s">
        <v>327</v>
      </c>
      <c r="B295" s="79">
        <v>0.79473977458703837</v>
      </c>
      <c r="C295" s="57">
        <v>0.79706651899177072</v>
      </c>
      <c r="D295" s="57">
        <v>0.8494131103371122</v>
      </c>
      <c r="E295" s="57">
        <v>0.9026027377356326</v>
      </c>
      <c r="F295" s="57">
        <v>0.92512575140456854</v>
      </c>
      <c r="G295" s="78">
        <v>0.8798675745383423</v>
      </c>
      <c r="H295" s="57">
        <v>0.91009963787234105</v>
      </c>
      <c r="I295" s="57">
        <v>0.92100734548774132</v>
      </c>
      <c r="J295" s="57">
        <v>0.9353570214112672</v>
      </c>
      <c r="K295" s="77">
        <v>0.9948634841843329</v>
      </c>
      <c r="L295" s="72">
        <v>0.96679383027062782</v>
      </c>
      <c r="M295" s="57">
        <v>0.95713614607272024</v>
      </c>
      <c r="N295" s="57">
        <v>0.94475722233074688</v>
      </c>
    </row>
    <row r="296" spans="1:14" ht="12.75" customHeight="1" x14ac:dyDescent="0.2">
      <c r="A296" s="56" t="s">
        <v>85</v>
      </c>
      <c r="B296" s="79">
        <v>0.53171180498134252</v>
      </c>
      <c r="C296" s="57">
        <v>0.66706699677308867</v>
      </c>
      <c r="D296" s="57">
        <v>0.6299447987880229</v>
      </c>
      <c r="E296" s="57">
        <v>0.70734346761723088</v>
      </c>
      <c r="F296" s="57">
        <v>0.73798448543333595</v>
      </c>
      <c r="G296" s="78">
        <v>0.73443041125960151</v>
      </c>
      <c r="H296" s="57">
        <v>0.78770123102109202</v>
      </c>
      <c r="I296" s="57">
        <v>0.83411270334752863</v>
      </c>
      <c r="J296" s="57">
        <v>0.81963099893642788</v>
      </c>
      <c r="K296" s="77">
        <v>0.88495280044079505</v>
      </c>
      <c r="L296" s="72">
        <v>0.87839417861007496</v>
      </c>
      <c r="M296" s="57">
        <v>0.84744247702551689</v>
      </c>
      <c r="N296" s="57">
        <v>0.88873169402504404</v>
      </c>
    </row>
    <row r="297" spans="1:14" ht="12.75" customHeight="1" x14ac:dyDescent="0.2">
      <c r="A297" s="56" t="s">
        <v>293</v>
      </c>
      <c r="B297" s="79">
        <v>0.61657794898390317</v>
      </c>
      <c r="C297" s="57">
        <v>0.65822275264966579</v>
      </c>
      <c r="D297" s="57">
        <v>0.66714714755065874</v>
      </c>
      <c r="E297" s="57">
        <v>0.65409651241967315</v>
      </c>
      <c r="F297" s="57">
        <v>0.70170504482891083</v>
      </c>
      <c r="G297" s="78">
        <v>0.67659593508662208</v>
      </c>
      <c r="H297" s="57">
        <v>0.68610107656305319</v>
      </c>
      <c r="I297" s="57">
        <v>0.64686780112783149</v>
      </c>
      <c r="J297" s="57">
        <v>0.69565066774266027</v>
      </c>
      <c r="K297" s="77">
        <v>0.82476178736837169</v>
      </c>
      <c r="L297" s="72">
        <v>0.82854030355732289</v>
      </c>
      <c r="M297" s="57">
        <v>0.78062389286735423</v>
      </c>
      <c r="N297" s="57">
        <v>0.81332068077361541</v>
      </c>
    </row>
    <row r="298" spans="1:14" ht="12.75" customHeight="1" x14ac:dyDescent="0.2">
      <c r="A298" s="56" t="s">
        <v>205</v>
      </c>
      <c r="B298" s="79">
        <v>0.42150549880924654</v>
      </c>
      <c r="C298" s="57">
        <v>0.49639974021752992</v>
      </c>
      <c r="D298" s="57">
        <v>0.59882140425407937</v>
      </c>
      <c r="E298" s="57">
        <v>0.64091238845970921</v>
      </c>
      <c r="F298" s="57">
        <v>0.65330256266587861</v>
      </c>
      <c r="G298" s="78">
        <v>0.64955890720467568</v>
      </c>
      <c r="H298" s="57">
        <v>0.75398361236267408</v>
      </c>
      <c r="I298" s="57">
        <v>0.77902207338737683</v>
      </c>
      <c r="J298" s="57">
        <v>0.7424277481667344</v>
      </c>
      <c r="K298" s="77">
        <v>0.86235350428718804</v>
      </c>
      <c r="L298" s="72">
        <v>0.88314591331409231</v>
      </c>
      <c r="M298" s="57">
        <v>0.83445806591765137</v>
      </c>
      <c r="N298" s="57">
        <v>0.8649362165766461</v>
      </c>
    </row>
    <row r="299" spans="1:14" ht="12.75" customHeight="1" x14ac:dyDescent="0.2">
      <c r="A299" s="56" t="s">
        <v>19</v>
      </c>
      <c r="B299" s="79">
        <v>0.61899265700964534</v>
      </c>
      <c r="C299" s="57">
        <v>0.58134685836734123</v>
      </c>
      <c r="D299" s="57">
        <v>0.5663323227755177</v>
      </c>
      <c r="E299" s="57">
        <v>0.71400703648299335</v>
      </c>
      <c r="F299" s="57">
        <v>0.70095116189653539</v>
      </c>
      <c r="G299" s="78">
        <v>0.73321446565838977</v>
      </c>
      <c r="H299" s="57">
        <v>0.73922426918372619</v>
      </c>
      <c r="I299" s="57">
        <v>0.74911871317401924</v>
      </c>
      <c r="J299" s="57">
        <v>0.7030023212594102</v>
      </c>
      <c r="K299" s="77">
        <v>0.82576984470810999</v>
      </c>
      <c r="L299" s="72">
        <v>0.82180875561104783</v>
      </c>
      <c r="M299" s="57">
        <v>0.81218196558077671</v>
      </c>
      <c r="N299" s="57">
        <v>0.88617662192844027</v>
      </c>
    </row>
    <row r="300" spans="1:14" ht="12.75" customHeight="1" x14ac:dyDescent="0.2">
      <c r="A300" s="56" t="s">
        <v>314</v>
      </c>
      <c r="B300" s="79">
        <v>0.6489587898007787</v>
      </c>
      <c r="C300" s="57">
        <v>0.59311320701881731</v>
      </c>
      <c r="D300" s="57">
        <v>0.52805085197219714</v>
      </c>
      <c r="E300" s="57">
        <v>0.68335976558121136</v>
      </c>
      <c r="F300" s="57">
        <v>0.65488717643195893</v>
      </c>
      <c r="G300" s="78">
        <v>0.55384047989413832</v>
      </c>
      <c r="H300" s="57">
        <v>0.61252800824224773</v>
      </c>
      <c r="I300" s="57">
        <v>0.64059872155557862</v>
      </c>
      <c r="J300" s="57">
        <v>0.67871191641540296</v>
      </c>
      <c r="K300" s="77">
        <v>0.6973428042806995</v>
      </c>
      <c r="L300" s="72">
        <v>0.64935656188955049</v>
      </c>
      <c r="M300" s="57">
        <v>0.74638747593186872</v>
      </c>
      <c r="N300" s="57">
        <v>0.80628618680574293</v>
      </c>
    </row>
    <row r="301" spans="1:14" ht="12.75" customHeight="1" x14ac:dyDescent="0.2">
      <c r="A301" s="56" t="s">
        <v>123</v>
      </c>
      <c r="B301" s="79">
        <v>0.62088527316688746</v>
      </c>
      <c r="C301" s="57">
        <v>0.65255755681064376</v>
      </c>
      <c r="D301" s="57">
        <v>0.59933468092859099</v>
      </c>
      <c r="E301" s="57">
        <v>0.63248698968904382</v>
      </c>
      <c r="F301" s="57">
        <v>0.68953453501632334</v>
      </c>
      <c r="G301" s="78">
        <v>0.74226715382665476</v>
      </c>
      <c r="H301" s="57">
        <v>0.75070305281719385</v>
      </c>
      <c r="I301" s="57">
        <v>0.71950949387656371</v>
      </c>
      <c r="J301" s="57">
        <v>0.74092747699720318</v>
      </c>
      <c r="K301" s="77">
        <v>0.86845895971355458</v>
      </c>
      <c r="L301" s="72">
        <v>0.85420028997601238</v>
      </c>
      <c r="M301" s="57">
        <v>0.85862103455554184</v>
      </c>
      <c r="N301" s="57">
        <v>0.88981749281422873</v>
      </c>
    </row>
    <row r="302" spans="1:14" ht="12.75" customHeight="1" x14ac:dyDescent="0.2">
      <c r="A302" s="56" t="s">
        <v>411</v>
      </c>
      <c r="B302" s="79">
        <v>0.60542055287280805</v>
      </c>
      <c r="C302" s="57">
        <v>0.79733793168236977</v>
      </c>
      <c r="D302" s="57">
        <v>0.81472365338314456</v>
      </c>
      <c r="E302" s="57">
        <v>0.5637267016195967</v>
      </c>
      <c r="F302" s="57">
        <v>0.65635180120685888</v>
      </c>
      <c r="G302" s="78">
        <v>0.74033875864428156</v>
      </c>
      <c r="H302" s="57">
        <v>0.74177201939346282</v>
      </c>
      <c r="I302" s="57">
        <v>0.83667853486899757</v>
      </c>
      <c r="J302" s="57">
        <v>0.83496831908132241</v>
      </c>
      <c r="K302" s="77">
        <v>0.84655776225250146</v>
      </c>
      <c r="L302" s="72">
        <v>0.84344410007179549</v>
      </c>
      <c r="M302" s="57">
        <v>0.82823507447715117</v>
      </c>
      <c r="N302" s="57">
        <v>0.81869630223872158</v>
      </c>
    </row>
    <row r="303" spans="1:14" ht="12.75" customHeight="1" x14ac:dyDescent="0.2">
      <c r="A303" s="56" t="s">
        <v>372</v>
      </c>
      <c r="B303" s="79">
        <v>0.76558108557643167</v>
      </c>
      <c r="C303" s="57">
        <v>0.82749118104687902</v>
      </c>
      <c r="D303" s="57">
        <v>0.82821282694174048</v>
      </c>
      <c r="E303" s="57">
        <v>0.86862288851870417</v>
      </c>
      <c r="F303" s="57">
        <v>0.87204051063674604</v>
      </c>
      <c r="G303" s="78">
        <v>0.91458628036935796</v>
      </c>
      <c r="H303" s="57">
        <v>0.8848959526963639</v>
      </c>
      <c r="I303" s="57">
        <v>0.90812157616110711</v>
      </c>
      <c r="J303" s="57">
        <v>0.94045053352775931</v>
      </c>
      <c r="K303" s="77">
        <v>0.94991698623431742</v>
      </c>
      <c r="L303" s="72">
        <v>0.9483874793989957</v>
      </c>
      <c r="M303" s="57">
        <v>0.96644209769584832</v>
      </c>
      <c r="N303" s="57">
        <v>0.9308827392951059</v>
      </c>
    </row>
    <row r="304" spans="1:14" ht="12.75" customHeight="1" x14ac:dyDescent="0.2">
      <c r="A304" s="56" t="s">
        <v>60</v>
      </c>
      <c r="B304" s="79">
        <v>0.6653100678248397</v>
      </c>
      <c r="C304" s="57">
        <v>0.67542166025452588</v>
      </c>
      <c r="D304" s="57">
        <v>0.65848359905892639</v>
      </c>
      <c r="E304" s="57">
        <v>0.63996935892894335</v>
      </c>
      <c r="F304" s="57">
        <v>0.67485327150578711</v>
      </c>
      <c r="G304" s="78">
        <v>0.74511885737669781</v>
      </c>
      <c r="H304" s="57">
        <v>0.75224631379287021</v>
      </c>
      <c r="I304" s="57">
        <v>0.74390980328433209</v>
      </c>
      <c r="J304" s="57">
        <v>0.78057137864873716</v>
      </c>
      <c r="K304" s="77">
        <v>0.85797282621412374</v>
      </c>
      <c r="L304" s="72">
        <v>0.88603045810301406</v>
      </c>
      <c r="M304" s="57">
        <v>0.84274125839314018</v>
      </c>
      <c r="N304" s="57">
        <v>0.85387276832176662</v>
      </c>
    </row>
    <row r="305" spans="1:14" ht="12.75" customHeight="1" x14ac:dyDescent="0.2">
      <c r="A305" s="56" t="s">
        <v>360</v>
      </c>
      <c r="B305" s="79">
        <v>0.73757760803404249</v>
      </c>
      <c r="C305" s="57">
        <v>0.71338356315921791</v>
      </c>
      <c r="D305" s="57">
        <v>0.68250272094258657</v>
      </c>
      <c r="E305" s="57">
        <v>0.68602893544163768</v>
      </c>
      <c r="F305" s="57">
        <v>0.71979097267093683</v>
      </c>
      <c r="G305" s="78">
        <v>0.72460773341660423</v>
      </c>
      <c r="H305" s="57">
        <v>0.75668499695463987</v>
      </c>
      <c r="I305" s="57">
        <v>0.80437087850648747</v>
      </c>
      <c r="J305" s="57">
        <v>0.87018692762786132</v>
      </c>
      <c r="K305" s="77">
        <v>0.87957297391876943</v>
      </c>
      <c r="L305" s="72">
        <v>0.89870009062691258</v>
      </c>
      <c r="M305" s="57">
        <v>0.90799651068329179</v>
      </c>
      <c r="N305" s="57">
        <v>0.93107876130180511</v>
      </c>
    </row>
    <row r="306" spans="1:14" ht="12.75" customHeight="1" x14ac:dyDescent="0.2">
      <c r="A306" s="56" t="s">
        <v>51</v>
      </c>
      <c r="B306" s="79">
        <v>0.34145347282967992</v>
      </c>
      <c r="C306" s="57">
        <v>0.46783658917944138</v>
      </c>
      <c r="D306" s="57">
        <v>0.38130628357969099</v>
      </c>
      <c r="E306" s="57">
        <v>0.48275779455797058</v>
      </c>
      <c r="F306" s="57">
        <v>0.5225425573626028</v>
      </c>
      <c r="G306" s="78">
        <v>0.572800676229267</v>
      </c>
      <c r="H306" s="57">
        <v>0.64035869941566226</v>
      </c>
      <c r="I306" s="57">
        <v>0.70664106286587758</v>
      </c>
      <c r="J306" s="57">
        <v>0.73122653221173051</v>
      </c>
      <c r="K306" s="77">
        <v>0.82694438387411207</v>
      </c>
      <c r="L306" s="72">
        <v>0.74291561782474891</v>
      </c>
      <c r="M306" s="57">
        <v>0.80074517024110381</v>
      </c>
      <c r="N306" s="57">
        <v>0.87539357701667697</v>
      </c>
    </row>
    <row r="307" spans="1:14" ht="12.75" customHeight="1" x14ac:dyDescent="0.2">
      <c r="A307" s="56" t="s">
        <v>69</v>
      </c>
      <c r="B307" s="79">
        <v>0.47861781823981436</v>
      </c>
      <c r="C307" s="57">
        <v>0.45080037122706129</v>
      </c>
      <c r="D307" s="57">
        <v>0.42817062121681337</v>
      </c>
      <c r="E307" s="57">
        <v>0.51957745954706713</v>
      </c>
      <c r="F307" s="57">
        <v>0.49066884214369372</v>
      </c>
      <c r="G307" s="78">
        <v>0.54502140117489284</v>
      </c>
      <c r="H307" s="57">
        <v>0.55881533861158661</v>
      </c>
      <c r="I307" s="57">
        <v>0.5899676633838058</v>
      </c>
      <c r="J307" s="57">
        <v>0.56712476858416405</v>
      </c>
      <c r="K307" s="77">
        <v>0.71945640170195269</v>
      </c>
      <c r="L307" s="72">
        <v>0.74750123821209635</v>
      </c>
      <c r="M307" s="57">
        <v>0.73520439378925251</v>
      </c>
      <c r="N307" s="57">
        <v>0.74426636746256269</v>
      </c>
    </row>
    <row r="308" spans="1:14" ht="12.75" customHeight="1" x14ac:dyDescent="0.2">
      <c r="A308" s="56" t="s">
        <v>145</v>
      </c>
      <c r="B308" s="79">
        <v>0.74152046495094981</v>
      </c>
      <c r="C308" s="57">
        <v>0.79628974856000523</v>
      </c>
      <c r="D308" s="57">
        <v>0.75060485082053363</v>
      </c>
      <c r="E308" s="57">
        <v>0.78864495559509595</v>
      </c>
      <c r="F308" s="57">
        <v>0.81688997207715497</v>
      </c>
      <c r="G308" s="78">
        <v>0.78694099506000303</v>
      </c>
      <c r="H308" s="57">
        <v>0.79064122737853448</v>
      </c>
      <c r="I308" s="57">
        <v>0.86619137211625541</v>
      </c>
      <c r="J308" s="57">
        <v>0.91936842687781994</v>
      </c>
      <c r="K308" s="77">
        <v>0.93256301325972413</v>
      </c>
      <c r="L308" s="72">
        <v>0.94667815693286239</v>
      </c>
      <c r="M308" s="57">
        <v>0.94261876438509984</v>
      </c>
      <c r="N308" s="57">
        <v>0.92819454351101749</v>
      </c>
    </row>
    <row r="309" spans="1:14" ht="12.75" customHeight="1" x14ac:dyDescent="0.2">
      <c r="A309" s="56" t="s">
        <v>136</v>
      </c>
      <c r="B309" s="79">
        <v>0.72341297899783241</v>
      </c>
      <c r="C309" s="57">
        <v>0.76899843388375144</v>
      </c>
      <c r="D309" s="57">
        <v>0.79010025769353087</v>
      </c>
      <c r="E309" s="57">
        <v>0.80847944770054248</v>
      </c>
      <c r="F309" s="57">
        <v>0.80292238273852623</v>
      </c>
      <c r="G309" s="78">
        <v>0.77377610811276443</v>
      </c>
      <c r="H309" s="57">
        <v>0.80988513400464512</v>
      </c>
      <c r="I309" s="57">
        <v>0.82558503527397586</v>
      </c>
      <c r="J309" s="57">
        <v>0.84809561750062423</v>
      </c>
      <c r="K309" s="77">
        <v>0.90889952146709074</v>
      </c>
      <c r="L309" s="72">
        <v>0.90572919978703059</v>
      </c>
      <c r="M309" s="57">
        <v>0.93313390001723218</v>
      </c>
      <c r="N309" s="57">
        <v>0.92910509912797512</v>
      </c>
    </row>
    <row r="310" spans="1:14" ht="12.75" customHeight="1" x14ac:dyDescent="0.2">
      <c r="A310" s="56" t="s">
        <v>7073</v>
      </c>
      <c r="B310" s="79">
        <v>0.55675176392119363</v>
      </c>
      <c r="C310" s="57">
        <v>0.60151060582963678</v>
      </c>
      <c r="D310" s="57">
        <v>0.54554850262741006</v>
      </c>
      <c r="E310" s="57">
        <v>0.5408818398333497</v>
      </c>
      <c r="F310" s="57">
        <v>0.56386292363977142</v>
      </c>
      <c r="G310" s="78">
        <v>0.6660545003021846</v>
      </c>
      <c r="H310" s="57">
        <v>0.70252431444363517</v>
      </c>
      <c r="I310" s="57">
        <v>0.73772558750079309</v>
      </c>
      <c r="J310" s="57">
        <v>0.76897474709453351</v>
      </c>
      <c r="K310" s="77">
        <v>0.81146779720100204</v>
      </c>
      <c r="L310" s="72">
        <v>0.82965006152879917</v>
      </c>
      <c r="M310" s="57">
        <v>0.82368299661304545</v>
      </c>
      <c r="N310" s="57">
        <v>0.86439751376317853</v>
      </c>
    </row>
    <row r="311" spans="1:14" ht="12.75" customHeight="1" x14ac:dyDescent="0.2">
      <c r="A311" s="56" t="s">
        <v>183</v>
      </c>
      <c r="B311" s="79">
        <v>0.86784642541898205</v>
      </c>
      <c r="C311" s="57">
        <v>0.79478605262618229</v>
      </c>
      <c r="D311" s="57">
        <v>0.76526701212908432</v>
      </c>
      <c r="E311" s="57">
        <v>0.84382992684951241</v>
      </c>
      <c r="F311" s="57">
        <v>0.83539239692784517</v>
      </c>
      <c r="G311" s="78">
        <v>0.89944483525630359</v>
      </c>
      <c r="H311" s="57">
        <v>0.88787152187994733</v>
      </c>
      <c r="I311" s="57">
        <v>0.8855768528038136</v>
      </c>
      <c r="J311" s="57">
        <v>0.87751252288751103</v>
      </c>
      <c r="K311" s="77">
        <v>0.93454575055108535</v>
      </c>
      <c r="L311" s="72">
        <v>0.91707282142557911</v>
      </c>
      <c r="M311" s="57">
        <v>0.92634605512523949</v>
      </c>
      <c r="N311" s="57">
        <v>0.91997402893527025</v>
      </c>
    </row>
    <row r="312" spans="1:14" ht="12.75" customHeight="1" x14ac:dyDescent="0.2">
      <c r="A312" s="56" t="s">
        <v>86</v>
      </c>
      <c r="B312" s="79">
        <v>0.59833115127998249</v>
      </c>
      <c r="C312" s="57">
        <v>0.63780667947079517</v>
      </c>
      <c r="D312" s="57">
        <v>0.56868483580654772</v>
      </c>
      <c r="E312" s="57">
        <v>0.63701836117559896</v>
      </c>
      <c r="F312" s="57">
        <v>0.66263526950105844</v>
      </c>
      <c r="G312" s="78">
        <v>0.66299004232511094</v>
      </c>
      <c r="H312" s="57">
        <v>0.6067249930885884</v>
      </c>
      <c r="I312" s="57">
        <v>0.79529639155052123</v>
      </c>
      <c r="J312" s="57">
        <v>0.79484242703047958</v>
      </c>
      <c r="K312" s="77">
        <v>0.81160611033360519</v>
      </c>
      <c r="L312" s="72">
        <v>0.81367203932180865</v>
      </c>
      <c r="M312" s="57">
        <v>0.79996386511073958</v>
      </c>
      <c r="N312" s="57">
        <v>0.86731052228274064</v>
      </c>
    </row>
    <row r="313" spans="1:14" ht="12.75" customHeight="1" x14ac:dyDescent="0.2">
      <c r="A313" s="56" t="s">
        <v>184</v>
      </c>
      <c r="B313" s="79">
        <v>0.47080383773051643</v>
      </c>
      <c r="C313" s="57">
        <v>0.5889798687601222</v>
      </c>
      <c r="D313" s="57">
        <v>0.53948481223524325</v>
      </c>
      <c r="E313" s="57">
        <v>0.63345400796583029</v>
      </c>
      <c r="F313" s="57">
        <v>0.61120472693792405</v>
      </c>
      <c r="G313" s="78">
        <v>0.76273367235053646</v>
      </c>
      <c r="H313" s="57">
        <v>0.67322366555109003</v>
      </c>
      <c r="I313" s="57">
        <v>0.79731360507252846</v>
      </c>
      <c r="J313" s="57">
        <v>0.81877366328722867</v>
      </c>
      <c r="K313" s="77">
        <v>0.89717621328064945</v>
      </c>
      <c r="L313" s="72">
        <v>0.89452263418252342</v>
      </c>
      <c r="M313" s="57">
        <v>0.8959717357280681</v>
      </c>
      <c r="N313" s="57">
        <v>0.9115665039830716</v>
      </c>
    </row>
    <row r="314" spans="1:14" ht="12.75" customHeight="1" x14ac:dyDescent="0.2">
      <c r="A314" s="56" t="s">
        <v>403</v>
      </c>
      <c r="B314" s="79">
        <v>0.35708762105662717</v>
      </c>
      <c r="C314" s="57">
        <v>0.50295870911893636</v>
      </c>
      <c r="D314" s="57">
        <v>0.41961256356374205</v>
      </c>
      <c r="E314" s="57">
        <v>0.51757907693988892</v>
      </c>
      <c r="F314" s="57">
        <v>0.53908306981734211</v>
      </c>
      <c r="G314" s="78">
        <v>0.60467749806917248</v>
      </c>
      <c r="H314" s="57">
        <v>0.63264399200171562</v>
      </c>
      <c r="I314" s="57">
        <v>0.67918827789140601</v>
      </c>
      <c r="J314" s="57">
        <v>0.72238850208555749</v>
      </c>
      <c r="K314" s="77">
        <v>0.78642410803998863</v>
      </c>
      <c r="L314" s="72">
        <v>0.78757478056925057</v>
      </c>
      <c r="M314" s="57">
        <v>0.78190661723666077</v>
      </c>
      <c r="N314" s="57">
        <v>0.78972243177049617</v>
      </c>
    </row>
    <row r="315" spans="1:14" ht="12.75" customHeight="1" x14ac:dyDescent="0.2">
      <c r="A315" s="56" t="s">
        <v>7072</v>
      </c>
      <c r="B315" s="79">
        <v>0.8156567648819496</v>
      </c>
      <c r="C315" s="57">
        <v>0.84906201681289784</v>
      </c>
      <c r="D315" s="57">
        <v>0.84437423077324181</v>
      </c>
      <c r="E315" s="57">
        <v>0.85131539827919789</v>
      </c>
      <c r="F315" s="57">
        <v>0.85756832260290727</v>
      </c>
      <c r="G315" s="78">
        <v>0.85713931295954859</v>
      </c>
      <c r="H315" s="57">
        <v>0.85127543462738542</v>
      </c>
      <c r="I315" s="57">
        <v>0.8994206447353934</v>
      </c>
      <c r="J315" s="57">
        <v>0.91592170163358055</v>
      </c>
      <c r="K315" s="77">
        <v>0.94705087879515726</v>
      </c>
      <c r="L315" s="72">
        <v>0.94928321669398108</v>
      </c>
      <c r="M315" s="57">
        <v>0.95264630898731306</v>
      </c>
      <c r="N315" s="57">
        <v>0.98249644720018658</v>
      </c>
    </row>
    <row r="316" spans="1:14" ht="12.75" customHeight="1" x14ac:dyDescent="0.2">
      <c r="A316" s="56" t="s">
        <v>98</v>
      </c>
      <c r="B316" s="79">
        <v>0.73185390794854921</v>
      </c>
      <c r="C316" s="57">
        <v>0.74493024397857466</v>
      </c>
      <c r="D316" s="57">
        <v>0.78363659335314084</v>
      </c>
      <c r="E316" s="57">
        <v>0.79852735438377276</v>
      </c>
      <c r="F316" s="57">
        <v>0.78301449966407299</v>
      </c>
      <c r="G316" s="78">
        <v>0.81746681144975775</v>
      </c>
      <c r="H316" s="57">
        <v>0.84194293618089622</v>
      </c>
      <c r="I316" s="57">
        <v>0.86327425804168556</v>
      </c>
      <c r="J316" s="57">
        <v>0.85051265293204703</v>
      </c>
      <c r="K316" s="77">
        <v>0.91700292653708826</v>
      </c>
      <c r="L316" s="72">
        <v>0.93095035466793452</v>
      </c>
      <c r="M316" s="57">
        <v>0.92632063048129365</v>
      </c>
      <c r="N316" s="57">
        <v>0.91460673631301426</v>
      </c>
    </row>
    <row r="317" spans="1:14" ht="12.75" customHeight="1" x14ac:dyDescent="0.2">
      <c r="A317" s="56" t="s">
        <v>258</v>
      </c>
      <c r="B317" s="79">
        <v>0.55841696091674708</v>
      </c>
      <c r="C317" s="57">
        <v>0.6783008957765192</v>
      </c>
      <c r="D317" s="57">
        <v>0.6574956821340413</v>
      </c>
      <c r="E317" s="57">
        <v>0.61708763838299896</v>
      </c>
      <c r="F317" s="57">
        <v>0.66867061458873922</v>
      </c>
      <c r="G317" s="78">
        <v>0.74215259763306185</v>
      </c>
      <c r="H317" s="57">
        <v>0.77279277783776401</v>
      </c>
      <c r="I317" s="57">
        <v>0.81260096753060107</v>
      </c>
      <c r="J317" s="57">
        <v>0.83170198917814442</v>
      </c>
      <c r="K317" s="77">
        <v>0.87756822060903772</v>
      </c>
      <c r="L317" s="72">
        <v>0.8884783062908338</v>
      </c>
      <c r="M317" s="57">
        <v>0.91344623807012648</v>
      </c>
      <c r="N317" s="57">
        <v>0.89311277883496898</v>
      </c>
    </row>
    <row r="318" spans="1:14" ht="12.75" customHeight="1" x14ac:dyDescent="0.2">
      <c r="A318" s="56" t="s">
        <v>268</v>
      </c>
      <c r="B318" s="79">
        <v>0.73240303016600938</v>
      </c>
      <c r="C318" s="57">
        <v>0.74605384270647823</v>
      </c>
      <c r="D318" s="57">
        <v>0.73108026737746867</v>
      </c>
      <c r="E318" s="57">
        <v>0.79777132401608652</v>
      </c>
      <c r="F318" s="57">
        <v>0.763557752803248</v>
      </c>
      <c r="G318" s="78">
        <v>0.76205204946531235</v>
      </c>
      <c r="H318" s="57">
        <v>0.70740091304398978</v>
      </c>
      <c r="I318" s="57">
        <v>0.73573310851320339</v>
      </c>
      <c r="J318" s="57">
        <v>0.72996487309657165</v>
      </c>
      <c r="K318" s="77">
        <v>0.83158334260466626</v>
      </c>
      <c r="L318" s="72">
        <v>0.82689413817801827</v>
      </c>
      <c r="M318" s="57">
        <v>0.88927179290056513</v>
      </c>
      <c r="N318" s="57">
        <v>0.84914557175417482</v>
      </c>
    </row>
    <row r="319" spans="1:14" ht="12.75" customHeight="1" x14ac:dyDescent="0.2">
      <c r="A319" s="56" t="s">
        <v>185</v>
      </c>
      <c r="B319" s="79">
        <v>0.5771760009734016</v>
      </c>
      <c r="C319" s="57">
        <v>0.63176079857572831</v>
      </c>
      <c r="D319" s="57">
        <v>0.63135754309680403</v>
      </c>
      <c r="E319" s="57">
        <v>0.70052354705998332</v>
      </c>
      <c r="F319" s="57">
        <v>0.73021564718624321</v>
      </c>
      <c r="G319" s="78">
        <v>0.75940127835644944</v>
      </c>
      <c r="H319" s="57">
        <v>0.84087889918722947</v>
      </c>
      <c r="I319" s="57">
        <v>0.88198519406289688</v>
      </c>
      <c r="J319" s="57">
        <v>0.88721813446180897</v>
      </c>
      <c r="K319" s="77">
        <v>0.93988603682198801</v>
      </c>
      <c r="L319" s="72">
        <v>0.95750711130527422</v>
      </c>
      <c r="M319" s="57">
        <v>0.92057938553834673</v>
      </c>
      <c r="N319" s="57">
        <v>0.93905831425328223</v>
      </c>
    </row>
    <row r="320" spans="1:14" ht="12.75" customHeight="1" x14ac:dyDescent="0.2">
      <c r="A320" s="56" t="s">
        <v>99</v>
      </c>
      <c r="B320" s="79">
        <v>0.72086521291717276</v>
      </c>
      <c r="C320" s="57">
        <v>0.68719527357211307</v>
      </c>
      <c r="D320" s="57">
        <v>0.6705498180216749</v>
      </c>
      <c r="E320" s="57">
        <v>0.81154644319542713</v>
      </c>
      <c r="F320" s="57">
        <v>0.83867070548340639</v>
      </c>
      <c r="G320" s="78">
        <v>0.82370032005905724</v>
      </c>
      <c r="H320" s="57">
        <v>0.83495777795868131</v>
      </c>
      <c r="I320" s="57">
        <v>0.86828569905641029</v>
      </c>
      <c r="J320" s="57">
        <v>0.85846231508407367</v>
      </c>
      <c r="K320" s="77">
        <v>0.931393223221887</v>
      </c>
      <c r="L320" s="72">
        <v>0.92841502228899164</v>
      </c>
      <c r="M320" s="57">
        <v>0.94329051455500612</v>
      </c>
      <c r="N320" s="57">
        <v>0.93074960339295576</v>
      </c>
    </row>
    <row r="321" spans="1:14" ht="12.75" customHeight="1" x14ac:dyDescent="0.2">
      <c r="A321" s="56" t="s">
        <v>361</v>
      </c>
      <c r="B321" s="79">
        <v>0.67905042095477042</v>
      </c>
      <c r="C321" s="57">
        <v>0.78156801375273699</v>
      </c>
      <c r="D321" s="57">
        <v>0.75120262824931783</v>
      </c>
      <c r="E321" s="57">
        <v>0.83354039015611026</v>
      </c>
      <c r="F321" s="57">
        <v>0.90874012044563868</v>
      </c>
      <c r="G321" s="78">
        <v>0.89150802094682702</v>
      </c>
      <c r="H321" s="57">
        <v>0.82705886580438626</v>
      </c>
      <c r="I321" s="57">
        <v>0.85864817742559729</v>
      </c>
      <c r="J321" s="57">
        <v>0.89931775800794533</v>
      </c>
      <c r="K321" s="77">
        <v>0.93683786671340719</v>
      </c>
      <c r="L321" s="72">
        <v>0.90892365803476927</v>
      </c>
      <c r="M321" s="57">
        <v>0.92431292978777002</v>
      </c>
      <c r="N321" s="57">
        <v>0.94042253069547288</v>
      </c>
    </row>
    <row r="322" spans="1:14" ht="12.75" customHeight="1" x14ac:dyDescent="0.2">
      <c r="A322" s="56" t="s">
        <v>175</v>
      </c>
      <c r="B322" s="79">
        <v>0.6661667538276097</v>
      </c>
      <c r="C322" s="57">
        <v>0.69087722233663795</v>
      </c>
      <c r="D322" s="57">
        <v>0.64483741372246683</v>
      </c>
      <c r="E322" s="57">
        <v>0.72847015845853469</v>
      </c>
      <c r="F322" s="57">
        <v>0.76361792390208438</v>
      </c>
      <c r="G322" s="78">
        <v>0.73032161375240401</v>
      </c>
      <c r="H322" s="57">
        <v>0.80158463506603839</v>
      </c>
      <c r="I322" s="57">
        <v>0.88927223087331353</v>
      </c>
      <c r="J322" s="57">
        <v>0.87561652592990091</v>
      </c>
      <c r="K322" s="77">
        <v>0.92632527970678702</v>
      </c>
      <c r="L322" s="72">
        <v>0.92503698335604179</v>
      </c>
      <c r="M322" s="57">
        <v>0.93838946990302785</v>
      </c>
      <c r="N322" s="57">
        <v>0.94215034321111668</v>
      </c>
    </row>
    <row r="323" spans="1:14" ht="12.75" customHeight="1" x14ac:dyDescent="0.2">
      <c r="A323" s="56" t="s">
        <v>362</v>
      </c>
      <c r="B323" s="79">
        <v>0.63865802838366736</v>
      </c>
      <c r="C323" s="57">
        <v>0.75778143133059839</v>
      </c>
      <c r="D323" s="57">
        <v>0.72058279154859639</v>
      </c>
      <c r="E323" s="57">
        <v>0.78470010835728798</v>
      </c>
      <c r="F323" s="57">
        <v>0.77774803889791277</v>
      </c>
      <c r="G323" s="78">
        <v>0.79807491067063685</v>
      </c>
      <c r="H323" s="57">
        <v>0.80322514978438242</v>
      </c>
      <c r="I323" s="57">
        <v>0.8713591643615588</v>
      </c>
      <c r="J323" s="57">
        <v>0.8971005907141989</v>
      </c>
      <c r="K323" s="77">
        <v>0.93161142063579117</v>
      </c>
      <c r="L323" s="72">
        <v>0.91500516350593664</v>
      </c>
      <c r="M323" s="57">
        <v>0.94027607337760177</v>
      </c>
      <c r="N323" s="57">
        <v>0.90810466637492304</v>
      </c>
    </row>
    <row r="324" spans="1:14" ht="12.75" customHeight="1" x14ac:dyDescent="0.2">
      <c r="A324" s="56" t="s">
        <v>137</v>
      </c>
      <c r="B324" s="79">
        <v>0.624750262941698</v>
      </c>
      <c r="C324" s="57">
        <v>0.51130873436484303</v>
      </c>
      <c r="D324" s="57">
        <v>0.5590197670526369</v>
      </c>
      <c r="E324" s="57">
        <v>0.6084851646582764</v>
      </c>
      <c r="F324" s="57">
        <v>0.57088770711704062</v>
      </c>
      <c r="G324" s="78">
        <v>0.68445243693189406</v>
      </c>
      <c r="H324" s="57">
        <v>0.73620116631459953</v>
      </c>
      <c r="I324" s="57">
        <v>0.7611053121064798</v>
      </c>
      <c r="J324" s="57">
        <v>0.80118251410306562</v>
      </c>
      <c r="K324" s="77">
        <v>0.84825152241243373</v>
      </c>
      <c r="L324" s="72">
        <v>0.8980904714426472</v>
      </c>
      <c r="M324" s="57">
        <v>0.83510890160981022</v>
      </c>
      <c r="N324" s="57">
        <v>0.80349255292215827</v>
      </c>
    </row>
    <row r="325" spans="1:14" ht="12.75" customHeight="1" x14ac:dyDescent="0.2">
      <c r="A325" s="56" t="s">
        <v>478</v>
      </c>
      <c r="B325" s="79">
        <v>0.58522166158753575</v>
      </c>
      <c r="C325" s="57">
        <v>0.71428472781952523</v>
      </c>
      <c r="D325" s="57">
        <v>0.56665337160362439</v>
      </c>
      <c r="E325" s="57">
        <v>0.68652826579019932</v>
      </c>
      <c r="F325" s="57">
        <v>0.68482935557025304</v>
      </c>
      <c r="G325" s="78">
        <v>0.68237370793413588</v>
      </c>
      <c r="H325" s="57">
        <v>0.65834425614507286</v>
      </c>
      <c r="I325" s="57">
        <v>0.76694097805906081</v>
      </c>
      <c r="J325" s="57">
        <v>0.80445176339527946</v>
      </c>
      <c r="K325" s="77">
        <v>0.8698530550518786</v>
      </c>
      <c r="L325" s="72">
        <v>0.87221101098269216</v>
      </c>
      <c r="M325" s="57">
        <v>0.84032977371910289</v>
      </c>
      <c r="N325" s="57">
        <v>0.83946549505501089</v>
      </c>
    </row>
    <row r="326" spans="1:14" ht="12.75" customHeight="1" x14ac:dyDescent="0.2">
      <c r="A326" s="56" t="s">
        <v>294</v>
      </c>
      <c r="B326" s="79">
        <v>0.62404417749302787</v>
      </c>
      <c r="C326" s="57">
        <v>0.66151384267157554</v>
      </c>
      <c r="D326" s="57">
        <v>0.63993940580729558</v>
      </c>
      <c r="E326" s="57">
        <v>0.66180736263739759</v>
      </c>
      <c r="F326" s="57">
        <v>0.65535537118596277</v>
      </c>
      <c r="G326" s="78">
        <v>0.69587364105568195</v>
      </c>
      <c r="H326" s="57">
        <v>0.7083491046994983</v>
      </c>
      <c r="I326" s="57">
        <v>0.59022904887468475</v>
      </c>
      <c r="J326" s="57">
        <v>0.56112333592961128</v>
      </c>
      <c r="K326" s="77">
        <v>0.88458453901456968</v>
      </c>
      <c r="L326" s="72">
        <v>0.86230767584925483</v>
      </c>
      <c r="M326" s="57">
        <v>0.87741921077761165</v>
      </c>
      <c r="N326" s="57">
        <v>0.86656295767304692</v>
      </c>
    </row>
    <row r="327" spans="1:14" ht="12.75" customHeight="1" x14ac:dyDescent="0.2">
      <c r="A327" s="56" t="s">
        <v>193</v>
      </c>
      <c r="B327" s="79">
        <v>0.6540492700998386</v>
      </c>
      <c r="C327" s="57">
        <v>0.70531847423010419</v>
      </c>
      <c r="D327" s="57">
        <v>0.70003041364342733</v>
      </c>
      <c r="E327" s="57">
        <v>0.7433219604430763</v>
      </c>
      <c r="F327" s="57">
        <v>0.75356284167493404</v>
      </c>
      <c r="G327" s="78">
        <v>0.80837868505663546</v>
      </c>
      <c r="H327" s="57">
        <v>0.80832382645240997</v>
      </c>
      <c r="I327" s="57">
        <v>0.85736225641969288</v>
      </c>
      <c r="J327" s="57">
        <v>0.85955238138133572</v>
      </c>
      <c r="K327" s="77">
        <v>0.91430678161329504</v>
      </c>
      <c r="L327" s="72">
        <v>0.91870816959880619</v>
      </c>
      <c r="M327" s="57">
        <v>0.92720093832729744</v>
      </c>
      <c r="N327" s="57">
        <v>0.91699915098093387</v>
      </c>
    </row>
    <row r="328" spans="1:14" ht="12.75" customHeight="1" x14ac:dyDescent="0.2">
      <c r="A328" s="56" t="s">
        <v>315</v>
      </c>
      <c r="B328" s="79">
        <v>0.77402764906952659</v>
      </c>
      <c r="C328" s="57">
        <v>0.81785918701884608</v>
      </c>
      <c r="D328" s="57">
        <v>0.80445838869110697</v>
      </c>
      <c r="E328" s="57">
        <v>0.82874081626454954</v>
      </c>
      <c r="F328" s="57">
        <v>0.81568324873899012</v>
      </c>
      <c r="G328" s="78">
        <v>0.85636381882952639</v>
      </c>
      <c r="H328" s="57">
        <v>0.85758552079718398</v>
      </c>
      <c r="I328" s="57">
        <v>0.86525205595323629</v>
      </c>
      <c r="J328" s="57">
        <v>0.89059841833768583</v>
      </c>
      <c r="K328" s="77">
        <v>0.86363007240572431</v>
      </c>
      <c r="L328" s="72">
        <v>0.90273559437232953</v>
      </c>
      <c r="M328" s="57">
        <v>0.92232112270042477</v>
      </c>
      <c r="N328" s="57">
        <v>0.94307516677597603</v>
      </c>
    </row>
    <row r="329" spans="1:14" ht="12.75" customHeight="1" x14ac:dyDescent="0.2">
      <c r="A329" s="56" t="s">
        <v>194</v>
      </c>
      <c r="B329" s="79">
        <v>0.74719035998272521</v>
      </c>
      <c r="C329" s="57">
        <v>0.56743774462300856</v>
      </c>
      <c r="D329" s="57">
        <v>0.68051302969368799</v>
      </c>
      <c r="E329" s="57">
        <v>0.70982994686281908</v>
      </c>
      <c r="F329" s="57">
        <v>0.72553425874555355</v>
      </c>
      <c r="G329" s="78">
        <v>0.86698944656239141</v>
      </c>
      <c r="H329" s="57">
        <v>0.89616147251129374</v>
      </c>
      <c r="I329" s="57">
        <v>0.8770345221774597</v>
      </c>
      <c r="J329" s="57">
        <v>0.87000621139810275</v>
      </c>
      <c r="K329" s="77">
        <v>0.92437031782503298</v>
      </c>
      <c r="L329" s="72">
        <v>0.93620542440984444</v>
      </c>
      <c r="M329" s="57">
        <v>0.75298685761512407</v>
      </c>
      <c r="N329" s="57">
        <v>0.79899045705675553</v>
      </c>
    </row>
    <row r="330" spans="1:14" ht="12.75" customHeight="1" x14ac:dyDescent="0.2">
      <c r="A330" s="56" t="s">
        <v>269</v>
      </c>
      <c r="B330" s="79">
        <v>0.68277888793979979</v>
      </c>
      <c r="C330" s="57">
        <v>0.74002501772835205</v>
      </c>
      <c r="D330" s="57">
        <v>0.74630404410034323</v>
      </c>
      <c r="E330" s="57">
        <v>0.74678977449614548</v>
      </c>
      <c r="F330" s="57">
        <v>0.74223120588222413</v>
      </c>
      <c r="G330" s="78">
        <v>0.81528054252005433</v>
      </c>
      <c r="H330" s="57">
        <v>0.83050195622920031</v>
      </c>
      <c r="I330" s="57">
        <v>0.80418422587889615</v>
      </c>
      <c r="J330" s="57">
        <v>0.76776239695592929</v>
      </c>
      <c r="K330" s="77">
        <v>0.86302754806800819</v>
      </c>
      <c r="L330" s="72">
        <v>0.87035650529811137</v>
      </c>
      <c r="M330" s="57">
        <v>0.85319086423506074</v>
      </c>
      <c r="N330" s="57">
        <v>0.89498718678573852</v>
      </c>
    </row>
    <row r="331" spans="1:14" ht="12.75" customHeight="1" x14ac:dyDescent="0.2">
      <c r="A331" s="56" t="s">
        <v>373</v>
      </c>
      <c r="B331" s="79">
        <v>0.70214975538128088</v>
      </c>
      <c r="C331" s="57">
        <v>0.73814318902318676</v>
      </c>
      <c r="D331" s="57">
        <v>0.75169097766151893</v>
      </c>
      <c r="E331" s="57">
        <v>0.74420312251648335</v>
      </c>
      <c r="F331" s="57">
        <v>0.76889175972130008</v>
      </c>
      <c r="G331" s="78">
        <v>0.73691175993215619</v>
      </c>
      <c r="H331" s="57">
        <v>0.74726990953288119</v>
      </c>
      <c r="I331" s="57">
        <v>0.79568957294652409</v>
      </c>
      <c r="J331" s="57">
        <v>0.84036107535699267</v>
      </c>
      <c r="K331" s="77">
        <v>0.90776239486912358</v>
      </c>
      <c r="L331" s="72">
        <v>0.9107003367680343</v>
      </c>
      <c r="M331" s="57">
        <v>0.92159700073506412</v>
      </c>
      <c r="N331" s="57">
        <v>0.91463925665207213</v>
      </c>
    </row>
    <row r="332" spans="1:14" ht="12.75" customHeight="1" x14ac:dyDescent="0.2">
      <c r="A332" s="56" t="s">
        <v>347</v>
      </c>
      <c r="B332" s="79">
        <v>0.59341061690848151</v>
      </c>
      <c r="C332" s="57">
        <v>0.49400665649390213</v>
      </c>
      <c r="D332" s="57">
        <v>0.56501773687258827</v>
      </c>
      <c r="E332" s="57">
        <v>0.61268744167877232</v>
      </c>
      <c r="F332" s="57">
        <v>0.67308238433209355</v>
      </c>
      <c r="G332" s="78">
        <v>0.7319483854390828</v>
      </c>
      <c r="H332" s="57">
        <v>0.70160986290160465</v>
      </c>
      <c r="I332" s="57">
        <v>0.70057032027459432</v>
      </c>
      <c r="J332" s="57">
        <v>0.69518026512789544</v>
      </c>
      <c r="K332" s="77">
        <v>0.76343908929051563</v>
      </c>
      <c r="L332" s="72">
        <v>0.77317599355482503</v>
      </c>
      <c r="M332" s="57">
        <v>0.81115496695424427</v>
      </c>
      <c r="N332" s="57">
        <v>0.87749531956743287</v>
      </c>
    </row>
    <row r="333" spans="1:14" ht="12.75" customHeight="1" x14ac:dyDescent="0.2">
      <c r="A333" s="56" t="s">
        <v>78</v>
      </c>
      <c r="B333" s="79">
        <v>0.44584336126877649</v>
      </c>
      <c r="C333" s="57">
        <v>0.53031756315230283</v>
      </c>
      <c r="D333" s="57">
        <v>0.44071047229242089</v>
      </c>
      <c r="E333" s="57">
        <v>0.52463237233329529</v>
      </c>
      <c r="F333" s="57">
        <v>0.50647267817421981</v>
      </c>
      <c r="G333" s="78">
        <v>0.54387778215907645</v>
      </c>
      <c r="H333" s="57">
        <v>0.55856083382891941</v>
      </c>
      <c r="I333" s="57">
        <v>0.56530883659690079</v>
      </c>
      <c r="J333" s="57">
        <v>0.59214785951956894</v>
      </c>
      <c r="K333" s="77">
        <v>0.66786708335776757</v>
      </c>
      <c r="L333" s="72">
        <v>0.74067791828708562</v>
      </c>
      <c r="M333" s="57">
        <v>0.6674853529954895</v>
      </c>
      <c r="N333" s="57">
        <v>0.71798334771399996</v>
      </c>
    </row>
    <row r="334" spans="1:14" ht="12.75" customHeight="1" x14ac:dyDescent="0.2">
      <c r="A334" s="56" t="s">
        <v>146</v>
      </c>
      <c r="B334" s="79">
        <v>0.50805588231932064</v>
      </c>
      <c r="C334" s="57">
        <v>0.51772934773571211</v>
      </c>
      <c r="D334" s="57">
        <v>0.49132354246332544</v>
      </c>
      <c r="E334" s="57">
        <v>0.54549506806008863</v>
      </c>
      <c r="F334" s="57">
        <v>0.55149498646916917</v>
      </c>
      <c r="G334" s="78">
        <v>0.61923180474250306</v>
      </c>
      <c r="H334" s="57">
        <v>0.65740653171448749</v>
      </c>
      <c r="I334" s="57">
        <v>0.78018682725654287</v>
      </c>
      <c r="J334" s="57">
        <v>0.77045065332445817</v>
      </c>
      <c r="K334" s="77">
        <v>0.86256786139602304</v>
      </c>
      <c r="L334" s="72">
        <v>0.88284536200168795</v>
      </c>
      <c r="M334" s="57">
        <v>0.80824545853355978</v>
      </c>
      <c r="N334" s="57">
        <v>0.82565013710695645</v>
      </c>
    </row>
    <row r="335" spans="1:14" ht="12.75" customHeight="1" x14ac:dyDescent="0.2">
      <c r="A335" s="56" t="s">
        <v>270</v>
      </c>
      <c r="B335" s="79">
        <v>0.74217086400013477</v>
      </c>
      <c r="C335" s="57">
        <v>0.69785646022693282</v>
      </c>
      <c r="D335" s="57">
        <v>0.60217814398566838</v>
      </c>
      <c r="E335" s="57">
        <v>0.63733476733219552</v>
      </c>
      <c r="F335" s="57">
        <v>0.66576760098058629</v>
      </c>
      <c r="G335" s="78">
        <v>0.63485979400080639</v>
      </c>
      <c r="H335" s="57">
        <v>0.63738595710979051</v>
      </c>
      <c r="I335" s="57">
        <v>0.77623857248595551</v>
      </c>
      <c r="J335" s="57">
        <v>0.77877592273508034</v>
      </c>
      <c r="K335" s="77">
        <v>0.85028828310379645</v>
      </c>
      <c r="L335" s="72">
        <v>0.84500954680359441</v>
      </c>
      <c r="M335" s="57">
        <v>0.7273996259404335</v>
      </c>
      <c r="N335" s="57">
        <v>0.74695907278906626</v>
      </c>
    </row>
    <row r="336" spans="1:14" ht="12.75" customHeight="1" x14ac:dyDescent="0.2">
      <c r="A336" s="56" t="s">
        <v>348</v>
      </c>
      <c r="B336" s="79">
        <v>0.63847093207458405</v>
      </c>
      <c r="C336" s="57">
        <v>0.67498115325988728</v>
      </c>
      <c r="D336" s="57">
        <v>0.65956193395178042</v>
      </c>
      <c r="E336" s="57">
        <v>0.71188430258470448</v>
      </c>
      <c r="F336" s="57">
        <v>0.74855731549330495</v>
      </c>
      <c r="G336" s="78">
        <v>0.75511886835421305</v>
      </c>
      <c r="H336" s="57">
        <v>0.74358461357079697</v>
      </c>
      <c r="I336" s="57">
        <v>0.75041473539978865</v>
      </c>
      <c r="J336" s="57">
        <v>0.78946787667594054</v>
      </c>
      <c r="K336" s="77">
        <v>0.85433736291100415</v>
      </c>
      <c r="L336" s="72">
        <v>0.8730337683321483</v>
      </c>
      <c r="M336" s="57">
        <v>0.88727797361174832</v>
      </c>
      <c r="N336" s="57">
        <v>0.86380880392180104</v>
      </c>
    </row>
    <row r="337" spans="1:14" ht="12.75" customHeight="1" x14ac:dyDescent="0.2">
      <c r="A337" s="56" t="s">
        <v>316</v>
      </c>
      <c r="B337" s="79">
        <v>0.74858483381878849</v>
      </c>
      <c r="C337" s="57">
        <v>0.78097673747798291</v>
      </c>
      <c r="D337" s="57">
        <v>0.77266038533572723</v>
      </c>
      <c r="E337" s="57">
        <v>0.77009945413560354</v>
      </c>
      <c r="F337" s="57">
        <v>0.77003937150963664</v>
      </c>
      <c r="G337" s="78">
        <v>0.82830704354673379</v>
      </c>
      <c r="H337" s="57">
        <v>0.82869332434279508</v>
      </c>
      <c r="I337" s="57">
        <v>0.83651651175849784</v>
      </c>
      <c r="J337" s="57">
        <v>0.8594245908403465</v>
      </c>
      <c r="K337" s="77">
        <v>0.90770714475211189</v>
      </c>
      <c r="L337" s="72">
        <v>0.88387784571802119</v>
      </c>
      <c r="M337" s="57">
        <v>0.90272812889568554</v>
      </c>
      <c r="N337" s="57">
        <v>0.92724596887416533</v>
      </c>
    </row>
    <row r="338" spans="1:14" ht="12.75" customHeight="1" x14ac:dyDescent="0.2">
      <c r="A338" s="56" t="s">
        <v>38</v>
      </c>
      <c r="B338" s="79">
        <v>0.53691934797578356</v>
      </c>
      <c r="C338" s="57">
        <v>0.53726642830396221</v>
      </c>
      <c r="D338" s="57">
        <v>0.52727471606837595</v>
      </c>
      <c r="E338" s="57">
        <v>0.64719099656691004</v>
      </c>
      <c r="F338" s="57">
        <v>0.67966218175237803</v>
      </c>
      <c r="G338" s="78">
        <v>0.69347750332051616</v>
      </c>
      <c r="H338" s="57">
        <v>0.73330593626123397</v>
      </c>
      <c r="I338" s="57">
        <v>0.73253578943411268</v>
      </c>
      <c r="J338" s="57">
        <v>0.7350504667308988</v>
      </c>
      <c r="K338" s="77">
        <v>0.87213783792406852</v>
      </c>
      <c r="L338" s="72">
        <v>0.87875715053213455</v>
      </c>
      <c r="M338" s="57">
        <v>0.89860778174462763</v>
      </c>
      <c r="N338" s="57">
        <v>0.91075505959503311</v>
      </c>
    </row>
    <row r="339" spans="1:14" ht="12.75" customHeight="1" x14ac:dyDescent="0.2">
      <c r="A339" s="56" t="s">
        <v>147</v>
      </c>
      <c r="B339" s="79">
        <v>0.5806386165141797</v>
      </c>
      <c r="C339" s="57">
        <v>0.56433453677272716</v>
      </c>
      <c r="D339" s="57">
        <v>0.54568006559022764</v>
      </c>
      <c r="E339" s="57">
        <v>0.63150231888339414</v>
      </c>
      <c r="F339" s="57">
        <v>0.62081004879301305</v>
      </c>
      <c r="G339" s="78">
        <v>0.69907744773839386</v>
      </c>
      <c r="H339" s="57">
        <v>0.70571624911287678</v>
      </c>
      <c r="I339" s="57">
        <v>0.75263596528858467</v>
      </c>
      <c r="J339" s="57">
        <v>0.75790866025302417</v>
      </c>
      <c r="K339" s="77">
        <v>0.8443535662939603</v>
      </c>
      <c r="L339" s="72">
        <v>0.8555025079896974</v>
      </c>
      <c r="M339" s="57">
        <v>0.82811734887453525</v>
      </c>
      <c r="N339" s="57">
        <v>0.85724624175412556</v>
      </c>
    </row>
    <row r="340" spans="1:14" ht="12.75" customHeight="1" x14ac:dyDescent="0.2">
      <c r="A340" s="56" t="s">
        <v>233</v>
      </c>
      <c r="B340" s="79">
        <v>0.78317696498323475</v>
      </c>
      <c r="C340" s="57">
        <v>0.79601684584290977</v>
      </c>
      <c r="D340" s="57">
        <v>0.7978304642500248</v>
      </c>
      <c r="E340" s="57">
        <v>0.80298668216434521</v>
      </c>
      <c r="F340" s="57">
        <v>0.81057625525283794</v>
      </c>
      <c r="G340" s="78">
        <v>0.72999082363812273</v>
      </c>
      <c r="H340" s="57">
        <v>0.73517177592102845</v>
      </c>
      <c r="I340" s="57">
        <v>0.69635743737061939</v>
      </c>
      <c r="J340" s="57">
        <v>0.74702627937260313</v>
      </c>
      <c r="K340" s="77">
        <v>0.81979904928976477</v>
      </c>
      <c r="L340" s="72">
        <v>0.85289968324797782</v>
      </c>
      <c r="M340" s="57">
        <v>0.81149171429730649</v>
      </c>
      <c r="N340" s="57">
        <v>0.80428905094866832</v>
      </c>
    </row>
    <row r="341" spans="1:14" ht="12.75" customHeight="1" x14ac:dyDescent="0.2">
      <c r="A341" s="56" t="s">
        <v>124</v>
      </c>
      <c r="B341" s="79">
        <v>0.75543680327277252</v>
      </c>
      <c r="C341" s="57">
        <v>0.74978682551791975</v>
      </c>
      <c r="D341" s="57">
        <v>0.70972012299281462</v>
      </c>
      <c r="E341" s="57">
        <v>0.72073815827920873</v>
      </c>
      <c r="F341" s="57">
        <v>0.73939443815007089</v>
      </c>
      <c r="G341" s="78">
        <v>0.74057133492131322</v>
      </c>
      <c r="H341" s="57">
        <v>0.754502783989496</v>
      </c>
      <c r="I341" s="57">
        <v>0.8273721826886361</v>
      </c>
      <c r="J341" s="57">
        <v>0.85403792999127326</v>
      </c>
      <c r="K341" s="77">
        <v>0.88254297746667454</v>
      </c>
      <c r="L341" s="72">
        <v>0.88575956189079885</v>
      </c>
      <c r="M341" s="57">
        <v>0.8743309373482937</v>
      </c>
      <c r="N341" s="57">
        <v>0.88135789355652205</v>
      </c>
    </row>
    <row r="342" spans="1:14" ht="12.75" customHeight="1" x14ac:dyDescent="0.2">
      <c r="A342" s="56" t="s">
        <v>374</v>
      </c>
      <c r="B342" s="79">
        <v>0.60693633876119424</v>
      </c>
      <c r="C342" s="57">
        <v>0.69234896181593819</v>
      </c>
      <c r="D342" s="57">
        <v>0.65303731605844662</v>
      </c>
      <c r="E342" s="57">
        <v>0.71935403343114113</v>
      </c>
      <c r="F342" s="57">
        <v>0.70919485275127803</v>
      </c>
      <c r="G342" s="78">
        <v>0.73749321547064572</v>
      </c>
      <c r="H342" s="57">
        <v>0.76987643219262181</v>
      </c>
      <c r="I342" s="57">
        <v>0.79767792940566207</v>
      </c>
      <c r="J342" s="57">
        <v>0.79041406370991973</v>
      </c>
      <c r="K342" s="77">
        <v>0.87162839670506886</v>
      </c>
      <c r="L342" s="72">
        <v>0.88611291900336875</v>
      </c>
      <c r="M342" s="57">
        <v>0.91199477558330044</v>
      </c>
      <c r="N342" s="57">
        <v>0.85629849542100211</v>
      </c>
    </row>
    <row r="343" spans="1:14" ht="12.75" customHeight="1" x14ac:dyDescent="0.2">
      <c r="A343" s="56" t="s">
        <v>109</v>
      </c>
      <c r="B343" s="79">
        <v>0.66158196015378268</v>
      </c>
      <c r="C343" s="57">
        <v>0.63365972267966719</v>
      </c>
      <c r="D343" s="57">
        <v>0.65114138446539049</v>
      </c>
      <c r="E343" s="57">
        <v>0.65866995973947351</v>
      </c>
      <c r="F343" s="57">
        <v>0.70243611230483427</v>
      </c>
      <c r="G343" s="78">
        <v>0.77964427542093562</v>
      </c>
      <c r="H343" s="57">
        <v>0.79987850253802206</v>
      </c>
      <c r="I343" s="57">
        <v>0.81742986792575234</v>
      </c>
      <c r="J343" s="57">
        <v>0.80438025529760548</v>
      </c>
      <c r="K343" s="77">
        <v>0.79273540310705604</v>
      </c>
      <c r="L343" s="72">
        <v>0.75972335825304782</v>
      </c>
      <c r="M343" s="57">
        <v>0.80734200542960566</v>
      </c>
      <c r="N343" s="57">
        <v>0.89425548085174877</v>
      </c>
    </row>
    <row r="344" spans="1:14" ht="12.75" customHeight="1" x14ac:dyDescent="0.2">
      <c r="A344" s="56" t="s">
        <v>219</v>
      </c>
      <c r="B344" s="79">
        <v>0.5021604541557293</v>
      </c>
      <c r="C344" s="57">
        <v>0.59490360356134231</v>
      </c>
      <c r="D344" s="57">
        <v>0.60502691194214708</v>
      </c>
      <c r="E344" s="57">
        <v>0.65721689323372579</v>
      </c>
      <c r="F344" s="57">
        <v>0.5933291665140652</v>
      </c>
      <c r="G344" s="78">
        <v>0.68786650839554409</v>
      </c>
      <c r="H344" s="57">
        <v>0.71368828602548684</v>
      </c>
      <c r="I344" s="57">
        <v>0.64761789539716874</v>
      </c>
      <c r="J344" s="57">
        <v>0.67682621915496943</v>
      </c>
      <c r="K344" s="77">
        <v>0.79662964134058967</v>
      </c>
      <c r="L344" s="72">
        <v>0.86542628421918666</v>
      </c>
      <c r="M344" s="57">
        <v>0.77425324745778956</v>
      </c>
      <c r="N344" s="57">
        <v>0.84860949941412489</v>
      </c>
    </row>
    <row r="345" spans="1:14" ht="12.75" customHeight="1" x14ac:dyDescent="0.2">
      <c r="A345" s="56" t="s">
        <v>125</v>
      </c>
      <c r="B345" s="79">
        <v>0.28460446572698123</v>
      </c>
      <c r="C345" s="57">
        <v>0.35874908242961639</v>
      </c>
      <c r="D345" s="57">
        <v>0.30164066366490538</v>
      </c>
      <c r="E345" s="57">
        <v>0.31786763485040381</v>
      </c>
      <c r="F345" s="57">
        <v>0.33331511336621861</v>
      </c>
      <c r="G345" s="78">
        <v>0.38243091720424327</v>
      </c>
      <c r="H345" s="57">
        <v>0.39596512474594503</v>
      </c>
      <c r="I345" s="57">
        <v>0.38021571462489229</v>
      </c>
      <c r="J345" s="57">
        <v>0.47856960284587885</v>
      </c>
      <c r="K345" s="77">
        <v>0.68724914999444053</v>
      </c>
      <c r="L345" s="72">
        <v>0.70796492663984822</v>
      </c>
      <c r="M345" s="57">
        <v>0.67622289212789899</v>
      </c>
      <c r="N345" s="57">
        <v>0.67656555307439337</v>
      </c>
    </row>
    <row r="346" spans="1:14" ht="12.75" customHeight="1" x14ac:dyDescent="0.2">
      <c r="A346" s="56" t="s">
        <v>483</v>
      </c>
      <c r="B346" s="79">
        <v>0.74915379426776696</v>
      </c>
      <c r="C346" s="57">
        <v>0.7322473198442776</v>
      </c>
      <c r="D346" s="57">
        <v>0.75140153537602494</v>
      </c>
      <c r="E346" s="57">
        <v>0.82483728213739005</v>
      </c>
      <c r="F346" s="57">
        <v>0.83211009228095323</v>
      </c>
      <c r="G346" s="78">
        <v>0.85985874524212391</v>
      </c>
      <c r="H346" s="57">
        <v>0.88861210893986531</v>
      </c>
      <c r="I346" s="57">
        <v>0.9263404083195913</v>
      </c>
      <c r="J346" s="57">
        <v>0.91025961455048054</v>
      </c>
      <c r="K346" s="77">
        <v>0.93817946644322814</v>
      </c>
      <c r="L346" s="72">
        <v>0.95052790832526557</v>
      </c>
      <c r="M346" s="57">
        <v>0.96907424567722544</v>
      </c>
      <c r="N346" s="57">
        <v>0.93785426287488627</v>
      </c>
    </row>
    <row r="347" spans="1:14" ht="12.75" customHeight="1" x14ac:dyDescent="0.2">
      <c r="A347" s="56" t="s">
        <v>234</v>
      </c>
      <c r="B347" s="79">
        <v>0.66282275409502756</v>
      </c>
      <c r="C347" s="57">
        <v>0.63409050894229146</v>
      </c>
      <c r="D347" s="57">
        <v>0.66615229564656442</v>
      </c>
      <c r="E347" s="57">
        <v>0.67977788792362492</v>
      </c>
      <c r="F347" s="57">
        <v>0.66218615475909559</v>
      </c>
      <c r="G347" s="78">
        <v>0.76935610713943714</v>
      </c>
      <c r="H347" s="57">
        <v>0.77513711797396212</v>
      </c>
      <c r="I347" s="57">
        <v>0.76905640882364623</v>
      </c>
      <c r="J347" s="57">
        <v>0.77407425525926976</v>
      </c>
      <c r="K347" s="77">
        <v>0.87766904884392882</v>
      </c>
      <c r="L347" s="72">
        <v>0.87331119655794798</v>
      </c>
      <c r="M347" s="57">
        <v>0.91241343451642065</v>
      </c>
      <c r="N347" s="57">
        <v>0.86829577241502387</v>
      </c>
    </row>
    <row r="348" spans="1:14" ht="12.75" customHeight="1" x14ac:dyDescent="0.2">
      <c r="A348" s="56" t="s">
        <v>163</v>
      </c>
      <c r="B348" s="79">
        <v>0.68190526170768939</v>
      </c>
      <c r="C348" s="57">
        <v>0.73467605146542159</v>
      </c>
      <c r="D348" s="57">
        <v>0.70756917333789615</v>
      </c>
      <c r="E348" s="57">
        <v>0.74416216495858245</v>
      </c>
      <c r="F348" s="57">
        <v>0.76219051662204229</v>
      </c>
      <c r="G348" s="78">
        <v>0.80590691841294682</v>
      </c>
      <c r="H348" s="57">
        <v>0.81106192673289101</v>
      </c>
      <c r="I348" s="57">
        <v>0.83448903765541715</v>
      </c>
      <c r="J348" s="57">
        <v>0.84883839356582658</v>
      </c>
      <c r="K348" s="77">
        <v>0.92005823674391796</v>
      </c>
      <c r="L348" s="72">
        <v>0.92373794398972031</v>
      </c>
      <c r="M348" s="57">
        <v>0.960665645118989</v>
      </c>
      <c r="N348" s="57">
        <v>0.95306872643611618</v>
      </c>
    </row>
    <row r="349" spans="1:14" ht="12.75" customHeight="1" x14ac:dyDescent="0.2">
      <c r="A349" s="56" t="s">
        <v>24</v>
      </c>
      <c r="B349" s="79">
        <v>0.45280749072127302</v>
      </c>
      <c r="C349" s="57">
        <v>0.51624256382366385</v>
      </c>
      <c r="D349" s="57">
        <v>0.49854412895947947</v>
      </c>
      <c r="E349" s="57">
        <v>0.5732490110394568</v>
      </c>
      <c r="F349" s="57">
        <v>0.58317410003140457</v>
      </c>
      <c r="G349" s="78">
        <v>0.61325345294947475</v>
      </c>
      <c r="H349" s="57">
        <v>0.64810846007279355</v>
      </c>
      <c r="I349" s="57">
        <v>0.7113786155997881</v>
      </c>
      <c r="J349" s="57">
        <v>0.73079882256294271</v>
      </c>
      <c r="K349" s="77">
        <v>0.78009491307560197</v>
      </c>
      <c r="L349" s="72">
        <v>0.79284297181400332</v>
      </c>
      <c r="M349" s="57">
        <v>0.78672477077976155</v>
      </c>
      <c r="N349" s="57">
        <v>0.82413674017922989</v>
      </c>
    </row>
    <row r="350" spans="1:14" ht="12.75" customHeight="1" x14ac:dyDescent="0.2">
      <c r="A350" s="56" t="s">
        <v>220</v>
      </c>
      <c r="B350" s="79">
        <v>0.82313783278317532</v>
      </c>
      <c r="C350" s="57">
        <v>0.88018069597338167</v>
      </c>
      <c r="D350" s="57">
        <v>0.87682894784970689</v>
      </c>
      <c r="E350" s="57">
        <v>0.82183618120564605</v>
      </c>
      <c r="F350" s="57">
        <v>0.81721378309675308</v>
      </c>
      <c r="G350" s="78">
        <v>0.87830445120343958</v>
      </c>
      <c r="H350" s="57">
        <v>0.85700120639519684</v>
      </c>
      <c r="I350" s="57">
        <v>0.94027508699099649</v>
      </c>
      <c r="J350" s="57">
        <v>0.94013317693011533</v>
      </c>
      <c r="K350" s="77">
        <v>0.9527262348053972</v>
      </c>
      <c r="L350" s="72">
        <v>0.96362403354737258</v>
      </c>
      <c r="M350" s="57">
        <v>0.93033758754280138</v>
      </c>
      <c r="N350" s="57">
        <v>0.93582668457384899</v>
      </c>
    </row>
    <row r="351" spans="1:14" ht="12.75" customHeight="1" x14ac:dyDescent="0.2">
      <c r="A351" s="56" t="s">
        <v>283</v>
      </c>
      <c r="B351" s="79">
        <v>0.80740381526919425</v>
      </c>
      <c r="C351" s="57">
        <v>0.70636414920051016</v>
      </c>
      <c r="D351" s="57">
        <v>0.69489673827843146</v>
      </c>
      <c r="E351" s="57">
        <v>0.86987690265393325</v>
      </c>
      <c r="F351" s="57">
        <v>0.87365708284264199</v>
      </c>
      <c r="G351" s="78">
        <v>0.87422142400388403</v>
      </c>
      <c r="H351" s="57">
        <v>0.85118214117915625</v>
      </c>
      <c r="I351" s="57">
        <v>0.86107102732378182</v>
      </c>
      <c r="J351" s="57">
        <v>0.88933560323791416</v>
      </c>
      <c r="K351" s="77">
        <v>0.90114184178961521</v>
      </c>
      <c r="L351" s="72">
        <v>0.84253671513665296</v>
      </c>
      <c r="M351" s="57">
        <v>0.94584148216187935</v>
      </c>
      <c r="N351" s="57">
        <v>0.91543803324408579</v>
      </c>
    </row>
    <row r="352" spans="1:14" ht="12.75" customHeight="1" x14ac:dyDescent="0.2">
      <c r="A352" s="56" t="s">
        <v>7071</v>
      </c>
      <c r="B352" s="79">
        <v>0.66259134732008862</v>
      </c>
      <c r="C352" s="57">
        <v>0.80576610391627113</v>
      </c>
      <c r="D352" s="57">
        <v>0.73579265735311772</v>
      </c>
      <c r="E352" s="57">
        <v>0.75566981874999373</v>
      </c>
      <c r="F352" s="57">
        <v>0.74855382493917932</v>
      </c>
      <c r="G352" s="78">
        <v>0.78601170435247636</v>
      </c>
      <c r="H352" s="57">
        <v>0.80011104133891531</v>
      </c>
      <c r="I352" s="57">
        <v>0.81062727469601215</v>
      </c>
      <c r="J352" s="57">
        <v>0.87951744735672999</v>
      </c>
      <c r="K352" s="77">
        <v>0.93490126953612185</v>
      </c>
      <c r="L352" s="72">
        <v>0.94245181870487416</v>
      </c>
      <c r="M352" s="57">
        <v>0.94585377259998848</v>
      </c>
      <c r="N352" s="57">
        <v>0.9253783294409792</v>
      </c>
    </row>
    <row r="353" spans="1:14" ht="12.75" customHeight="1" x14ac:dyDescent="0.2">
      <c r="A353" s="56" t="s">
        <v>39</v>
      </c>
      <c r="B353" s="79">
        <v>0.72253601088740593</v>
      </c>
      <c r="C353" s="57">
        <v>0.67052316625695429</v>
      </c>
      <c r="D353" s="57">
        <v>0.58044715507953482</v>
      </c>
      <c r="E353" s="57">
        <v>0.68834518339306405</v>
      </c>
      <c r="F353" s="57">
        <v>0.77418742553360986</v>
      </c>
      <c r="G353" s="78">
        <v>0.65654168885755682</v>
      </c>
      <c r="H353" s="57">
        <v>0.66635238012267284</v>
      </c>
      <c r="I353" s="57">
        <v>0.8089584880336067</v>
      </c>
      <c r="J353" s="57">
        <v>0.78768603970352413</v>
      </c>
      <c r="K353" s="77">
        <v>0.91919294041511046</v>
      </c>
      <c r="L353" s="72">
        <v>0.91858659618562744</v>
      </c>
      <c r="M353" s="57">
        <v>0.94412853812121234</v>
      </c>
      <c r="N353" s="57">
        <v>0.94644250738037838</v>
      </c>
    </row>
    <row r="354" spans="1:14" ht="12.75" customHeight="1" x14ac:dyDescent="0.2">
      <c r="A354" s="56" t="s">
        <v>317</v>
      </c>
      <c r="B354" s="79">
        <v>0.62352600901621646</v>
      </c>
      <c r="C354" s="57">
        <v>0.47422203063429902</v>
      </c>
      <c r="D354" s="57">
        <v>0.53268528657433944</v>
      </c>
      <c r="E354" s="57">
        <v>0.70934134264348891</v>
      </c>
      <c r="F354" s="57">
        <v>0.73299766862921856</v>
      </c>
      <c r="G354" s="78">
        <v>0.62595680760481331</v>
      </c>
      <c r="H354" s="57">
        <v>0.58853702617211523</v>
      </c>
      <c r="I354" s="57">
        <v>0.68188905835979985</v>
      </c>
      <c r="J354" s="57">
        <v>0.74241194133887367</v>
      </c>
      <c r="K354" s="77">
        <v>0.85948246360058311</v>
      </c>
      <c r="L354" s="72">
        <v>0.89684264183810569</v>
      </c>
      <c r="M354" s="57">
        <v>0.8911092347425732</v>
      </c>
      <c r="N354" s="57">
        <v>0.90557623368191154</v>
      </c>
    </row>
    <row r="355" spans="1:14" ht="12.75" customHeight="1" x14ac:dyDescent="0.2">
      <c r="A355" s="56" t="s">
        <v>14</v>
      </c>
      <c r="B355" s="79">
        <v>0.58720043376585951</v>
      </c>
      <c r="C355" s="57">
        <v>0.63145293031619543</v>
      </c>
      <c r="D355" s="57">
        <v>0.60562695852111625</v>
      </c>
      <c r="E355" s="57">
        <v>0.66964876174987198</v>
      </c>
      <c r="F355" s="57">
        <v>0.67240374459216301</v>
      </c>
      <c r="G355" s="78">
        <v>0.68170526954820609</v>
      </c>
      <c r="H355" s="57">
        <v>0.68296351246938525</v>
      </c>
      <c r="I355" s="57">
        <v>0.75501863214014597</v>
      </c>
      <c r="J355" s="57">
        <v>0.75870330849287804</v>
      </c>
      <c r="K355" s="77">
        <v>0.81030024314782001</v>
      </c>
      <c r="L355" s="72">
        <v>0.72566660976744113</v>
      </c>
      <c r="M355" s="57">
        <v>0.81155175074747155</v>
      </c>
      <c r="N355" s="57">
        <v>0.85110682006425209</v>
      </c>
    </row>
    <row r="356" spans="1:14" ht="12.75" customHeight="1" x14ac:dyDescent="0.2">
      <c r="A356" s="56" t="s">
        <v>221</v>
      </c>
      <c r="B356" s="79">
        <v>0.86520789633903517</v>
      </c>
      <c r="C356" s="57">
        <v>0.80177288195640262</v>
      </c>
      <c r="D356" s="57">
        <v>0.83233014009699025</v>
      </c>
      <c r="E356" s="57">
        <v>0.85937288167701198</v>
      </c>
      <c r="F356" s="57">
        <v>0.86156389044741277</v>
      </c>
      <c r="G356" s="78">
        <v>0.86502372488820789</v>
      </c>
      <c r="H356" s="57">
        <v>0.9173912890197804</v>
      </c>
      <c r="I356" s="57">
        <v>0.88239811770271159</v>
      </c>
      <c r="J356" s="57">
        <v>0.89610835984868986</v>
      </c>
      <c r="K356" s="77">
        <v>0.97592690338722554</v>
      </c>
      <c r="L356" s="72">
        <v>0.98282332680488971</v>
      </c>
      <c r="M356" s="57">
        <v>0.95280200136827564</v>
      </c>
      <c r="N356" s="57">
        <v>0.97710947524819347</v>
      </c>
    </row>
    <row r="357" spans="1:14" ht="12.75" customHeight="1" x14ac:dyDescent="0.2">
      <c r="A357" s="56" t="s">
        <v>25</v>
      </c>
      <c r="B357" s="79">
        <v>0.66449652327833331</v>
      </c>
      <c r="C357" s="57">
        <v>0.72469853197349732</v>
      </c>
      <c r="D357" s="57">
        <v>0.7066110526151903</v>
      </c>
      <c r="E357" s="57">
        <v>0.73573660861258061</v>
      </c>
      <c r="F357" s="57">
        <v>0.75933904803584074</v>
      </c>
      <c r="G357" s="78">
        <v>0.79164308945617434</v>
      </c>
      <c r="H357" s="57">
        <v>0.83702960484122424</v>
      </c>
      <c r="I357" s="57">
        <v>0.84267092505821084</v>
      </c>
      <c r="J357" s="57">
        <v>0.87577745960557718</v>
      </c>
      <c r="K357" s="77">
        <v>0.9230444556784928</v>
      </c>
      <c r="L357" s="72">
        <v>0.92063282365128851</v>
      </c>
      <c r="M357" s="57">
        <v>0.89850011127441975</v>
      </c>
      <c r="N357" s="57">
        <v>0.94316459528373886</v>
      </c>
    </row>
    <row r="358" spans="1:14" ht="12.75" customHeight="1" x14ac:dyDescent="0.2">
      <c r="A358" s="56" t="s">
        <v>318</v>
      </c>
      <c r="B358" s="79">
        <v>0.64063053365171974</v>
      </c>
      <c r="C358" s="57">
        <v>0.64773574751174312</v>
      </c>
      <c r="D358" s="57">
        <v>0.63551958699225997</v>
      </c>
      <c r="E358" s="57">
        <v>0.73128489780145489</v>
      </c>
      <c r="F358" s="57">
        <v>0.74387773502911869</v>
      </c>
      <c r="G358" s="78">
        <v>0.77356737684958377</v>
      </c>
      <c r="H358" s="57">
        <v>0.76935667650405326</v>
      </c>
      <c r="I358" s="57">
        <v>0.83009196109841299</v>
      </c>
      <c r="J358" s="57">
        <v>0.79797566060855074</v>
      </c>
      <c r="K358" s="77">
        <v>0.87111521803444936</v>
      </c>
      <c r="L358" s="72">
        <v>0.87102990401901337</v>
      </c>
      <c r="M358" s="57">
        <v>0.92040241614493024</v>
      </c>
      <c r="N358" s="57">
        <v>0.90175934833503324</v>
      </c>
    </row>
    <row r="359" spans="1:14" ht="12.75" customHeight="1" x14ac:dyDescent="0.2">
      <c r="A359" s="56" t="s">
        <v>319</v>
      </c>
      <c r="B359" s="79">
        <v>0.59630515992866973</v>
      </c>
      <c r="C359" s="57">
        <v>0.52439697785305994</v>
      </c>
      <c r="D359" s="57">
        <v>0.44965444043707725</v>
      </c>
      <c r="E359" s="57">
        <v>0.64689857739564105</v>
      </c>
      <c r="F359" s="57">
        <v>0.70630453881541044</v>
      </c>
      <c r="G359" s="78">
        <v>0.65158438617182068</v>
      </c>
      <c r="H359" s="57">
        <v>0.68775325158766965</v>
      </c>
      <c r="I359" s="57">
        <v>0.7709558104348736</v>
      </c>
      <c r="J359" s="57">
        <v>0.78058242339215622</v>
      </c>
      <c r="K359" s="77">
        <v>0.88772984003621624</v>
      </c>
      <c r="L359" s="72">
        <v>0.86635996682548921</v>
      </c>
      <c r="M359" s="57">
        <v>0.9137224767703972</v>
      </c>
      <c r="N359" s="57">
        <v>0.88636389282637151</v>
      </c>
    </row>
    <row r="360" spans="1:14" ht="12.75" customHeight="1" x14ac:dyDescent="0.2">
      <c r="A360" s="56" t="s">
        <v>164</v>
      </c>
      <c r="B360" s="79">
        <v>0.61332396730048544</v>
      </c>
      <c r="C360" s="57">
        <v>0.67041011311612642</v>
      </c>
      <c r="D360" s="57">
        <v>0.64358280666845646</v>
      </c>
      <c r="E360" s="57">
        <v>0.70415916992773098</v>
      </c>
      <c r="F360" s="57">
        <v>0.68937723553256147</v>
      </c>
      <c r="G360" s="78">
        <v>0.69634063293670156</v>
      </c>
      <c r="H360" s="57">
        <v>0.69824408153682127</v>
      </c>
      <c r="I360" s="57">
        <v>0.76248822436863439</v>
      </c>
      <c r="J360" s="57">
        <v>0.77339013887961738</v>
      </c>
      <c r="K360" s="77">
        <v>0.81576607461795891</v>
      </c>
      <c r="L360" s="72">
        <v>0.81503196395415767</v>
      </c>
      <c r="M360" s="57">
        <v>0.86766951949672155</v>
      </c>
      <c r="N360" s="57">
        <v>0.93533286678953786</v>
      </c>
    </row>
    <row r="361" spans="1:14" ht="12.75" customHeight="1" x14ac:dyDescent="0.2">
      <c r="A361" s="56" t="s">
        <v>295</v>
      </c>
      <c r="B361" s="79">
        <v>0.72991868234462265</v>
      </c>
      <c r="C361" s="57">
        <v>0.66034652217771528</v>
      </c>
      <c r="D361" s="57">
        <v>0.66193894433246081</v>
      </c>
      <c r="E361" s="57">
        <v>0.75141099568218772</v>
      </c>
      <c r="F361" s="57">
        <v>0.74899328760131401</v>
      </c>
      <c r="G361" s="78">
        <v>0.58533229865307379</v>
      </c>
      <c r="H361" s="57">
        <v>0.54364064478047158</v>
      </c>
      <c r="I361" s="57">
        <v>0.81136801209541221</v>
      </c>
      <c r="J361" s="57">
        <v>0.76624845483046855</v>
      </c>
      <c r="K361" s="77">
        <v>0.81207968580817158</v>
      </c>
      <c r="L361" s="72">
        <v>0.82942734759075387</v>
      </c>
      <c r="M361" s="57">
        <v>0.73045987169870663</v>
      </c>
      <c r="N361" s="57">
        <v>0.75818728717885042</v>
      </c>
    </row>
    <row r="362" spans="1:14" ht="12.75" customHeight="1" x14ac:dyDescent="0.2">
      <c r="A362" s="56" t="s">
        <v>126</v>
      </c>
      <c r="B362" s="79">
        <v>0.56411934788523166</v>
      </c>
      <c r="C362" s="57">
        <v>0.57652043815090215</v>
      </c>
      <c r="D362" s="57">
        <v>0.50955020402806062</v>
      </c>
      <c r="E362" s="57">
        <v>0.64116267031730034</v>
      </c>
      <c r="F362" s="57">
        <v>0.65891300232961048</v>
      </c>
      <c r="G362" s="78">
        <v>0.68846518127985279</v>
      </c>
      <c r="H362" s="57">
        <v>0.73277254449710627</v>
      </c>
      <c r="I362" s="57">
        <v>0.7016572237085823</v>
      </c>
      <c r="J362" s="57">
        <v>0.74935441854079965</v>
      </c>
      <c r="K362" s="77">
        <v>0.89560716972233845</v>
      </c>
      <c r="L362" s="72">
        <v>0.90195994964705939</v>
      </c>
      <c r="M362" s="57">
        <v>0.88632035558996891</v>
      </c>
      <c r="N362" s="57">
        <v>0.94135461028085121</v>
      </c>
    </row>
    <row r="363" spans="1:14" ht="12.75" customHeight="1" x14ac:dyDescent="0.2">
      <c r="A363" s="56" t="s">
        <v>222</v>
      </c>
      <c r="B363" s="79">
        <v>0.76525344558264752</v>
      </c>
      <c r="C363" s="57">
        <v>0.77737697414212426</v>
      </c>
      <c r="D363" s="57">
        <v>0.77082798178279566</v>
      </c>
      <c r="E363" s="57">
        <v>0.79635592810027422</v>
      </c>
      <c r="F363" s="57">
        <v>0.81276640012882007</v>
      </c>
      <c r="G363" s="78">
        <v>0.8563863715348814</v>
      </c>
      <c r="H363" s="57">
        <v>0.82196478382097171</v>
      </c>
      <c r="I363" s="57">
        <v>0.85016963236267418</v>
      </c>
      <c r="J363" s="57">
        <v>0.92405384068583163</v>
      </c>
      <c r="K363" s="77">
        <v>0.96145332920717996</v>
      </c>
      <c r="L363" s="72">
        <v>0.97054403731953276</v>
      </c>
      <c r="M363" s="57">
        <v>0.93776433762062539</v>
      </c>
      <c r="N363" s="57">
        <v>0.93307970946892593</v>
      </c>
    </row>
    <row r="364" spans="1:14" ht="12.75" customHeight="1" x14ac:dyDescent="0.2">
      <c r="A364" s="56" t="s">
        <v>127</v>
      </c>
      <c r="B364" s="79">
        <v>0.38757771787024348</v>
      </c>
      <c r="C364" s="57">
        <v>0.46239047980525338</v>
      </c>
      <c r="D364" s="57">
        <v>0.37511992295295482</v>
      </c>
      <c r="E364" s="57">
        <v>0.47786857067197264</v>
      </c>
      <c r="F364" s="57">
        <v>0.55833690854909224</v>
      </c>
      <c r="G364" s="78">
        <v>0.49992983533961305</v>
      </c>
      <c r="H364" s="57">
        <v>0.61505170915885032</v>
      </c>
      <c r="I364" s="57">
        <v>0.65462602333696096</v>
      </c>
      <c r="J364" s="57">
        <v>0.68101305702883019</v>
      </c>
      <c r="K364" s="77">
        <v>0.67307010877431983</v>
      </c>
      <c r="L364" s="72">
        <v>0.68779147037403687</v>
      </c>
      <c r="M364" s="57">
        <v>0.84034631831426299</v>
      </c>
      <c r="N364" s="57">
        <v>0.88835404351438174</v>
      </c>
    </row>
    <row r="365" spans="1:14" ht="12.75" customHeight="1" x14ac:dyDescent="0.2">
      <c r="A365" s="56" t="s">
        <v>7070</v>
      </c>
      <c r="B365" s="79">
        <v>0.56807385982301484</v>
      </c>
      <c r="C365" s="57">
        <v>0.55873971445173065</v>
      </c>
      <c r="D365" s="57">
        <v>0.5156463798819072</v>
      </c>
      <c r="E365" s="57">
        <v>0.57156678446601938</v>
      </c>
      <c r="F365" s="57">
        <v>0.61139052581087339</v>
      </c>
      <c r="G365" s="78">
        <v>0.65196836624683518</v>
      </c>
      <c r="H365" s="57">
        <v>0.65898523760814021</v>
      </c>
      <c r="I365" s="57">
        <v>0.69292668035045446</v>
      </c>
      <c r="J365" s="57">
        <v>0.72447656014519235</v>
      </c>
      <c r="K365" s="77">
        <v>0.81933190450243387</v>
      </c>
      <c r="L365" s="72">
        <v>0.79865578171870988</v>
      </c>
      <c r="M365" s="57">
        <v>0.85854641453114189</v>
      </c>
      <c r="N365" s="57">
        <v>0.8130663241232986</v>
      </c>
    </row>
    <row r="366" spans="1:14" ht="12.75" customHeight="1" x14ac:dyDescent="0.2">
      <c r="A366" s="56" t="s">
        <v>381</v>
      </c>
      <c r="B366" s="79">
        <v>0.66187540436298997</v>
      </c>
      <c r="C366" s="57">
        <v>0.72944373346735858</v>
      </c>
      <c r="D366" s="57">
        <v>0.65105823344818781</v>
      </c>
      <c r="E366" s="57">
        <v>0.72635077676662696</v>
      </c>
      <c r="F366" s="57">
        <v>0.81754803088770311</v>
      </c>
      <c r="G366" s="78">
        <v>0.84275493725948603</v>
      </c>
      <c r="H366" s="57">
        <v>0.86556959755727292</v>
      </c>
      <c r="I366" s="57">
        <v>0.90569436978462636</v>
      </c>
      <c r="J366" s="57">
        <v>0.91858769785462857</v>
      </c>
      <c r="K366" s="77">
        <v>0.93027955734906043</v>
      </c>
      <c r="L366" s="72">
        <v>0.96572576594676041</v>
      </c>
      <c r="M366" s="57">
        <v>0.91582063965352623</v>
      </c>
      <c r="N366" s="57">
        <v>0.9544320585185293</v>
      </c>
    </row>
    <row r="367" spans="1:14" ht="12.75" customHeight="1" x14ac:dyDescent="0.2">
      <c r="A367" s="56" t="s">
        <v>391</v>
      </c>
      <c r="B367" s="79">
        <v>0.60471522248224407</v>
      </c>
      <c r="C367" s="57">
        <v>0.64074256567473842</v>
      </c>
      <c r="D367" s="57">
        <v>0.6186968139775183</v>
      </c>
      <c r="E367" s="57">
        <v>0.64983693919756491</v>
      </c>
      <c r="F367" s="57">
        <v>0.6629316806539729</v>
      </c>
      <c r="G367" s="78">
        <v>0.67339623815618999</v>
      </c>
      <c r="H367" s="57">
        <v>0.71073627852515753</v>
      </c>
      <c r="I367" s="57">
        <v>0.75594672554000242</v>
      </c>
      <c r="J367" s="57">
        <v>0.77856288588353884</v>
      </c>
      <c r="K367" s="77">
        <v>0.81827861143770564</v>
      </c>
      <c r="L367" s="72">
        <v>0.82851701715653314</v>
      </c>
      <c r="M367" s="57">
        <v>0.85474626028967271</v>
      </c>
      <c r="N367" s="57">
        <v>0.90980575926026963</v>
      </c>
    </row>
    <row r="368" spans="1:14" ht="12.75" customHeight="1" x14ac:dyDescent="0.2">
      <c r="A368" s="56" t="s">
        <v>320</v>
      </c>
      <c r="B368" s="79">
        <v>0.80003075734314688</v>
      </c>
      <c r="C368" s="57">
        <v>0.72410046220865643</v>
      </c>
      <c r="D368" s="57">
        <v>0.69084460434690331</v>
      </c>
      <c r="E368" s="57">
        <v>0.82564345687212459</v>
      </c>
      <c r="F368" s="57">
        <v>0.87368308678979434</v>
      </c>
      <c r="G368" s="78">
        <v>0.78080559494076784</v>
      </c>
      <c r="H368" s="57">
        <v>0.78869066820902034</v>
      </c>
      <c r="I368" s="57">
        <v>0.95444223939075723</v>
      </c>
      <c r="J368" s="57">
        <v>0.94612910424723229</v>
      </c>
      <c r="K368" s="77">
        <v>0.99185332256110159</v>
      </c>
      <c r="L368" s="72">
        <v>0.9948639329742327</v>
      </c>
      <c r="M368" s="57">
        <v>0.98484549577241176</v>
      </c>
      <c r="N368" s="57">
        <v>0.99021842713091479</v>
      </c>
    </row>
    <row r="369" spans="1:14" ht="12.75" customHeight="1" x14ac:dyDescent="0.2">
      <c r="A369" s="56" t="s">
        <v>128</v>
      </c>
      <c r="B369" s="79">
        <v>0.71714991862967259</v>
      </c>
      <c r="C369" s="57">
        <v>0.7407641450647956</v>
      </c>
      <c r="D369" s="57">
        <v>0.78291700815606269</v>
      </c>
      <c r="E369" s="57">
        <v>0.74763398031114647</v>
      </c>
      <c r="F369" s="57">
        <v>0.78147532464942326</v>
      </c>
      <c r="G369" s="78">
        <v>0.82989150240550547</v>
      </c>
      <c r="H369" s="57">
        <v>0.83073989119491121</v>
      </c>
      <c r="I369" s="57">
        <v>0.87086296385343964</v>
      </c>
      <c r="J369" s="57">
        <v>0.87661157425702729</v>
      </c>
      <c r="K369" s="77">
        <v>0.91294197752213779</v>
      </c>
      <c r="L369" s="72">
        <v>0.92322901529588586</v>
      </c>
      <c r="M369" s="57">
        <v>0.91973575647375472</v>
      </c>
      <c r="N369" s="57">
        <v>0.89349297083337065</v>
      </c>
    </row>
    <row r="370" spans="1:14" ht="12.75" customHeight="1" x14ac:dyDescent="0.2">
      <c r="A370" s="56" t="s">
        <v>112</v>
      </c>
      <c r="B370" s="79">
        <v>0.74260283936095928</v>
      </c>
      <c r="C370" s="57">
        <v>0.70845283506660917</v>
      </c>
      <c r="D370" s="57">
        <v>0.72396348545094924</v>
      </c>
      <c r="E370" s="57">
        <v>0.68677290434286198</v>
      </c>
      <c r="F370" s="57">
        <v>0.77501654195764702</v>
      </c>
      <c r="G370" s="78">
        <v>0.7893159556934054</v>
      </c>
      <c r="H370" s="57">
        <v>0.78606222657825231</v>
      </c>
      <c r="I370" s="57">
        <v>0.87140400853264277</v>
      </c>
      <c r="J370" s="57">
        <v>0.88587082246992643</v>
      </c>
      <c r="K370" s="77">
        <v>0.92595782151636274</v>
      </c>
      <c r="L370" s="72">
        <v>0.93982043038676844</v>
      </c>
      <c r="M370" s="57">
        <v>0.89675235577246948</v>
      </c>
      <c r="N370" s="57">
        <v>0.89020132276087938</v>
      </c>
    </row>
    <row r="371" spans="1:14" ht="12.75" customHeight="1" x14ac:dyDescent="0.2">
      <c r="A371" s="56" t="s">
        <v>176</v>
      </c>
      <c r="B371" s="79">
        <v>0.65966357760734939</v>
      </c>
      <c r="C371" s="57">
        <v>0.76283906607739782</v>
      </c>
      <c r="D371" s="57">
        <v>0.77136231096586139</v>
      </c>
      <c r="E371" s="57">
        <v>0.7953405471308066</v>
      </c>
      <c r="F371" s="57">
        <v>0.79522052516845554</v>
      </c>
      <c r="G371" s="78">
        <v>0.83317648538472111</v>
      </c>
      <c r="H371" s="57">
        <v>0.83249740515070636</v>
      </c>
      <c r="I371" s="57">
        <v>0.86639314933549971</v>
      </c>
      <c r="J371" s="57">
        <v>0.86708403399071099</v>
      </c>
      <c r="K371" s="77">
        <v>0.90124505200584493</v>
      </c>
      <c r="L371" s="72">
        <v>0.884178716608225</v>
      </c>
      <c r="M371" s="57">
        <v>0.95629821973201756</v>
      </c>
      <c r="N371" s="57">
        <v>0.93311590693436197</v>
      </c>
    </row>
    <row r="372" spans="1:14" ht="12.75" customHeight="1" x14ac:dyDescent="0.2">
      <c r="A372" s="56" t="s">
        <v>382</v>
      </c>
      <c r="B372" s="79">
        <v>0.55900307551316197</v>
      </c>
      <c r="C372" s="57">
        <v>0.5742407650457243</v>
      </c>
      <c r="D372" s="57">
        <v>0.55510693793907173</v>
      </c>
      <c r="E372" s="57">
        <v>0.70262833323417739</v>
      </c>
      <c r="F372" s="57">
        <v>0.70051146049808821</v>
      </c>
      <c r="G372" s="78">
        <v>0.80064763167573128</v>
      </c>
      <c r="H372" s="57">
        <v>0.78000860065636879</v>
      </c>
      <c r="I372" s="57">
        <v>0.80662770531645678</v>
      </c>
      <c r="J372" s="57">
        <v>0.83660331086093842</v>
      </c>
      <c r="K372" s="77">
        <v>0.87216103976941262</v>
      </c>
      <c r="L372" s="72">
        <v>0.8327559781013868</v>
      </c>
      <c r="M372" s="57">
        <v>0.84912222837683171</v>
      </c>
      <c r="N372" s="57">
        <v>0.8498140683599017</v>
      </c>
    </row>
    <row r="373" spans="1:14" ht="12.75" customHeight="1" x14ac:dyDescent="0.2">
      <c r="A373" s="56" t="s">
        <v>113</v>
      </c>
      <c r="B373" s="79">
        <v>0.50717315183744105</v>
      </c>
      <c r="C373" s="57">
        <v>0.5166997517528551</v>
      </c>
      <c r="D373" s="57">
        <v>0.51216715770548649</v>
      </c>
      <c r="E373" s="57">
        <v>0.3908667636348882</v>
      </c>
      <c r="F373" s="57">
        <v>0.34269648781784628</v>
      </c>
      <c r="G373" s="78">
        <v>0.3925061956881874</v>
      </c>
      <c r="H373" s="57">
        <v>0.41334098497549987</v>
      </c>
      <c r="I373" s="57">
        <v>0.44998069390300616</v>
      </c>
      <c r="J373" s="57">
        <v>0.46190668013682862</v>
      </c>
      <c r="K373" s="77">
        <v>0.57408673431897161</v>
      </c>
      <c r="L373" s="72">
        <v>0.60110853499428063</v>
      </c>
      <c r="M373" s="57">
        <v>0.62051760763946406</v>
      </c>
      <c r="N373" s="57">
        <v>0.70870779727929811</v>
      </c>
    </row>
    <row r="374" spans="1:14" ht="12.75" customHeight="1" x14ac:dyDescent="0.2">
      <c r="A374" s="56" t="s">
        <v>271</v>
      </c>
      <c r="B374" s="79">
        <v>0.65495443043908907</v>
      </c>
      <c r="C374" s="57">
        <v>0.66221508797295636</v>
      </c>
      <c r="D374" s="57">
        <v>0.68694959113496235</v>
      </c>
      <c r="E374" s="57">
        <v>0.7458430704550999</v>
      </c>
      <c r="F374" s="57">
        <v>0.78293073221276444</v>
      </c>
      <c r="G374" s="78">
        <v>0.8230263823069236</v>
      </c>
      <c r="H374" s="57">
        <v>0.80145469438869321</v>
      </c>
      <c r="I374" s="57">
        <v>0.81919001539866787</v>
      </c>
      <c r="J374" s="57">
        <v>0.85623535856176591</v>
      </c>
      <c r="K374" s="77">
        <v>0.91651485732884708</v>
      </c>
      <c r="L374" s="72">
        <v>0.88861419620484183</v>
      </c>
      <c r="M374" s="57">
        <v>0.87088549258011039</v>
      </c>
      <c r="N374" s="57">
        <v>0.88029885245241724</v>
      </c>
    </row>
    <row r="375" spans="1:14" ht="12.75" customHeight="1" x14ac:dyDescent="0.2">
      <c r="A375" s="56" t="s">
        <v>246</v>
      </c>
      <c r="B375" s="79">
        <v>0.69225233342125192</v>
      </c>
      <c r="C375" s="57">
        <v>0.73171746501820512</v>
      </c>
      <c r="D375" s="57">
        <v>0.73240111450908818</v>
      </c>
      <c r="E375" s="57">
        <v>0.78140367222802942</v>
      </c>
      <c r="F375" s="57">
        <v>0.7847668075313301</v>
      </c>
      <c r="G375" s="78">
        <v>0.82024800627715932</v>
      </c>
      <c r="H375" s="57">
        <v>0.8284819208784312</v>
      </c>
      <c r="I375" s="57">
        <v>0.89337578805040363</v>
      </c>
      <c r="J375" s="57">
        <v>0.92852783683270823</v>
      </c>
      <c r="K375" s="77">
        <v>0.97135529006122412</v>
      </c>
      <c r="L375" s="72">
        <v>0.97334895346952977</v>
      </c>
      <c r="M375" s="57">
        <v>0.93133083029093955</v>
      </c>
      <c r="N375" s="57">
        <v>0.9303614180025761</v>
      </c>
    </row>
    <row r="376" spans="1:14" ht="12.75" customHeight="1" x14ac:dyDescent="0.2">
      <c r="A376" s="56" t="s">
        <v>272</v>
      </c>
      <c r="B376" s="79">
        <v>0.79899698420634913</v>
      </c>
      <c r="C376" s="57">
        <v>0.773992562624914</v>
      </c>
      <c r="D376" s="57">
        <v>0.77197256528347158</v>
      </c>
      <c r="E376" s="57">
        <v>0.68032849750438196</v>
      </c>
      <c r="F376" s="57">
        <v>0.66303000326625516</v>
      </c>
      <c r="G376" s="78">
        <v>0.73861590408634181</v>
      </c>
      <c r="H376" s="57">
        <v>0.77151398075686362</v>
      </c>
      <c r="I376" s="57">
        <v>0.8200200806408261</v>
      </c>
      <c r="J376" s="57">
        <v>0.80800478909225071</v>
      </c>
      <c r="K376" s="77">
        <v>0.88571086897923124</v>
      </c>
      <c r="L376" s="72">
        <v>0.88694870637782441</v>
      </c>
      <c r="M376" s="57">
        <v>0.92384504140315649</v>
      </c>
      <c r="N376" s="57">
        <v>0.950154823207632</v>
      </c>
    </row>
    <row r="377" spans="1:14" ht="12.75" customHeight="1" x14ac:dyDescent="0.2">
      <c r="A377" s="56" t="s">
        <v>61</v>
      </c>
      <c r="B377" s="79">
        <v>0.5521678147215292</v>
      </c>
      <c r="C377" s="57">
        <v>0.65261513789967973</v>
      </c>
      <c r="D377" s="57">
        <v>0.59194841987161406</v>
      </c>
      <c r="E377" s="57">
        <v>0.58976942722981274</v>
      </c>
      <c r="F377" s="57">
        <v>0.61279405949170074</v>
      </c>
      <c r="G377" s="78">
        <v>0.73427247723187949</v>
      </c>
      <c r="H377" s="57">
        <v>0.74460876641685769</v>
      </c>
      <c r="I377" s="57">
        <v>0.71104599007944325</v>
      </c>
      <c r="J377" s="57">
        <v>0.70795203545788887</v>
      </c>
      <c r="K377" s="77">
        <v>0.79976683572126028</v>
      </c>
      <c r="L377" s="72">
        <v>0.82641141059208312</v>
      </c>
      <c r="M377" s="57">
        <v>0.81228371118320464</v>
      </c>
      <c r="N377" s="57">
        <v>0.84074580434826907</v>
      </c>
    </row>
    <row r="378" spans="1:14" ht="12.75" customHeight="1" x14ac:dyDescent="0.2">
      <c r="A378" s="56" t="s">
        <v>52</v>
      </c>
      <c r="B378" s="79">
        <v>0.61649274121798714</v>
      </c>
      <c r="C378" s="57">
        <v>0.57302418335281413</v>
      </c>
      <c r="D378" s="57">
        <v>0.53794353390377925</v>
      </c>
      <c r="E378" s="57">
        <v>0.68932585729532081</v>
      </c>
      <c r="F378" s="57">
        <v>0.69009603899643279</v>
      </c>
      <c r="G378" s="78">
        <v>0.68061666000431309</v>
      </c>
      <c r="H378" s="57">
        <v>0.6971219362656873</v>
      </c>
      <c r="I378" s="57">
        <v>0.78286911561135542</v>
      </c>
      <c r="J378" s="57">
        <v>0.77990664161969914</v>
      </c>
      <c r="K378" s="77">
        <v>0.8290451192678373</v>
      </c>
      <c r="L378" s="72">
        <v>0.85075168269928725</v>
      </c>
      <c r="M378" s="57">
        <v>0.87040731573804486</v>
      </c>
      <c r="N378" s="57">
        <v>0.91759275586457067</v>
      </c>
    </row>
    <row r="379" spans="1:14" ht="12.75" customHeight="1" x14ac:dyDescent="0.2">
      <c r="A379" s="56" t="s">
        <v>206</v>
      </c>
      <c r="B379" s="79">
        <v>0.79858558595728346</v>
      </c>
      <c r="C379" s="57">
        <v>0.79793560398702901</v>
      </c>
      <c r="D379" s="57">
        <v>0.77734838791155303</v>
      </c>
      <c r="E379" s="57">
        <v>0.83266402991316735</v>
      </c>
      <c r="F379" s="57">
        <v>0.84496673143097323</v>
      </c>
      <c r="G379" s="78">
        <v>0.83874130787024925</v>
      </c>
      <c r="H379" s="57">
        <v>0.84741281160882354</v>
      </c>
      <c r="I379" s="57">
        <v>0.91284847532494207</v>
      </c>
      <c r="J379" s="57">
        <v>0.912846209164485</v>
      </c>
      <c r="K379" s="77">
        <v>0.94580494861720121</v>
      </c>
      <c r="L379" s="72">
        <v>0.94870381749897514</v>
      </c>
      <c r="M379" s="57">
        <v>0.93350154398533669</v>
      </c>
      <c r="N379" s="57">
        <v>0.92049715020444467</v>
      </c>
    </row>
    <row r="380" spans="1:14" ht="12.75" customHeight="1" x14ac:dyDescent="0.2">
      <c r="A380" s="56" t="s">
        <v>235</v>
      </c>
      <c r="B380" s="79">
        <v>0.77038209452228312</v>
      </c>
      <c r="C380" s="57">
        <v>0.75905377868453139</v>
      </c>
      <c r="D380" s="57">
        <v>0.7505064535810928</v>
      </c>
      <c r="E380" s="57">
        <v>0.76584811563295585</v>
      </c>
      <c r="F380" s="57">
        <v>0.75172378669815432</v>
      </c>
      <c r="G380" s="78">
        <v>0.78592094077207486</v>
      </c>
      <c r="H380" s="57">
        <v>0.789167749856305</v>
      </c>
      <c r="I380" s="57">
        <v>0.84673329096527183</v>
      </c>
      <c r="J380" s="57">
        <v>0.84906600361557472</v>
      </c>
      <c r="K380" s="77">
        <v>0.86211423430087364</v>
      </c>
      <c r="L380" s="72">
        <v>0.85998908045616829</v>
      </c>
      <c r="M380" s="57">
        <v>0.88050139220125356</v>
      </c>
      <c r="N380" s="57">
        <v>0.94289020120537692</v>
      </c>
    </row>
    <row r="381" spans="1:14" ht="12.75" customHeight="1" x14ac:dyDescent="0.2">
      <c r="A381" s="56" t="s">
        <v>328</v>
      </c>
      <c r="B381" s="79">
        <v>0.55828920076659583</v>
      </c>
      <c r="C381" s="57">
        <v>0.60840922916650153</v>
      </c>
      <c r="D381" s="57">
        <v>0.61290926489382092</v>
      </c>
      <c r="E381" s="57">
        <v>0.65416873113842677</v>
      </c>
      <c r="F381" s="57">
        <v>0.67423055790557451</v>
      </c>
      <c r="G381" s="78">
        <v>0.68379492778868489</v>
      </c>
      <c r="H381" s="57">
        <v>0.71414935820235903</v>
      </c>
      <c r="I381" s="57">
        <v>0.78083351774820919</v>
      </c>
      <c r="J381" s="57">
        <v>0.78694880491408448</v>
      </c>
      <c r="K381" s="77">
        <v>0.8700281755218634</v>
      </c>
      <c r="L381" s="72">
        <v>0.87697707181119156</v>
      </c>
      <c r="M381" s="57">
        <v>0.92403263412354453</v>
      </c>
      <c r="N381" s="57">
        <v>0.89979179949381383</v>
      </c>
    </row>
    <row r="382" spans="1:14" ht="12.75" customHeight="1" x14ac:dyDescent="0.2">
      <c r="A382" s="56" t="s">
        <v>44</v>
      </c>
      <c r="B382" s="79">
        <v>0.54811214950874276</v>
      </c>
      <c r="C382" s="57">
        <v>0.57267770989132016</v>
      </c>
      <c r="D382" s="57">
        <v>0.51084341302365288</v>
      </c>
      <c r="E382" s="57">
        <v>0.49436420654889818</v>
      </c>
      <c r="F382" s="57">
        <v>0.49780815038619858</v>
      </c>
      <c r="G382" s="78">
        <v>0.54577372312039096</v>
      </c>
      <c r="H382" s="57">
        <v>0.56348740272483777</v>
      </c>
      <c r="I382" s="57">
        <v>0.62027052864571053</v>
      </c>
      <c r="J382" s="57">
        <v>0.67166745597186139</v>
      </c>
      <c r="K382" s="77">
        <v>0.72832783500810583</v>
      </c>
      <c r="L382" s="72">
        <v>0.74160600378155228</v>
      </c>
      <c r="M382" s="57">
        <v>0.7514960801266064</v>
      </c>
      <c r="N382" s="57">
        <v>0.74996072338480457</v>
      </c>
    </row>
    <row r="383" spans="1:14" ht="12.75" customHeight="1" x14ac:dyDescent="0.2">
      <c r="A383" s="56" t="s">
        <v>410</v>
      </c>
      <c r="B383" s="79">
        <v>0.43918715157207106</v>
      </c>
      <c r="C383" s="57">
        <v>0.59000061275998983</v>
      </c>
      <c r="D383" s="57">
        <v>0.50568444959539993</v>
      </c>
      <c r="E383" s="57">
        <v>0.50782678338096343</v>
      </c>
      <c r="F383" s="57">
        <v>0.53434917336007282</v>
      </c>
      <c r="G383" s="78">
        <v>0.64900781524727624</v>
      </c>
      <c r="H383" s="57">
        <v>0.69595416530993881</v>
      </c>
      <c r="I383" s="57">
        <v>0.68541036593548477</v>
      </c>
      <c r="J383" s="57">
        <v>0.70455315684098674</v>
      </c>
      <c r="K383" s="77">
        <v>0.76167557798643237</v>
      </c>
      <c r="L383" s="72">
        <v>0.80049959466602127</v>
      </c>
      <c r="M383" s="57">
        <v>0.77914655541889444</v>
      </c>
      <c r="N383" s="57">
        <v>0.77796000565370782</v>
      </c>
    </row>
    <row r="384" spans="1:14" ht="12.75" customHeight="1" x14ac:dyDescent="0.2">
      <c r="A384" s="56" t="s">
        <v>321</v>
      </c>
      <c r="B384" s="79">
        <v>0.79631443507636657</v>
      </c>
      <c r="C384" s="57">
        <v>0.79830476844145182</v>
      </c>
      <c r="D384" s="57">
        <v>0.82212747609911851</v>
      </c>
      <c r="E384" s="57">
        <v>0.82248843812735906</v>
      </c>
      <c r="F384" s="57">
        <v>0.84785716473425321</v>
      </c>
      <c r="G384" s="78">
        <v>0.89122313615402915</v>
      </c>
      <c r="H384" s="57">
        <v>0.91502096133814625</v>
      </c>
      <c r="I384" s="57">
        <v>0.91606691218221126</v>
      </c>
      <c r="J384" s="57">
        <v>0.92574907233955517</v>
      </c>
      <c r="K384" s="77">
        <v>0.95726411121516508</v>
      </c>
      <c r="L384" s="72">
        <v>0.95699541188329651</v>
      </c>
      <c r="M384" s="57">
        <v>0.98118622667807232</v>
      </c>
      <c r="N384" s="57">
        <v>0.96923719318626111</v>
      </c>
    </row>
    <row r="385" spans="1:14" ht="12.75" customHeight="1" x14ac:dyDescent="0.2">
      <c r="A385" s="56" t="s">
        <v>170</v>
      </c>
      <c r="B385" s="79">
        <v>0.60774111313487622</v>
      </c>
      <c r="C385" s="57">
        <v>0.63395881121689668</v>
      </c>
      <c r="D385" s="57">
        <v>0.64970877006253636</v>
      </c>
      <c r="E385" s="57">
        <v>0.63604445146965882</v>
      </c>
      <c r="F385" s="57">
        <v>0.62981725264348243</v>
      </c>
      <c r="G385" s="78">
        <v>0.72224719724210773</v>
      </c>
      <c r="H385" s="57">
        <v>0.68694481004220442</v>
      </c>
      <c r="I385" s="57">
        <v>0.77282579668198581</v>
      </c>
      <c r="J385" s="57">
        <v>0.83221178259394579</v>
      </c>
      <c r="K385" s="77">
        <v>0.92059988545855642</v>
      </c>
      <c r="L385" s="72">
        <v>0.93878144230238614</v>
      </c>
      <c r="M385" s="57">
        <v>0.85764939865663992</v>
      </c>
      <c r="N385" s="57">
        <v>0.88420043595179187</v>
      </c>
    </row>
    <row r="386" spans="1:14" ht="12.75" customHeight="1" x14ac:dyDescent="0.2">
      <c r="A386" s="56" t="s">
        <v>349</v>
      </c>
      <c r="B386" s="79">
        <v>0.51698226672713066</v>
      </c>
      <c r="C386" s="57">
        <v>0.63024673911347273</v>
      </c>
      <c r="D386" s="57">
        <v>0.60426020051523188</v>
      </c>
      <c r="E386" s="57">
        <v>0.65906004987201139</v>
      </c>
      <c r="F386" s="57">
        <v>0.66404440003426424</v>
      </c>
      <c r="G386" s="78">
        <v>0.74806363280228261</v>
      </c>
      <c r="H386" s="57">
        <v>0.80557969640506821</v>
      </c>
      <c r="I386" s="57">
        <v>0.78460883766282508</v>
      </c>
      <c r="J386" s="57">
        <v>0.77482778068045732</v>
      </c>
      <c r="K386" s="77">
        <v>0.88739244314726262</v>
      </c>
      <c r="L386" s="72">
        <v>0.89463598702659786</v>
      </c>
      <c r="M386" s="57">
        <v>0.89940703022284074</v>
      </c>
      <c r="N386" s="57">
        <v>0.89765140885065386</v>
      </c>
    </row>
    <row r="387" spans="1:14" ht="12.75" customHeight="1" x14ac:dyDescent="0.2">
      <c r="A387" s="56" t="s">
        <v>404</v>
      </c>
      <c r="B387" s="79">
        <v>0.33859074003326844</v>
      </c>
      <c r="C387" s="57">
        <v>0.48548879110169929</v>
      </c>
      <c r="D387" s="57">
        <v>0.44958742342328439</v>
      </c>
      <c r="E387" s="57">
        <v>0.39512440324893044</v>
      </c>
      <c r="F387" s="57">
        <v>0.38719267247498657</v>
      </c>
      <c r="G387" s="78">
        <v>0.4481044426975257</v>
      </c>
      <c r="H387" s="57">
        <v>0.44073441927089602</v>
      </c>
      <c r="I387" s="57">
        <v>0.43378105634026115</v>
      </c>
      <c r="J387" s="57">
        <v>0.38582705412868623</v>
      </c>
      <c r="K387" s="77">
        <v>0.62388628283209291</v>
      </c>
      <c r="L387" s="72">
        <v>0.64964054090024947</v>
      </c>
      <c r="M387" s="57">
        <v>0.68849210584273157</v>
      </c>
      <c r="N387" s="57">
        <v>0.77182951948017031</v>
      </c>
    </row>
    <row r="388" spans="1:14" ht="12.75" customHeight="1" x14ac:dyDescent="0.2">
      <c r="A388" s="56" t="s">
        <v>247</v>
      </c>
      <c r="B388" s="79">
        <v>0.6105563006173399</v>
      </c>
      <c r="C388" s="57">
        <v>0.64210656153030654</v>
      </c>
      <c r="D388" s="57">
        <v>0.58668387411824408</v>
      </c>
      <c r="E388" s="57">
        <v>0.59835201661001691</v>
      </c>
      <c r="F388" s="57">
        <v>0.63492637889242576</v>
      </c>
      <c r="G388" s="78">
        <v>0.72319438762985544</v>
      </c>
      <c r="H388" s="57">
        <v>0.71067092983983104</v>
      </c>
      <c r="I388" s="57">
        <v>0.81119229972217533</v>
      </c>
      <c r="J388" s="57">
        <v>0.79697304576915473</v>
      </c>
      <c r="K388" s="77">
        <v>0.85924525224411807</v>
      </c>
      <c r="L388" s="72">
        <v>0.88880066310974992</v>
      </c>
      <c r="M388" s="57">
        <v>0.8693394961342753</v>
      </c>
      <c r="N388" s="57">
        <v>0.88903484031143365</v>
      </c>
    </row>
    <row r="389" spans="1:14" ht="12.75" customHeight="1" x14ac:dyDescent="0.2">
      <c r="A389" s="56" t="s">
        <v>337</v>
      </c>
      <c r="B389" s="79">
        <v>0.84470880628596845</v>
      </c>
      <c r="C389" s="57">
        <v>0.81362254702670278</v>
      </c>
      <c r="D389" s="57">
        <v>0.80677568941600375</v>
      </c>
      <c r="E389" s="57">
        <v>0.82456012529336931</v>
      </c>
      <c r="F389" s="57">
        <v>0.83382891078521859</v>
      </c>
      <c r="G389" s="78">
        <v>0.85431305078437825</v>
      </c>
      <c r="H389" s="57">
        <v>0.87621174137690827</v>
      </c>
      <c r="I389" s="57">
        <v>0.88590666543262409</v>
      </c>
      <c r="J389" s="57">
        <v>0.89641509975219758</v>
      </c>
      <c r="K389" s="77">
        <v>0.92331104955791821</v>
      </c>
      <c r="L389" s="72">
        <v>0.93605703382621819</v>
      </c>
      <c r="M389" s="57">
        <v>0.92810213411909581</v>
      </c>
      <c r="N389" s="57">
        <v>0.9321147385729488</v>
      </c>
    </row>
    <row r="390" spans="1:14" ht="12.75" customHeight="1" x14ac:dyDescent="0.2">
      <c r="A390" s="56" t="s">
        <v>70</v>
      </c>
      <c r="B390" s="79">
        <v>0.47192818220783173</v>
      </c>
      <c r="C390" s="57">
        <v>0.51518784656608352</v>
      </c>
      <c r="D390" s="57">
        <v>0.44418544531447712</v>
      </c>
      <c r="E390" s="57">
        <v>0.55447676435885562</v>
      </c>
      <c r="F390" s="57">
        <v>0.54045167227993096</v>
      </c>
      <c r="G390" s="78">
        <v>0.65282291364984557</v>
      </c>
      <c r="H390" s="57">
        <v>0.69559889062798486</v>
      </c>
      <c r="I390" s="57">
        <v>0.71575250146983538</v>
      </c>
      <c r="J390" s="57">
        <v>0.71799274062827889</v>
      </c>
      <c r="K390" s="77">
        <v>0.84742782140474116</v>
      </c>
      <c r="L390" s="72">
        <v>0.8439275796555169</v>
      </c>
      <c r="M390" s="57">
        <v>0.82482707550560297</v>
      </c>
      <c r="N390" s="57">
        <v>0.81517076268991284</v>
      </c>
    </row>
    <row r="391" spans="1:14" ht="12.75" customHeight="1" x14ac:dyDescent="0.2">
      <c r="A391" s="56" t="s">
        <v>259</v>
      </c>
      <c r="B391" s="79">
        <v>0.72445018596384114</v>
      </c>
      <c r="C391" s="57">
        <v>0.7372390951865192</v>
      </c>
      <c r="D391" s="57">
        <v>0.74378152648499918</v>
      </c>
      <c r="E391" s="57">
        <v>0.83712309133215412</v>
      </c>
      <c r="F391" s="57">
        <v>0.83290617388901622</v>
      </c>
      <c r="G391" s="78">
        <v>0.8639887840237217</v>
      </c>
      <c r="H391" s="57">
        <v>0.85846743345864984</v>
      </c>
      <c r="I391" s="57">
        <v>0.93144231726625148</v>
      </c>
      <c r="J391" s="57">
        <v>0.9371806850634552</v>
      </c>
      <c r="K391" s="77">
        <v>0.95165870760698279</v>
      </c>
      <c r="L391" s="72">
        <v>0.96660810315900847</v>
      </c>
      <c r="M391" s="57">
        <v>0.95518409969472351</v>
      </c>
      <c r="N391" s="57">
        <v>0.94713618029700675</v>
      </c>
    </row>
    <row r="392" spans="1:14" ht="12.75" customHeight="1" x14ac:dyDescent="0.2">
      <c r="A392" s="56" t="s">
        <v>248</v>
      </c>
      <c r="B392" s="79">
        <v>0.74313475904169857</v>
      </c>
      <c r="C392" s="57">
        <v>0.78777772200429308</v>
      </c>
      <c r="D392" s="57">
        <v>0.81659181505340672</v>
      </c>
      <c r="E392" s="57">
        <v>0.84099586941580551</v>
      </c>
      <c r="F392" s="57">
        <v>0.84722099778638837</v>
      </c>
      <c r="G392" s="78">
        <v>0.88473424137550671</v>
      </c>
      <c r="H392" s="57">
        <v>0.8796737758924551</v>
      </c>
      <c r="I392" s="57">
        <v>0.88079321078480721</v>
      </c>
      <c r="J392" s="57">
        <v>0.88747841406819816</v>
      </c>
      <c r="K392" s="77">
        <v>0.95066656204790922</v>
      </c>
      <c r="L392" s="72">
        <v>0.94946931163947568</v>
      </c>
      <c r="M392" s="57">
        <v>0.95078427028270773</v>
      </c>
      <c r="N392" s="57">
        <v>0.92573608402858143</v>
      </c>
    </row>
    <row r="393" spans="1:14" ht="12.75" customHeight="1" x14ac:dyDescent="0.2">
      <c r="A393" s="56" t="s">
        <v>32</v>
      </c>
      <c r="B393" s="79">
        <v>0.77882831222684257</v>
      </c>
      <c r="C393" s="57">
        <v>0.66864139764589603</v>
      </c>
      <c r="D393" s="57">
        <v>0.65893291181734048</v>
      </c>
      <c r="E393" s="57">
        <v>0.78312599137042249</v>
      </c>
      <c r="F393" s="57">
        <v>0.81112749580572507</v>
      </c>
      <c r="G393" s="78">
        <v>0.79789406386719586</v>
      </c>
      <c r="H393" s="57">
        <v>0.81909828370698623</v>
      </c>
      <c r="I393" s="57">
        <v>0.89516108752758239</v>
      </c>
      <c r="J393" s="57">
        <v>0.89944777778525675</v>
      </c>
      <c r="K393" s="77">
        <v>0.91457604588278785</v>
      </c>
      <c r="L393" s="72">
        <v>0.91981888606384032</v>
      </c>
      <c r="M393" s="57">
        <v>0.91283326299795808</v>
      </c>
      <c r="N393" s="57">
        <v>0.94030367889831312</v>
      </c>
    </row>
    <row r="394" spans="1:14" ht="12.75" customHeight="1" x14ac:dyDescent="0.2">
      <c r="A394" s="56" t="s">
        <v>236</v>
      </c>
      <c r="B394" s="79">
        <v>0.66477109947305579</v>
      </c>
      <c r="C394" s="57">
        <v>0.77710209508528294</v>
      </c>
      <c r="D394" s="57">
        <v>0.6534988353207849</v>
      </c>
      <c r="E394" s="57">
        <v>0.62173037244415319</v>
      </c>
      <c r="F394" s="57">
        <v>0.63839948584669504</v>
      </c>
      <c r="G394" s="78">
        <v>0.74901107406114253</v>
      </c>
      <c r="H394" s="57">
        <v>0.82081339975308532</v>
      </c>
      <c r="I394" s="57">
        <v>0.87436345571035889</v>
      </c>
      <c r="J394" s="57">
        <v>0.87339649534204866</v>
      </c>
      <c r="K394" s="77">
        <v>0.8617915551151234</v>
      </c>
      <c r="L394" s="72">
        <v>0.84840768844068071</v>
      </c>
      <c r="M394" s="57">
        <v>0.82119616199250622</v>
      </c>
      <c r="N394" s="57">
        <v>0.82308305124357961</v>
      </c>
    </row>
    <row r="395" spans="1:14" ht="12.75" customHeight="1" x14ac:dyDescent="0.2">
      <c r="A395" s="56" t="s">
        <v>129</v>
      </c>
      <c r="B395" s="79">
        <v>0.67090630049111399</v>
      </c>
      <c r="C395" s="57">
        <v>0.74961340456394376</v>
      </c>
      <c r="D395" s="57">
        <v>0.74947186384736553</v>
      </c>
      <c r="E395" s="57">
        <v>0.7433663189779206</v>
      </c>
      <c r="F395" s="57">
        <v>0.77763062903302527</v>
      </c>
      <c r="G395" s="78">
        <v>0.84183882694044321</v>
      </c>
      <c r="H395" s="57">
        <v>0.88522983106384934</v>
      </c>
      <c r="I395" s="57">
        <v>0.80562249792362828</v>
      </c>
      <c r="J395" s="57">
        <v>0.81350192268009824</v>
      </c>
      <c r="K395" s="77">
        <v>0.86520986204422135</v>
      </c>
      <c r="L395" s="72">
        <v>0.85487360425112957</v>
      </c>
      <c r="M395" s="57">
        <v>0.84373876174248996</v>
      </c>
      <c r="N395" s="57">
        <v>0.87126121060254846</v>
      </c>
    </row>
    <row r="396" spans="1:14" ht="12.75" customHeight="1" x14ac:dyDescent="0.2">
      <c r="A396" s="56" t="s">
        <v>40</v>
      </c>
      <c r="B396" s="79">
        <v>0.31542858995753198</v>
      </c>
      <c r="C396" s="57">
        <v>0.51229581160274651</v>
      </c>
      <c r="D396" s="57">
        <v>0.43685103551212362</v>
      </c>
      <c r="E396" s="57">
        <v>0.47573092474498069</v>
      </c>
      <c r="F396" s="57">
        <v>0.46012809509652536</v>
      </c>
      <c r="G396" s="78">
        <v>0.56945433444830573</v>
      </c>
      <c r="H396" s="57">
        <v>0.59008182339441528</v>
      </c>
      <c r="I396" s="57">
        <v>0.64129177948061877</v>
      </c>
      <c r="J396" s="57">
        <v>0.64642617016774961</v>
      </c>
      <c r="K396" s="77">
        <v>0.79012739852058989</v>
      </c>
      <c r="L396" s="72">
        <v>0.75014087930157514</v>
      </c>
      <c r="M396" s="57">
        <v>0.7447366351628163</v>
      </c>
      <c r="N396" s="57">
        <v>0.8068162441922424</v>
      </c>
    </row>
    <row r="397" spans="1:14" ht="12.75" customHeight="1" x14ac:dyDescent="0.2">
      <c r="A397" s="56" t="s">
        <v>322</v>
      </c>
      <c r="B397" s="79">
        <v>0.67807414174025638</v>
      </c>
      <c r="C397" s="57">
        <v>0.65098341756135913</v>
      </c>
      <c r="D397" s="57">
        <v>0.62649979587264137</v>
      </c>
      <c r="E397" s="57">
        <v>0.7149680460981449</v>
      </c>
      <c r="F397" s="57">
        <v>0.72055700398662592</v>
      </c>
      <c r="G397" s="78">
        <v>0.76714886173196206</v>
      </c>
      <c r="H397" s="57">
        <v>0.77151828871571182</v>
      </c>
      <c r="I397" s="57">
        <v>0.80235145420724086</v>
      </c>
      <c r="J397" s="57">
        <v>0.82821059068029601</v>
      </c>
      <c r="K397" s="77">
        <v>0.90202687969386663</v>
      </c>
      <c r="L397" s="72">
        <v>0.90205211294402732</v>
      </c>
      <c r="M397" s="57">
        <v>0.86681514790093595</v>
      </c>
      <c r="N397" s="57">
        <v>0.92121141243802573</v>
      </c>
    </row>
    <row r="398" spans="1:14" ht="12.75" customHeight="1" x14ac:dyDescent="0.2">
      <c r="A398" s="56" t="s">
        <v>363</v>
      </c>
      <c r="B398" s="79">
        <v>0.77034358836668615</v>
      </c>
      <c r="C398" s="57">
        <v>0.81449566443983379</v>
      </c>
      <c r="D398" s="57">
        <v>0.81322280961174342</v>
      </c>
      <c r="E398" s="57">
        <v>0.77695285722192542</v>
      </c>
      <c r="F398" s="57">
        <v>0.79431891974461144</v>
      </c>
      <c r="G398" s="78">
        <v>0.8639970481114192</v>
      </c>
      <c r="H398" s="57">
        <v>0.862358301336282</v>
      </c>
      <c r="I398" s="57">
        <v>0.89730683847794146</v>
      </c>
      <c r="J398" s="57">
        <v>0.95168680984495957</v>
      </c>
      <c r="K398" s="77">
        <v>0.98168585167637967</v>
      </c>
      <c r="L398" s="72">
        <v>0.98368836586991915</v>
      </c>
      <c r="M398" s="57">
        <v>0.9779963810127652</v>
      </c>
      <c r="N398" s="57">
        <v>0.97336131216416799</v>
      </c>
    </row>
    <row r="399" spans="1:14" ht="12.75" customHeight="1" x14ac:dyDescent="0.2">
      <c r="A399" s="56" t="s">
        <v>7069</v>
      </c>
      <c r="B399" s="79">
        <v>0.68417874404124268</v>
      </c>
      <c r="C399" s="57">
        <v>0.81352020949369219</v>
      </c>
      <c r="D399" s="57">
        <v>0.69847264745567272</v>
      </c>
      <c r="E399" s="57">
        <v>0.77987548113957605</v>
      </c>
      <c r="F399" s="57">
        <v>0.85488579179416291</v>
      </c>
      <c r="G399" s="78">
        <v>0.8616617665637728</v>
      </c>
      <c r="H399" s="57">
        <v>0.84266414313508931</v>
      </c>
      <c r="I399" s="57">
        <v>0.75900342927137077</v>
      </c>
      <c r="J399" s="57">
        <v>0.82308574265444356</v>
      </c>
      <c r="K399" s="77">
        <v>0.95506424972467685</v>
      </c>
      <c r="L399" s="72">
        <v>0.95557504757489276</v>
      </c>
      <c r="M399" s="57">
        <v>0.90923539219876737</v>
      </c>
      <c r="N399" s="57">
        <v>0.91825201336736861</v>
      </c>
    </row>
    <row r="400" spans="1:14" ht="12.75" customHeight="1" x14ac:dyDescent="0.2">
      <c r="A400" s="56" t="s">
        <v>390</v>
      </c>
      <c r="B400" s="79">
        <v>0.74440742223868817</v>
      </c>
      <c r="C400" s="57">
        <v>0.75639671268376929</v>
      </c>
      <c r="D400" s="57">
        <v>0.72298397821109639</v>
      </c>
      <c r="E400" s="57">
        <v>0.72318520764916572</v>
      </c>
      <c r="F400" s="57">
        <v>0.73987814103039851</v>
      </c>
      <c r="G400" s="78">
        <v>0.77694104753381044</v>
      </c>
      <c r="H400" s="57">
        <v>0.82467587495056383</v>
      </c>
      <c r="I400" s="57">
        <v>0.87634796963149442</v>
      </c>
      <c r="J400" s="57">
        <v>0.93260361233828304</v>
      </c>
      <c r="K400" s="77">
        <v>0.94033793091535067</v>
      </c>
      <c r="L400" s="72">
        <v>0.94440243035077986</v>
      </c>
      <c r="M400" s="57">
        <v>0.83597050309145715</v>
      </c>
      <c r="N400" s="57">
        <v>0.77299838681649891</v>
      </c>
    </row>
    <row r="401" spans="1:14" ht="12.75" customHeight="1" x14ac:dyDescent="0.2">
      <c r="A401" s="56" t="s">
        <v>41</v>
      </c>
      <c r="B401" s="79">
        <v>0.54138145887843414</v>
      </c>
      <c r="C401" s="57">
        <v>0.64266813252647603</v>
      </c>
      <c r="D401" s="57">
        <v>0.63519879728699102</v>
      </c>
      <c r="E401" s="57">
        <v>0.68208342804708788</v>
      </c>
      <c r="F401" s="57">
        <v>0.7177117693325048</v>
      </c>
      <c r="G401" s="78">
        <v>0.67993743083408886</v>
      </c>
      <c r="H401" s="57">
        <v>0.68731776234145514</v>
      </c>
      <c r="I401" s="57">
        <v>0.81290925109317658</v>
      </c>
      <c r="J401" s="57">
        <v>0.81390618176626017</v>
      </c>
      <c r="K401" s="77">
        <v>0.88213069807435907</v>
      </c>
      <c r="L401" s="72">
        <v>0.89171971009014539</v>
      </c>
      <c r="M401" s="57">
        <v>0.89928766521185666</v>
      </c>
      <c r="N401" s="57">
        <v>0.91913420065485385</v>
      </c>
    </row>
    <row r="402" spans="1:14" ht="12.75" customHeight="1" x14ac:dyDescent="0.2">
      <c r="A402" s="76" t="s">
        <v>284</v>
      </c>
      <c r="B402" s="75">
        <v>0.60259173522438303</v>
      </c>
      <c r="C402" s="61">
        <v>0.65094242882971587</v>
      </c>
      <c r="D402" s="61">
        <v>0.64399439209502707</v>
      </c>
      <c r="E402" s="61">
        <v>0.73220472816717241</v>
      </c>
      <c r="F402" s="61">
        <v>0.82582535747653496</v>
      </c>
      <c r="G402" s="74">
        <v>0.80570760196369873</v>
      </c>
      <c r="H402" s="61">
        <v>0.81041976621638945</v>
      </c>
      <c r="I402" s="61">
        <v>0.87728010187217564</v>
      </c>
      <c r="J402" s="61">
        <v>0.87098916924604852</v>
      </c>
      <c r="K402" s="73">
        <v>0.907017238014448</v>
      </c>
      <c r="L402" s="72">
        <v>0.91216778084851613</v>
      </c>
      <c r="M402" s="57">
        <v>0.89594092559388994</v>
      </c>
      <c r="N402" s="61">
        <v>0.8807004453152586</v>
      </c>
    </row>
    <row r="403" spans="1:14" ht="12.75" customHeight="1" x14ac:dyDescent="0.2">
      <c r="E403" s="57"/>
      <c r="F403" s="57"/>
      <c r="G403" s="57"/>
      <c r="H403" s="57"/>
      <c r="J403" s="57"/>
      <c r="L403" s="49"/>
      <c r="M403" s="60"/>
    </row>
    <row r="404" spans="1:14" ht="12.75" customHeight="1" x14ac:dyDescent="0.2"/>
    <row r="405" spans="1:14" ht="12.75" customHeight="1" x14ac:dyDescent="0.2"/>
    <row r="406" spans="1:14" ht="12.75" customHeight="1" x14ac:dyDescent="0.2"/>
    <row r="407" spans="1:14" ht="12.75" customHeight="1" x14ac:dyDescent="0.2"/>
    <row r="408" spans="1:14" ht="12.75" customHeight="1" x14ac:dyDescent="0.2"/>
    <row r="409" spans="1:14" ht="12.75" customHeight="1" x14ac:dyDescent="0.2"/>
    <row r="410" spans="1:14" ht="12.75" customHeight="1" x14ac:dyDescent="0.2"/>
    <row r="411" spans="1:14" ht="12.75" customHeight="1" x14ac:dyDescent="0.2"/>
    <row r="412" spans="1:14" ht="12.75" customHeight="1" x14ac:dyDescent="0.2"/>
    <row r="413" spans="1:14" ht="12.75" customHeight="1" x14ac:dyDescent="0.2"/>
    <row r="414" spans="1:14" ht="12.75" customHeight="1" x14ac:dyDescent="0.2"/>
    <row r="415" spans="1:14" ht="12.75" customHeight="1" x14ac:dyDescent="0.2"/>
    <row r="416" spans="1:14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  <row r="4101" ht="12.75" customHeight="1" x14ac:dyDescent="0.2"/>
    <row r="4102" ht="12.75" customHeight="1" x14ac:dyDescent="0.2"/>
    <row r="4103" ht="12.75" customHeight="1" x14ac:dyDescent="0.2"/>
  </sheetData>
  <sheetProtection selectLockedCells="1" selectUnlockedCells="1"/>
  <mergeCells count="2">
    <mergeCell ref="A2:A3"/>
    <mergeCell ref="B2:N2"/>
  </mergeCells>
  <pageMargins left="0.61" right="0.53" top="0.98402777777777772" bottom="0.98402777777777772" header="0.51180555555555551" footer="0.51180555555555551"/>
  <pageSetup paperSize="9" scale="61" firstPageNumber="0" orientation="portrait" horizontalDpi="300" verticalDpi="300" r:id="rId1"/>
  <headerFooter alignWithMargins="0"/>
  <rowBreaks count="4" manualBreakCount="4">
    <brk id="86" max="9" man="1"/>
    <brk id="169" max="9" man="1"/>
    <brk id="252" max="9" man="1"/>
    <brk id="335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3181-9371-4E64-B219-59FEB3C3A9AC}">
  <dimension ref="A1:N669"/>
  <sheetViews>
    <sheetView zoomScaleNormal="100" workbookViewId="0">
      <selection activeCell="E25" sqref="E25"/>
    </sheetView>
  </sheetViews>
  <sheetFormatPr defaultRowHeight="12" x14ac:dyDescent="0.2"/>
  <cols>
    <col min="1" max="1" width="26.7109375" style="56" customWidth="1"/>
    <col min="2" max="4" width="11.7109375" style="57" customWidth="1"/>
    <col min="5" max="6" width="11.7109375" style="56" customWidth="1"/>
    <col min="7" max="7" width="11.7109375" style="59" customWidth="1"/>
    <col min="8" max="9" width="11.7109375" style="57" customWidth="1"/>
    <col min="10" max="10" width="11.7109375" style="56" customWidth="1"/>
    <col min="11" max="11" width="11.7109375" style="57" customWidth="1"/>
    <col min="12" max="13" width="11.7109375" style="56" customWidth="1"/>
    <col min="14" max="14" width="9.140625" style="57"/>
    <col min="15" max="16384" width="9.140625" style="56"/>
  </cols>
  <sheetData>
    <row r="1" spans="1:14" s="89" customFormat="1" ht="19.5" x14ac:dyDescent="0.3">
      <c r="A1" s="138" t="s">
        <v>7105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 ht="17.25" customHeight="1" x14ac:dyDescent="0.2">
      <c r="A2" s="167" t="s">
        <v>7095</v>
      </c>
      <c r="B2" s="165" t="s">
        <v>7104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4" ht="17.25" customHeight="1" x14ac:dyDescent="0.2">
      <c r="A3" s="170"/>
      <c r="B3" s="54">
        <v>2010</v>
      </c>
      <c r="C3" s="54">
        <v>2011</v>
      </c>
      <c r="D3" s="51">
        <v>2012</v>
      </c>
      <c r="E3" s="88">
        <v>2013</v>
      </c>
      <c r="F3" s="51">
        <v>2014</v>
      </c>
      <c r="G3" s="51">
        <v>2015</v>
      </c>
      <c r="H3" s="51">
        <v>2016</v>
      </c>
      <c r="I3" s="51">
        <v>2017</v>
      </c>
      <c r="J3" s="51">
        <v>2018</v>
      </c>
      <c r="K3" s="51">
        <v>2019</v>
      </c>
      <c r="L3" s="51">
        <v>2020</v>
      </c>
      <c r="M3" s="51">
        <v>2021</v>
      </c>
      <c r="N3" s="51">
        <v>2022</v>
      </c>
    </row>
    <row r="4" spans="1:14" ht="15" customHeight="1" x14ac:dyDescent="0.2">
      <c r="A4" s="56" t="s">
        <v>131</v>
      </c>
      <c r="B4" s="87">
        <v>0.77319976343139807</v>
      </c>
      <c r="C4" s="57">
        <v>0.70429265262063012</v>
      </c>
      <c r="D4" s="57">
        <v>0.56482036207796771</v>
      </c>
      <c r="E4" s="86">
        <v>0.62642980048408881</v>
      </c>
      <c r="F4" s="57">
        <v>0.70869620481402562</v>
      </c>
      <c r="G4" s="57">
        <v>0.8535338529271469</v>
      </c>
      <c r="H4" s="57">
        <v>0.76435954019997643</v>
      </c>
      <c r="I4" s="57">
        <v>0.7021748115708526</v>
      </c>
      <c r="J4" s="57">
        <v>0.66703808818240384</v>
      </c>
      <c r="K4" s="86">
        <v>0.68058350289810632</v>
      </c>
      <c r="L4" s="86">
        <v>0.75127435636085449</v>
      </c>
      <c r="M4" s="57">
        <v>0.82906694057226227</v>
      </c>
      <c r="N4" s="57">
        <v>0.95206531994187271</v>
      </c>
    </row>
    <row r="5" spans="1:14" ht="12.75" customHeight="1" x14ac:dyDescent="0.2">
      <c r="A5" s="56" t="s">
        <v>7093</v>
      </c>
      <c r="B5" s="59">
        <v>0.42511817835994897</v>
      </c>
      <c r="C5" s="57">
        <v>0.52227177120862533</v>
      </c>
      <c r="D5" s="57">
        <v>0.6816525407957309</v>
      </c>
      <c r="E5" s="86">
        <v>0.7495488720147413</v>
      </c>
      <c r="F5" s="57">
        <v>0.70355323915083756</v>
      </c>
      <c r="G5" s="40">
        <v>0.68468971090896336</v>
      </c>
      <c r="H5" s="57">
        <v>0.70977545428891187</v>
      </c>
      <c r="I5" s="57">
        <v>0.85954426375741821</v>
      </c>
      <c r="J5" s="57">
        <v>0.89024840488721713</v>
      </c>
      <c r="K5" s="86">
        <v>0.87410025754181353</v>
      </c>
      <c r="L5" s="86">
        <v>0.84830198473534058</v>
      </c>
      <c r="M5" s="57">
        <v>0.86230990292860776</v>
      </c>
      <c r="N5" s="57">
        <v>0.93558703727077985</v>
      </c>
    </row>
    <row r="6" spans="1:14" ht="12.75" customHeight="1" x14ac:dyDescent="0.2">
      <c r="A6" s="56" t="s">
        <v>405</v>
      </c>
      <c r="B6" s="59">
        <v>0.5099620049277851</v>
      </c>
      <c r="C6" s="57">
        <v>0.41055060340935984</v>
      </c>
      <c r="D6" s="57">
        <v>0.44989507977419779</v>
      </c>
      <c r="E6" s="86">
        <v>0.58947381746859306</v>
      </c>
      <c r="F6" s="57">
        <v>0.70817345007407084</v>
      </c>
      <c r="G6" s="40">
        <v>0.76713159798936059</v>
      </c>
      <c r="H6" s="57">
        <v>0.75326191957425015</v>
      </c>
      <c r="I6" s="57">
        <v>0.83700646269885592</v>
      </c>
      <c r="J6" s="57">
        <v>0.80380746254046598</v>
      </c>
      <c r="K6" s="86">
        <v>0.82977709260888088</v>
      </c>
      <c r="L6" s="86">
        <v>0.82603780950606431</v>
      </c>
      <c r="M6" s="57">
        <v>0.77652678899693228</v>
      </c>
      <c r="N6" s="57">
        <v>0.70200734552267618</v>
      </c>
    </row>
    <row r="7" spans="1:14" ht="12.75" customHeight="1" x14ac:dyDescent="0.2">
      <c r="A7" s="56" t="s">
        <v>6</v>
      </c>
      <c r="B7" s="59">
        <v>0.6892161166931503</v>
      </c>
      <c r="C7" s="57">
        <v>0.70836965075451619</v>
      </c>
      <c r="D7" s="57">
        <v>0.72939430939905903</v>
      </c>
      <c r="E7" s="86">
        <v>0.74735638071503951</v>
      </c>
      <c r="F7" s="57">
        <v>0.75879808433792517</v>
      </c>
      <c r="G7" s="40">
        <v>0.76632398215355779</v>
      </c>
      <c r="H7" s="57">
        <v>0.78287149384107213</v>
      </c>
      <c r="I7" s="57">
        <v>0.80578213006896504</v>
      </c>
      <c r="J7" s="57">
        <v>0.81627583471436171</v>
      </c>
      <c r="K7" s="86">
        <v>0.83351267320786804</v>
      </c>
      <c r="L7" s="86">
        <v>0.83580312891780706</v>
      </c>
      <c r="M7" s="57">
        <v>0.82295059974133311</v>
      </c>
      <c r="N7" s="57">
        <v>0.79884205085450422</v>
      </c>
    </row>
    <row r="8" spans="1:14" ht="12.75" customHeight="1" x14ac:dyDescent="0.2">
      <c r="A8" s="56" t="s">
        <v>250</v>
      </c>
      <c r="B8" s="59">
        <v>0.67386195399302096</v>
      </c>
      <c r="C8" s="57">
        <v>0.75557139508207927</v>
      </c>
      <c r="D8" s="57">
        <v>0.75580281953310868</v>
      </c>
      <c r="E8" s="86">
        <v>0.7735921086324663</v>
      </c>
      <c r="F8" s="57">
        <v>0.78104935144291765</v>
      </c>
      <c r="G8" s="40">
        <v>0.81245737086503755</v>
      </c>
      <c r="H8" s="57">
        <v>0.85575815300088109</v>
      </c>
      <c r="I8" s="57">
        <v>0.91004563149198792</v>
      </c>
      <c r="J8" s="57">
        <v>0.95611250964174488</v>
      </c>
      <c r="K8" s="86">
        <v>0.97998629482268163</v>
      </c>
      <c r="L8" s="86">
        <v>0.98971176414785444</v>
      </c>
      <c r="M8" s="57">
        <v>0.99388887358812161</v>
      </c>
      <c r="N8" s="57">
        <v>0.91734185176721061</v>
      </c>
    </row>
    <row r="9" spans="1:14" ht="12.75" customHeight="1" x14ac:dyDescent="0.2">
      <c r="A9" s="56" t="s">
        <v>297</v>
      </c>
      <c r="B9" s="59">
        <v>0.52087879653665159</v>
      </c>
      <c r="C9" s="57">
        <v>0.7038405304729799</v>
      </c>
      <c r="D9" s="57">
        <v>0.71908733157005356</v>
      </c>
      <c r="E9" s="86">
        <v>0.78627644666246932</v>
      </c>
      <c r="F9" s="57">
        <v>0.67193439447524161</v>
      </c>
      <c r="G9" s="40">
        <v>0.62035205064943588</v>
      </c>
      <c r="H9" s="57">
        <v>0.65250679810245515</v>
      </c>
      <c r="I9" s="57">
        <v>0.77677946191160741</v>
      </c>
      <c r="J9" s="57">
        <v>0.87151183486151973</v>
      </c>
      <c r="K9" s="86">
        <v>0.8754117506116339</v>
      </c>
      <c r="L9" s="86">
        <v>0.78500416965464004</v>
      </c>
      <c r="M9" s="57">
        <v>0.77683905820212862</v>
      </c>
      <c r="N9" s="57">
        <v>0.76644131796509429</v>
      </c>
    </row>
    <row r="10" spans="1:14" ht="12.75" customHeight="1" x14ac:dyDescent="0.2">
      <c r="A10" s="56" t="s">
        <v>224</v>
      </c>
      <c r="B10" s="59">
        <v>0.74051911829010475</v>
      </c>
      <c r="C10" s="57">
        <v>0.73882653146384303</v>
      </c>
      <c r="D10" s="57">
        <v>0.73539646733044517</v>
      </c>
      <c r="E10" s="86">
        <v>0.70778330009816226</v>
      </c>
      <c r="F10" s="57">
        <v>0.68265162607201002</v>
      </c>
      <c r="G10" s="40">
        <v>0.69667057297894264</v>
      </c>
      <c r="H10" s="57">
        <v>0.71924254660447151</v>
      </c>
      <c r="I10" s="57">
        <v>0.81711905864504042</v>
      </c>
      <c r="J10" s="57">
        <v>0.87171185561061171</v>
      </c>
      <c r="K10" s="86">
        <v>0.93640370576033627</v>
      </c>
      <c r="L10" s="86">
        <v>0.91173412411429533</v>
      </c>
      <c r="M10" s="57">
        <v>0.81409045664755364</v>
      </c>
      <c r="N10" s="57">
        <v>0.79448714225174744</v>
      </c>
    </row>
    <row r="11" spans="1:14" ht="12.75" customHeight="1" x14ac:dyDescent="0.2">
      <c r="A11" s="56" t="s">
        <v>274</v>
      </c>
      <c r="B11" s="59">
        <v>0.7882957396895437</v>
      </c>
      <c r="C11" s="57">
        <v>0.73737219436146972</v>
      </c>
      <c r="D11" s="57">
        <v>0.58270656057303638</v>
      </c>
      <c r="E11" s="86">
        <v>0.52950830100217583</v>
      </c>
      <c r="F11" s="57">
        <v>0.5752557649620863</v>
      </c>
      <c r="G11" s="40">
        <v>0.64471155632234234</v>
      </c>
      <c r="H11" s="57">
        <v>0.6758065753072019</v>
      </c>
      <c r="I11" s="57">
        <v>0.74608350738947948</v>
      </c>
      <c r="J11" s="57">
        <v>0.82818178047249769</v>
      </c>
      <c r="K11" s="86">
        <v>0.82847346430739022</v>
      </c>
      <c r="L11" s="86">
        <v>0.77193301357303479</v>
      </c>
      <c r="M11" s="57">
        <v>0.78396810509675863</v>
      </c>
      <c r="N11" s="57">
        <v>0.78725047085795774</v>
      </c>
    </row>
    <row r="12" spans="1:14" ht="12.75" customHeight="1" x14ac:dyDescent="0.2">
      <c r="A12" s="56" t="s">
        <v>275</v>
      </c>
      <c r="B12" s="59">
        <v>0.79027604802696338</v>
      </c>
      <c r="C12" s="57">
        <v>0.73789453818334916</v>
      </c>
      <c r="D12" s="57">
        <v>0.72799251606129545</v>
      </c>
      <c r="E12" s="86">
        <v>0.77205371883421314</v>
      </c>
      <c r="F12" s="57">
        <v>0.73596552216761968</v>
      </c>
      <c r="G12" s="40">
        <v>0.70277860910619383</v>
      </c>
      <c r="H12" s="57">
        <v>0.68596830421488064</v>
      </c>
      <c r="I12" s="57">
        <v>0.76221614362185175</v>
      </c>
      <c r="J12" s="57">
        <v>0.82197722023464104</v>
      </c>
      <c r="K12" s="86">
        <v>0.90074599790526888</v>
      </c>
      <c r="L12" s="86">
        <v>0.93256401127817645</v>
      </c>
      <c r="M12" s="57">
        <v>0.94654874178524329</v>
      </c>
      <c r="N12" s="57">
        <v>0.92133708029852401</v>
      </c>
    </row>
    <row r="13" spans="1:14" ht="12.75" customHeight="1" x14ac:dyDescent="0.2">
      <c r="A13" s="56" t="s">
        <v>101</v>
      </c>
      <c r="B13" s="59">
        <v>0.80451818863257119</v>
      </c>
      <c r="C13" s="57">
        <v>0.76986692337413254</v>
      </c>
      <c r="D13" s="57">
        <v>0.83002640976867548</v>
      </c>
      <c r="E13" s="86">
        <v>0.79661315810214151</v>
      </c>
      <c r="F13" s="57">
        <v>0.81451095402301033</v>
      </c>
      <c r="G13" s="40">
        <v>0.8208002925393848</v>
      </c>
      <c r="H13" s="57">
        <v>0.87881373552150122</v>
      </c>
      <c r="I13" s="57">
        <v>0.91638364308125198</v>
      </c>
      <c r="J13" s="57">
        <v>0.94081769398968451</v>
      </c>
      <c r="K13" s="86">
        <v>0.91249228266386451</v>
      </c>
      <c r="L13" s="86">
        <v>0.93459698490469556</v>
      </c>
      <c r="M13" s="57">
        <v>0.92428193820190829</v>
      </c>
      <c r="N13" s="57">
        <v>0.95653088100247929</v>
      </c>
    </row>
    <row r="14" spans="1:14" ht="12.75" customHeight="1" x14ac:dyDescent="0.2">
      <c r="A14" s="56" t="s">
        <v>261</v>
      </c>
      <c r="B14" s="59">
        <v>0.82261065960096647</v>
      </c>
      <c r="C14" s="57">
        <v>0.75727720655273834</v>
      </c>
      <c r="D14" s="57">
        <v>0.6412193401647549</v>
      </c>
      <c r="E14" s="86">
        <v>0.61185026858670044</v>
      </c>
      <c r="F14" s="57">
        <v>0.57010936636739917</v>
      </c>
      <c r="G14" s="40">
        <v>0.63779468541207762</v>
      </c>
      <c r="H14" s="57">
        <v>0.64778438417368067</v>
      </c>
      <c r="I14" s="57">
        <v>0.81028543494842309</v>
      </c>
      <c r="J14" s="57">
        <v>0.8473764159607412</v>
      </c>
      <c r="K14" s="86">
        <v>0.93707631853250462</v>
      </c>
      <c r="L14" s="86">
        <v>0.9767663099829953</v>
      </c>
      <c r="M14" s="57">
        <v>0.9383927346191977</v>
      </c>
      <c r="N14" s="57">
        <v>0.85004177606061315</v>
      </c>
    </row>
    <row r="15" spans="1:14" ht="12.75" customHeight="1" x14ac:dyDescent="0.2">
      <c r="A15" s="56" t="s">
        <v>365</v>
      </c>
      <c r="B15" s="59">
        <v>0.67015166803004289</v>
      </c>
      <c r="C15" s="57">
        <v>0.78085383591420754</v>
      </c>
      <c r="D15" s="57">
        <v>0.78448048799488712</v>
      </c>
      <c r="E15" s="86">
        <v>0.80683086313851715</v>
      </c>
      <c r="F15" s="57">
        <v>0.78446011712699659</v>
      </c>
      <c r="G15" s="40">
        <v>0.73308236064495491</v>
      </c>
      <c r="H15" s="57">
        <v>0.67832178931053289</v>
      </c>
      <c r="I15" s="57">
        <v>0.68951588744178016</v>
      </c>
      <c r="J15" s="57">
        <v>0.7854094193429394</v>
      </c>
      <c r="K15" s="86">
        <v>0.88580651302212809</v>
      </c>
      <c r="L15" s="86">
        <v>0.91631058729548653</v>
      </c>
      <c r="M15" s="57">
        <v>0.90592343709418166</v>
      </c>
      <c r="N15" s="57">
        <v>0.90486986684882986</v>
      </c>
    </row>
    <row r="16" spans="1:14" ht="12.75" customHeight="1" x14ac:dyDescent="0.2">
      <c r="A16" s="56" t="s">
        <v>339</v>
      </c>
      <c r="B16" s="59">
        <v>0.7909361815515995</v>
      </c>
      <c r="C16" s="57">
        <v>0.71567222172358658</v>
      </c>
      <c r="D16" s="57">
        <v>0.65639795489632424</v>
      </c>
      <c r="E16" s="86">
        <v>0.78225397955270315</v>
      </c>
      <c r="F16" s="57">
        <v>0.82758257295298598</v>
      </c>
      <c r="G16" s="40">
        <v>0.95474693234624952</v>
      </c>
      <c r="H16" s="57">
        <v>0.88879244461922824</v>
      </c>
      <c r="I16" s="57">
        <v>0.91776755600321858</v>
      </c>
      <c r="J16" s="57">
        <v>0.91822487394780328</v>
      </c>
      <c r="K16" s="86">
        <v>0.98935936685482961</v>
      </c>
      <c r="L16" s="86">
        <v>0.96274215305398003</v>
      </c>
      <c r="M16" s="57">
        <v>0.95076909501381246</v>
      </c>
      <c r="N16" s="57">
        <v>0.9549999108789774</v>
      </c>
    </row>
    <row r="17" spans="1:14" ht="12.75" customHeight="1" x14ac:dyDescent="0.2">
      <c r="A17" s="56" t="s">
        <v>139</v>
      </c>
      <c r="B17" s="59">
        <v>0.80753962797903933</v>
      </c>
      <c r="C17" s="57">
        <v>0.81326376110545817</v>
      </c>
      <c r="D17" s="57">
        <v>0.81139274703066366</v>
      </c>
      <c r="E17" s="86">
        <v>0.79455969455324649</v>
      </c>
      <c r="F17" s="57">
        <v>0.79778422751830602</v>
      </c>
      <c r="G17" s="40">
        <v>0.87078782527545584</v>
      </c>
      <c r="H17" s="57">
        <v>0.82516945920478835</v>
      </c>
      <c r="I17" s="57">
        <v>0.77521586914384166</v>
      </c>
      <c r="J17" s="57">
        <v>0.71714606857443941</v>
      </c>
      <c r="K17" s="86">
        <v>0.71423329738250774</v>
      </c>
      <c r="L17" s="86">
        <v>0.71637103041843486</v>
      </c>
      <c r="M17" s="57">
        <v>0.73427560457466667</v>
      </c>
      <c r="N17" s="57">
        <v>0.69982500581133245</v>
      </c>
    </row>
    <row r="18" spans="1:14" ht="12.75" customHeight="1" x14ac:dyDescent="0.2">
      <c r="A18" s="56" t="s">
        <v>187</v>
      </c>
      <c r="B18" s="59">
        <v>0.75112744831661871</v>
      </c>
      <c r="C18" s="57">
        <v>0.72343542623819845</v>
      </c>
      <c r="D18" s="57">
        <v>0.73108589901279819</v>
      </c>
      <c r="E18" s="86">
        <v>0.68880467139991086</v>
      </c>
      <c r="F18" s="57">
        <v>0.77299991601404849</v>
      </c>
      <c r="G18" s="40">
        <v>0.86118409199882195</v>
      </c>
      <c r="H18" s="57">
        <v>0.89741754205013502</v>
      </c>
      <c r="I18" s="57">
        <v>0.90032725535779434</v>
      </c>
      <c r="J18" s="57">
        <v>0.92638007868442906</v>
      </c>
      <c r="K18" s="86">
        <v>0.90286526263329447</v>
      </c>
      <c r="L18" s="86">
        <v>0.91620337609977776</v>
      </c>
      <c r="M18" s="57">
        <v>0.90099939516752248</v>
      </c>
      <c r="N18" s="57">
        <v>0.97288642821078553</v>
      </c>
    </row>
    <row r="19" spans="1:14" ht="12.75" customHeight="1" x14ac:dyDescent="0.2">
      <c r="A19" s="56" t="s">
        <v>3</v>
      </c>
      <c r="B19" s="59">
        <v>0.62418078881050576</v>
      </c>
      <c r="C19" s="57">
        <v>0.56367551541293615</v>
      </c>
      <c r="D19" s="57">
        <v>0.47845013051113722</v>
      </c>
      <c r="E19" s="86">
        <v>0.45605077880573658</v>
      </c>
      <c r="F19" s="57">
        <v>0.56138816194398855</v>
      </c>
      <c r="G19" s="40">
        <v>0.60123985243383515</v>
      </c>
      <c r="H19" s="57">
        <v>0.4859621279705188</v>
      </c>
      <c r="I19" s="57">
        <v>0.47914904841402622</v>
      </c>
      <c r="J19" s="57">
        <v>0.44258926134524601</v>
      </c>
      <c r="K19" s="86">
        <v>0.51594013186191778</v>
      </c>
      <c r="L19" s="86">
        <v>0.5823917493149563</v>
      </c>
      <c r="M19" s="57">
        <v>0.67836887855627925</v>
      </c>
      <c r="N19" s="57">
        <v>0.71247617090894622</v>
      </c>
    </row>
    <row r="20" spans="1:14" ht="12.75" customHeight="1" x14ac:dyDescent="0.2">
      <c r="A20" s="56" t="s">
        <v>21</v>
      </c>
      <c r="B20" s="59">
        <v>0.66636762421906937</v>
      </c>
      <c r="C20" s="57">
        <v>0.68295699611616678</v>
      </c>
      <c r="D20" s="57">
        <v>0.74743194505115651</v>
      </c>
      <c r="E20" s="86">
        <v>0.82168710150736057</v>
      </c>
      <c r="F20" s="57">
        <v>0.89355270008988941</v>
      </c>
      <c r="G20" s="40">
        <v>0.84871254662834372</v>
      </c>
      <c r="H20" s="57">
        <v>0.81953720919023498</v>
      </c>
      <c r="I20" s="57">
        <v>0.80968572567472952</v>
      </c>
      <c r="J20" s="57">
        <v>0.85688080471168659</v>
      </c>
      <c r="K20" s="86">
        <v>0.94044751799150783</v>
      </c>
      <c r="L20" s="86">
        <v>0.95178706299547899</v>
      </c>
      <c r="M20" s="57">
        <v>0.87987273282928236</v>
      </c>
      <c r="N20" s="57">
        <v>0.86069241301124821</v>
      </c>
    </row>
    <row r="21" spans="1:14" ht="12.75" customHeight="1" x14ac:dyDescent="0.2">
      <c r="A21" s="56" t="s">
        <v>149</v>
      </c>
      <c r="B21" s="59">
        <v>0.86376624624148268</v>
      </c>
      <c r="C21" s="57">
        <v>0.8704864574516149</v>
      </c>
      <c r="D21" s="57">
        <v>0.88329927693390564</v>
      </c>
      <c r="E21" s="86">
        <v>0.89295123588254854</v>
      </c>
      <c r="F21" s="57">
        <v>0.88823984013757451</v>
      </c>
      <c r="G21" s="40">
        <v>0.87966898953920547</v>
      </c>
      <c r="H21" s="57">
        <v>0.88394128393494142</v>
      </c>
      <c r="I21" s="57">
        <v>0.88474296528516272</v>
      </c>
      <c r="J21" s="57">
        <v>0.88868051247973912</v>
      </c>
      <c r="K21" s="86">
        <v>0.88232744702879051</v>
      </c>
      <c r="L21" s="86">
        <v>0.87546470059101544</v>
      </c>
      <c r="M21" s="57">
        <v>0.87929788832869893</v>
      </c>
      <c r="N21" s="57">
        <v>0.86629234601890925</v>
      </c>
    </row>
    <row r="22" spans="1:14" ht="12.75" customHeight="1" x14ac:dyDescent="0.2">
      <c r="A22" s="56" t="s">
        <v>88</v>
      </c>
      <c r="B22" s="59">
        <v>0.74348804028233584</v>
      </c>
      <c r="C22" s="57">
        <v>0.80577548492704276</v>
      </c>
      <c r="D22" s="57">
        <v>0.80501625484926365</v>
      </c>
      <c r="E22" s="86">
        <v>0.81107125884952236</v>
      </c>
      <c r="F22" s="57">
        <v>0.76828753908826253</v>
      </c>
      <c r="G22" s="40">
        <v>0.74468265039541282</v>
      </c>
      <c r="H22" s="57">
        <v>0.71230703597828171</v>
      </c>
      <c r="I22" s="57">
        <v>0.75022207751575765</v>
      </c>
      <c r="J22" s="57">
        <v>0.80824910856842858</v>
      </c>
      <c r="K22" s="86">
        <v>0.87121571077082693</v>
      </c>
      <c r="L22" s="86">
        <v>0.89072913393089015</v>
      </c>
      <c r="M22" s="57">
        <v>0.87539253480581591</v>
      </c>
      <c r="N22" s="57">
        <v>0.90237426948263444</v>
      </c>
    </row>
    <row r="23" spans="1:14" ht="12.75" customHeight="1" x14ac:dyDescent="0.2">
      <c r="A23" s="56" t="s">
        <v>34</v>
      </c>
      <c r="B23" s="59">
        <v>0.59834866312010393</v>
      </c>
      <c r="C23" s="57">
        <v>0.62216819901996478</v>
      </c>
      <c r="D23" s="57">
        <v>0.63325730988672146</v>
      </c>
      <c r="E23" s="86">
        <v>0.65375587848949446</v>
      </c>
      <c r="F23" s="57">
        <v>0.74302088487587303</v>
      </c>
      <c r="G23" s="40">
        <v>0.78861121070375972</v>
      </c>
      <c r="H23" s="57">
        <v>0.80651153525901742</v>
      </c>
      <c r="I23" s="57">
        <v>0.7886613212493544</v>
      </c>
      <c r="J23" s="57">
        <v>0.8294119608074908</v>
      </c>
      <c r="K23" s="86">
        <v>0.85182234442516991</v>
      </c>
      <c r="L23" s="86">
        <v>0.83623430482126881</v>
      </c>
      <c r="M23" s="57">
        <v>0.81689635783308967</v>
      </c>
      <c r="N23" s="57">
        <v>0.81512157253202655</v>
      </c>
    </row>
    <row r="24" spans="1:14" ht="12.75" customHeight="1" x14ac:dyDescent="0.2">
      <c r="A24" s="56" t="s">
        <v>150</v>
      </c>
      <c r="B24" s="59">
        <v>0.58100322722531417</v>
      </c>
      <c r="C24" s="57">
        <v>0.5709933883084507</v>
      </c>
      <c r="D24" s="57">
        <v>0.58816639500796708</v>
      </c>
      <c r="E24" s="86">
        <v>0.6759131208902428</v>
      </c>
      <c r="F24" s="57">
        <v>0.66497669771714552</v>
      </c>
      <c r="G24" s="40">
        <v>0.81221682673979601</v>
      </c>
      <c r="H24" s="57">
        <v>0.58899803267515893</v>
      </c>
      <c r="I24" s="57">
        <v>0.68246328812161894</v>
      </c>
      <c r="J24" s="57">
        <v>0.67475647992879928</v>
      </c>
      <c r="K24" s="86">
        <v>0.80921074084907263</v>
      </c>
      <c r="L24" s="86">
        <v>0.87574143720986031</v>
      </c>
      <c r="M24" s="57">
        <v>0.8997203427377426</v>
      </c>
      <c r="N24" s="57">
        <v>0.87230427558432966</v>
      </c>
    </row>
    <row r="25" spans="1:14" ht="12.75" customHeight="1" x14ac:dyDescent="0.2">
      <c r="A25" s="56" t="s">
        <v>238</v>
      </c>
      <c r="B25" s="59">
        <v>0.72001256813398384</v>
      </c>
      <c r="C25" s="57">
        <v>0.71808988892602699</v>
      </c>
      <c r="D25" s="57">
        <v>0.77252574069548785</v>
      </c>
      <c r="E25" s="86">
        <v>0.8214304620838897</v>
      </c>
      <c r="F25" s="57">
        <v>0.81414282413166639</v>
      </c>
      <c r="G25" s="40">
        <v>0.80434477197253695</v>
      </c>
      <c r="H25" s="57">
        <v>0.83359763196100267</v>
      </c>
      <c r="I25" s="57">
        <v>0.86325237241349495</v>
      </c>
      <c r="J25" s="57">
        <v>0.87421697670563658</v>
      </c>
      <c r="K25" s="86">
        <v>0.81647067795539285</v>
      </c>
      <c r="L25" s="86">
        <v>0.84753384337588644</v>
      </c>
      <c r="M25" s="57">
        <v>0.89601026649335858</v>
      </c>
      <c r="N25" s="57">
        <v>0.93231217124039356</v>
      </c>
    </row>
    <row r="26" spans="1:14" ht="12.75" customHeight="1" x14ac:dyDescent="0.2">
      <c r="A26" s="56" t="s">
        <v>7092</v>
      </c>
      <c r="B26" s="59">
        <v>0.70702755475427248</v>
      </c>
      <c r="C26" s="57">
        <v>0.74346714171959771</v>
      </c>
      <c r="D26" s="57">
        <v>0.77546977375411663</v>
      </c>
      <c r="E26" s="86">
        <v>0.81601235872537858</v>
      </c>
      <c r="F26" s="57">
        <v>0.83577090200848969</v>
      </c>
      <c r="G26" s="40">
        <v>0.88221293314341143</v>
      </c>
      <c r="H26" s="57">
        <v>0.89856032162000954</v>
      </c>
      <c r="I26" s="57">
        <v>0.89792611029080549</v>
      </c>
      <c r="J26" s="57">
        <v>0.88555337253779731</v>
      </c>
      <c r="K26" s="86">
        <v>0.86541181003629897</v>
      </c>
      <c r="L26" s="86">
        <v>0.86325170097153914</v>
      </c>
      <c r="M26" s="57">
        <v>0.87305802353052575</v>
      </c>
      <c r="N26" s="57">
        <v>0.88115280416905073</v>
      </c>
    </row>
    <row r="27" spans="1:14" ht="12.75" customHeight="1" x14ac:dyDescent="0.2">
      <c r="A27" s="56" t="s">
        <v>151</v>
      </c>
      <c r="B27" s="59">
        <v>0.52144901712869363</v>
      </c>
      <c r="C27" s="57">
        <v>0.70252741450432199</v>
      </c>
      <c r="D27" s="57">
        <v>0.84753738614410812</v>
      </c>
      <c r="E27" s="86">
        <v>0.80863090374319369</v>
      </c>
      <c r="F27" s="57">
        <v>0.64443297834875624</v>
      </c>
      <c r="G27" s="40">
        <v>0.63079049389697983</v>
      </c>
      <c r="H27" s="57">
        <v>0.69552410441415591</v>
      </c>
      <c r="I27" s="57">
        <v>0.82094785726361741</v>
      </c>
      <c r="J27" s="57">
        <v>0.66253853358038661</v>
      </c>
      <c r="K27" s="86">
        <v>0.70523290770389579</v>
      </c>
      <c r="L27" s="86">
        <v>0.71606928801433878</v>
      </c>
      <c r="M27" s="57">
        <v>0.93620677021157706</v>
      </c>
      <c r="N27" s="57">
        <v>0.92657535993597173</v>
      </c>
    </row>
    <row r="28" spans="1:14" ht="12.75" customHeight="1" x14ac:dyDescent="0.2">
      <c r="A28" s="56" t="s">
        <v>115</v>
      </c>
      <c r="B28" s="59">
        <v>0.76413317591270769</v>
      </c>
      <c r="C28" s="57">
        <v>0.69318587068055493</v>
      </c>
      <c r="D28" s="57">
        <v>0.70706731860840977</v>
      </c>
      <c r="E28" s="86">
        <v>0.75596362980016119</v>
      </c>
      <c r="F28" s="57">
        <v>0.78513304215313029</v>
      </c>
      <c r="G28" s="40">
        <v>0.74876266232875699</v>
      </c>
      <c r="H28" s="57">
        <v>0.77859927953650809</v>
      </c>
      <c r="I28" s="57">
        <v>0.88566071366734889</v>
      </c>
      <c r="J28" s="57">
        <v>0.9382391018381564</v>
      </c>
      <c r="K28" s="86">
        <v>0.95530490390466127</v>
      </c>
      <c r="L28" s="86">
        <v>0.92395129210655014</v>
      </c>
      <c r="M28" s="57">
        <v>0.95364128915855251</v>
      </c>
      <c r="N28" s="57">
        <v>0.94986063424479139</v>
      </c>
    </row>
    <row r="29" spans="1:14" ht="12.75" customHeight="1" x14ac:dyDescent="0.2">
      <c r="A29" s="56" t="s">
        <v>276</v>
      </c>
      <c r="B29" s="59">
        <v>0.6908860563503515</v>
      </c>
      <c r="C29" s="57">
        <v>0.70120806621249299</v>
      </c>
      <c r="D29" s="57">
        <v>0.71335842839213248</v>
      </c>
      <c r="E29" s="86">
        <v>0.75156248660384983</v>
      </c>
      <c r="F29" s="57">
        <v>0.76170555366019155</v>
      </c>
      <c r="G29" s="40">
        <v>0.79868938362679121</v>
      </c>
      <c r="H29" s="57">
        <v>0.7977182083576343</v>
      </c>
      <c r="I29" s="57">
        <v>0.84484376137306205</v>
      </c>
      <c r="J29" s="57">
        <v>0.87223127496117148</v>
      </c>
      <c r="K29" s="86">
        <v>0.89934622943296472</v>
      </c>
      <c r="L29" s="86">
        <v>0.87850764220121391</v>
      </c>
      <c r="M29" s="57">
        <v>0.83442490190693164</v>
      </c>
      <c r="N29" s="57">
        <v>0.84071687600718648</v>
      </c>
    </row>
    <row r="30" spans="1:14" ht="12.75" customHeight="1" x14ac:dyDescent="0.2">
      <c r="A30" s="56" t="s">
        <v>89</v>
      </c>
      <c r="B30" s="59">
        <v>0.80827485660160114</v>
      </c>
      <c r="C30" s="57">
        <v>0.76501033973400823</v>
      </c>
      <c r="D30" s="57">
        <v>0.77708952636074136</v>
      </c>
      <c r="E30" s="86">
        <v>0.82656186805293441</v>
      </c>
      <c r="F30" s="57">
        <v>0.88050980205692542</v>
      </c>
      <c r="G30" s="40">
        <v>0.89330345294872293</v>
      </c>
      <c r="H30" s="57">
        <v>0.87203477877301039</v>
      </c>
      <c r="I30" s="57">
        <v>0.8553370077232515</v>
      </c>
      <c r="J30" s="57">
        <v>0.8620347434394845</v>
      </c>
      <c r="K30" s="86">
        <v>0.8987159726682693</v>
      </c>
      <c r="L30" s="86">
        <v>0.88726411707863428</v>
      </c>
      <c r="M30" s="57">
        <v>0.88354220893438173</v>
      </c>
      <c r="N30" s="57">
        <v>0.84624616167979649</v>
      </c>
    </row>
    <row r="31" spans="1:14" ht="12.75" customHeight="1" x14ac:dyDescent="0.2">
      <c r="A31" s="56" t="s">
        <v>225</v>
      </c>
      <c r="B31" s="59">
        <v>0.88531464297391194</v>
      </c>
      <c r="C31" s="57">
        <v>0.88121825062427772</v>
      </c>
      <c r="D31" s="57">
        <v>0.96991270446648026</v>
      </c>
      <c r="E31" s="86">
        <v>0.96698872785829304</v>
      </c>
      <c r="F31" s="57">
        <v>0.96978557504873297</v>
      </c>
      <c r="G31" s="40">
        <v>0.79698600442435763</v>
      </c>
      <c r="H31" s="57">
        <v>0.80072597450459693</v>
      </c>
      <c r="I31" s="57">
        <v>0.79992331425921226</v>
      </c>
      <c r="J31" s="57">
        <v>0.9684095009509428</v>
      </c>
      <c r="K31" s="86">
        <v>0.95942844072395284</v>
      </c>
      <c r="L31" s="86">
        <v>0.94932545848474781</v>
      </c>
      <c r="M31" s="57">
        <v>0.73815085542671799</v>
      </c>
      <c r="N31" s="57">
        <v>0.57591062099637946</v>
      </c>
    </row>
    <row r="32" spans="1:14" ht="12.75" customHeight="1" x14ac:dyDescent="0.2">
      <c r="A32" s="56" t="s">
        <v>406</v>
      </c>
      <c r="B32" s="59">
        <v>0.69496249239158681</v>
      </c>
      <c r="C32" s="57">
        <v>0.65503424541529631</v>
      </c>
      <c r="D32" s="57">
        <v>0.60010467809898971</v>
      </c>
      <c r="E32" s="86">
        <v>0.65390949651588059</v>
      </c>
      <c r="F32" s="57">
        <v>0.7683953267873832</v>
      </c>
      <c r="G32" s="40">
        <v>0.88913977383591047</v>
      </c>
      <c r="H32" s="57">
        <v>0.92974758354399911</v>
      </c>
      <c r="I32" s="57">
        <v>0.93656023382680342</v>
      </c>
      <c r="J32" s="57">
        <v>0.93679434239043813</v>
      </c>
      <c r="K32" s="86">
        <v>0.91294265387468698</v>
      </c>
      <c r="L32" s="86">
        <v>0.85286541200685606</v>
      </c>
      <c r="M32" s="57">
        <v>0.80848807210519291</v>
      </c>
      <c r="N32" s="57">
        <v>0.74818490262394655</v>
      </c>
    </row>
    <row r="33" spans="1:14" ht="12.75" customHeight="1" x14ac:dyDescent="0.2">
      <c r="A33" s="56" t="s">
        <v>132</v>
      </c>
      <c r="B33" s="59">
        <v>0.68245001604290323</v>
      </c>
      <c r="C33" s="57">
        <v>0.67348515874270365</v>
      </c>
      <c r="D33" s="57">
        <v>0.74245034216547856</v>
      </c>
      <c r="E33" s="86">
        <v>0.74926269817325075</v>
      </c>
      <c r="F33" s="57">
        <v>0.78274797022256992</v>
      </c>
      <c r="G33" s="40">
        <v>0.81800117178502207</v>
      </c>
      <c r="H33" s="57">
        <v>0.83135793477658648</v>
      </c>
      <c r="I33" s="57">
        <v>0.83421246897712242</v>
      </c>
      <c r="J33" s="57">
        <v>0.81455324636774762</v>
      </c>
      <c r="K33" s="86">
        <v>0.85292697076179957</v>
      </c>
      <c r="L33" s="86">
        <v>0.88036810008333644</v>
      </c>
      <c r="M33" s="57">
        <v>0.8851475852402052</v>
      </c>
      <c r="N33" s="57">
        <v>0.84915891378187369</v>
      </c>
    </row>
    <row r="34" spans="1:14" ht="12.75" customHeight="1" x14ac:dyDescent="0.2">
      <c r="A34" s="56" t="s">
        <v>196</v>
      </c>
      <c r="B34" s="59">
        <v>0.68067765137895275</v>
      </c>
      <c r="C34" s="57">
        <v>0.68821962463225128</v>
      </c>
      <c r="D34" s="57">
        <v>0.83257888755737885</v>
      </c>
      <c r="E34" s="86">
        <v>0.82455728981316545</v>
      </c>
      <c r="F34" s="57">
        <v>0.83699126372784483</v>
      </c>
      <c r="G34" s="40">
        <v>0.82885635542988434</v>
      </c>
      <c r="H34" s="57">
        <v>0.8443690596708201</v>
      </c>
      <c r="I34" s="57">
        <v>0.84759121638610357</v>
      </c>
      <c r="J34" s="57">
        <v>0.89071266034346641</v>
      </c>
      <c r="K34" s="86">
        <v>0.93879641557948901</v>
      </c>
      <c r="L34" s="86">
        <v>0.9601167230571277</v>
      </c>
      <c r="M34" s="57">
        <v>0.92626748301834649</v>
      </c>
      <c r="N34" s="57">
        <v>0.9085512995018874</v>
      </c>
    </row>
    <row r="35" spans="1:14" ht="12.75" customHeight="1" x14ac:dyDescent="0.2">
      <c r="A35" s="56" t="s">
        <v>140</v>
      </c>
      <c r="B35" s="59">
        <v>0.53727600625009442</v>
      </c>
      <c r="C35" s="57">
        <v>0.54486330136254146</v>
      </c>
      <c r="D35" s="57">
        <v>0.88123086267444528</v>
      </c>
      <c r="E35" s="86">
        <v>0.84242522169598733</v>
      </c>
      <c r="F35" s="57">
        <v>0.83701045019934461</v>
      </c>
      <c r="G35" s="40">
        <v>0.85443590137728587</v>
      </c>
      <c r="H35" s="57">
        <v>0.82479105041465806</v>
      </c>
      <c r="I35" s="57">
        <v>0.70184267577177695</v>
      </c>
      <c r="J35" s="57">
        <v>0.69115752745589398</v>
      </c>
      <c r="K35" s="86">
        <v>0.68795132802172665</v>
      </c>
      <c r="L35" s="86">
        <v>0.66153542881302341</v>
      </c>
      <c r="M35" s="57">
        <v>0.70194499300711721</v>
      </c>
      <c r="N35" s="57">
        <v>0.73819770598072176</v>
      </c>
    </row>
    <row r="36" spans="1:14" ht="12.75" customHeight="1" x14ac:dyDescent="0.2">
      <c r="A36" s="56" t="s">
        <v>7091</v>
      </c>
      <c r="B36" s="59">
        <v>0.74344074417666783</v>
      </c>
      <c r="C36" s="57">
        <v>0.6829723032988354</v>
      </c>
      <c r="D36" s="57">
        <v>0.75173909330134803</v>
      </c>
      <c r="E36" s="86">
        <v>0.80808023974631926</v>
      </c>
      <c r="F36" s="57">
        <v>0.8601142568579343</v>
      </c>
      <c r="G36" s="40">
        <v>0.88598502517297095</v>
      </c>
      <c r="H36" s="57">
        <v>0.8941528532726547</v>
      </c>
      <c r="I36" s="57">
        <v>0.91086893446193129</v>
      </c>
      <c r="J36" s="57">
        <v>0.88694241771343085</v>
      </c>
      <c r="K36" s="86">
        <v>0.9061087483054292</v>
      </c>
      <c r="L36" s="86">
        <v>0.87445008473913555</v>
      </c>
      <c r="M36" s="57">
        <v>0.86290385146109772</v>
      </c>
      <c r="N36" s="57">
        <v>0.87631460535847383</v>
      </c>
    </row>
    <row r="37" spans="1:14" ht="12.75" customHeight="1" x14ac:dyDescent="0.2">
      <c r="A37" s="56" t="s">
        <v>366</v>
      </c>
      <c r="B37" s="59">
        <v>0.66844660233825348</v>
      </c>
      <c r="C37" s="57">
        <v>0.72317858790216938</v>
      </c>
      <c r="D37" s="57">
        <v>0.70971806610957644</v>
      </c>
      <c r="E37" s="86">
        <v>0.65817971282724397</v>
      </c>
      <c r="F37" s="57">
        <v>0.61759422159611777</v>
      </c>
      <c r="G37" s="40">
        <v>0.71598510058559206</v>
      </c>
      <c r="H37" s="57">
        <v>0.74110838849905214</v>
      </c>
      <c r="I37" s="57">
        <v>0.74889543453500951</v>
      </c>
      <c r="J37" s="57">
        <v>0.7969213483110652</v>
      </c>
      <c r="K37" s="86">
        <v>0.96569668274677267</v>
      </c>
      <c r="L37" s="86">
        <v>0.90564045627774803</v>
      </c>
      <c r="M37" s="57">
        <v>0.80665467838410354</v>
      </c>
      <c r="N37" s="57">
        <v>0.80501938447557342</v>
      </c>
    </row>
    <row r="38" spans="1:14" ht="12.75" customHeight="1" x14ac:dyDescent="0.2">
      <c r="A38" s="56" t="s">
        <v>102</v>
      </c>
      <c r="B38" s="59">
        <v>0.76071095408059053</v>
      </c>
      <c r="C38" s="57">
        <v>0.73406625648175261</v>
      </c>
      <c r="D38" s="57">
        <v>0.72182186688542271</v>
      </c>
      <c r="E38" s="86">
        <v>0.73410818695449132</v>
      </c>
      <c r="F38" s="57">
        <v>0.75954856856679387</v>
      </c>
      <c r="G38" s="40">
        <v>0.7289562626134144</v>
      </c>
      <c r="H38" s="57">
        <v>0.70389532888521622</v>
      </c>
      <c r="I38" s="57">
        <v>0.7126040663925064</v>
      </c>
      <c r="J38" s="57">
        <v>0.78159306822985641</v>
      </c>
      <c r="K38" s="86">
        <v>0.88755443193665506</v>
      </c>
      <c r="L38" s="86">
        <v>0.85722758032095392</v>
      </c>
      <c r="M38" s="57">
        <v>0.89249556201873192</v>
      </c>
      <c r="N38" s="57">
        <v>0.8819241605928142</v>
      </c>
    </row>
    <row r="39" spans="1:14" ht="12.75" customHeight="1" x14ac:dyDescent="0.2">
      <c r="A39" s="56" t="s">
        <v>27</v>
      </c>
      <c r="B39" s="59">
        <v>0.80391091813538473</v>
      </c>
      <c r="C39" s="57">
        <v>0.80868880180149105</v>
      </c>
      <c r="D39" s="57">
        <v>0.81919204463492568</v>
      </c>
      <c r="E39" s="86">
        <v>0.88265197559292263</v>
      </c>
      <c r="F39" s="57">
        <v>0.89300519300872783</v>
      </c>
      <c r="G39" s="40">
        <v>0.88591417497947278</v>
      </c>
      <c r="H39" s="57">
        <v>0.86318068968211215</v>
      </c>
      <c r="I39" s="57">
        <v>0.86327011092932082</v>
      </c>
      <c r="J39" s="57">
        <v>0.88293948290269164</v>
      </c>
      <c r="K39" s="86">
        <v>0.8829848430233268</v>
      </c>
      <c r="L39" s="86">
        <v>0.91449321563577612</v>
      </c>
      <c r="M39" s="57">
        <v>0.86554291935320504</v>
      </c>
      <c r="N39" s="57">
        <v>0.85018985816556125</v>
      </c>
    </row>
    <row r="40" spans="1:14" ht="12.75" customHeight="1" x14ac:dyDescent="0.2">
      <c r="A40" s="56" t="s">
        <v>251</v>
      </c>
      <c r="B40" s="59">
        <v>0.81756723785301944</v>
      </c>
      <c r="C40" s="57">
        <v>0.87388592171606072</v>
      </c>
      <c r="D40" s="57">
        <v>0.95537935136648722</v>
      </c>
      <c r="E40" s="86">
        <v>0.95663198502323654</v>
      </c>
      <c r="F40" s="57">
        <v>0.92355303510574027</v>
      </c>
      <c r="G40" s="40">
        <v>0.93573627097318679</v>
      </c>
      <c r="H40" s="57">
        <v>0.94093532028988314</v>
      </c>
      <c r="I40" s="57">
        <v>0.93367756775679489</v>
      </c>
      <c r="J40" s="57">
        <v>0.92705270176358656</v>
      </c>
      <c r="K40" s="86">
        <v>0.92060545774405445</v>
      </c>
      <c r="L40" s="86">
        <v>0.9263772427735204</v>
      </c>
      <c r="M40" s="57">
        <v>0.92372225803968266</v>
      </c>
      <c r="N40" s="57">
        <v>0.8546247880237009</v>
      </c>
    </row>
    <row r="41" spans="1:14" ht="12.75" customHeight="1" x14ac:dyDescent="0.2">
      <c r="A41" s="56" t="s">
        <v>351</v>
      </c>
      <c r="B41" s="59">
        <v>0.69336762109654959</v>
      </c>
      <c r="C41" s="57">
        <v>0.74319840085346334</v>
      </c>
      <c r="D41" s="57">
        <v>0.79594496657890035</v>
      </c>
      <c r="E41" s="86">
        <v>0.66993110866808081</v>
      </c>
      <c r="F41" s="57">
        <v>0.58527441014977233</v>
      </c>
      <c r="G41" s="40">
        <v>0.59040419367290775</v>
      </c>
      <c r="H41" s="57">
        <v>0.84450516320683222</v>
      </c>
      <c r="I41" s="57">
        <v>0.95386614684860305</v>
      </c>
      <c r="J41" s="57">
        <v>0.97335932423651716</v>
      </c>
      <c r="K41" s="86">
        <v>0.97126328365717163</v>
      </c>
      <c r="L41" s="86">
        <v>0.99465509652266881</v>
      </c>
      <c r="M41" s="57">
        <v>0.96320613738695737</v>
      </c>
      <c r="N41" s="57">
        <v>0.88988390008847806</v>
      </c>
    </row>
    <row r="42" spans="1:14" ht="12.75" customHeight="1" x14ac:dyDescent="0.2">
      <c r="A42" s="56" t="s">
        <v>63</v>
      </c>
      <c r="B42" s="59">
        <v>0.61146422979272108</v>
      </c>
      <c r="C42" s="57">
        <v>0.44229141528110949</v>
      </c>
      <c r="D42" s="57">
        <v>0.48822527307205532</v>
      </c>
      <c r="E42" s="86">
        <v>0.53214450294317539</v>
      </c>
      <c r="F42" s="57">
        <v>0.67037737871673408</v>
      </c>
      <c r="G42" s="40">
        <v>0.65066701493719947</v>
      </c>
      <c r="H42" s="57">
        <v>0.5881200756746946</v>
      </c>
      <c r="I42" s="57">
        <v>0.59464843287218916</v>
      </c>
      <c r="J42" s="57">
        <v>0.75609160831260824</v>
      </c>
      <c r="K42" s="86">
        <v>0.78401841474445921</v>
      </c>
      <c r="L42" s="86">
        <v>0.84278321360945174</v>
      </c>
      <c r="M42" s="57">
        <v>0.84573672533489341</v>
      </c>
      <c r="N42" s="57">
        <v>0.89400178227844418</v>
      </c>
    </row>
    <row r="43" spans="1:14" ht="12.75" customHeight="1" x14ac:dyDescent="0.2">
      <c r="A43" s="56" t="s">
        <v>340</v>
      </c>
      <c r="B43" s="59">
        <v>0.79906026502684624</v>
      </c>
      <c r="C43" s="57">
        <v>0.83081451734668421</v>
      </c>
      <c r="D43" s="57">
        <v>0.86532823755125154</v>
      </c>
      <c r="E43" s="86">
        <v>0.82495614483688773</v>
      </c>
      <c r="F43" s="57">
        <v>0.80643245707994538</v>
      </c>
      <c r="G43" s="40">
        <v>0.8250264725026768</v>
      </c>
      <c r="H43" s="57">
        <v>0.88785167219518124</v>
      </c>
      <c r="I43" s="57">
        <v>0.91509535444661749</v>
      </c>
      <c r="J43" s="57">
        <v>0.95455931926885018</v>
      </c>
      <c r="K43" s="86">
        <v>0.95334818898150964</v>
      </c>
      <c r="L43" s="86">
        <v>0.97023433832170836</v>
      </c>
      <c r="M43" s="57">
        <v>0.96685963410545561</v>
      </c>
      <c r="N43" s="57">
        <v>0.9664648441185445</v>
      </c>
    </row>
    <row r="44" spans="1:14" ht="12.75" customHeight="1" x14ac:dyDescent="0.2">
      <c r="A44" s="56" t="s">
        <v>7</v>
      </c>
      <c r="B44" s="59">
        <v>0.37018819949978127</v>
      </c>
      <c r="C44" s="57">
        <v>0.50863495996068797</v>
      </c>
      <c r="D44" s="57">
        <v>0.62399227886026054</v>
      </c>
      <c r="E44" s="86">
        <v>0.6190299588652618</v>
      </c>
      <c r="F44" s="57">
        <v>0.69135964584319398</v>
      </c>
      <c r="G44" s="40">
        <v>0.65477338866369472</v>
      </c>
      <c r="H44" s="57">
        <v>0.70352324062060578</v>
      </c>
      <c r="I44" s="57">
        <v>0.67143853740371318</v>
      </c>
      <c r="J44" s="57">
        <v>0.65993519847997684</v>
      </c>
      <c r="K44" s="86">
        <v>0.70054768912617205</v>
      </c>
      <c r="L44" s="86">
        <v>0.72272911446380761</v>
      </c>
      <c r="M44" s="57">
        <v>0.78096165565255016</v>
      </c>
      <c r="N44" s="57">
        <v>0.77244979198942154</v>
      </c>
    </row>
    <row r="45" spans="1:14" ht="12.75" customHeight="1" x14ac:dyDescent="0.2">
      <c r="A45" s="56" t="s">
        <v>367</v>
      </c>
      <c r="B45" s="59">
        <v>0.82613186044519005</v>
      </c>
      <c r="C45" s="57">
        <v>0.8960846611447143</v>
      </c>
      <c r="D45" s="57">
        <v>0.73988897973331402</v>
      </c>
      <c r="E45" s="86">
        <v>0.61178385115369205</v>
      </c>
      <c r="F45" s="57">
        <v>0.57861893736335013</v>
      </c>
      <c r="G45" s="40">
        <v>0.62213626578683134</v>
      </c>
      <c r="H45" s="57">
        <v>0.78043897396675599</v>
      </c>
      <c r="I45" s="57">
        <v>0.77676127754298996</v>
      </c>
      <c r="J45" s="57">
        <v>0.74734937094735721</v>
      </c>
      <c r="K45" s="86">
        <v>0.70194731430804813</v>
      </c>
      <c r="L45" s="86">
        <v>0.68783410792696398</v>
      </c>
      <c r="M45" s="57">
        <v>0.82444872686866011</v>
      </c>
      <c r="N45" s="57">
        <v>0.66557442882033857</v>
      </c>
    </row>
    <row r="46" spans="1:14" ht="12.75" customHeight="1" x14ac:dyDescent="0.2">
      <c r="A46" s="56" t="s">
        <v>197</v>
      </c>
      <c r="B46" s="59">
        <v>0.69856340732043931</v>
      </c>
      <c r="C46" s="57">
        <v>0.72476976213947797</v>
      </c>
      <c r="D46" s="57">
        <v>0.85555767939169336</v>
      </c>
      <c r="E46" s="86">
        <v>0.88922393419958345</v>
      </c>
      <c r="F46" s="57">
        <v>0.83733765604093924</v>
      </c>
      <c r="G46" s="40">
        <v>0.83585693157605545</v>
      </c>
      <c r="H46" s="57">
        <v>0.88229560767323967</v>
      </c>
      <c r="I46" s="57">
        <v>0.92238908636763284</v>
      </c>
      <c r="J46" s="57">
        <v>0.89387379740018014</v>
      </c>
      <c r="K46" s="86">
        <v>0.88130701420102309</v>
      </c>
      <c r="L46" s="86">
        <v>0.91107593802030129</v>
      </c>
      <c r="M46" s="57">
        <v>0.94567768205090674</v>
      </c>
      <c r="N46" s="57">
        <v>0.90702175670005303</v>
      </c>
    </row>
    <row r="47" spans="1:14" ht="12.75" customHeight="1" x14ac:dyDescent="0.2">
      <c r="A47" s="56" t="s">
        <v>376</v>
      </c>
      <c r="B47" s="59">
        <v>0.68112345557357079</v>
      </c>
      <c r="C47" s="57">
        <v>0.59869232673064021</v>
      </c>
      <c r="D47" s="57">
        <v>0.6115675886205173</v>
      </c>
      <c r="E47" s="86">
        <v>0.75612868545938949</v>
      </c>
      <c r="F47" s="57">
        <v>0.75607399824770261</v>
      </c>
      <c r="G47" s="40">
        <v>0.84977485087700344</v>
      </c>
      <c r="H47" s="57">
        <v>0.79619931729919857</v>
      </c>
      <c r="I47" s="57">
        <v>0.74536809015981209</v>
      </c>
      <c r="J47" s="57">
        <v>0.73993140657610557</v>
      </c>
      <c r="K47" s="86">
        <v>0.7999727360933907</v>
      </c>
      <c r="L47" s="86">
        <v>0.94103436597934964</v>
      </c>
      <c r="M47" s="57">
        <v>1</v>
      </c>
      <c r="N47" s="57">
        <v>0.9187860653985892</v>
      </c>
    </row>
    <row r="48" spans="1:14" ht="12.75" customHeight="1" x14ac:dyDescent="0.2">
      <c r="A48" s="56" t="s">
        <v>152</v>
      </c>
      <c r="B48" s="59">
        <v>0.80616013273170373</v>
      </c>
      <c r="C48" s="57">
        <v>0.79421433764940819</v>
      </c>
      <c r="D48" s="57">
        <v>0.73370103671618925</v>
      </c>
      <c r="E48" s="86">
        <v>0.72478896436451479</v>
      </c>
      <c r="F48" s="57">
        <v>0.69573993979602822</v>
      </c>
      <c r="G48" s="40">
        <v>0.74429814421446172</v>
      </c>
      <c r="H48" s="57">
        <v>0.81467039081585968</v>
      </c>
      <c r="I48" s="57">
        <v>0.87695663985569761</v>
      </c>
      <c r="J48" s="57">
        <v>0.95133563095866169</v>
      </c>
      <c r="K48" s="86">
        <v>0.92012922634587524</v>
      </c>
      <c r="L48" s="86">
        <v>0.89504847649345753</v>
      </c>
      <c r="M48" s="57">
        <v>0.88744220864672008</v>
      </c>
      <c r="N48" s="57">
        <v>0.92375566549704058</v>
      </c>
    </row>
    <row r="49" spans="1:14" ht="12.75" customHeight="1" x14ac:dyDescent="0.2">
      <c r="A49" s="56" t="s">
        <v>341</v>
      </c>
      <c r="B49" s="59">
        <v>0.79508919259712851</v>
      </c>
      <c r="C49" s="57">
        <v>0.85495281388618738</v>
      </c>
      <c r="D49" s="57">
        <v>0.69488128337133093</v>
      </c>
      <c r="E49" s="86">
        <v>0.60824518563251662</v>
      </c>
      <c r="F49" s="57">
        <v>0.57479112206855587</v>
      </c>
      <c r="G49" s="40">
        <v>0.66576098723220112</v>
      </c>
      <c r="H49" s="57">
        <v>0.74526513194693944</v>
      </c>
      <c r="I49" s="57">
        <v>0.75843190649512948</v>
      </c>
      <c r="J49" s="57">
        <v>0.73647875177851985</v>
      </c>
      <c r="K49" s="86">
        <v>0.80537271257910048</v>
      </c>
      <c r="L49" s="86">
        <v>0.84047756912875859</v>
      </c>
      <c r="M49" s="57">
        <v>0.95682965874404025</v>
      </c>
      <c r="N49" s="57">
        <v>0.9629341011365713</v>
      </c>
    </row>
    <row r="50" spans="1:14" ht="12.75" customHeight="1" x14ac:dyDescent="0.2">
      <c r="A50" s="56" t="s">
        <v>277</v>
      </c>
      <c r="B50" s="59">
        <v>0.76647460694026759</v>
      </c>
      <c r="C50" s="57">
        <v>0.8337262349956861</v>
      </c>
      <c r="D50" s="57">
        <v>0.78618424186158764</v>
      </c>
      <c r="E50" s="86">
        <v>0.76424541079601604</v>
      </c>
      <c r="F50" s="57">
        <v>0.76113504704738288</v>
      </c>
      <c r="G50" s="40">
        <v>0.72307931569475148</v>
      </c>
      <c r="H50" s="57">
        <v>0.67085245009966787</v>
      </c>
      <c r="I50" s="57">
        <v>0.66081116956664587</v>
      </c>
      <c r="J50" s="57">
        <v>0.78472806900329883</v>
      </c>
      <c r="K50" s="86">
        <v>0.75264121228482439</v>
      </c>
      <c r="L50" s="86">
        <v>0.74635138818916735</v>
      </c>
      <c r="M50" s="57">
        <v>0.65201073579437185</v>
      </c>
      <c r="N50" s="57">
        <v>0.67600578308709958</v>
      </c>
    </row>
    <row r="51" spans="1:14" ht="12.75" customHeight="1" x14ac:dyDescent="0.2">
      <c r="A51" s="56" t="s">
        <v>103</v>
      </c>
      <c r="B51" s="59">
        <v>0.85875946774278411</v>
      </c>
      <c r="C51" s="57">
        <v>0.72872522062323952</v>
      </c>
      <c r="D51" s="57">
        <v>0.71161742719337084</v>
      </c>
      <c r="E51" s="86">
        <v>0.70439215681020573</v>
      </c>
      <c r="F51" s="57">
        <v>0.939990248369173</v>
      </c>
      <c r="G51" s="40">
        <v>0.95783421214886044</v>
      </c>
      <c r="H51" s="57">
        <v>0.95699879026080714</v>
      </c>
      <c r="I51" s="57">
        <v>0.74995829582447004</v>
      </c>
      <c r="J51" s="57">
        <v>0.76431361764593941</v>
      </c>
      <c r="K51" s="86">
        <v>0.73271944894452046</v>
      </c>
      <c r="L51" s="86">
        <v>0.95086197164945807</v>
      </c>
      <c r="M51" s="57">
        <v>0.92980281664208286</v>
      </c>
      <c r="N51" s="57">
        <v>0.95086197164945807</v>
      </c>
    </row>
    <row r="52" spans="1:14" ht="12.75" customHeight="1" x14ac:dyDescent="0.2">
      <c r="A52" s="56" t="s">
        <v>330</v>
      </c>
      <c r="B52" s="59">
        <v>0.85828436054284152</v>
      </c>
      <c r="C52" s="57">
        <v>0.86305071788943299</v>
      </c>
      <c r="D52" s="57">
        <v>0.80483708432386258</v>
      </c>
      <c r="E52" s="86">
        <v>0.81541200846948014</v>
      </c>
      <c r="F52" s="57">
        <v>0.83920255936960764</v>
      </c>
      <c r="G52" s="40">
        <v>0.91816578692541995</v>
      </c>
      <c r="H52" s="57">
        <v>0.89617433003480385</v>
      </c>
      <c r="I52" s="57">
        <v>0.90307840111173221</v>
      </c>
      <c r="J52" s="57">
        <v>0.88517544315117469</v>
      </c>
      <c r="K52" s="86">
        <v>0.85549862139826516</v>
      </c>
      <c r="L52" s="86">
        <v>0.85200024875744018</v>
      </c>
      <c r="M52" s="57">
        <v>0.86173479848330714</v>
      </c>
      <c r="N52" s="57">
        <v>0.8872629684993566</v>
      </c>
    </row>
    <row r="53" spans="1:14" ht="12.75" customHeight="1" x14ac:dyDescent="0.2">
      <c r="A53" s="56" t="s">
        <v>412</v>
      </c>
      <c r="B53" s="59">
        <v>0.8557796043553374</v>
      </c>
      <c r="C53" s="57">
        <v>0.84628726909893759</v>
      </c>
      <c r="D53" s="57">
        <v>0.80268935547678255</v>
      </c>
      <c r="E53" s="86">
        <v>0.77613346423132057</v>
      </c>
      <c r="F53" s="57">
        <v>0.6965241945056514</v>
      </c>
      <c r="G53" s="40">
        <v>0.46581391186978244</v>
      </c>
      <c r="H53" s="57">
        <v>0.4660656251902095</v>
      </c>
      <c r="I53" s="57">
        <v>0.56018693139287734</v>
      </c>
      <c r="J53" s="57">
        <v>0.81925458268182239</v>
      </c>
      <c r="K53" s="86">
        <v>0.84496521343901965</v>
      </c>
      <c r="L53" s="86">
        <v>0.90192779057712669</v>
      </c>
      <c r="M53" s="57">
        <v>0.91356123624803709</v>
      </c>
      <c r="N53" s="57">
        <v>0.92070539944183138</v>
      </c>
    </row>
    <row r="54" spans="1:14" ht="12.75" customHeight="1" x14ac:dyDescent="0.2">
      <c r="A54" s="56" t="s">
        <v>7090</v>
      </c>
      <c r="B54" s="59">
        <v>0.94150841285675746</v>
      </c>
      <c r="C54" s="57">
        <v>0.91961633408883314</v>
      </c>
      <c r="D54" s="57">
        <v>0.88763962457778456</v>
      </c>
      <c r="E54" s="86">
        <v>0.85724899635966245</v>
      </c>
      <c r="F54" s="57">
        <v>0.90080277393751818</v>
      </c>
      <c r="G54" s="40">
        <v>0.94154741876956505</v>
      </c>
      <c r="H54" s="57">
        <v>0.91395176313629289</v>
      </c>
      <c r="I54" s="57">
        <v>0.88680521472331642</v>
      </c>
      <c r="J54" s="57">
        <v>0.85269051001746143</v>
      </c>
      <c r="K54" s="86">
        <v>0.87589090683582926</v>
      </c>
      <c r="L54" s="86">
        <v>0.81462069458989073</v>
      </c>
      <c r="M54" s="57">
        <v>0.81532347373205827</v>
      </c>
      <c r="N54" s="57">
        <v>0.76721547499670928</v>
      </c>
    </row>
    <row r="55" spans="1:14" ht="12.75" customHeight="1" x14ac:dyDescent="0.2">
      <c r="A55" s="56" t="s">
        <v>141</v>
      </c>
      <c r="B55" s="59">
        <v>0.73684690628893479</v>
      </c>
      <c r="C55" s="57">
        <v>0.68621816782938738</v>
      </c>
      <c r="D55" s="57">
        <v>0.69400069458030289</v>
      </c>
      <c r="E55" s="86">
        <v>0.66245808643003701</v>
      </c>
      <c r="F55" s="57">
        <v>0.716767349745982</v>
      </c>
      <c r="G55" s="40">
        <v>0.73107693248030525</v>
      </c>
      <c r="H55" s="57">
        <v>0.76343026110565404</v>
      </c>
      <c r="I55" s="57">
        <v>0.77729990617781652</v>
      </c>
      <c r="J55" s="57">
        <v>0.83718761564804822</v>
      </c>
      <c r="K55" s="86">
        <v>0.8536770530577954</v>
      </c>
      <c r="L55" s="86">
        <v>0.85668614720088188</v>
      </c>
      <c r="M55" s="57">
        <v>0.88588816522286296</v>
      </c>
      <c r="N55" s="57">
        <v>0.88899606835836031</v>
      </c>
    </row>
    <row r="56" spans="1:14" ht="12.75" customHeight="1" x14ac:dyDescent="0.2">
      <c r="A56" s="56" t="s">
        <v>104</v>
      </c>
      <c r="B56" s="59">
        <v>0.85917321697875015</v>
      </c>
      <c r="C56" s="57">
        <v>0.85164485192375272</v>
      </c>
      <c r="D56" s="57">
        <v>0.85551626267692826</v>
      </c>
      <c r="E56" s="86">
        <v>0.85253492007403031</v>
      </c>
      <c r="F56" s="57">
        <v>0.84776457981165942</v>
      </c>
      <c r="G56" s="40">
        <v>0.85999622445649015</v>
      </c>
      <c r="H56" s="57">
        <v>0.86308621393602436</v>
      </c>
      <c r="I56" s="57">
        <v>0.89007120216792146</v>
      </c>
      <c r="J56" s="57">
        <v>0.88360749704105457</v>
      </c>
      <c r="K56" s="86">
        <v>0.88848034931585873</v>
      </c>
      <c r="L56" s="86">
        <v>0.88772044999176936</v>
      </c>
      <c r="M56" s="57">
        <v>0.87513289353369361</v>
      </c>
      <c r="N56" s="57">
        <v>0.8607143585788225</v>
      </c>
    </row>
    <row r="57" spans="1:14" ht="12.75" customHeight="1" x14ac:dyDescent="0.2">
      <c r="A57" s="56" t="s">
        <v>153</v>
      </c>
      <c r="B57" s="59">
        <v>0.92829603560840079</v>
      </c>
      <c r="C57" s="57">
        <v>0.90418605972305011</v>
      </c>
      <c r="D57" s="57">
        <v>0.8062908860081236</v>
      </c>
      <c r="E57" s="86">
        <v>0.86217287412740384</v>
      </c>
      <c r="F57" s="57">
        <v>0.88462588232076789</v>
      </c>
      <c r="G57" s="40">
        <v>0.96495601482890159</v>
      </c>
      <c r="H57" s="57">
        <v>0.96118078239859062</v>
      </c>
      <c r="I57" s="57">
        <v>0.89716333531920844</v>
      </c>
      <c r="J57" s="57">
        <v>0.89066236073173888</v>
      </c>
      <c r="K57" s="86">
        <v>0.89824386249094423</v>
      </c>
      <c r="L57" s="86">
        <v>0.96798641863022583</v>
      </c>
      <c r="M57" s="57">
        <v>0.99237564386083632</v>
      </c>
      <c r="N57" s="57">
        <v>0.99102123576247747</v>
      </c>
    </row>
    <row r="58" spans="1:14" ht="12.75" customHeight="1" x14ac:dyDescent="0.2">
      <c r="A58" s="56" t="s">
        <v>252</v>
      </c>
      <c r="B58" s="59">
        <v>0.69712976835894935</v>
      </c>
      <c r="C58" s="57">
        <v>0.79589855275780697</v>
      </c>
      <c r="D58" s="57">
        <v>0.8429159015711889</v>
      </c>
      <c r="E58" s="86">
        <v>0.83454125497872067</v>
      </c>
      <c r="F58" s="57">
        <v>0.8727111043006599</v>
      </c>
      <c r="G58" s="40">
        <v>0.91018823954797512</v>
      </c>
      <c r="H58" s="57">
        <v>0.94718233046646061</v>
      </c>
      <c r="I58" s="57">
        <v>0.91955258173163934</v>
      </c>
      <c r="J58" s="57">
        <v>0.90005778066915054</v>
      </c>
      <c r="K58" s="86">
        <v>0.89961284629838556</v>
      </c>
      <c r="L58" s="86">
        <v>0.89884012668917113</v>
      </c>
      <c r="M58" s="57">
        <v>0.90561371383989098</v>
      </c>
      <c r="N58" s="57">
        <v>0.87790587013480614</v>
      </c>
    </row>
    <row r="59" spans="1:14" ht="12.75" customHeight="1" x14ac:dyDescent="0.2">
      <c r="A59" s="56" t="s">
        <v>64</v>
      </c>
      <c r="B59" s="59">
        <v>0.68245283182323824</v>
      </c>
      <c r="C59" s="57">
        <v>0.6953006078289089</v>
      </c>
      <c r="D59" s="57">
        <v>0.68314681088519169</v>
      </c>
      <c r="E59" s="86">
        <v>0.79219555987105583</v>
      </c>
      <c r="F59" s="57">
        <v>0.75143319136933495</v>
      </c>
      <c r="G59" s="40">
        <v>0.84876192745548018</v>
      </c>
      <c r="H59" s="57">
        <v>0.84493614978464171</v>
      </c>
      <c r="I59" s="57">
        <v>0.89180218557424051</v>
      </c>
      <c r="J59" s="57">
        <v>0.86868441335162949</v>
      </c>
      <c r="K59" s="86">
        <v>0.90574501874223146</v>
      </c>
      <c r="L59" s="86">
        <v>0.85711817076091312</v>
      </c>
      <c r="M59" s="57">
        <v>0.79181200462348522</v>
      </c>
      <c r="N59" s="57">
        <v>0.76073221750534958</v>
      </c>
    </row>
    <row r="60" spans="1:14" ht="12.75" customHeight="1" x14ac:dyDescent="0.2">
      <c r="A60" s="56" t="s">
        <v>396</v>
      </c>
      <c r="B60" s="59">
        <v>0.65543434977195436</v>
      </c>
      <c r="C60" s="57">
        <v>0.68571200586713221</v>
      </c>
      <c r="D60" s="57">
        <v>0.63461768613146907</v>
      </c>
      <c r="E60" s="86">
        <v>0.67343043192349183</v>
      </c>
      <c r="F60" s="57">
        <v>0.70804402394151111</v>
      </c>
      <c r="G60" s="40">
        <v>0.78628106508294671</v>
      </c>
      <c r="H60" s="57">
        <v>0.80327388365454266</v>
      </c>
      <c r="I60" s="57">
        <v>0.78211804615863922</v>
      </c>
      <c r="J60" s="57">
        <v>0.73346852614316982</v>
      </c>
      <c r="K60" s="86">
        <v>0.7223072883062055</v>
      </c>
      <c r="L60" s="86">
        <v>0.69383688631892759</v>
      </c>
      <c r="M60" s="57">
        <v>0.73538743021783348</v>
      </c>
      <c r="N60" s="57">
        <v>0.72377722771215269</v>
      </c>
    </row>
    <row r="61" spans="1:14" ht="12.75" customHeight="1" x14ac:dyDescent="0.2">
      <c r="A61" s="56" t="s">
        <v>342</v>
      </c>
      <c r="B61" s="59">
        <v>0.69813763295948672</v>
      </c>
      <c r="C61" s="57">
        <v>0.61652043039777926</v>
      </c>
      <c r="D61" s="57">
        <v>0.70594126245733912</v>
      </c>
      <c r="E61" s="86">
        <v>0.72469267309488117</v>
      </c>
      <c r="F61" s="57">
        <v>0.79360264949024406</v>
      </c>
      <c r="G61" s="40">
        <v>0.81796139163407433</v>
      </c>
      <c r="H61" s="57">
        <v>0.85414841358451399</v>
      </c>
      <c r="I61" s="57">
        <v>0.94824413040094024</v>
      </c>
      <c r="J61" s="57">
        <v>0.95704706568454145</v>
      </c>
      <c r="K61" s="86">
        <v>0.98221321625576952</v>
      </c>
      <c r="L61" s="86">
        <v>0.98974839406958504</v>
      </c>
      <c r="M61" s="57">
        <v>0.98595344570576771</v>
      </c>
      <c r="N61" s="57">
        <v>0.98728718942178295</v>
      </c>
    </row>
    <row r="62" spans="1:14" ht="12.75" customHeight="1" x14ac:dyDescent="0.2">
      <c r="A62" s="56" t="s">
        <v>22</v>
      </c>
      <c r="B62" s="59">
        <v>0.57484495900776167</v>
      </c>
      <c r="C62" s="57">
        <v>0.55002866360236402</v>
      </c>
      <c r="D62" s="57">
        <v>0.480351462503329</v>
      </c>
      <c r="E62" s="86">
        <v>0.5513088431016443</v>
      </c>
      <c r="F62" s="57">
        <v>0.69757054133975405</v>
      </c>
      <c r="G62" s="40">
        <v>0.77291988562511582</v>
      </c>
      <c r="H62" s="57">
        <v>0.82758118984120832</v>
      </c>
      <c r="I62" s="57">
        <v>0.78083008992853564</v>
      </c>
      <c r="J62" s="57">
        <v>0.84151525587272114</v>
      </c>
      <c r="K62" s="86">
        <v>0.85021531261796512</v>
      </c>
      <c r="L62" s="86">
        <v>0.7737098549815391</v>
      </c>
      <c r="M62" s="57">
        <v>0.77585131275479802</v>
      </c>
      <c r="N62" s="57">
        <v>0.75258703915390612</v>
      </c>
    </row>
    <row r="63" spans="1:14" ht="12.75" customHeight="1" x14ac:dyDescent="0.2">
      <c r="A63" s="56" t="s">
        <v>16</v>
      </c>
      <c r="B63" s="59">
        <v>0.67778350360377793</v>
      </c>
      <c r="C63" s="57">
        <v>0.6514297066660536</v>
      </c>
      <c r="D63" s="57">
        <v>0.63937017427971643</v>
      </c>
      <c r="E63" s="86">
        <v>0.73642122667752374</v>
      </c>
      <c r="F63" s="57">
        <v>0.79519765889333094</v>
      </c>
      <c r="G63" s="40">
        <v>0.86098996357722812</v>
      </c>
      <c r="H63" s="57">
        <v>0.84511598286875678</v>
      </c>
      <c r="I63" s="57">
        <v>0.83910264593534356</v>
      </c>
      <c r="J63" s="57">
        <v>0.8232308913780001</v>
      </c>
      <c r="K63" s="86">
        <v>0.8065329224013128</v>
      </c>
      <c r="L63" s="86">
        <v>0.79229227546862846</v>
      </c>
      <c r="M63" s="57">
        <v>0.82569102895166901</v>
      </c>
      <c r="N63" s="57">
        <v>0.84592092421105003</v>
      </c>
    </row>
    <row r="64" spans="1:14" ht="12.75" customHeight="1" x14ac:dyDescent="0.2">
      <c r="A64" s="56" t="s">
        <v>407</v>
      </c>
      <c r="B64" s="59">
        <v>0.61801020731532497</v>
      </c>
      <c r="C64" s="57">
        <v>0.57956499980147658</v>
      </c>
      <c r="D64" s="57">
        <v>0.63186294217797279</v>
      </c>
      <c r="E64" s="86">
        <v>0.74607868418325651</v>
      </c>
      <c r="F64" s="57">
        <v>0.83306541876033346</v>
      </c>
      <c r="G64" s="40">
        <v>0.86331018534205972</v>
      </c>
      <c r="H64" s="57">
        <v>0.86785208711117645</v>
      </c>
      <c r="I64" s="57">
        <v>0.88833966393374142</v>
      </c>
      <c r="J64" s="57">
        <v>0.914862981296103</v>
      </c>
      <c r="K64" s="86">
        <v>0.90144224241131177</v>
      </c>
      <c r="L64" s="86">
        <v>0.87548876912190776</v>
      </c>
      <c r="M64" s="57">
        <v>0.85136547253901929</v>
      </c>
      <c r="N64" s="57">
        <v>0.83360686411161611</v>
      </c>
    </row>
    <row r="65" spans="1:14" ht="12.75" customHeight="1" x14ac:dyDescent="0.2">
      <c r="A65" s="56" t="s">
        <v>239</v>
      </c>
      <c r="B65" s="59">
        <v>0.75983763573265917</v>
      </c>
      <c r="C65" s="57">
        <v>0.72224371070369531</v>
      </c>
      <c r="D65" s="57">
        <v>0.7460319512166339</v>
      </c>
      <c r="E65" s="86">
        <v>0.78772474562251704</v>
      </c>
      <c r="F65" s="57">
        <v>0.85280973058399834</v>
      </c>
      <c r="G65" s="40">
        <v>0.87415347775362073</v>
      </c>
      <c r="H65" s="57">
        <v>0.88760645251095649</v>
      </c>
      <c r="I65" s="57">
        <v>0.90259054745862233</v>
      </c>
      <c r="J65" s="57">
        <v>0.89489350166177817</v>
      </c>
      <c r="K65" s="86">
        <v>0.89590882228610058</v>
      </c>
      <c r="L65" s="86">
        <v>0.88602562435780696</v>
      </c>
      <c r="M65" s="57">
        <v>0.8794920300780894</v>
      </c>
      <c r="N65" s="57">
        <v>0.86838635503042028</v>
      </c>
    </row>
    <row r="66" spans="1:14" ht="12.75" customHeight="1" x14ac:dyDescent="0.2">
      <c r="A66" s="56" t="s">
        <v>46</v>
      </c>
      <c r="B66" s="59">
        <v>0.52331245594700271</v>
      </c>
      <c r="C66" s="57">
        <v>0.35980187015017945</v>
      </c>
      <c r="D66" s="57">
        <v>0.32289579556931686</v>
      </c>
      <c r="E66" s="86">
        <v>0.30428065825307449</v>
      </c>
      <c r="F66" s="57">
        <v>0.43829824326452432</v>
      </c>
      <c r="G66" s="40">
        <v>0.54010543622482332</v>
      </c>
      <c r="H66" s="57">
        <v>0.64212581751846887</v>
      </c>
      <c r="I66" s="57">
        <v>0.74782265353448485</v>
      </c>
      <c r="J66" s="57">
        <v>0.64670929207880656</v>
      </c>
      <c r="K66" s="86">
        <v>0.70012677682254454</v>
      </c>
      <c r="L66" s="86">
        <v>0.70699350644285097</v>
      </c>
      <c r="M66" s="57">
        <v>0.73150021269026333</v>
      </c>
      <c r="N66" s="57">
        <v>0.76923803553947379</v>
      </c>
    </row>
    <row r="67" spans="1:14" ht="12.75" customHeight="1" x14ac:dyDescent="0.2">
      <c r="A67" s="56" t="s">
        <v>65</v>
      </c>
      <c r="B67" s="59">
        <v>0.74775957694470951</v>
      </c>
      <c r="C67" s="57">
        <v>0.85322502415671198</v>
      </c>
      <c r="D67" s="57">
        <v>0.83462802454339569</v>
      </c>
      <c r="E67" s="86">
        <v>0.75414585531831746</v>
      </c>
      <c r="F67" s="57">
        <v>0.63966583902496355</v>
      </c>
      <c r="G67" s="40">
        <v>0.66415760666493728</v>
      </c>
      <c r="H67" s="57">
        <v>0.70203186225347058</v>
      </c>
      <c r="I67" s="57">
        <v>0.80060138017649418</v>
      </c>
      <c r="J67" s="57">
        <v>0.85128269068692786</v>
      </c>
      <c r="K67" s="86">
        <v>0.86321248855862864</v>
      </c>
      <c r="L67" s="86">
        <v>0.86904655153703148</v>
      </c>
      <c r="M67" s="57">
        <v>0.871344872242243</v>
      </c>
      <c r="N67" s="57">
        <v>0.88176401787196734</v>
      </c>
    </row>
    <row r="68" spans="1:14" ht="12.75" customHeight="1" x14ac:dyDescent="0.2">
      <c r="A68" s="56" t="s">
        <v>394</v>
      </c>
      <c r="B68" s="59">
        <v>0.55534547073352891</v>
      </c>
      <c r="C68" s="57">
        <v>0.56011441579623722</v>
      </c>
      <c r="D68" s="57">
        <v>0.52893580749770641</v>
      </c>
      <c r="E68" s="86">
        <v>0.63379740438066434</v>
      </c>
      <c r="F68" s="57">
        <v>0.66714725624090032</v>
      </c>
      <c r="G68" s="40">
        <v>0.68581093388143477</v>
      </c>
      <c r="H68" s="57">
        <v>0.67365424399666451</v>
      </c>
      <c r="I68" s="57">
        <v>0.7060423664537443</v>
      </c>
      <c r="J68" s="57">
        <v>0.78969326121076</v>
      </c>
      <c r="K68" s="86">
        <v>0.86478347766657626</v>
      </c>
      <c r="L68" s="86">
        <v>0.83563699565221305</v>
      </c>
      <c r="M68" s="57">
        <v>0.82823171649273386</v>
      </c>
      <c r="N68" s="57">
        <v>0.75847197481798156</v>
      </c>
    </row>
    <row r="69" spans="1:14" ht="12.75" customHeight="1" x14ac:dyDescent="0.2">
      <c r="A69" s="56" t="s">
        <v>368</v>
      </c>
      <c r="B69" s="59">
        <v>0.67984348346614309</v>
      </c>
      <c r="C69" s="57">
        <v>0.56954868585055618</v>
      </c>
      <c r="D69" s="57">
        <v>0.57166585626704325</v>
      </c>
      <c r="E69" s="86">
        <v>0.59208350720608161</v>
      </c>
      <c r="F69" s="57">
        <v>0.63787930444913898</v>
      </c>
      <c r="G69" s="40">
        <v>0.72820809201655068</v>
      </c>
      <c r="H69" s="57">
        <v>0.74564226883235352</v>
      </c>
      <c r="I69" s="57">
        <v>0.80480925166924422</v>
      </c>
      <c r="J69" s="57">
        <v>0.83008350795805874</v>
      </c>
      <c r="K69" s="86">
        <v>0.89536796673640484</v>
      </c>
      <c r="L69" s="86">
        <v>0.90230647182942347</v>
      </c>
      <c r="M69" s="57">
        <v>0.8781580828130785</v>
      </c>
      <c r="N69" s="57">
        <v>0.85585244559719975</v>
      </c>
    </row>
    <row r="70" spans="1:14" ht="12.75" customHeight="1" x14ac:dyDescent="0.2">
      <c r="A70" s="56" t="s">
        <v>343</v>
      </c>
      <c r="B70" s="59">
        <v>0.71764020111291604</v>
      </c>
      <c r="C70" s="57">
        <v>0.78783891928598049</v>
      </c>
      <c r="D70" s="57">
        <v>0.87970013705643335</v>
      </c>
      <c r="E70" s="86">
        <v>0.9258078943832655</v>
      </c>
      <c r="F70" s="57">
        <v>0.90300164686308282</v>
      </c>
      <c r="G70" s="40">
        <v>0.90369375906839322</v>
      </c>
      <c r="H70" s="57">
        <v>0.89314287577490337</v>
      </c>
      <c r="I70" s="57">
        <v>0.8955629816846109</v>
      </c>
      <c r="J70" s="57">
        <v>0.89007163970660541</v>
      </c>
      <c r="K70" s="86">
        <v>0.87434465030710706</v>
      </c>
      <c r="L70" s="86">
        <v>0.87110486114410002</v>
      </c>
      <c r="M70" s="57">
        <v>0.89283671294435463</v>
      </c>
      <c r="N70" s="57">
        <v>0.92449164457477362</v>
      </c>
    </row>
    <row r="71" spans="1:14" ht="12.75" customHeight="1" x14ac:dyDescent="0.2">
      <c r="A71" s="56" t="s">
        <v>7089</v>
      </c>
      <c r="B71" s="59">
        <v>0.59852967650084365</v>
      </c>
      <c r="C71" s="57">
        <v>0.54989575109083322</v>
      </c>
      <c r="D71" s="57">
        <v>0.57782346447826594</v>
      </c>
      <c r="E71" s="86">
        <v>0.60719878689816087</v>
      </c>
      <c r="F71" s="57">
        <v>0.73331194190613624</v>
      </c>
      <c r="G71" s="40">
        <v>0.72810403567629545</v>
      </c>
      <c r="H71" s="57">
        <v>0.70508452275505074</v>
      </c>
      <c r="I71" s="57">
        <v>0.63184023166001368</v>
      </c>
      <c r="J71" s="57">
        <v>0.67162306838392327</v>
      </c>
      <c r="K71" s="86">
        <v>0.72883718870886538</v>
      </c>
      <c r="L71" s="86">
        <v>0.78380791471753841</v>
      </c>
      <c r="M71" s="57">
        <v>0.79607895662509875</v>
      </c>
      <c r="N71" s="57">
        <v>0.84496177290321917</v>
      </c>
    </row>
    <row r="72" spans="1:14" ht="12.75" customHeight="1" x14ac:dyDescent="0.2">
      <c r="A72" s="56" t="s">
        <v>142</v>
      </c>
      <c r="B72" s="59">
        <v>0.72836212572890879</v>
      </c>
      <c r="C72" s="57">
        <v>0.7297503955929846</v>
      </c>
      <c r="D72" s="57">
        <v>0.72059968510525252</v>
      </c>
      <c r="E72" s="86">
        <v>0.72511051378856239</v>
      </c>
      <c r="F72" s="57">
        <v>0.70364090350669584</v>
      </c>
      <c r="G72" s="40">
        <v>0.73008584210141925</v>
      </c>
      <c r="H72" s="57">
        <v>0.68987796566777648</v>
      </c>
      <c r="I72" s="57">
        <v>0.75593505481494283</v>
      </c>
      <c r="J72" s="57">
        <v>0.75545852915514666</v>
      </c>
      <c r="K72" s="86">
        <v>0.76313309940123497</v>
      </c>
      <c r="L72" s="86">
        <v>0.73008607442292739</v>
      </c>
      <c r="M72" s="57">
        <v>0.77162762779814587</v>
      </c>
      <c r="N72" s="57">
        <v>0.82950734392285186</v>
      </c>
    </row>
    <row r="73" spans="1:14" ht="12.75" customHeight="1" x14ac:dyDescent="0.2">
      <c r="A73" s="56" t="s">
        <v>331</v>
      </c>
      <c r="B73" s="59">
        <v>0.77251412748883441</v>
      </c>
      <c r="C73" s="57">
        <v>0.784811917637386</v>
      </c>
      <c r="D73" s="57">
        <v>0.81075090799810035</v>
      </c>
      <c r="E73" s="86">
        <v>0.8105783932064945</v>
      </c>
      <c r="F73" s="57">
        <v>0.81450129516864334</v>
      </c>
      <c r="G73" s="40">
        <v>0.8243356928111073</v>
      </c>
      <c r="H73" s="57">
        <v>0.85053626018777762</v>
      </c>
      <c r="I73" s="57">
        <v>0.86346228367054578</v>
      </c>
      <c r="J73" s="57">
        <v>0.87554431552440803</v>
      </c>
      <c r="K73" s="86">
        <v>0.86803675531989288</v>
      </c>
      <c r="L73" s="86">
        <v>0.85964571337008355</v>
      </c>
      <c r="M73" s="57">
        <v>0.85863815616538197</v>
      </c>
      <c r="N73" s="57">
        <v>0.86597910448001691</v>
      </c>
    </row>
    <row r="74" spans="1:14" ht="12.75" customHeight="1" x14ac:dyDescent="0.2">
      <c r="A74" s="56" t="s">
        <v>35</v>
      </c>
      <c r="B74" s="59">
        <v>0.61630144024520062</v>
      </c>
      <c r="C74" s="57">
        <v>0.62236446706174409</v>
      </c>
      <c r="D74" s="57">
        <v>0.67570296836084109</v>
      </c>
      <c r="E74" s="86">
        <v>0.65058351773954948</v>
      </c>
      <c r="F74" s="57">
        <v>0.63266449378212986</v>
      </c>
      <c r="G74" s="40">
        <v>0.62137341277267166</v>
      </c>
      <c r="H74" s="57">
        <v>0.59390420437490132</v>
      </c>
      <c r="I74" s="57">
        <v>0.60189918080973637</v>
      </c>
      <c r="J74" s="57">
        <v>0.61155258423243708</v>
      </c>
      <c r="K74" s="86">
        <v>0.64953680638958622</v>
      </c>
      <c r="L74" s="86">
        <v>0.71505513280685762</v>
      </c>
      <c r="M74" s="57">
        <v>0.78730380501212538</v>
      </c>
      <c r="N74" s="57">
        <v>0.85516698731890861</v>
      </c>
    </row>
    <row r="75" spans="1:14" ht="12.75" customHeight="1" x14ac:dyDescent="0.2">
      <c r="A75" s="56" t="s">
        <v>344</v>
      </c>
      <c r="B75" s="59">
        <v>0.81215325953792716</v>
      </c>
      <c r="C75" s="57">
        <v>0.7848943957012896</v>
      </c>
      <c r="D75" s="57">
        <v>0.81731825681405301</v>
      </c>
      <c r="E75" s="86">
        <v>0.77902151554147281</v>
      </c>
      <c r="F75" s="57">
        <v>0.76032434230598378</v>
      </c>
      <c r="G75" s="40">
        <v>0.80397487364438236</v>
      </c>
      <c r="H75" s="57">
        <v>0.79054465436009513</v>
      </c>
      <c r="I75" s="57">
        <v>0.74896580190338735</v>
      </c>
      <c r="J75" s="57">
        <v>0.74149018827807966</v>
      </c>
      <c r="K75" s="86">
        <v>0.76009558739986627</v>
      </c>
      <c r="L75" s="86">
        <v>0.87650982477425332</v>
      </c>
      <c r="M75" s="57">
        <v>0.88609547445735204</v>
      </c>
      <c r="N75" s="57">
        <v>0.90930989438393883</v>
      </c>
    </row>
    <row r="76" spans="1:14" ht="12.75" customHeight="1" x14ac:dyDescent="0.2">
      <c r="A76" s="56" t="s">
        <v>90</v>
      </c>
      <c r="B76" s="59">
        <v>0.71654264064717932</v>
      </c>
      <c r="C76" s="57">
        <v>0.76807161377694444</v>
      </c>
      <c r="D76" s="57">
        <v>0.79167157983931702</v>
      </c>
      <c r="E76" s="86">
        <v>0.85412974323860202</v>
      </c>
      <c r="F76" s="57">
        <v>0.8643903508089138</v>
      </c>
      <c r="G76" s="40">
        <v>0.92832252497631063</v>
      </c>
      <c r="H76" s="57">
        <v>0.89297802259601111</v>
      </c>
      <c r="I76" s="57">
        <v>0.87255552108067758</v>
      </c>
      <c r="J76" s="57">
        <v>0.9111881870077102</v>
      </c>
      <c r="K76" s="86">
        <v>0.93031381533821167</v>
      </c>
      <c r="L76" s="86">
        <v>0.9198571045386742</v>
      </c>
      <c r="M76" s="57">
        <v>0.90919023095800178</v>
      </c>
      <c r="N76" s="57">
        <v>0.86847850290827866</v>
      </c>
    </row>
    <row r="77" spans="1:14" ht="12.75" customHeight="1" x14ac:dyDescent="0.2">
      <c r="A77" s="56" t="s">
        <v>8</v>
      </c>
      <c r="B77" s="59">
        <v>0.42620732775779668</v>
      </c>
      <c r="C77" s="57">
        <v>0.3433590736417152</v>
      </c>
      <c r="D77" s="57">
        <v>0.43893661150987134</v>
      </c>
      <c r="E77" s="86">
        <v>0.59540428056536909</v>
      </c>
      <c r="F77" s="57">
        <v>0.66762221286612666</v>
      </c>
      <c r="G77" s="40">
        <v>0.69939586689845246</v>
      </c>
      <c r="H77" s="57">
        <v>0.6334589147127806</v>
      </c>
      <c r="I77" s="57">
        <v>0.7505924816893571</v>
      </c>
      <c r="J77" s="57">
        <v>0.78272991594108987</v>
      </c>
      <c r="K77" s="86">
        <v>0.86552484365842286</v>
      </c>
      <c r="L77" s="86">
        <v>0.85060662937511156</v>
      </c>
      <c r="M77" s="57">
        <v>0.82334135871197012</v>
      </c>
      <c r="N77" s="57">
        <v>0.820695915613738</v>
      </c>
    </row>
    <row r="78" spans="1:14" ht="12.75" customHeight="1" x14ac:dyDescent="0.2">
      <c r="A78" s="56" t="s">
        <v>303</v>
      </c>
      <c r="B78" s="59">
        <v>0.7636059909325339</v>
      </c>
      <c r="C78" s="57">
        <v>0.76759136101010694</v>
      </c>
      <c r="D78" s="57">
        <v>0.78818896819783613</v>
      </c>
      <c r="E78" s="86">
        <v>0.75263600574309075</v>
      </c>
      <c r="F78" s="57">
        <v>0.77668257451610323</v>
      </c>
      <c r="G78" s="40">
        <v>0.83816230913420497</v>
      </c>
      <c r="H78" s="57">
        <v>0.88719973660629403</v>
      </c>
      <c r="I78" s="57">
        <v>0.89396370848496509</v>
      </c>
      <c r="J78" s="57">
        <v>0.85700267697846222</v>
      </c>
      <c r="K78" s="86">
        <v>0.8754254696830337</v>
      </c>
      <c r="L78" s="86">
        <v>0.86586504857834135</v>
      </c>
      <c r="M78" s="57">
        <v>0.94127197250540806</v>
      </c>
      <c r="N78" s="57">
        <v>0.91108405725775954</v>
      </c>
    </row>
    <row r="79" spans="1:14" ht="12.75" customHeight="1" x14ac:dyDescent="0.2">
      <c r="A79" s="56" t="s">
        <v>377</v>
      </c>
      <c r="B79" s="59">
        <v>0.69517465480089191</v>
      </c>
      <c r="C79" s="57">
        <v>0.6878845760967941</v>
      </c>
      <c r="D79" s="57">
        <v>0.81378234735472998</v>
      </c>
      <c r="E79" s="86">
        <v>0.86415730680970204</v>
      </c>
      <c r="F79" s="57">
        <v>0.84197550544213728</v>
      </c>
      <c r="G79" s="40">
        <v>0.83380451984692083</v>
      </c>
      <c r="H79" s="57">
        <v>0.80851190482254653</v>
      </c>
      <c r="I79" s="57">
        <v>0.84796625087539068</v>
      </c>
      <c r="J79" s="57">
        <v>0.85149550526473206</v>
      </c>
      <c r="K79" s="86">
        <v>0.89543795947210025</v>
      </c>
      <c r="L79" s="86">
        <v>0.92285282350277775</v>
      </c>
      <c r="M79" s="57">
        <v>0.89217483069968828</v>
      </c>
      <c r="N79" s="57">
        <v>0.8781556324896802</v>
      </c>
    </row>
    <row r="80" spans="1:14" ht="12.75" customHeight="1" x14ac:dyDescent="0.2">
      <c r="A80" s="56" t="s">
        <v>208</v>
      </c>
      <c r="B80" s="59">
        <v>0.86473363892269628</v>
      </c>
      <c r="C80" s="57">
        <v>0.8537631361720962</v>
      </c>
      <c r="D80" s="57">
        <v>0.8692558497458901</v>
      </c>
      <c r="E80" s="86">
        <v>0.86926257416771835</v>
      </c>
      <c r="F80" s="57">
        <v>0.89187643219780399</v>
      </c>
      <c r="G80" s="40">
        <v>0.89598589662408734</v>
      </c>
      <c r="H80" s="57">
        <v>0.90610156898863503</v>
      </c>
      <c r="I80" s="57">
        <v>0.91651404047727125</v>
      </c>
      <c r="J80" s="57">
        <v>0.89606987657336645</v>
      </c>
      <c r="K80" s="86">
        <v>0.91448996721732689</v>
      </c>
      <c r="L80" s="86">
        <v>0.90656256397596113</v>
      </c>
      <c r="M80" s="57">
        <v>0.92690028148884973</v>
      </c>
      <c r="N80" s="57">
        <v>0.92427925642746578</v>
      </c>
    </row>
    <row r="81" spans="1:14" ht="12.75" customHeight="1" x14ac:dyDescent="0.2">
      <c r="A81" s="56" t="s">
        <v>262</v>
      </c>
      <c r="B81" s="59">
        <v>0.6375754272689772</v>
      </c>
      <c r="C81" s="57">
        <v>0.69371892003159241</v>
      </c>
      <c r="D81" s="57">
        <v>0.7646803316941132</v>
      </c>
      <c r="E81" s="86">
        <v>0.72002699362098077</v>
      </c>
      <c r="F81" s="57">
        <v>0.70972429097973011</v>
      </c>
      <c r="G81" s="40">
        <v>0.72107287956959876</v>
      </c>
      <c r="H81" s="57">
        <v>0.80128290750400666</v>
      </c>
      <c r="I81" s="57">
        <v>0.86997796377994041</v>
      </c>
      <c r="J81" s="57">
        <v>0.82856049072845028</v>
      </c>
      <c r="K81" s="86">
        <v>0.81444846043862729</v>
      </c>
      <c r="L81" s="86">
        <v>0.81408875408981041</v>
      </c>
      <c r="M81" s="57">
        <v>0.86364519338422252</v>
      </c>
      <c r="N81" s="57">
        <v>0.87745734328101166</v>
      </c>
    </row>
    <row r="82" spans="1:14" ht="12.75" customHeight="1" x14ac:dyDescent="0.2">
      <c r="A82" s="56" t="s">
        <v>384</v>
      </c>
      <c r="B82" s="59">
        <v>0.6569551415083611</v>
      </c>
      <c r="C82" s="57">
        <v>0.65904382456488719</v>
      </c>
      <c r="D82" s="57">
        <v>0.65624940666988574</v>
      </c>
      <c r="E82" s="86">
        <v>0.5560256427889102</v>
      </c>
      <c r="F82" s="57">
        <v>0.51914942066728853</v>
      </c>
      <c r="G82" s="40">
        <v>0.57877469249138203</v>
      </c>
      <c r="H82" s="57">
        <v>0.59812974977651256</v>
      </c>
      <c r="I82" s="57">
        <v>0.61751417895635108</v>
      </c>
      <c r="J82" s="57">
        <v>0.67504474344606047</v>
      </c>
      <c r="K82" s="86">
        <v>0.7099203129206364</v>
      </c>
      <c r="L82" s="86">
        <v>0.73283427244505062</v>
      </c>
      <c r="M82" s="57">
        <v>0.74165650007146755</v>
      </c>
      <c r="N82" s="57">
        <v>0.81219798770685969</v>
      </c>
    </row>
    <row r="83" spans="1:14" ht="12.75" customHeight="1" x14ac:dyDescent="0.2">
      <c r="A83" s="56" t="s">
        <v>9</v>
      </c>
      <c r="B83" s="59">
        <v>0.57101462139360915</v>
      </c>
      <c r="C83" s="57">
        <v>0.57415383978672807</v>
      </c>
      <c r="D83" s="57">
        <v>0.58640256294458626</v>
      </c>
      <c r="E83" s="86">
        <v>0.67429025732374015</v>
      </c>
      <c r="F83" s="57">
        <v>0.75458497501391231</v>
      </c>
      <c r="G83" s="40">
        <v>0.84615966112715435</v>
      </c>
      <c r="H83" s="57">
        <v>0.86006454303058089</v>
      </c>
      <c r="I83" s="57">
        <v>0.85304303920625946</v>
      </c>
      <c r="J83" s="57">
        <v>0.84094369132091185</v>
      </c>
      <c r="K83" s="86">
        <v>0.82881347408997674</v>
      </c>
      <c r="L83" s="86">
        <v>0.83326353043582768</v>
      </c>
      <c r="M83" s="57">
        <v>0.84001337865345238</v>
      </c>
      <c r="N83" s="57">
        <v>0.85092795118719911</v>
      </c>
    </row>
    <row r="84" spans="1:14" ht="12.75" customHeight="1" x14ac:dyDescent="0.2">
      <c r="A84" s="56" t="s">
        <v>188</v>
      </c>
      <c r="B84" s="59">
        <v>0.89131038037784405</v>
      </c>
      <c r="C84" s="57">
        <v>0.93544463734441485</v>
      </c>
      <c r="D84" s="57">
        <v>0.91114725145949116</v>
      </c>
      <c r="E84" s="86">
        <v>0.89455215607842542</v>
      </c>
      <c r="F84" s="57">
        <v>0.85524937109779053</v>
      </c>
      <c r="G84" s="40">
        <v>0.86829747511255329</v>
      </c>
      <c r="H84" s="57">
        <v>0.85733652939945015</v>
      </c>
      <c r="I84" s="57">
        <v>0.83054206751503568</v>
      </c>
      <c r="J84" s="57">
        <v>0.81897953797452827</v>
      </c>
      <c r="K84" s="86">
        <v>0.79257657329020825</v>
      </c>
      <c r="L84" s="86">
        <v>0.83218882066222122</v>
      </c>
      <c r="M84" s="57">
        <v>0.81690282795248625</v>
      </c>
      <c r="N84" s="57">
        <v>0.85508470784107982</v>
      </c>
    </row>
    <row r="85" spans="1:14" ht="12.75" customHeight="1" x14ac:dyDescent="0.2">
      <c r="A85" s="56" t="s">
        <v>116</v>
      </c>
      <c r="B85" s="59">
        <v>0.80807946565918198</v>
      </c>
      <c r="C85" s="57">
        <v>0.67936326309298944</v>
      </c>
      <c r="D85" s="57">
        <v>0.69694692757859</v>
      </c>
      <c r="E85" s="86">
        <v>0.71303036704333234</v>
      </c>
      <c r="F85" s="57">
        <v>0.80952043429155618</v>
      </c>
      <c r="G85" s="40">
        <v>0.76574237124864875</v>
      </c>
      <c r="H85" s="57">
        <v>0.70834230479471738</v>
      </c>
      <c r="I85" s="57">
        <v>0.60298332898932849</v>
      </c>
      <c r="J85" s="57">
        <v>0.66995792554366673</v>
      </c>
      <c r="K85" s="86">
        <v>0.73151961817225286</v>
      </c>
      <c r="L85" s="86">
        <v>0.87466437819813569</v>
      </c>
      <c r="M85" s="57">
        <v>0.86738424869531128</v>
      </c>
      <c r="N85" s="57">
        <v>0.84185471367175602</v>
      </c>
    </row>
    <row r="86" spans="1:14" ht="12.75" customHeight="1" x14ac:dyDescent="0.2">
      <c r="A86" s="56" t="s">
        <v>133</v>
      </c>
      <c r="B86" s="59">
        <v>0.67375648353912154</v>
      </c>
      <c r="C86" s="57">
        <v>0.7231764124051816</v>
      </c>
      <c r="D86" s="57">
        <v>0.84875282839709199</v>
      </c>
      <c r="E86" s="86">
        <v>0.76268848952348922</v>
      </c>
      <c r="F86" s="57">
        <v>0.74792037414339918</v>
      </c>
      <c r="G86" s="40">
        <v>0.74310817097863913</v>
      </c>
      <c r="H86" s="57">
        <v>0.84068141652593098</v>
      </c>
      <c r="I86" s="57">
        <v>0.82554013303564311</v>
      </c>
      <c r="J86" s="57">
        <v>0.87836723021364593</v>
      </c>
      <c r="K86" s="86">
        <v>0.80619184627803042</v>
      </c>
      <c r="L86" s="86">
        <v>0.81567893914477041</v>
      </c>
      <c r="M86" s="57">
        <v>0.7895207095649458</v>
      </c>
      <c r="N86" s="57">
        <v>0.79839314146684381</v>
      </c>
    </row>
    <row r="87" spans="1:14" ht="12.75" customHeight="1" x14ac:dyDescent="0.2">
      <c r="A87" s="56" t="s">
        <v>408</v>
      </c>
      <c r="B87" s="59">
        <v>0.59318152805894142</v>
      </c>
      <c r="C87" s="57">
        <v>0.57321841481273483</v>
      </c>
      <c r="D87" s="57">
        <v>0.63966957248620204</v>
      </c>
      <c r="E87" s="86">
        <v>0.76376760389045939</v>
      </c>
      <c r="F87" s="57">
        <v>0.80556825075484761</v>
      </c>
      <c r="G87" s="40">
        <v>0.87818903054606212</v>
      </c>
      <c r="H87" s="57">
        <v>0.84578092139410765</v>
      </c>
      <c r="I87" s="57">
        <v>0.86494936931575805</v>
      </c>
      <c r="J87" s="57">
        <v>0.82676937916901772</v>
      </c>
      <c r="K87" s="86">
        <v>0.83626304366080373</v>
      </c>
      <c r="L87" s="86">
        <v>0.79861015696595761</v>
      </c>
      <c r="M87" s="57">
        <v>0.75095104093298737</v>
      </c>
      <c r="N87" s="57">
        <v>0.69955457926362508</v>
      </c>
    </row>
    <row r="88" spans="1:14" ht="12.75" customHeight="1" x14ac:dyDescent="0.2">
      <c r="A88" s="56" t="s">
        <v>332</v>
      </c>
      <c r="B88" s="59">
        <v>0.78846908548830752</v>
      </c>
      <c r="C88" s="57">
        <v>0.79611039329572997</v>
      </c>
      <c r="D88" s="57">
        <v>0.86501112468824759</v>
      </c>
      <c r="E88" s="86">
        <v>0.88475806125761369</v>
      </c>
      <c r="F88" s="57">
        <v>0.87717653867822898</v>
      </c>
      <c r="G88" s="40">
        <v>0.83063994708421995</v>
      </c>
      <c r="H88" s="57">
        <v>0.82591229454302439</v>
      </c>
      <c r="I88" s="57">
        <v>0.84197666161731766</v>
      </c>
      <c r="J88" s="57">
        <v>0.90027250231360212</v>
      </c>
      <c r="K88" s="86">
        <v>0.88302519361187504</v>
      </c>
      <c r="L88" s="86">
        <v>0.87708013232985937</v>
      </c>
      <c r="M88" s="57">
        <v>0.84093756656103169</v>
      </c>
      <c r="N88" s="57">
        <v>0.87284829140624376</v>
      </c>
    </row>
    <row r="89" spans="1:14" ht="12.75" customHeight="1" x14ac:dyDescent="0.2">
      <c r="A89" s="56" t="s">
        <v>117</v>
      </c>
      <c r="B89" s="59">
        <v>0.80403181138453961</v>
      </c>
      <c r="C89" s="57">
        <v>0.8576794170147396</v>
      </c>
      <c r="D89" s="57">
        <v>0.84399004532207689</v>
      </c>
      <c r="E89" s="86">
        <v>0.85128403015234466</v>
      </c>
      <c r="F89" s="57">
        <v>0.82568779163883921</v>
      </c>
      <c r="G89" s="40">
        <v>0.83593390137248036</v>
      </c>
      <c r="H89" s="57">
        <v>0.85018722006018932</v>
      </c>
      <c r="I89" s="57">
        <v>0.84469794788843144</v>
      </c>
      <c r="J89" s="57">
        <v>0.85176589223146626</v>
      </c>
      <c r="K89" s="86">
        <v>0.83059093158410846</v>
      </c>
      <c r="L89" s="86">
        <v>0.85190726729420563</v>
      </c>
      <c r="M89" s="57">
        <v>0.82099772990904529</v>
      </c>
      <c r="N89" s="57">
        <v>0.84941771739331473</v>
      </c>
    </row>
    <row r="90" spans="1:14" ht="12.75" customHeight="1" x14ac:dyDescent="0.2">
      <c r="A90" s="56" t="s">
        <v>385</v>
      </c>
      <c r="B90" s="59">
        <v>0.74688689762235938</v>
      </c>
      <c r="C90" s="57">
        <v>0.81545130627453333</v>
      </c>
      <c r="D90" s="57">
        <v>0.70642548816637774</v>
      </c>
      <c r="E90" s="86">
        <v>0.74429333972323664</v>
      </c>
      <c r="F90" s="57">
        <v>0.6808804594322192</v>
      </c>
      <c r="G90" s="40">
        <v>0.80165123978926867</v>
      </c>
      <c r="H90" s="57">
        <v>0.80931640800222182</v>
      </c>
      <c r="I90" s="57">
        <v>0.87023214838952434</v>
      </c>
      <c r="J90" s="57">
        <v>0.90610409008358006</v>
      </c>
      <c r="K90" s="86">
        <v>0.97350474390112585</v>
      </c>
      <c r="L90" s="86">
        <v>0.98305846406593422</v>
      </c>
      <c r="M90" s="57">
        <v>0.97174383079380544</v>
      </c>
      <c r="N90" s="57">
        <v>0.92539739172287705</v>
      </c>
    </row>
    <row r="91" spans="1:14" ht="12.75" customHeight="1" x14ac:dyDescent="0.2">
      <c r="A91" s="56" t="s">
        <v>378</v>
      </c>
      <c r="B91" s="59">
        <v>0.72938933630002278</v>
      </c>
      <c r="C91" s="57">
        <v>0.74174996459871156</v>
      </c>
      <c r="D91" s="57">
        <v>0.79443275235233379</v>
      </c>
      <c r="E91" s="86">
        <v>0.82524365464527405</v>
      </c>
      <c r="F91" s="57">
        <v>0.83502047451735695</v>
      </c>
      <c r="G91" s="40">
        <v>0.87435022151307551</v>
      </c>
      <c r="H91" s="57">
        <v>0.86494503092327568</v>
      </c>
      <c r="I91" s="57">
        <v>0.88617078040644615</v>
      </c>
      <c r="J91" s="57">
        <v>0.85797194716960545</v>
      </c>
      <c r="K91" s="86">
        <v>0.85168896616394429</v>
      </c>
      <c r="L91" s="86">
        <v>0.83900346467229181</v>
      </c>
      <c r="M91" s="57">
        <v>0.8269797215770831</v>
      </c>
      <c r="N91" s="57">
        <v>0.83507091138409495</v>
      </c>
    </row>
    <row r="92" spans="1:14" ht="12.75" customHeight="1" x14ac:dyDescent="0.2">
      <c r="A92" s="56" t="s">
        <v>198</v>
      </c>
      <c r="B92" s="59">
        <v>0.61182983644073496</v>
      </c>
      <c r="C92" s="57">
        <v>0.57861236422995399</v>
      </c>
      <c r="D92" s="57">
        <v>0.4040594624487277</v>
      </c>
      <c r="E92" s="86">
        <v>0.50025409724451186</v>
      </c>
      <c r="F92" s="57">
        <v>0.49005690169335087</v>
      </c>
      <c r="G92" s="40">
        <v>0.56901356011808224</v>
      </c>
      <c r="H92" s="57">
        <v>0.45797684246986359</v>
      </c>
      <c r="I92" s="57">
        <v>0.64538194103897584</v>
      </c>
      <c r="J92" s="57">
        <v>0.82463987070590006</v>
      </c>
      <c r="K92" s="86">
        <v>0.88801891671849509</v>
      </c>
      <c r="L92" s="86">
        <v>0.87839954582561985</v>
      </c>
      <c r="M92" s="57">
        <v>0.81758694348686756</v>
      </c>
      <c r="N92" s="57">
        <v>0.77616736665955199</v>
      </c>
    </row>
    <row r="93" spans="1:14" ht="12.75" customHeight="1" x14ac:dyDescent="0.2">
      <c r="A93" s="56" t="s">
        <v>28</v>
      </c>
      <c r="B93" s="59">
        <v>0.70594293614051773</v>
      </c>
      <c r="C93" s="57">
        <v>0.70051091843167368</v>
      </c>
      <c r="D93" s="57">
        <v>0.72666614271813146</v>
      </c>
      <c r="E93" s="86">
        <v>0.68958850741972311</v>
      </c>
      <c r="F93" s="57">
        <v>0.76092800317068232</v>
      </c>
      <c r="G93" s="40">
        <v>0.76388713305107603</v>
      </c>
      <c r="H93" s="57">
        <v>0.84457426608832098</v>
      </c>
      <c r="I93" s="57">
        <v>0.88849914773840677</v>
      </c>
      <c r="J93" s="57">
        <v>0.88984696878494107</v>
      </c>
      <c r="K93" s="86">
        <v>0.88646969714917978</v>
      </c>
      <c r="L93" s="86">
        <v>0.85053308079825485</v>
      </c>
      <c r="M93" s="57">
        <v>0.81978451593179369</v>
      </c>
      <c r="N93" s="57">
        <v>0.82728416335962651</v>
      </c>
    </row>
    <row r="94" spans="1:14" ht="12.75" customHeight="1" x14ac:dyDescent="0.2">
      <c r="A94" s="56" t="s">
        <v>352</v>
      </c>
      <c r="B94" s="59">
        <v>0.72784446687593896</v>
      </c>
      <c r="C94" s="57">
        <v>0.74632343525289213</v>
      </c>
      <c r="D94" s="57">
        <v>0.69275044584801304</v>
      </c>
      <c r="E94" s="86">
        <v>0.71367853890337596</v>
      </c>
      <c r="F94" s="57">
        <v>0.66411162542074909</v>
      </c>
      <c r="G94" s="40">
        <v>0.78149397213470351</v>
      </c>
      <c r="H94" s="57">
        <v>0.75644432413700569</v>
      </c>
      <c r="I94" s="57">
        <v>0.8985815160216708</v>
      </c>
      <c r="J94" s="57">
        <v>0.89754503024635246</v>
      </c>
      <c r="K94" s="86">
        <v>0.84712521143697639</v>
      </c>
      <c r="L94" s="86">
        <v>0.84787239191153763</v>
      </c>
      <c r="M94" s="57">
        <v>0.81553433900924566</v>
      </c>
      <c r="N94" s="57">
        <v>0.88362608633166262</v>
      </c>
    </row>
    <row r="95" spans="1:14" ht="12.75" customHeight="1" x14ac:dyDescent="0.2">
      <c r="A95" s="56" t="s">
        <v>240</v>
      </c>
      <c r="B95" s="59">
        <v>0.66238058948717515</v>
      </c>
      <c r="C95" s="57">
        <v>0.70474280076232076</v>
      </c>
      <c r="D95" s="57">
        <v>0.73394804597934993</v>
      </c>
      <c r="E95" s="86">
        <v>0.70104010734281896</v>
      </c>
      <c r="F95" s="57">
        <v>0.64377952063636801</v>
      </c>
      <c r="G95" s="40">
        <v>0.6041439855554952</v>
      </c>
      <c r="H95" s="57">
        <v>0.63598965144205233</v>
      </c>
      <c r="I95" s="57">
        <v>0.7195600459270276</v>
      </c>
      <c r="J95" s="57">
        <v>0.77735153496637766</v>
      </c>
      <c r="K95" s="86">
        <v>0.81676821524563936</v>
      </c>
      <c r="L95" s="86">
        <v>0.80075870339019561</v>
      </c>
      <c r="M95" s="57">
        <v>0.81437968401182614</v>
      </c>
      <c r="N95" s="57">
        <v>0.84664415000378412</v>
      </c>
    </row>
    <row r="96" spans="1:14" ht="12.75" customHeight="1" x14ac:dyDescent="0.2">
      <c r="A96" s="56" t="s">
        <v>226</v>
      </c>
      <c r="B96" s="59">
        <v>0.87559161177103828</v>
      </c>
      <c r="C96" s="57">
        <v>0.87879211680407021</v>
      </c>
      <c r="D96" s="57">
        <v>0.9249556461517624</v>
      </c>
      <c r="E96" s="86">
        <v>0.92913626872023836</v>
      </c>
      <c r="F96" s="57">
        <v>0.92649782025917249</v>
      </c>
      <c r="G96" s="40">
        <v>0.79318662330474121</v>
      </c>
      <c r="H96" s="57">
        <v>0.72336661891710186</v>
      </c>
      <c r="I96" s="57">
        <v>0.76942281535124668</v>
      </c>
      <c r="J96" s="57">
        <v>0.89846530465197905</v>
      </c>
      <c r="K96" s="86">
        <v>0.94354902402026408</v>
      </c>
      <c r="L96" s="86">
        <v>0.85231860532455805</v>
      </c>
      <c r="M96" s="57">
        <v>0.76137099564499133</v>
      </c>
      <c r="N96" s="57">
        <v>0.75741013390192113</v>
      </c>
    </row>
    <row r="97" spans="1:14" ht="12.75" customHeight="1" x14ac:dyDescent="0.2">
      <c r="A97" s="56" t="s">
        <v>154</v>
      </c>
      <c r="B97" s="59">
        <v>0.73565720412333668</v>
      </c>
      <c r="C97" s="57">
        <v>0.83058992219591754</v>
      </c>
      <c r="D97" s="57">
        <v>0.72192227914883134</v>
      </c>
      <c r="E97" s="86">
        <v>0.63575226662131323</v>
      </c>
      <c r="F97" s="57">
        <v>0.6047251532176624</v>
      </c>
      <c r="G97" s="40">
        <v>0.72814969691297426</v>
      </c>
      <c r="H97" s="57">
        <v>0.80949833064912735</v>
      </c>
      <c r="I97" s="57">
        <v>0.82943700235970441</v>
      </c>
      <c r="J97" s="57">
        <v>0.887327526643653</v>
      </c>
      <c r="K97" s="86">
        <v>0.92172414648903234</v>
      </c>
      <c r="L97" s="86">
        <v>0.94899182162188733</v>
      </c>
      <c r="M97" s="57">
        <v>0.95916735036604717</v>
      </c>
      <c r="N97" s="57">
        <v>0.96377124577045092</v>
      </c>
    </row>
    <row r="98" spans="1:14" ht="12.75" customHeight="1" x14ac:dyDescent="0.2">
      <c r="A98" s="56" t="s">
        <v>10</v>
      </c>
      <c r="B98" s="59">
        <v>0.86975570960935411</v>
      </c>
      <c r="C98" s="57">
        <v>0.87585390564220067</v>
      </c>
      <c r="D98" s="57">
        <v>0.87653029488849388</v>
      </c>
      <c r="E98" s="86">
        <v>0.88549073379896059</v>
      </c>
      <c r="F98" s="57">
        <v>0.88988547158644471</v>
      </c>
      <c r="G98" s="40">
        <v>0.89911890747793288</v>
      </c>
      <c r="H98" s="57">
        <v>0.90294401450157435</v>
      </c>
      <c r="I98" s="57">
        <v>0.90177631523157542</v>
      </c>
      <c r="J98" s="57">
        <v>0.90795223292347249</v>
      </c>
      <c r="K98" s="86">
        <v>0.90884155504701791</v>
      </c>
      <c r="L98" s="86">
        <v>0.91009060648296902</v>
      </c>
      <c r="M98" s="57">
        <v>0.90773468676927582</v>
      </c>
      <c r="N98" s="57">
        <v>0.89660775805416881</v>
      </c>
    </row>
    <row r="99" spans="1:14" ht="12.75" customHeight="1" x14ac:dyDescent="0.2">
      <c r="A99" s="56" t="s">
        <v>47</v>
      </c>
      <c r="B99" s="59">
        <v>0.49226273730770553</v>
      </c>
      <c r="C99" s="57">
        <v>0.48340909536428356</v>
      </c>
      <c r="D99" s="57">
        <v>0.49585357112442213</v>
      </c>
      <c r="E99" s="86">
        <v>0.57760229856389356</v>
      </c>
      <c r="F99" s="57">
        <v>0.65386451074194152</v>
      </c>
      <c r="G99" s="40">
        <v>0.69435989404825771</v>
      </c>
      <c r="H99" s="57">
        <v>0.70336322443890131</v>
      </c>
      <c r="I99" s="57">
        <v>0.75862222122309397</v>
      </c>
      <c r="J99" s="57">
        <v>0.81807691796618498</v>
      </c>
      <c r="K99" s="86">
        <v>0.83492871895407494</v>
      </c>
      <c r="L99" s="86">
        <v>0.81313267313418525</v>
      </c>
      <c r="M99" s="57">
        <v>0.80275014151591328</v>
      </c>
      <c r="N99" s="57">
        <v>0.85453453524929224</v>
      </c>
    </row>
    <row r="100" spans="1:14" ht="12.75" customHeight="1" x14ac:dyDescent="0.2">
      <c r="A100" s="56" t="s">
        <v>286</v>
      </c>
      <c r="B100" s="59">
        <v>0.67905761861334268</v>
      </c>
      <c r="C100" s="57">
        <v>0.69068521803631044</v>
      </c>
      <c r="D100" s="57">
        <v>0.70068830769579848</v>
      </c>
      <c r="E100" s="86">
        <v>0.78253351268856974</v>
      </c>
      <c r="F100" s="57">
        <v>0.80001190731967531</v>
      </c>
      <c r="G100" s="40">
        <v>0.86765134233608643</v>
      </c>
      <c r="H100" s="57">
        <v>0.80367895834342296</v>
      </c>
      <c r="I100" s="57">
        <v>0.84202988864056882</v>
      </c>
      <c r="J100" s="57">
        <v>0.86060351692918868</v>
      </c>
      <c r="K100" s="86">
        <v>0.97653739349795343</v>
      </c>
      <c r="L100" s="86">
        <v>0.98485234460466664</v>
      </c>
      <c r="M100" s="57">
        <v>0.99148301619697499</v>
      </c>
      <c r="N100" s="57">
        <v>0.99994862466258339</v>
      </c>
    </row>
    <row r="101" spans="1:14" ht="12.75" customHeight="1" x14ac:dyDescent="0.2">
      <c r="A101" s="56" t="s">
        <v>304</v>
      </c>
      <c r="B101" s="59">
        <v>0.66765698086640057</v>
      </c>
      <c r="C101" s="57">
        <v>0.70955895915682776</v>
      </c>
      <c r="D101" s="57">
        <v>0.69728627742991467</v>
      </c>
      <c r="E101" s="86">
        <v>0.58531836441516549</v>
      </c>
      <c r="F101" s="57">
        <v>0.69205005750386928</v>
      </c>
      <c r="G101" s="40">
        <v>0.8066424907341242</v>
      </c>
      <c r="H101" s="57">
        <v>0.98056609207569245</v>
      </c>
      <c r="I101" s="57">
        <v>0.87486760362181382</v>
      </c>
      <c r="J101" s="57">
        <v>0.8686116536694134</v>
      </c>
      <c r="K101" s="86">
        <v>0.8701741943605773</v>
      </c>
      <c r="L101" s="86">
        <v>0.98897013952093504</v>
      </c>
      <c r="M101" s="57">
        <v>0.86639169377534431</v>
      </c>
      <c r="N101" s="57">
        <v>0.72864899787802606</v>
      </c>
    </row>
    <row r="102" spans="1:14" ht="12.75" customHeight="1" x14ac:dyDescent="0.2">
      <c r="A102" s="56" t="s">
        <v>480</v>
      </c>
      <c r="B102" s="59">
        <v>0.74628084383769921</v>
      </c>
      <c r="C102" s="57">
        <v>0.77537644315640897</v>
      </c>
      <c r="D102" s="57">
        <v>0.80216919692709332</v>
      </c>
      <c r="E102" s="86">
        <v>0.8302309271842313</v>
      </c>
      <c r="F102" s="57">
        <v>0.89730010276544181</v>
      </c>
      <c r="G102" s="40">
        <v>0.90599651827907424</v>
      </c>
      <c r="H102" s="57">
        <v>0.91732373863034444</v>
      </c>
      <c r="I102" s="57">
        <v>0.90921451543650267</v>
      </c>
      <c r="J102" s="57">
        <v>0.84514239833591731</v>
      </c>
      <c r="K102" s="86">
        <v>0.80611255255761771</v>
      </c>
      <c r="L102" s="86">
        <v>0.76044763876764376</v>
      </c>
      <c r="M102" s="57">
        <v>0.86813713028433037</v>
      </c>
      <c r="N102" s="57">
        <v>0.89211419462268482</v>
      </c>
    </row>
    <row r="103" spans="1:14" ht="12.75" customHeight="1" x14ac:dyDescent="0.2">
      <c r="A103" s="56" t="s">
        <v>353</v>
      </c>
      <c r="B103" s="59">
        <v>0.79784748814906159</v>
      </c>
      <c r="C103" s="57">
        <v>0.78986206651130253</v>
      </c>
      <c r="D103" s="57">
        <v>0.77893082919548728</v>
      </c>
      <c r="E103" s="86">
        <v>0.73350460943972406</v>
      </c>
      <c r="F103" s="57">
        <v>0.69166981870766986</v>
      </c>
      <c r="G103" s="40">
        <v>0.73235818633222893</v>
      </c>
      <c r="H103" s="57">
        <v>0.82082246888926191</v>
      </c>
      <c r="I103" s="57">
        <v>0.91092939199578959</v>
      </c>
      <c r="J103" s="57">
        <v>0.90449962880188917</v>
      </c>
      <c r="K103" s="86">
        <v>0.89738673998100715</v>
      </c>
      <c r="L103" s="86">
        <v>0.8853451350167969</v>
      </c>
      <c r="M103" s="57">
        <v>0.91544859782549126</v>
      </c>
      <c r="N103" s="57">
        <v>0.89753912982583317</v>
      </c>
    </row>
    <row r="104" spans="1:14" ht="12.75" customHeight="1" x14ac:dyDescent="0.2">
      <c r="A104" s="56" t="s">
        <v>298</v>
      </c>
      <c r="B104" s="59">
        <v>0.83257221719932983</v>
      </c>
      <c r="C104" s="57">
        <v>0.89357818331236694</v>
      </c>
      <c r="D104" s="57">
        <v>0.87064719042578975</v>
      </c>
      <c r="E104" s="86">
        <v>0.8777894277273145</v>
      </c>
      <c r="F104" s="57">
        <v>0.83952594791187052</v>
      </c>
      <c r="G104" s="40">
        <v>0.80136436367395547</v>
      </c>
      <c r="H104" s="57">
        <v>0.76773674319070384</v>
      </c>
      <c r="I104" s="57">
        <v>0.76454719730469733</v>
      </c>
      <c r="J104" s="57">
        <v>0.87001179761654379</v>
      </c>
      <c r="K104" s="86">
        <v>0.90843901686975637</v>
      </c>
      <c r="L104" s="86">
        <v>0.95396214036592741</v>
      </c>
      <c r="M104" s="57">
        <v>0.90626803535215339</v>
      </c>
      <c r="N104" s="57">
        <v>0.89565203343530708</v>
      </c>
    </row>
    <row r="105" spans="1:14" ht="12.75" customHeight="1" x14ac:dyDescent="0.2">
      <c r="A105" s="56" t="s">
        <v>209</v>
      </c>
      <c r="B105" s="59">
        <v>0.76447486816107435</v>
      </c>
      <c r="C105" s="57">
        <v>0.74363600758027182</v>
      </c>
      <c r="D105" s="57">
        <v>0.68413085273100283</v>
      </c>
      <c r="E105" s="86">
        <v>0.69149699970752254</v>
      </c>
      <c r="F105" s="57">
        <v>0.74035369763505521</v>
      </c>
      <c r="G105" s="40">
        <v>0.90234542848277444</v>
      </c>
      <c r="H105" s="57">
        <v>0.91358256271991689</v>
      </c>
      <c r="I105" s="57">
        <v>0.95930116379772079</v>
      </c>
      <c r="J105" s="57">
        <v>0.96145709125076217</v>
      </c>
      <c r="K105" s="86">
        <v>0.9755901593692794</v>
      </c>
      <c r="L105" s="86">
        <v>0.89601053761186933</v>
      </c>
      <c r="M105" s="57">
        <v>0.84060767377721779</v>
      </c>
      <c r="N105" s="57">
        <v>0.85203470879771903</v>
      </c>
    </row>
    <row r="106" spans="1:14" ht="12.75" customHeight="1" x14ac:dyDescent="0.2">
      <c r="A106" s="56" t="s">
        <v>402</v>
      </c>
      <c r="B106" s="59">
        <v>0.39034230321237756</v>
      </c>
      <c r="C106" s="57">
        <v>0.38008908482876702</v>
      </c>
      <c r="D106" s="57">
        <v>0.2969853526405562</v>
      </c>
      <c r="E106" s="86">
        <v>0.44118965210627215</v>
      </c>
      <c r="F106" s="57">
        <v>0.68412083097615461</v>
      </c>
      <c r="G106" s="40">
        <v>0.86334640018850539</v>
      </c>
      <c r="H106" s="57">
        <v>0.8541901610102598</v>
      </c>
      <c r="I106" s="57">
        <v>0.83477275168722509</v>
      </c>
      <c r="J106" s="57">
        <v>0.86186826825642582</v>
      </c>
      <c r="K106" s="86">
        <v>0.66663997266122255</v>
      </c>
      <c r="L106" s="86">
        <v>0.59643364111845132</v>
      </c>
      <c r="M106" s="57">
        <v>0.37163464244733951</v>
      </c>
      <c r="N106" s="57">
        <v>0.47452797111581324</v>
      </c>
    </row>
    <row r="107" spans="1:14" ht="12.75" customHeight="1" x14ac:dyDescent="0.2">
      <c r="A107" s="56" t="s">
        <v>354</v>
      </c>
      <c r="B107" s="59">
        <v>0.7744960089427404</v>
      </c>
      <c r="C107" s="57">
        <v>0.83913186073428303</v>
      </c>
      <c r="D107" s="57">
        <v>0.75248589464419613</v>
      </c>
      <c r="E107" s="86">
        <v>0.76117339776108717</v>
      </c>
      <c r="F107" s="57">
        <v>0.78754752485775015</v>
      </c>
      <c r="G107" s="40">
        <v>0.87074627642029012</v>
      </c>
      <c r="H107" s="57">
        <v>0.81431542225342923</v>
      </c>
      <c r="I107" s="57">
        <v>0.83789418940649352</v>
      </c>
      <c r="J107" s="57">
        <v>0.79438108313365163</v>
      </c>
      <c r="K107" s="86">
        <v>0.85116144866442445</v>
      </c>
      <c r="L107" s="86">
        <v>0.80936501479904821</v>
      </c>
      <c r="M107" s="57">
        <v>0.81323345418512494</v>
      </c>
      <c r="N107" s="57">
        <v>0.83724149034385864</v>
      </c>
    </row>
    <row r="108" spans="1:14" ht="12.75" customHeight="1" x14ac:dyDescent="0.2">
      <c r="A108" s="56" t="s">
        <v>199</v>
      </c>
      <c r="B108" s="59">
        <v>0.77236316664715832</v>
      </c>
      <c r="C108" s="57">
        <v>0.78300517385610391</v>
      </c>
      <c r="D108" s="57">
        <v>0.67312649250242362</v>
      </c>
      <c r="E108" s="86">
        <v>0.70385474397939285</v>
      </c>
      <c r="F108" s="57">
        <v>0.73478920106112577</v>
      </c>
      <c r="G108" s="40">
        <v>0.84542747839380927</v>
      </c>
      <c r="H108" s="57">
        <v>0.85479599900109238</v>
      </c>
      <c r="I108" s="57">
        <v>0.86511944969978616</v>
      </c>
      <c r="J108" s="57">
        <v>0.88553825365242522</v>
      </c>
      <c r="K108" s="86">
        <v>0.91615185729085391</v>
      </c>
      <c r="L108" s="86">
        <v>0.8997339154765186</v>
      </c>
      <c r="M108" s="57">
        <v>0.88026070227767239</v>
      </c>
      <c r="N108" s="57">
        <v>0.76717619007447269</v>
      </c>
    </row>
    <row r="109" spans="1:14" ht="12.75" customHeight="1" x14ac:dyDescent="0.2">
      <c r="A109" s="56" t="s">
        <v>305</v>
      </c>
      <c r="B109" s="59">
        <v>0.79433638339289347</v>
      </c>
      <c r="C109" s="57">
        <v>0.83056245533327078</v>
      </c>
      <c r="D109" s="57">
        <v>0.89824460790898841</v>
      </c>
      <c r="E109" s="86">
        <v>0.86730259957616462</v>
      </c>
      <c r="F109" s="57">
        <v>0.92344165484348484</v>
      </c>
      <c r="G109" s="40">
        <v>0.87639875264652467</v>
      </c>
      <c r="H109" s="57">
        <v>0.91362071073975049</v>
      </c>
      <c r="I109" s="57">
        <v>0.7950326883221539</v>
      </c>
      <c r="J109" s="57">
        <v>0.78907219193141975</v>
      </c>
      <c r="K109" s="86">
        <v>0.67391227847803103</v>
      </c>
      <c r="L109" s="86">
        <v>0.78281238729816538</v>
      </c>
      <c r="M109" s="57">
        <v>0.69446538713421047</v>
      </c>
      <c r="N109" s="57">
        <v>0.75818371981950428</v>
      </c>
    </row>
    <row r="110" spans="1:14" ht="12.75" customHeight="1" x14ac:dyDescent="0.2">
      <c r="A110" s="56" t="s">
        <v>278</v>
      </c>
      <c r="B110" s="59">
        <v>0.69941387937439226</v>
      </c>
      <c r="C110" s="57">
        <v>0.79168917948529005</v>
      </c>
      <c r="D110" s="57">
        <v>0.77816753357834045</v>
      </c>
      <c r="E110" s="86">
        <v>0.89825374875459973</v>
      </c>
      <c r="F110" s="57">
        <v>0.89472641189392965</v>
      </c>
      <c r="G110" s="40">
        <v>0.77179142265577827</v>
      </c>
      <c r="H110" s="57">
        <v>0.81301105116469063</v>
      </c>
      <c r="I110" s="57">
        <v>0.81771979271553741</v>
      </c>
      <c r="J110" s="57">
        <v>0.94925148578994178</v>
      </c>
      <c r="K110" s="86">
        <v>0.96068957731956639</v>
      </c>
      <c r="L110" s="86">
        <v>0.96068957731956639</v>
      </c>
      <c r="M110" s="57">
        <v>0.97687106743695196</v>
      </c>
      <c r="N110" s="57">
        <v>0.90160710760893881</v>
      </c>
    </row>
    <row r="111" spans="1:14" ht="12.75" customHeight="1" x14ac:dyDescent="0.2">
      <c r="A111" s="56" t="s">
        <v>80</v>
      </c>
      <c r="B111" s="59">
        <v>0.5426546280720107</v>
      </c>
      <c r="C111" s="57">
        <v>0.56738861151288111</v>
      </c>
      <c r="D111" s="57">
        <v>0.55670755708073116</v>
      </c>
      <c r="E111" s="86">
        <v>0.69183335729348949</v>
      </c>
      <c r="F111" s="57">
        <v>0.62563903162973133</v>
      </c>
      <c r="G111" s="40">
        <v>0.66918319308711316</v>
      </c>
      <c r="H111" s="57">
        <v>0.73085749906700059</v>
      </c>
      <c r="I111" s="57">
        <v>0.77632581593470551</v>
      </c>
      <c r="J111" s="57">
        <v>0.88761212898607356</v>
      </c>
      <c r="K111" s="86">
        <v>0.85403867001243905</v>
      </c>
      <c r="L111" s="86">
        <v>0.89608547592531185</v>
      </c>
      <c r="M111" s="57">
        <v>0.90792354858865931</v>
      </c>
      <c r="N111" s="57">
        <v>0.95645893647748148</v>
      </c>
    </row>
    <row r="112" spans="1:14" ht="12.75" customHeight="1" x14ac:dyDescent="0.2">
      <c r="A112" s="56" t="s">
        <v>7088</v>
      </c>
      <c r="B112" s="59">
        <v>0.86719474067931523</v>
      </c>
      <c r="C112" s="57">
        <v>0.89661771331558426</v>
      </c>
      <c r="D112" s="57">
        <v>0.85878113600642314</v>
      </c>
      <c r="E112" s="86">
        <v>0.83154914149287518</v>
      </c>
      <c r="F112" s="57">
        <v>0.79529013305123719</v>
      </c>
      <c r="G112" s="40">
        <v>0.8386831258541898</v>
      </c>
      <c r="H112" s="57">
        <v>0.8622329916711311</v>
      </c>
      <c r="I112" s="57">
        <v>0.89900497846508254</v>
      </c>
      <c r="J112" s="57">
        <v>0.71642585867404529</v>
      </c>
      <c r="K112" s="86">
        <v>0.71843881838323986</v>
      </c>
      <c r="L112" s="86">
        <v>0.72350704450409753</v>
      </c>
      <c r="M112" s="57">
        <v>0.86530485800208545</v>
      </c>
      <c r="N112" s="57">
        <v>0.7449689557435436</v>
      </c>
    </row>
    <row r="113" spans="1:14" ht="12.75" customHeight="1" x14ac:dyDescent="0.2">
      <c r="A113" s="56" t="s">
        <v>178</v>
      </c>
      <c r="B113" s="59">
        <v>0.58068252229127004</v>
      </c>
      <c r="C113" s="57">
        <v>0.66635066583550151</v>
      </c>
      <c r="D113" s="57">
        <v>0.63454827618100584</v>
      </c>
      <c r="E113" s="86">
        <v>0.55893429611909018</v>
      </c>
      <c r="F113" s="57">
        <v>0.59572842185290209</v>
      </c>
      <c r="G113" s="40">
        <v>0.70574452801858778</v>
      </c>
      <c r="H113" s="57">
        <v>0.76994773289853591</v>
      </c>
      <c r="I113" s="57">
        <v>0.80000475010693395</v>
      </c>
      <c r="J113" s="57">
        <v>0.82135770310533773</v>
      </c>
      <c r="K113" s="86">
        <v>0.90107243661948466</v>
      </c>
      <c r="L113" s="86">
        <v>0.87061082455661631</v>
      </c>
      <c r="M113" s="57">
        <v>0.86684448288419869</v>
      </c>
      <c r="N113" s="57">
        <v>0.85744657246752165</v>
      </c>
    </row>
    <row r="114" spans="1:14" ht="12.75" customHeight="1" x14ac:dyDescent="0.2">
      <c r="A114" s="56" t="s">
        <v>7087</v>
      </c>
      <c r="B114" s="59">
        <v>0.67291948737644469</v>
      </c>
      <c r="C114" s="57">
        <v>0.62624521847299597</v>
      </c>
      <c r="D114" s="57">
        <v>0.64230750258154323</v>
      </c>
      <c r="E114" s="86">
        <v>0.69929760037753852</v>
      </c>
      <c r="F114" s="57">
        <v>0.78399286852479066</v>
      </c>
      <c r="G114" s="40">
        <v>0.80937235902012239</v>
      </c>
      <c r="H114" s="57">
        <v>0.82664705299284735</v>
      </c>
      <c r="I114" s="57">
        <v>0.83070476681929506</v>
      </c>
      <c r="J114" s="57">
        <v>0.84714692701692706</v>
      </c>
      <c r="K114" s="86">
        <v>0.83093265185334808</v>
      </c>
      <c r="L114" s="86">
        <v>0.82166046424763906</v>
      </c>
      <c r="M114" s="57">
        <v>0.81141722736158173</v>
      </c>
      <c r="N114" s="57">
        <v>0.78705364763191488</v>
      </c>
    </row>
    <row r="115" spans="1:14" ht="12.75" customHeight="1" x14ac:dyDescent="0.2">
      <c r="A115" s="56" t="s">
        <v>155</v>
      </c>
      <c r="B115" s="59">
        <v>0.75581317075020404</v>
      </c>
      <c r="C115" s="57">
        <v>0.7778227719139913</v>
      </c>
      <c r="D115" s="57">
        <v>0.75510719502319112</v>
      </c>
      <c r="E115" s="86">
        <v>0.66580542373124862</v>
      </c>
      <c r="F115" s="57">
        <v>0.58852940924315567</v>
      </c>
      <c r="G115" s="40">
        <v>0.73139336087218476</v>
      </c>
      <c r="H115" s="57">
        <v>0.81885455444422328</v>
      </c>
      <c r="I115" s="57">
        <v>0.9498525720069434</v>
      </c>
      <c r="J115" s="57">
        <v>0.94061333198689789</v>
      </c>
      <c r="K115" s="86">
        <v>0.97166531236054421</v>
      </c>
      <c r="L115" s="86">
        <v>0.89470470914162592</v>
      </c>
      <c r="M115" s="57">
        <v>0.89086489957643522</v>
      </c>
      <c r="N115" s="57">
        <v>0.88730378171144419</v>
      </c>
    </row>
    <row r="116" spans="1:14" ht="12.75" customHeight="1" x14ac:dyDescent="0.2">
      <c r="A116" s="56" t="s">
        <v>54</v>
      </c>
      <c r="B116" s="59">
        <v>0.72353908582129145</v>
      </c>
      <c r="C116" s="57">
        <v>0.61833025853432966</v>
      </c>
      <c r="D116" s="57">
        <v>0.6849297290739883</v>
      </c>
      <c r="E116" s="86">
        <v>0.76035961536589258</v>
      </c>
      <c r="F116" s="57">
        <v>0.76581509720354213</v>
      </c>
      <c r="G116" s="40">
        <v>0.68630322709667435</v>
      </c>
      <c r="H116" s="57">
        <v>0.57422574708703411</v>
      </c>
      <c r="I116" s="57">
        <v>0.62850245620114886</v>
      </c>
      <c r="J116" s="57">
        <v>0.6602266692033224</v>
      </c>
      <c r="K116" s="86">
        <v>0.76924304536473365</v>
      </c>
      <c r="L116" s="86">
        <v>0.88367943144712469</v>
      </c>
      <c r="M116" s="57">
        <v>0.92140533608603759</v>
      </c>
      <c r="N116" s="57">
        <v>0.95692951463880183</v>
      </c>
    </row>
    <row r="117" spans="1:14" ht="12.75" customHeight="1" x14ac:dyDescent="0.2">
      <c r="A117" s="56" t="s">
        <v>166</v>
      </c>
      <c r="B117" s="59">
        <v>0.54137539813783009</v>
      </c>
      <c r="C117" s="57">
        <v>0.6346339464408538</v>
      </c>
      <c r="D117" s="57">
        <v>0.70927259910042262</v>
      </c>
      <c r="E117" s="86">
        <v>0.81176277647745676</v>
      </c>
      <c r="F117" s="57">
        <v>0.81052009386014656</v>
      </c>
      <c r="G117" s="40">
        <v>0.83072582301177311</v>
      </c>
      <c r="H117" s="57">
        <v>0.84543712798897852</v>
      </c>
      <c r="I117" s="57">
        <v>0.89050982724901273</v>
      </c>
      <c r="J117" s="57">
        <v>0.90850756359977913</v>
      </c>
      <c r="K117" s="86">
        <v>0.92304386765848179</v>
      </c>
      <c r="L117" s="86">
        <v>0.90921275489293907</v>
      </c>
      <c r="M117" s="57">
        <v>0.90583954695500879</v>
      </c>
      <c r="N117" s="57">
        <v>0.87056656969295598</v>
      </c>
    </row>
    <row r="118" spans="1:14" ht="12.75" customHeight="1" x14ac:dyDescent="0.2">
      <c r="A118" s="56" t="s">
        <v>355</v>
      </c>
      <c r="B118" s="59">
        <v>0.84769695708481452</v>
      </c>
      <c r="C118" s="57">
        <v>0.84739529405965153</v>
      </c>
      <c r="D118" s="57">
        <v>0.71939449692913249</v>
      </c>
      <c r="E118" s="86">
        <v>0.69362430820799792</v>
      </c>
      <c r="F118" s="57">
        <v>0.65789406300555242</v>
      </c>
      <c r="G118" s="40">
        <v>0.77180463468745197</v>
      </c>
      <c r="H118" s="57">
        <v>0.83993533779995599</v>
      </c>
      <c r="I118" s="57">
        <v>0.8457053149047894</v>
      </c>
      <c r="J118" s="57">
        <v>0.85726416870528654</v>
      </c>
      <c r="K118" s="86">
        <v>0.8765163637463016</v>
      </c>
      <c r="L118" s="86">
        <v>0.8254515693022132</v>
      </c>
      <c r="M118" s="57">
        <v>0.80825470001174338</v>
      </c>
      <c r="N118" s="57">
        <v>0.7798507161078837</v>
      </c>
    </row>
    <row r="119" spans="1:14" ht="12.75" customHeight="1" x14ac:dyDescent="0.2">
      <c r="A119" s="56" t="s">
        <v>210</v>
      </c>
      <c r="B119" s="59">
        <v>0.9436560104430276</v>
      </c>
      <c r="C119" s="57">
        <v>0.88510749476116801</v>
      </c>
      <c r="D119" s="57">
        <v>0.82281706728490445</v>
      </c>
      <c r="E119" s="86">
        <v>0.82861860817416455</v>
      </c>
      <c r="F119" s="57">
        <v>0.87374704884580368</v>
      </c>
      <c r="G119" s="40">
        <v>0.94027253901460073</v>
      </c>
      <c r="H119" s="57">
        <v>0.94714156342748479</v>
      </c>
      <c r="I119" s="57">
        <v>0.89832978870711511</v>
      </c>
      <c r="J119" s="57">
        <v>0.92239074137378718</v>
      </c>
      <c r="K119" s="86">
        <v>0.92434005911257866</v>
      </c>
      <c r="L119" s="86">
        <v>0.98121994932716339</v>
      </c>
      <c r="M119" s="57">
        <v>0.98620790942348258</v>
      </c>
      <c r="N119" s="57">
        <v>0.9777608658887198</v>
      </c>
    </row>
    <row r="120" spans="1:14" ht="12.75" customHeight="1" x14ac:dyDescent="0.2">
      <c r="A120" s="56" t="s">
        <v>200</v>
      </c>
      <c r="B120" s="59">
        <v>0.76963696883430976</v>
      </c>
      <c r="C120" s="57">
        <v>0.79897956890402311</v>
      </c>
      <c r="D120" s="57">
        <v>0.8537377756294392</v>
      </c>
      <c r="E120" s="86">
        <v>0.8216868662080602</v>
      </c>
      <c r="F120" s="57">
        <v>0.75692657331161872</v>
      </c>
      <c r="G120" s="40">
        <v>0.78119762502538637</v>
      </c>
      <c r="H120" s="57">
        <v>0.78432139328418327</v>
      </c>
      <c r="I120" s="57">
        <v>0.86218401551594026</v>
      </c>
      <c r="J120" s="57">
        <v>0.79011779251487912</v>
      </c>
      <c r="K120" s="86">
        <v>0.89562499685156427</v>
      </c>
      <c r="L120" s="86">
        <v>0.89751349843758543</v>
      </c>
      <c r="M120" s="57">
        <v>0.97064808411320114</v>
      </c>
      <c r="N120" s="57">
        <v>0.97120515542091945</v>
      </c>
    </row>
    <row r="121" spans="1:14" ht="12.75" customHeight="1" x14ac:dyDescent="0.2">
      <c r="A121" s="56" t="s">
        <v>91</v>
      </c>
      <c r="B121" s="59">
        <v>0.74610093950872003</v>
      </c>
      <c r="C121" s="57">
        <v>0.77382090934761705</v>
      </c>
      <c r="D121" s="57">
        <v>0.84553605228432982</v>
      </c>
      <c r="E121" s="86">
        <v>0.88557797329261623</v>
      </c>
      <c r="F121" s="57">
        <v>0.86366840287400815</v>
      </c>
      <c r="G121" s="40">
        <v>0.8306129023760388</v>
      </c>
      <c r="H121" s="57">
        <v>0.82275410821105943</v>
      </c>
      <c r="I121" s="57">
        <v>0.8065651426738768</v>
      </c>
      <c r="J121" s="57">
        <v>0.78289870954343044</v>
      </c>
      <c r="K121" s="86">
        <v>0.80185467010056932</v>
      </c>
      <c r="L121" s="86">
        <v>0.81763904573366519</v>
      </c>
      <c r="M121" s="57">
        <v>0.8743759164739684</v>
      </c>
      <c r="N121" s="57">
        <v>0.85505099389517103</v>
      </c>
    </row>
    <row r="122" spans="1:14" ht="12.75" customHeight="1" x14ac:dyDescent="0.2">
      <c r="A122" s="56" t="s">
        <v>227</v>
      </c>
      <c r="B122" s="40">
        <v>0.85724750149850892</v>
      </c>
      <c r="C122" s="57">
        <v>0.82942096753421568</v>
      </c>
      <c r="D122" s="57">
        <v>0.82587675346368583</v>
      </c>
      <c r="E122" s="86">
        <v>0.96076170200235078</v>
      </c>
      <c r="F122" s="57">
        <v>0.93433811928964794</v>
      </c>
      <c r="G122" s="40">
        <v>0.93433811928964794</v>
      </c>
      <c r="H122" s="57">
        <v>0.90888885291938282</v>
      </c>
      <c r="I122" s="57">
        <v>0.94232450892124786</v>
      </c>
      <c r="J122" s="57">
        <v>0.93971298276401527</v>
      </c>
      <c r="K122" s="86">
        <v>0.9656338582646331</v>
      </c>
      <c r="L122" s="86">
        <v>0.97510915039385326</v>
      </c>
      <c r="M122" s="57">
        <v>0.87243753084938458</v>
      </c>
      <c r="N122" s="57">
        <v>0.78029223091677047</v>
      </c>
    </row>
    <row r="123" spans="1:14" ht="12.75" customHeight="1" x14ac:dyDescent="0.2">
      <c r="A123" s="56" t="s">
        <v>333</v>
      </c>
      <c r="B123" s="59">
        <v>0.94794204330047049</v>
      </c>
      <c r="C123" s="57">
        <v>0.90132156627986026</v>
      </c>
      <c r="D123" s="57">
        <v>0.80525226288517049</v>
      </c>
      <c r="E123" s="86">
        <v>0.6380394555636536</v>
      </c>
      <c r="F123" s="57">
        <v>0.63126514814344603</v>
      </c>
      <c r="G123" s="40">
        <v>0.7203733702952162</v>
      </c>
      <c r="H123" s="57">
        <v>0.84272071860241049</v>
      </c>
      <c r="I123" s="57">
        <v>0.90005538260288231</v>
      </c>
      <c r="J123" s="57">
        <v>0.79755678277138298</v>
      </c>
      <c r="K123" s="86">
        <v>0.84684175640624737</v>
      </c>
      <c r="L123" s="86">
        <v>0.85691024551935013</v>
      </c>
      <c r="M123" s="57">
        <v>0.97212998499601333</v>
      </c>
      <c r="N123" s="57">
        <v>0.97435777669748924</v>
      </c>
    </row>
    <row r="124" spans="1:14" ht="12.75" customHeight="1" x14ac:dyDescent="0.2">
      <c r="A124" s="56" t="s">
        <v>306</v>
      </c>
      <c r="B124" s="59">
        <v>0.72800905694817197</v>
      </c>
      <c r="C124" s="57">
        <v>0.73853619652558489</v>
      </c>
      <c r="D124" s="57">
        <v>0.76054130113638985</v>
      </c>
      <c r="E124" s="86">
        <v>0.77651493812202321</v>
      </c>
      <c r="F124" s="57">
        <v>0.75791793492235204</v>
      </c>
      <c r="G124" s="40">
        <v>0.74332837438590182</v>
      </c>
      <c r="H124" s="57">
        <v>0.73095899235939898</v>
      </c>
      <c r="I124" s="57">
        <v>0.75068956762373285</v>
      </c>
      <c r="J124" s="57">
        <v>0.76486001539598514</v>
      </c>
      <c r="K124" s="86">
        <v>0.79966952839077499</v>
      </c>
      <c r="L124" s="86">
        <v>0.81604707947667787</v>
      </c>
      <c r="M124" s="57">
        <v>0.82642188612457712</v>
      </c>
      <c r="N124" s="57">
        <v>0.82373529312354388</v>
      </c>
    </row>
    <row r="125" spans="1:14" ht="12.75" customHeight="1" x14ac:dyDescent="0.2">
      <c r="A125" s="56" t="s">
        <v>81</v>
      </c>
      <c r="B125" s="59">
        <v>0.63179043678965785</v>
      </c>
      <c r="C125" s="57">
        <v>0.7539597825266241</v>
      </c>
      <c r="D125" s="57">
        <v>0.72354934802114734</v>
      </c>
      <c r="E125" s="86">
        <v>0.67876441184440184</v>
      </c>
      <c r="F125" s="57">
        <v>0.69966127986097704</v>
      </c>
      <c r="G125" s="40">
        <v>0.70720636962016936</v>
      </c>
      <c r="H125" s="57">
        <v>0.80551604070561655</v>
      </c>
      <c r="I125" s="57">
        <v>0.78469241614148144</v>
      </c>
      <c r="J125" s="57">
        <v>0.788771123576122</v>
      </c>
      <c r="K125" s="86">
        <v>0.79595319979367074</v>
      </c>
      <c r="L125" s="86">
        <v>0.86379633608020312</v>
      </c>
      <c r="M125" s="57">
        <v>0.8884615587769441</v>
      </c>
      <c r="N125" s="57">
        <v>0.8529606548972869</v>
      </c>
    </row>
    <row r="126" spans="1:14" ht="12.75" customHeight="1" x14ac:dyDescent="0.2">
      <c r="A126" s="56" t="s">
        <v>279</v>
      </c>
      <c r="B126" s="59">
        <v>0.73165932101937681</v>
      </c>
      <c r="C126" s="57">
        <v>0.70856588919929742</v>
      </c>
      <c r="D126" s="57">
        <v>0.64754808320201163</v>
      </c>
      <c r="E126" s="86">
        <v>0.68831833561992861</v>
      </c>
      <c r="F126" s="57">
        <v>0.67264587520065922</v>
      </c>
      <c r="G126" s="40">
        <v>0.64407616431517922</v>
      </c>
      <c r="H126" s="57">
        <v>0.7164291635032406</v>
      </c>
      <c r="I126" s="57">
        <v>0.70865928463277961</v>
      </c>
      <c r="J126" s="57">
        <v>0.79095199958560869</v>
      </c>
      <c r="K126" s="86">
        <v>0.75687547239510244</v>
      </c>
      <c r="L126" s="86">
        <v>0.78540379629038759</v>
      </c>
      <c r="M126" s="57">
        <v>0.73933323276663165</v>
      </c>
      <c r="N126" s="57">
        <v>0.75842128512664875</v>
      </c>
    </row>
    <row r="127" spans="1:14" ht="12.75" customHeight="1" x14ac:dyDescent="0.2">
      <c r="A127" s="56" t="s">
        <v>356</v>
      </c>
      <c r="B127" s="59">
        <v>0.81401356900528565</v>
      </c>
      <c r="C127" s="57">
        <v>0.79899768762738532</v>
      </c>
      <c r="D127" s="57">
        <v>0.80054503251338971</v>
      </c>
      <c r="E127" s="86">
        <v>0.77324851457414179</v>
      </c>
      <c r="F127" s="57">
        <v>0.77291918361278034</v>
      </c>
      <c r="G127" s="40">
        <v>0.77707009828794826</v>
      </c>
      <c r="H127" s="57">
        <v>0.77553927726651439</v>
      </c>
      <c r="I127" s="57">
        <v>0.76827248070537557</v>
      </c>
      <c r="J127" s="57">
        <v>0.78406406154816555</v>
      </c>
      <c r="K127" s="86">
        <v>0.83528587786616226</v>
      </c>
      <c r="L127" s="86">
        <v>0.85619705848695327</v>
      </c>
      <c r="M127" s="57">
        <v>0.86927878784601054</v>
      </c>
      <c r="N127" s="57">
        <v>0.87653643066151643</v>
      </c>
    </row>
    <row r="128" spans="1:14" ht="12.75" customHeight="1" x14ac:dyDescent="0.2">
      <c r="A128" s="56" t="s">
        <v>29</v>
      </c>
      <c r="B128" s="59">
        <v>0.58559139013673822</v>
      </c>
      <c r="C128" s="57">
        <v>0.59919909113730263</v>
      </c>
      <c r="D128" s="57">
        <v>0.62350661577865529</v>
      </c>
      <c r="E128" s="86">
        <v>0.66306208544970735</v>
      </c>
      <c r="F128" s="57">
        <v>0.67067493762905173</v>
      </c>
      <c r="G128" s="40">
        <v>0.72845482040314058</v>
      </c>
      <c r="H128" s="57">
        <v>0.68956588574048461</v>
      </c>
      <c r="I128" s="57">
        <v>0.78582703365677709</v>
      </c>
      <c r="J128" s="57">
        <v>0.78006422535277353</v>
      </c>
      <c r="K128" s="86">
        <v>0.90017888606083629</v>
      </c>
      <c r="L128" s="86">
        <v>0.85805985412426045</v>
      </c>
      <c r="M128" s="57">
        <v>0.87699533756232217</v>
      </c>
      <c r="N128" s="57">
        <v>0.84485456893115385</v>
      </c>
    </row>
    <row r="129" spans="1:14" ht="12.75" customHeight="1" x14ac:dyDescent="0.2">
      <c r="A129" s="56" t="s">
        <v>156</v>
      </c>
      <c r="B129" s="59">
        <v>0.96124026212004665</v>
      </c>
      <c r="C129" s="57">
        <v>0.9520904223582215</v>
      </c>
      <c r="D129" s="57">
        <v>0.89675607954068848</v>
      </c>
      <c r="E129" s="86">
        <v>0.58919114027656427</v>
      </c>
      <c r="F129" s="57">
        <v>0.59131483063580725</v>
      </c>
      <c r="G129" s="40">
        <v>0.60723240267728917</v>
      </c>
      <c r="H129" s="57">
        <v>0.84791292938941087</v>
      </c>
      <c r="I129" s="57">
        <v>0.84684552315044093</v>
      </c>
      <c r="J129" s="57">
        <v>0.90899252558637667</v>
      </c>
      <c r="K129" s="86">
        <v>0.90940657398082081</v>
      </c>
      <c r="L129" s="86">
        <v>0.92367551262174541</v>
      </c>
      <c r="M129" s="57">
        <v>0.81007354793363928</v>
      </c>
      <c r="N129" s="57">
        <v>0.83931331401551068</v>
      </c>
    </row>
    <row r="130" spans="1:14" ht="12.75" customHeight="1" x14ac:dyDescent="0.2">
      <c r="A130" s="56" t="s">
        <v>241</v>
      </c>
      <c r="B130" s="59">
        <v>0.738416119532459</v>
      </c>
      <c r="C130" s="57">
        <v>0.77469095470731542</v>
      </c>
      <c r="D130" s="57">
        <v>0.75429385259786363</v>
      </c>
      <c r="E130" s="86">
        <v>0.77955782675580709</v>
      </c>
      <c r="F130" s="57">
        <v>0.72464824795691118</v>
      </c>
      <c r="G130" s="40">
        <v>0.76951223687405346</v>
      </c>
      <c r="H130" s="57">
        <v>0.74570747147336158</v>
      </c>
      <c r="I130" s="57">
        <v>0.79207424100790902</v>
      </c>
      <c r="J130" s="57">
        <v>0.84323275809975673</v>
      </c>
      <c r="K130" s="86">
        <v>0.88598351118240704</v>
      </c>
      <c r="L130" s="86">
        <v>0.91667587258616401</v>
      </c>
      <c r="M130" s="57">
        <v>0.91587315683038284</v>
      </c>
      <c r="N130" s="57">
        <v>0.91198170201073614</v>
      </c>
    </row>
    <row r="131" spans="1:14" ht="12.75" customHeight="1" x14ac:dyDescent="0.2">
      <c r="A131" s="56" t="s">
        <v>66</v>
      </c>
      <c r="B131" s="59">
        <v>0.60943223319092843</v>
      </c>
      <c r="C131" s="57">
        <v>0.68233458369847944</v>
      </c>
      <c r="D131" s="57">
        <v>0.68193264718376889</v>
      </c>
      <c r="E131" s="86">
        <v>0.81104409173557013</v>
      </c>
      <c r="F131" s="57">
        <v>0.68634300672160331</v>
      </c>
      <c r="G131" s="40">
        <v>0.61245600839237724</v>
      </c>
      <c r="H131" s="57">
        <v>0.62381340040334365</v>
      </c>
      <c r="I131" s="57">
        <v>0.78425197729515317</v>
      </c>
      <c r="J131" s="57">
        <v>0.96715269152651917</v>
      </c>
      <c r="K131" s="86">
        <v>0.95952047107534533</v>
      </c>
      <c r="L131" s="86">
        <v>0.917948690430609</v>
      </c>
      <c r="M131" s="57">
        <v>0.87816153111865713</v>
      </c>
      <c r="N131" s="57">
        <v>0.89524826712867522</v>
      </c>
    </row>
    <row r="132" spans="1:14" ht="12.75" customHeight="1" x14ac:dyDescent="0.2">
      <c r="A132" s="56" t="s">
        <v>179</v>
      </c>
      <c r="B132" s="59">
        <v>0.64299074826899616</v>
      </c>
      <c r="C132" s="57">
        <v>0.65401335697734242</v>
      </c>
      <c r="D132" s="57">
        <v>0.66692707469788981</v>
      </c>
      <c r="E132" s="86">
        <v>0.67874811170419147</v>
      </c>
      <c r="F132" s="57">
        <v>0.74211324595417538</v>
      </c>
      <c r="G132" s="40">
        <v>0.83534305836685485</v>
      </c>
      <c r="H132" s="57">
        <v>0.86451048549998621</v>
      </c>
      <c r="I132" s="57">
        <v>0.83151826240300419</v>
      </c>
      <c r="J132" s="57">
        <v>0.849494979922647</v>
      </c>
      <c r="K132" s="86">
        <v>0.89400784117090959</v>
      </c>
      <c r="L132" s="86">
        <v>0.92014414474438688</v>
      </c>
      <c r="M132" s="57">
        <v>0.83623358918764179</v>
      </c>
      <c r="N132" s="57">
        <v>0.85179283376734982</v>
      </c>
    </row>
    <row r="133" spans="1:14" ht="12.75" customHeight="1" x14ac:dyDescent="0.2">
      <c r="A133" s="56" t="s">
        <v>7086</v>
      </c>
      <c r="B133" s="59">
        <v>0.42044164220438685</v>
      </c>
      <c r="C133" s="57">
        <v>0.42456719906404389</v>
      </c>
      <c r="D133" s="57">
        <v>0.48887266462180268</v>
      </c>
      <c r="E133" s="86">
        <v>0.57392949599579823</v>
      </c>
      <c r="F133" s="57">
        <v>0.66666422059595709</v>
      </c>
      <c r="G133" s="40">
        <v>0.68517888325174736</v>
      </c>
      <c r="H133" s="57">
        <v>0.68138991707013774</v>
      </c>
      <c r="I133" s="57">
        <v>0.73594363216046166</v>
      </c>
      <c r="J133" s="57">
        <v>0.76891639487798924</v>
      </c>
      <c r="K133" s="86">
        <v>0.80283541850796603</v>
      </c>
      <c r="L133" s="86">
        <v>0.821443776478742</v>
      </c>
      <c r="M133" s="57">
        <v>0.85151165059533318</v>
      </c>
      <c r="N133" s="57">
        <v>0.83737214748674427</v>
      </c>
    </row>
    <row r="134" spans="1:14" ht="12.75" customHeight="1" x14ac:dyDescent="0.2">
      <c r="A134" s="56" t="s">
        <v>287</v>
      </c>
      <c r="B134" s="59">
        <v>0.70646484554589273</v>
      </c>
      <c r="C134" s="57">
        <v>0.73389941741748344</v>
      </c>
      <c r="D134" s="57">
        <v>0.74023972213612765</v>
      </c>
      <c r="E134" s="86">
        <v>0.58198438239867256</v>
      </c>
      <c r="F134" s="57">
        <v>0.58221462591801754</v>
      </c>
      <c r="G134" s="40">
        <v>0.64462790568415484</v>
      </c>
      <c r="H134" s="57">
        <v>0.82946643581797674</v>
      </c>
      <c r="I134" s="57">
        <v>0.92292365634802132</v>
      </c>
      <c r="J134" s="57">
        <v>0.90935874389047022</v>
      </c>
      <c r="K134" s="86">
        <v>0.90809025055781145</v>
      </c>
      <c r="L134" s="86">
        <v>0.79992039393819836</v>
      </c>
      <c r="M134" s="57">
        <v>0.79594769683203592</v>
      </c>
      <c r="N134" s="57">
        <v>0.78118524528574895</v>
      </c>
    </row>
    <row r="135" spans="1:14" ht="12.75" customHeight="1" x14ac:dyDescent="0.2">
      <c r="A135" s="56" t="s">
        <v>7085</v>
      </c>
      <c r="B135" s="59">
        <v>0.72711814952231812</v>
      </c>
      <c r="C135" s="57">
        <v>0.65686820626716391</v>
      </c>
      <c r="D135" s="57">
        <v>0.6674598059848158</v>
      </c>
      <c r="E135" s="86">
        <v>0.66169738171992643</v>
      </c>
      <c r="F135" s="57">
        <v>0.77013971338003995</v>
      </c>
      <c r="G135" s="40">
        <v>0.77128013680864138</v>
      </c>
      <c r="H135" s="57">
        <v>0.80694205929687202</v>
      </c>
      <c r="I135" s="57">
        <v>0.80597295004622282</v>
      </c>
      <c r="J135" s="57">
        <v>0.79641999588815748</v>
      </c>
      <c r="K135" s="86">
        <v>0.83573003393028567</v>
      </c>
      <c r="L135" s="86">
        <v>0.85566017700331753</v>
      </c>
      <c r="M135" s="57">
        <v>0.93486061905191509</v>
      </c>
      <c r="N135" s="57">
        <v>0.96176885076841234</v>
      </c>
    </row>
    <row r="136" spans="1:14" ht="12.75" customHeight="1" x14ac:dyDescent="0.2">
      <c r="A136" s="56" t="s">
        <v>172</v>
      </c>
      <c r="B136" s="59">
        <v>0.63326687502654566</v>
      </c>
      <c r="C136" s="57">
        <v>0.6503508784018559</v>
      </c>
      <c r="D136" s="57">
        <v>0.74559471205954486</v>
      </c>
      <c r="E136" s="86">
        <v>0.76424678132685075</v>
      </c>
      <c r="F136" s="57">
        <v>0.61004900474003676</v>
      </c>
      <c r="G136" s="40">
        <v>0.59831616204056293</v>
      </c>
      <c r="H136" s="57">
        <v>0.59626981220006037</v>
      </c>
      <c r="I136" s="57">
        <v>0.68238585083647019</v>
      </c>
      <c r="J136" s="57">
        <v>0.72024591764217893</v>
      </c>
      <c r="K136" s="86">
        <v>0.80421324225176749</v>
      </c>
      <c r="L136" s="86">
        <v>0.89799238970581741</v>
      </c>
      <c r="M136" s="57">
        <v>0.86695825294813655</v>
      </c>
      <c r="N136" s="57">
        <v>0.78388843649041184</v>
      </c>
    </row>
    <row r="137" spans="1:14" ht="12.75" customHeight="1" x14ac:dyDescent="0.2">
      <c r="A137" s="56" t="s">
        <v>263</v>
      </c>
      <c r="B137" s="59">
        <v>0.85653521389966036</v>
      </c>
      <c r="C137" s="57">
        <v>0.84590257168807081</v>
      </c>
      <c r="D137" s="57">
        <v>0.88497003286080445</v>
      </c>
      <c r="E137" s="86">
        <v>0.8315473108181709</v>
      </c>
      <c r="F137" s="57">
        <v>0.83028152007869593</v>
      </c>
      <c r="G137" s="40">
        <v>0.87584489143550626</v>
      </c>
      <c r="H137" s="57">
        <v>0.93010303536619332</v>
      </c>
      <c r="I137" s="57">
        <v>0.92289813537062726</v>
      </c>
      <c r="J137" s="57">
        <v>0.93654335954216716</v>
      </c>
      <c r="K137" s="86">
        <v>0.93975652065006499</v>
      </c>
      <c r="L137" s="86">
        <v>0.92932473634228019</v>
      </c>
      <c r="M137" s="57">
        <v>0.93822379558458879</v>
      </c>
      <c r="N137" s="57">
        <v>0.93822379558458879</v>
      </c>
    </row>
    <row r="138" spans="1:14" ht="12.75" customHeight="1" x14ac:dyDescent="0.2">
      <c r="A138" s="56" t="s">
        <v>92</v>
      </c>
      <c r="B138" s="59">
        <v>0.75084829874548864</v>
      </c>
      <c r="C138" s="57">
        <v>0.78292840259737095</v>
      </c>
      <c r="D138" s="57">
        <v>0.78977675060747687</v>
      </c>
      <c r="E138" s="86">
        <v>0.71256244120666057</v>
      </c>
      <c r="F138" s="57">
        <v>0.79689181147031329</v>
      </c>
      <c r="G138" s="40">
        <v>0.84867059337816186</v>
      </c>
      <c r="H138" s="57">
        <v>0.9381280049909223</v>
      </c>
      <c r="I138" s="57">
        <v>0.81802247521783811</v>
      </c>
      <c r="J138" s="57">
        <v>0.79462923149454578</v>
      </c>
      <c r="K138" s="86">
        <v>0.70728949418366938</v>
      </c>
      <c r="L138" s="86">
        <v>0.80154508933016044</v>
      </c>
      <c r="M138" s="57">
        <v>0.66575245452524712</v>
      </c>
      <c r="N138" s="57">
        <v>0.71467889341199609</v>
      </c>
    </row>
    <row r="139" spans="1:14" ht="12.75" customHeight="1" x14ac:dyDescent="0.2">
      <c r="A139" s="56" t="s">
        <v>345</v>
      </c>
      <c r="B139" s="59">
        <v>0.79096721973884954</v>
      </c>
      <c r="C139" s="57">
        <v>0.86159293979814844</v>
      </c>
      <c r="D139" s="57">
        <v>0.88302820750380207</v>
      </c>
      <c r="E139" s="86">
        <v>0.81006955655124335</v>
      </c>
      <c r="F139" s="57">
        <v>0.77200499975936887</v>
      </c>
      <c r="G139" s="40">
        <v>0.79494075144241527</v>
      </c>
      <c r="H139" s="57">
        <v>0.86627788813501938</v>
      </c>
      <c r="I139" s="57">
        <v>0.88238293757705411</v>
      </c>
      <c r="J139" s="57">
        <v>0.8803280315600448</v>
      </c>
      <c r="K139" s="86">
        <v>0.86960171254231244</v>
      </c>
      <c r="L139" s="86">
        <v>0.85741442952933122</v>
      </c>
      <c r="M139" s="57">
        <v>0.85759707532245688</v>
      </c>
      <c r="N139" s="57">
        <v>0.886083212162602</v>
      </c>
    </row>
    <row r="140" spans="1:14" ht="12.75" customHeight="1" x14ac:dyDescent="0.2">
      <c r="A140" s="56" t="s">
        <v>55</v>
      </c>
      <c r="B140" s="59">
        <v>0.64826362885986188</v>
      </c>
      <c r="C140" s="57">
        <v>0.66899388912884383</v>
      </c>
      <c r="D140" s="57">
        <v>0.68996337782289741</v>
      </c>
      <c r="E140" s="86">
        <v>0.72465219241687751</v>
      </c>
      <c r="F140" s="57">
        <v>0.76532857713252722</v>
      </c>
      <c r="G140" s="40">
        <v>0.78912421138082445</v>
      </c>
      <c r="H140" s="57">
        <v>0.79806799622529201</v>
      </c>
      <c r="I140" s="57">
        <v>0.79919943682609551</v>
      </c>
      <c r="J140" s="57">
        <v>0.82579876475488512</v>
      </c>
      <c r="K140" s="86">
        <v>0.84136515607613627</v>
      </c>
      <c r="L140" s="86">
        <v>0.84598212156300467</v>
      </c>
      <c r="M140" s="57">
        <v>0.85286548733771583</v>
      </c>
      <c r="N140" s="57">
        <v>0.85709569478045722</v>
      </c>
    </row>
    <row r="141" spans="1:14" ht="12.75" customHeight="1" x14ac:dyDescent="0.2">
      <c r="A141" s="56" t="s">
        <v>397</v>
      </c>
      <c r="B141" s="59">
        <v>0.52587717363177833</v>
      </c>
      <c r="C141" s="57">
        <v>0.61900742326533431</v>
      </c>
      <c r="D141" s="57">
        <v>0.58102700513238537</v>
      </c>
      <c r="E141" s="86">
        <v>0.6001349420792027</v>
      </c>
      <c r="F141" s="57">
        <v>0.60484839671913215</v>
      </c>
      <c r="G141" s="40">
        <v>0.64061387209747789</v>
      </c>
      <c r="H141" s="57">
        <v>0.59835606889311588</v>
      </c>
      <c r="I141" s="57">
        <v>0.5301756905699031</v>
      </c>
      <c r="J141" s="57">
        <v>0.57753308148227123</v>
      </c>
      <c r="K141" s="86">
        <v>0.61969539089030701</v>
      </c>
      <c r="L141" s="86">
        <v>0.71726361884288758</v>
      </c>
      <c r="M141" s="57">
        <v>0.77681731211532068</v>
      </c>
      <c r="N141" s="57">
        <v>0.77997548039208764</v>
      </c>
    </row>
    <row r="142" spans="1:14" ht="12.75" customHeight="1" x14ac:dyDescent="0.2">
      <c r="A142" s="56" t="s">
        <v>398</v>
      </c>
      <c r="B142" s="59">
        <v>0.51068875263534008</v>
      </c>
      <c r="C142" s="57">
        <v>0.48737882322865317</v>
      </c>
      <c r="D142" s="57">
        <v>0.49929961949535301</v>
      </c>
      <c r="E142" s="86">
        <v>0.60137504735805669</v>
      </c>
      <c r="F142" s="57">
        <v>0.61296294509582583</v>
      </c>
      <c r="G142" s="40">
        <v>0.62886719668775448</v>
      </c>
      <c r="H142" s="57">
        <v>0.57495342647494663</v>
      </c>
      <c r="I142" s="57">
        <v>0.61295117577581493</v>
      </c>
      <c r="J142" s="57">
        <v>0.61937293691608331</v>
      </c>
      <c r="K142" s="86">
        <v>0.68403364132409017</v>
      </c>
      <c r="L142" s="86">
        <v>0.70867739016681908</v>
      </c>
      <c r="M142" s="57">
        <v>0.71969693936442669</v>
      </c>
      <c r="N142" s="57">
        <v>0.73288959125686104</v>
      </c>
    </row>
    <row r="143" spans="1:14" ht="12.75" customHeight="1" x14ac:dyDescent="0.2">
      <c r="A143" s="56" t="s">
        <v>386</v>
      </c>
      <c r="B143" s="59">
        <v>0.85141645704467284</v>
      </c>
      <c r="C143" s="57">
        <v>0.85851892939849606</v>
      </c>
      <c r="D143" s="57">
        <v>0.76534369088975041</v>
      </c>
      <c r="E143" s="86">
        <v>0.78414803191169569</v>
      </c>
      <c r="F143" s="57">
        <v>0.81892048005203943</v>
      </c>
      <c r="G143" s="40">
        <v>0.83990728251949276</v>
      </c>
      <c r="H143" s="57">
        <v>0.83596449017833019</v>
      </c>
      <c r="I143" s="57">
        <v>0.77395341563849573</v>
      </c>
      <c r="J143" s="57">
        <v>0.85144514258679438</v>
      </c>
      <c r="K143" s="86">
        <v>0.86553118632341575</v>
      </c>
      <c r="L143" s="86">
        <v>0.88213421681306448</v>
      </c>
      <c r="M143" s="57">
        <v>0.84866302541818028</v>
      </c>
      <c r="N143" s="57">
        <v>0.88588495372165565</v>
      </c>
    </row>
    <row r="144" spans="1:14" ht="12.75" customHeight="1" x14ac:dyDescent="0.2">
      <c r="A144" s="56" t="s">
        <v>134</v>
      </c>
      <c r="B144" s="59">
        <v>0.74576050197466548</v>
      </c>
      <c r="C144" s="57">
        <v>0.71514891186726715</v>
      </c>
      <c r="D144" s="57">
        <v>0.75411072966909254</v>
      </c>
      <c r="E144" s="86">
        <v>0.73082868846898297</v>
      </c>
      <c r="F144" s="57">
        <v>0.75489301894798333</v>
      </c>
      <c r="G144" s="40">
        <v>0.74369393392587091</v>
      </c>
      <c r="H144" s="57">
        <v>0.78080733271021041</v>
      </c>
      <c r="I144" s="57">
        <v>0.83941551264620529</v>
      </c>
      <c r="J144" s="57">
        <v>0.85423856150052535</v>
      </c>
      <c r="K144" s="86">
        <v>0.88755112119495816</v>
      </c>
      <c r="L144" s="86">
        <v>0.84255002649141897</v>
      </c>
      <c r="M144" s="57">
        <v>0.8672495314351707</v>
      </c>
      <c r="N144" s="57">
        <v>0.86360212404506187</v>
      </c>
    </row>
    <row r="145" spans="1:14" ht="12.75" customHeight="1" x14ac:dyDescent="0.2">
      <c r="A145" s="56" t="s">
        <v>7084</v>
      </c>
      <c r="B145" s="59">
        <v>0.76872528732602063</v>
      </c>
      <c r="C145" s="57">
        <v>0.67674207674624098</v>
      </c>
      <c r="D145" s="57">
        <v>0.74171197292452684</v>
      </c>
      <c r="E145" s="86">
        <v>0.84372460826331919</v>
      </c>
      <c r="F145" s="57">
        <v>0.88866912705344614</v>
      </c>
      <c r="G145" s="40">
        <v>0.8291786485308843</v>
      </c>
      <c r="H145" s="57">
        <v>0.87393566261509992</v>
      </c>
      <c r="I145" s="57">
        <v>0.9008206139558913</v>
      </c>
      <c r="J145" s="57">
        <v>0.90388340069039597</v>
      </c>
      <c r="K145" s="86">
        <v>0.90572691130583649</v>
      </c>
      <c r="L145" s="86">
        <v>0.90625473200826689</v>
      </c>
      <c r="M145" s="57">
        <v>0.91864428992820146</v>
      </c>
      <c r="N145" s="57">
        <v>0.91520659467059495</v>
      </c>
    </row>
    <row r="146" spans="1:14" ht="12.75" customHeight="1" x14ac:dyDescent="0.2">
      <c r="A146" s="56" t="s">
        <v>111</v>
      </c>
      <c r="B146" s="59">
        <v>0.84078600257686753</v>
      </c>
      <c r="C146" s="57">
        <v>0.81171558543538591</v>
      </c>
      <c r="D146" s="57">
        <v>0.82036657339136354</v>
      </c>
      <c r="E146" s="86">
        <v>0.82736865357167699</v>
      </c>
      <c r="F146" s="57">
        <v>0.83516435064610306</v>
      </c>
      <c r="G146" s="40">
        <v>0.8420825595220004</v>
      </c>
      <c r="H146" s="57">
        <v>0.80401332404494219</v>
      </c>
      <c r="I146" s="57">
        <v>0.81013726967144095</v>
      </c>
      <c r="J146" s="57">
        <v>0.82678958086546961</v>
      </c>
      <c r="K146" s="86">
        <v>0.87164861529238491</v>
      </c>
      <c r="L146" s="86">
        <v>0.87294754603404912</v>
      </c>
      <c r="M146" s="57">
        <v>0.8706965026783734</v>
      </c>
      <c r="N146" s="57">
        <v>0.85670800830845428</v>
      </c>
    </row>
    <row r="147" spans="1:14" ht="12.75" customHeight="1" x14ac:dyDescent="0.2">
      <c r="A147" s="56" t="s">
        <v>299</v>
      </c>
      <c r="B147" s="59">
        <v>0.85567184527580631</v>
      </c>
      <c r="C147" s="57">
        <v>0.84102384704777255</v>
      </c>
      <c r="D147" s="57">
        <v>0.76779457271469476</v>
      </c>
      <c r="E147" s="86">
        <v>0.68631010262866299</v>
      </c>
      <c r="F147" s="57">
        <v>0.6766733429065388</v>
      </c>
      <c r="G147" s="40">
        <v>0.63885671191080184</v>
      </c>
      <c r="H147" s="57">
        <v>0.61979727061749934</v>
      </c>
      <c r="I147" s="57">
        <v>0.65155214976569609</v>
      </c>
      <c r="J147" s="57">
        <v>0.78038793934421413</v>
      </c>
      <c r="K147" s="86">
        <v>0.86722040789048993</v>
      </c>
      <c r="L147" s="86">
        <v>0.8205374561797717</v>
      </c>
      <c r="M147" s="57">
        <v>0.8479242872036945</v>
      </c>
      <c r="N147" s="57">
        <v>0.80226836212977426</v>
      </c>
    </row>
    <row r="148" spans="1:14" ht="12.75" customHeight="1" x14ac:dyDescent="0.2">
      <c r="A148" s="56" t="s">
        <v>189</v>
      </c>
      <c r="B148" s="59">
        <v>0.87256519205717653</v>
      </c>
      <c r="C148" s="57">
        <v>0.7706445711962685</v>
      </c>
      <c r="D148" s="57">
        <v>0.79205224881168601</v>
      </c>
      <c r="E148" s="86">
        <v>0.70595780052257107</v>
      </c>
      <c r="F148" s="57">
        <v>0.71276132118378099</v>
      </c>
      <c r="G148" s="40">
        <v>0.68794367857676297</v>
      </c>
      <c r="H148" s="57">
        <v>0.73557838101185258</v>
      </c>
      <c r="I148" s="57">
        <v>0.81055702769246507</v>
      </c>
      <c r="J148" s="57">
        <v>0.87646661567537232</v>
      </c>
      <c r="K148" s="86">
        <v>0.88657297677891023</v>
      </c>
      <c r="L148" s="86">
        <v>0.93544602390186238</v>
      </c>
      <c r="M148" s="57">
        <v>0.88161290265171888</v>
      </c>
      <c r="N148" s="57">
        <v>0.9234595127897367</v>
      </c>
    </row>
    <row r="149" spans="1:14" ht="12.75" customHeight="1" x14ac:dyDescent="0.2">
      <c r="A149" s="56" t="s">
        <v>346</v>
      </c>
      <c r="B149" s="59">
        <v>0.72404078599525323</v>
      </c>
      <c r="C149" s="57">
        <v>0.77442929040648822</v>
      </c>
      <c r="D149" s="57">
        <v>0.92914171373817656</v>
      </c>
      <c r="E149" s="86">
        <v>0.92329376052180223</v>
      </c>
      <c r="F149" s="57">
        <v>0.90099764259444937</v>
      </c>
      <c r="G149" s="40">
        <v>0.89449991679847785</v>
      </c>
      <c r="H149" s="57">
        <v>0.89867702623874524</v>
      </c>
      <c r="I149" s="57">
        <v>0.86952476634174791</v>
      </c>
      <c r="J149" s="57">
        <v>0.93236919078854008</v>
      </c>
      <c r="K149" s="86">
        <v>0.93709114059058141</v>
      </c>
      <c r="L149" s="86">
        <v>0.95658137729185544</v>
      </c>
      <c r="M149" s="57">
        <v>0.77944893264007042</v>
      </c>
      <c r="N149" s="57">
        <v>0.7929096945191928</v>
      </c>
    </row>
    <row r="150" spans="1:14" ht="12.75" customHeight="1" x14ac:dyDescent="0.2">
      <c r="A150" s="56" t="s">
        <v>48</v>
      </c>
      <c r="B150" s="59">
        <v>0.58410689830309648</v>
      </c>
      <c r="C150" s="57">
        <v>0.64800182448842125</v>
      </c>
      <c r="D150" s="57">
        <v>0.63497582662692797</v>
      </c>
      <c r="E150" s="86">
        <v>0.72786689455056841</v>
      </c>
      <c r="F150" s="57">
        <v>0.71397846362305606</v>
      </c>
      <c r="G150" s="40">
        <v>0.67660147411135074</v>
      </c>
      <c r="H150" s="57">
        <v>0.62520127827778971</v>
      </c>
      <c r="I150" s="57">
        <v>0.64436079235428168</v>
      </c>
      <c r="J150" s="57">
        <v>0.72047079510131073</v>
      </c>
      <c r="K150" s="86">
        <v>0.77105838882774902</v>
      </c>
      <c r="L150" s="86">
        <v>0.78894918437335348</v>
      </c>
      <c r="M150" s="57">
        <v>0.77701786583569843</v>
      </c>
      <c r="N150" s="57">
        <v>0.75071854393226056</v>
      </c>
    </row>
    <row r="151" spans="1:14" ht="12.75" customHeight="1" x14ac:dyDescent="0.2">
      <c r="A151" s="56" t="s">
        <v>56</v>
      </c>
      <c r="B151" s="59">
        <v>0.69221175125432888</v>
      </c>
      <c r="C151" s="57">
        <v>0.74737885643930069</v>
      </c>
      <c r="D151" s="57">
        <v>0.76889295557368287</v>
      </c>
      <c r="E151" s="86">
        <v>0.81619967691077588</v>
      </c>
      <c r="F151" s="57">
        <v>0.79687600423531413</v>
      </c>
      <c r="G151" s="40">
        <v>0.82386572806992453</v>
      </c>
      <c r="H151" s="57">
        <v>0.80183084896280798</v>
      </c>
      <c r="I151" s="57">
        <v>0.79616272395690812</v>
      </c>
      <c r="J151" s="57">
        <v>0.80995173260092812</v>
      </c>
      <c r="K151" s="86">
        <v>0.83556718778163075</v>
      </c>
      <c r="L151" s="86">
        <v>0.85874089084999827</v>
      </c>
      <c r="M151" s="57">
        <v>0.88421470960412663</v>
      </c>
      <c r="N151" s="57">
        <v>0.90721196503083734</v>
      </c>
    </row>
    <row r="152" spans="1:14" ht="12.75" customHeight="1" x14ac:dyDescent="0.2">
      <c r="A152" s="56" t="s">
        <v>57</v>
      </c>
      <c r="B152" s="59">
        <v>0.67287588045638025</v>
      </c>
      <c r="C152" s="57">
        <v>0.67024894082124609</v>
      </c>
      <c r="D152" s="57">
        <v>0.69825589444928582</v>
      </c>
      <c r="E152" s="86">
        <v>0.65189946497975937</v>
      </c>
      <c r="F152" s="57">
        <v>0.73643304462520254</v>
      </c>
      <c r="G152" s="40">
        <v>0.77324795866933138</v>
      </c>
      <c r="H152" s="57">
        <v>0.78738107977384431</v>
      </c>
      <c r="I152" s="57">
        <v>0.80078268793930063</v>
      </c>
      <c r="J152" s="57">
        <v>0.76163914085113005</v>
      </c>
      <c r="K152" s="86">
        <v>0.86446833335908968</v>
      </c>
      <c r="L152" s="86">
        <v>0.8591199628039069</v>
      </c>
      <c r="M152" s="57">
        <v>0.88464773464499358</v>
      </c>
      <c r="N152" s="57">
        <v>0.85674189646407439</v>
      </c>
    </row>
    <row r="153" spans="1:14" ht="12.75" customHeight="1" x14ac:dyDescent="0.2">
      <c r="A153" s="56" t="s">
        <v>228</v>
      </c>
      <c r="B153" s="59">
        <v>0.45707705587609621</v>
      </c>
      <c r="C153" s="57">
        <v>0.50550217253304597</v>
      </c>
      <c r="D153" s="57">
        <v>0.78107856054950708</v>
      </c>
      <c r="E153" s="86">
        <v>0.84776845710818438</v>
      </c>
      <c r="F153" s="57">
        <v>0.80535589960563636</v>
      </c>
      <c r="G153" s="40">
        <v>0.69949486797681992</v>
      </c>
      <c r="H153" s="57">
        <v>0.71519547492670243</v>
      </c>
      <c r="I153" s="57">
        <v>0.76566771154156121</v>
      </c>
      <c r="J153" s="57">
        <v>0.88580483922333686</v>
      </c>
      <c r="K153" s="86">
        <v>0.95278811506881678</v>
      </c>
      <c r="L153" s="86">
        <v>0.96054108334810095</v>
      </c>
      <c r="M153" s="57">
        <v>0.97649004666548533</v>
      </c>
      <c r="N153" s="57">
        <v>0.99273436115541391</v>
      </c>
    </row>
    <row r="154" spans="1:14" ht="12.75" customHeight="1" x14ac:dyDescent="0.2">
      <c r="A154" s="56" t="s">
        <v>211</v>
      </c>
      <c r="B154" s="59">
        <v>0.67962902192088437</v>
      </c>
      <c r="C154" s="57">
        <v>0.70518400282072424</v>
      </c>
      <c r="D154" s="57">
        <v>0.80505524155133446</v>
      </c>
      <c r="E154" s="86">
        <v>0.77612696674693382</v>
      </c>
      <c r="F154" s="57">
        <v>0.83192754659675749</v>
      </c>
      <c r="G154" s="40">
        <v>0.9136393103277034</v>
      </c>
      <c r="H154" s="57">
        <v>0.91444619899328206</v>
      </c>
      <c r="I154" s="57">
        <v>0.86358536245817097</v>
      </c>
      <c r="J154" s="57">
        <v>0.86272329178535434</v>
      </c>
      <c r="K154" s="86">
        <v>0.91927612823498162</v>
      </c>
      <c r="L154" s="86">
        <v>0.97415288958695634</v>
      </c>
      <c r="M154" s="57">
        <v>0.84870694622346787</v>
      </c>
      <c r="N154" s="57">
        <v>0.85289998666846545</v>
      </c>
    </row>
    <row r="155" spans="1:14" ht="12.75" customHeight="1" x14ac:dyDescent="0.2">
      <c r="A155" s="56" t="s">
        <v>49</v>
      </c>
      <c r="B155" s="59">
        <v>0.61983565011916641</v>
      </c>
      <c r="C155" s="57">
        <v>0.56880096296597593</v>
      </c>
      <c r="D155" s="57">
        <v>0.59066576654030312</v>
      </c>
      <c r="E155" s="86">
        <v>0.58338213212189449</v>
      </c>
      <c r="F155" s="57">
        <v>0.56766830021654646</v>
      </c>
      <c r="G155" s="40">
        <v>0.51670395226724242</v>
      </c>
      <c r="H155" s="57">
        <v>0.52167631367974665</v>
      </c>
      <c r="I155" s="57">
        <v>0.52102605287451509</v>
      </c>
      <c r="J155" s="57">
        <v>0.596266830879289</v>
      </c>
      <c r="K155" s="86">
        <v>0.74375082166897888</v>
      </c>
      <c r="L155" s="86">
        <v>0.71121356632047095</v>
      </c>
      <c r="M155" s="57">
        <v>0.70252984813322972</v>
      </c>
      <c r="N155" s="57">
        <v>0.69546599547196974</v>
      </c>
    </row>
    <row r="156" spans="1:14" ht="12.75" customHeight="1" x14ac:dyDescent="0.2">
      <c r="A156" s="56" t="s">
        <v>280</v>
      </c>
      <c r="B156" s="59">
        <v>0.7888583776467698</v>
      </c>
      <c r="C156" s="57">
        <v>0.75467513119500351</v>
      </c>
      <c r="D156" s="57">
        <v>0.66601789496304609</v>
      </c>
      <c r="E156" s="86">
        <v>0.59297809577878136</v>
      </c>
      <c r="F156" s="57">
        <v>0.59254854627049669</v>
      </c>
      <c r="G156" s="40">
        <v>0.58492068379719386</v>
      </c>
      <c r="H156" s="57">
        <v>0.65587760074306189</v>
      </c>
      <c r="I156" s="57">
        <v>0.68306191657701409</v>
      </c>
      <c r="J156" s="57">
        <v>0.79566282684932765</v>
      </c>
      <c r="K156" s="86">
        <v>0.78271952888962659</v>
      </c>
      <c r="L156" s="86">
        <v>0.78678914310616255</v>
      </c>
      <c r="M156" s="57">
        <v>0.78602260630513643</v>
      </c>
      <c r="N156" s="57">
        <v>0.8076893194516267</v>
      </c>
    </row>
    <row r="157" spans="1:14" ht="12.75" customHeight="1" x14ac:dyDescent="0.2">
      <c r="A157" s="56" t="s">
        <v>334</v>
      </c>
      <c r="B157" s="59">
        <v>0.668967385582378</v>
      </c>
      <c r="C157" s="57">
        <v>0.66306991988131048</v>
      </c>
      <c r="D157" s="57">
        <v>0.77631322124281177</v>
      </c>
      <c r="E157" s="86">
        <v>0.54842458356969448</v>
      </c>
      <c r="F157" s="57">
        <v>0.63683499509594577</v>
      </c>
      <c r="G157" s="40">
        <v>0.57299053331799021</v>
      </c>
      <c r="H157" s="57">
        <v>0.60300564536451529</v>
      </c>
      <c r="I157" s="57">
        <v>0.63166442145799861</v>
      </c>
      <c r="J157" s="57">
        <v>0.62792636516356592</v>
      </c>
      <c r="K157" s="86">
        <v>0.81894245973052404</v>
      </c>
      <c r="L157" s="86">
        <v>0.83693252653737382</v>
      </c>
      <c r="M157" s="57">
        <v>0.94608168414014937</v>
      </c>
      <c r="N157" s="57">
        <v>0.95957696079332078</v>
      </c>
    </row>
    <row r="158" spans="1:14" ht="12.75" customHeight="1" x14ac:dyDescent="0.2">
      <c r="A158" s="56" t="s">
        <v>58</v>
      </c>
      <c r="B158" s="59">
        <v>0.71913673800909683</v>
      </c>
      <c r="C158" s="57">
        <v>0.7512999506053597</v>
      </c>
      <c r="D158" s="57">
        <v>0.78590130621506515</v>
      </c>
      <c r="E158" s="86">
        <v>0.817795208314544</v>
      </c>
      <c r="F158" s="57">
        <v>0.79317243748159605</v>
      </c>
      <c r="G158" s="40">
        <v>0.79867666326328435</v>
      </c>
      <c r="H158" s="57">
        <v>0.82816467438951868</v>
      </c>
      <c r="I158" s="57">
        <v>0.85939860148313585</v>
      </c>
      <c r="J158" s="57">
        <v>0.87171355785862836</v>
      </c>
      <c r="K158" s="86">
        <v>0.86839867068646814</v>
      </c>
      <c r="L158" s="86">
        <v>0.88898749869653992</v>
      </c>
      <c r="M158" s="57">
        <v>0.89797181612221777</v>
      </c>
      <c r="N158" s="57">
        <v>0.92147726463652757</v>
      </c>
    </row>
    <row r="159" spans="1:14" ht="12.75" customHeight="1" x14ac:dyDescent="0.2">
      <c r="A159" s="56" t="s">
        <v>72</v>
      </c>
      <c r="B159" s="59">
        <v>0.82565779122610572</v>
      </c>
      <c r="C159" s="57">
        <v>0.78080364836244354</v>
      </c>
      <c r="D159" s="57">
        <v>0.69636166050435488</v>
      </c>
      <c r="E159" s="86">
        <v>0.73581342847298348</v>
      </c>
      <c r="F159" s="57">
        <v>0.76570136141826595</v>
      </c>
      <c r="G159" s="40">
        <v>0.85434517436953994</v>
      </c>
      <c r="H159" s="57">
        <v>0.90870084332647894</v>
      </c>
      <c r="I159" s="57">
        <v>0.89948535548179043</v>
      </c>
      <c r="J159" s="57">
        <v>0.84472070688718626</v>
      </c>
      <c r="K159" s="86">
        <v>0.81825731492284526</v>
      </c>
      <c r="L159" s="86">
        <v>0.82315621142597317</v>
      </c>
      <c r="M159" s="57">
        <v>0.88568549610079772</v>
      </c>
      <c r="N159" s="57">
        <v>0.83248243218748208</v>
      </c>
    </row>
    <row r="160" spans="1:14" ht="12.75" customHeight="1" x14ac:dyDescent="0.2">
      <c r="A160" s="56" t="s">
        <v>190</v>
      </c>
      <c r="B160" s="59">
        <v>0.69638710045275187</v>
      </c>
      <c r="C160" s="57">
        <v>0.61862855884209311</v>
      </c>
      <c r="D160" s="57">
        <v>0.800244819206406</v>
      </c>
      <c r="E160" s="86">
        <v>0.76917219910638523</v>
      </c>
      <c r="F160" s="57">
        <v>0.82069678716891037</v>
      </c>
      <c r="G160" s="40">
        <v>0.78426398722563528</v>
      </c>
      <c r="H160" s="57">
        <v>0.78806198845038489</v>
      </c>
      <c r="I160" s="57">
        <v>0.84438194154514667</v>
      </c>
      <c r="J160" s="57">
        <v>0.90565490073052179</v>
      </c>
      <c r="K160" s="86">
        <v>0.97059829999938907</v>
      </c>
      <c r="L160" s="86">
        <v>0.96057672917927006</v>
      </c>
      <c r="M160" s="57">
        <v>0.96045069570477926</v>
      </c>
      <c r="N160" s="57">
        <v>0.96070718488093598</v>
      </c>
    </row>
    <row r="161" spans="1:14" ht="12.75" customHeight="1" x14ac:dyDescent="0.2">
      <c r="A161" s="56" t="s">
        <v>307</v>
      </c>
      <c r="B161" s="59">
        <v>0.891289987806971</v>
      </c>
      <c r="C161" s="57">
        <v>0.85088772297616122</v>
      </c>
      <c r="D161" s="57">
        <v>0.89763350669103736</v>
      </c>
      <c r="E161" s="86">
        <v>0.82845235411928664</v>
      </c>
      <c r="F161" s="57">
        <v>0.78033709888775249</v>
      </c>
      <c r="G161" s="40">
        <v>0.77121114494443566</v>
      </c>
      <c r="H161" s="57">
        <v>0.84888701198436911</v>
      </c>
      <c r="I161" s="57">
        <v>0.90099757079329335</v>
      </c>
      <c r="J161" s="57">
        <v>0.89557055972552035</v>
      </c>
      <c r="K161" s="86">
        <v>0.89641406222576092</v>
      </c>
      <c r="L161" s="86">
        <v>0.88820120613509757</v>
      </c>
      <c r="M161" s="57">
        <v>0.92642981325484597</v>
      </c>
      <c r="N161" s="57">
        <v>0.87908699882575492</v>
      </c>
    </row>
    <row r="162" spans="1:14" ht="12.75" customHeight="1" x14ac:dyDescent="0.2">
      <c r="A162" s="56" t="s">
        <v>143</v>
      </c>
      <c r="B162" s="59">
        <v>0.6558002013176184</v>
      </c>
      <c r="C162" s="57">
        <v>0.67477770422562289</v>
      </c>
      <c r="D162" s="57">
        <v>0.55918497189614624</v>
      </c>
      <c r="E162" s="86">
        <v>0.61432569986889274</v>
      </c>
      <c r="F162" s="57">
        <v>0.63974888613028236</v>
      </c>
      <c r="G162" s="40">
        <v>0.80761967921076161</v>
      </c>
      <c r="H162" s="57">
        <v>0.76591737263644954</v>
      </c>
      <c r="I162" s="57">
        <v>0.72748635721888466</v>
      </c>
      <c r="J162" s="57">
        <v>0.70011446108119924</v>
      </c>
      <c r="K162" s="86">
        <v>0.75163486164592397</v>
      </c>
      <c r="L162" s="86">
        <v>0.80141586290369249</v>
      </c>
      <c r="M162" s="57">
        <v>0.88611944472815585</v>
      </c>
      <c r="N162" s="57">
        <v>0.8832425867664101</v>
      </c>
    </row>
    <row r="163" spans="1:14" ht="12.75" customHeight="1" x14ac:dyDescent="0.2">
      <c r="A163" s="56" t="s">
        <v>201</v>
      </c>
      <c r="B163" s="59">
        <v>0.90056675425815336</v>
      </c>
      <c r="C163" s="57">
        <v>0.89276783541728133</v>
      </c>
      <c r="D163" s="57">
        <v>0.90281991831538655</v>
      </c>
      <c r="E163" s="86">
        <v>0.83320232042811171</v>
      </c>
      <c r="F163" s="57">
        <v>0.81324018121941555</v>
      </c>
      <c r="G163" s="40">
        <v>0.73629750561965268</v>
      </c>
      <c r="H163" s="57">
        <v>0.83409567948786589</v>
      </c>
      <c r="I163" s="57">
        <v>0.82593723726481671</v>
      </c>
      <c r="J163" s="57">
        <v>0.8914500114111118</v>
      </c>
      <c r="K163" s="86">
        <v>0.89769091010052315</v>
      </c>
      <c r="L163" s="86">
        <v>0.90269626914442458</v>
      </c>
      <c r="M163" s="57">
        <v>0.81536361836690252</v>
      </c>
      <c r="N163" s="57">
        <v>0.7622967831244245</v>
      </c>
    </row>
    <row r="164" spans="1:14" ht="12.75" customHeight="1" x14ac:dyDescent="0.2">
      <c r="A164" s="56" t="s">
        <v>7083</v>
      </c>
      <c r="B164" s="59">
        <v>0.44329264192643941</v>
      </c>
      <c r="C164" s="57">
        <v>0.55295867009272637</v>
      </c>
      <c r="D164" s="57">
        <v>0.73380837438163782</v>
      </c>
      <c r="E164" s="86">
        <v>0.78950089472133878</v>
      </c>
      <c r="F164" s="57">
        <v>0.79813908217195417</v>
      </c>
      <c r="G164" s="40">
        <v>0.82660965104374029</v>
      </c>
      <c r="H164" s="57">
        <v>0.80905360194991427</v>
      </c>
      <c r="I164" s="57">
        <v>0.8174477945064772</v>
      </c>
      <c r="J164" s="57">
        <v>0.81097763989066907</v>
      </c>
      <c r="K164" s="86">
        <v>0.85164407503551087</v>
      </c>
      <c r="L164" s="86">
        <v>0.83385516927566872</v>
      </c>
      <c r="M164" s="57">
        <v>0.83118137303636386</v>
      </c>
      <c r="N164" s="57">
        <v>0.84226208203784036</v>
      </c>
    </row>
    <row r="165" spans="1:14" ht="12.75" customHeight="1" x14ac:dyDescent="0.2">
      <c r="A165" s="56" t="s">
        <v>11</v>
      </c>
      <c r="B165" s="59">
        <v>0.48651478201083204</v>
      </c>
      <c r="C165" s="57">
        <v>0.4457469632993088</v>
      </c>
      <c r="D165" s="57">
        <v>0.40694779732190201</v>
      </c>
      <c r="E165" s="86">
        <v>0.47180427008572895</v>
      </c>
      <c r="F165" s="57">
        <v>0.54137432774826733</v>
      </c>
      <c r="G165" s="40">
        <v>0.60552552616142163</v>
      </c>
      <c r="H165" s="57">
        <v>0.63433428980708928</v>
      </c>
      <c r="I165" s="57">
        <v>0.68823993176468845</v>
      </c>
      <c r="J165" s="57">
        <v>0.75068745814996951</v>
      </c>
      <c r="K165" s="86">
        <v>0.73833465509547835</v>
      </c>
      <c r="L165" s="86">
        <v>0.75409917022524786</v>
      </c>
      <c r="M165" s="57">
        <v>0.7315809413179083</v>
      </c>
      <c r="N165" s="57">
        <v>0.77307872619724971</v>
      </c>
    </row>
    <row r="166" spans="1:14" ht="12.75" customHeight="1" x14ac:dyDescent="0.2">
      <c r="A166" s="56" t="s">
        <v>7082</v>
      </c>
      <c r="B166" s="59">
        <v>0.44541621582359642</v>
      </c>
      <c r="C166" s="57">
        <v>0.62246865794052597</v>
      </c>
      <c r="D166" s="57">
        <v>0.57613620776762497</v>
      </c>
      <c r="E166" s="86">
        <v>0.55644824455639041</v>
      </c>
      <c r="F166" s="57">
        <v>0.61680519060535954</v>
      </c>
      <c r="G166" s="40">
        <v>0.71274521705383043</v>
      </c>
      <c r="H166" s="57">
        <v>0.82877497471356543</v>
      </c>
      <c r="I166" s="57">
        <v>0.83064572464652431</v>
      </c>
      <c r="J166" s="57">
        <v>0.86105595527149614</v>
      </c>
      <c r="K166" s="86">
        <v>0.84361076582900008</v>
      </c>
      <c r="L166" s="86">
        <v>0.8012923950283416</v>
      </c>
      <c r="M166" s="57">
        <v>0.68133924251119449</v>
      </c>
      <c r="N166" s="57">
        <v>0.74156654944061096</v>
      </c>
    </row>
    <row r="167" spans="1:14" ht="12.75" customHeight="1" x14ac:dyDescent="0.2">
      <c r="A167" s="56" t="s">
        <v>50</v>
      </c>
      <c r="B167" s="59">
        <v>0.46262896079428284</v>
      </c>
      <c r="C167" s="57">
        <v>0.48893391151101501</v>
      </c>
      <c r="D167" s="57">
        <v>0.51846881745173867</v>
      </c>
      <c r="E167" s="86">
        <v>0.48727859167838022</v>
      </c>
      <c r="F167" s="57">
        <v>0.48418765981412532</v>
      </c>
      <c r="G167" s="40">
        <v>0.50150766199755292</v>
      </c>
      <c r="H167" s="57">
        <v>0.54282057733888189</v>
      </c>
      <c r="I167" s="57">
        <v>0.5705881975094057</v>
      </c>
      <c r="J167" s="57">
        <v>0.61227605619198555</v>
      </c>
      <c r="K167" s="86">
        <v>0.71004630235745891</v>
      </c>
      <c r="L167" s="86">
        <v>0.81815190274254312</v>
      </c>
      <c r="M167" s="57">
        <v>0.85759651633025202</v>
      </c>
      <c r="N167" s="57">
        <v>0.8709576081191347</v>
      </c>
    </row>
    <row r="168" spans="1:14" ht="12.75" customHeight="1" x14ac:dyDescent="0.2">
      <c r="A168" s="56" t="s">
        <v>157</v>
      </c>
      <c r="B168" s="59">
        <v>0.71538105570136157</v>
      </c>
      <c r="C168" s="57">
        <v>0.74364955826480517</v>
      </c>
      <c r="D168" s="57">
        <v>0.74647622999950147</v>
      </c>
      <c r="E168" s="86">
        <v>0.74825969381288326</v>
      </c>
      <c r="F168" s="57">
        <v>0.76392908132765747</v>
      </c>
      <c r="G168" s="40">
        <v>0.77973480242222004</v>
      </c>
      <c r="H168" s="57">
        <v>0.83389658480821538</v>
      </c>
      <c r="I168" s="57">
        <v>0.86338465816029919</v>
      </c>
      <c r="J168" s="57">
        <v>0.91035941889118599</v>
      </c>
      <c r="K168" s="86">
        <v>0.89975973034576739</v>
      </c>
      <c r="L168" s="86">
        <v>0.83524993458169616</v>
      </c>
      <c r="M168" s="57">
        <v>0.81597802209447579</v>
      </c>
      <c r="N168" s="57">
        <v>0.83675042940049182</v>
      </c>
    </row>
    <row r="169" spans="1:14" ht="12.75" customHeight="1" x14ac:dyDescent="0.2">
      <c r="A169" s="56" t="s">
        <v>300</v>
      </c>
      <c r="B169" s="59">
        <v>0.8144857872047252</v>
      </c>
      <c r="C169" s="57">
        <v>0.72147207072383024</v>
      </c>
      <c r="D169" s="57">
        <v>0.70266546161466759</v>
      </c>
      <c r="E169" s="86">
        <v>0.61237343071871964</v>
      </c>
      <c r="F169" s="57">
        <v>0.67530748137710461</v>
      </c>
      <c r="G169" s="40">
        <v>0.75365057040180528</v>
      </c>
      <c r="H169" s="57">
        <v>0.81897381097796085</v>
      </c>
      <c r="I169" s="57">
        <v>0.85477313392955911</v>
      </c>
      <c r="J169" s="57">
        <v>0.84088750524511324</v>
      </c>
      <c r="K169" s="86">
        <v>0.82790561964507214</v>
      </c>
      <c r="L169" s="86">
        <v>0.85391309349870392</v>
      </c>
      <c r="M169" s="57">
        <v>0.85531106718390093</v>
      </c>
      <c r="N169" s="57">
        <v>0.81270649411004248</v>
      </c>
    </row>
    <row r="170" spans="1:14" ht="12.75" customHeight="1" x14ac:dyDescent="0.2">
      <c r="A170" s="56" t="s">
        <v>212</v>
      </c>
      <c r="B170" s="59">
        <v>0.96223196881091633</v>
      </c>
      <c r="C170" s="57">
        <v>0.94753711201079616</v>
      </c>
      <c r="D170" s="57">
        <v>0.94826810616284296</v>
      </c>
      <c r="E170" s="86">
        <v>0.95021742390163444</v>
      </c>
      <c r="F170" s="57">
        <v>0.95007231339998743</v>
      </c>
      <c r="G170" s="40">
        <v>0.94324970131421748</v>
      </c>
      <c r="H170" s="57">
        <v>0.94495535433566002</v>
      </c>
      <c r="I170" s="57">
        <v>0.94604750179542429</v>
      </c>
      <c r="J170" s="57">
        <v>0.84696673071715012</v>
      </c>
      <c r="K170" s="86">
        <v>0.83681403416094502</v>
      </c>
      <c r="L170" s="86">
        <v>0.72841359474248735</v>
      </c>
      <c r="M170" s="57">
        <v>0.84211424886169706</v>
      </c>
      <c r="N170" s="57">
        <v>0.81667150216887363</v>
      </c>
    </row>
    <row r="171" spans="1:14" ht="12.75" customHeight="1" x14ac:dyDescent="0.2">
      <c r="A171" s="56" t="s">
        <v>167</v>
      </c>
      <c r="B171" s="59">
        <v>0.95752971368355144</v>
      </c>
      <c r="C171" s="57">
        <v>0.89577453468369395</v>
      </c>
      <c r="D171" s="57">
        <v>0.89976376122484292</v>
      </c>
      <c r="E171" s="86">
        <v>0.89147365798419942</v>
      </c>
      <c r="F171" s="57">
        <v>0.93814575795913913</v>
      </c>
      <c r="G171" s="40">
        <v>0.93143488619495451</v>
      </c>
      <c r="H171" s="57">
        <v>0.89634112063705096</v>
      </c>
      <c r="I171" s="57">
        <v>0.90344863798622532</v>
      </c>
      <c r="J171" s="57">
        <v>0.83064144496766301</v>
      </c>
      <c r="K171" s="86">
        <v>0.849423772891579</v>
      </c>
      <c r="L171" s="86">
        <v>0.80470625648859118</v>
      </c>
      <c r="M171" s="57">
        <v>0.86435438915898155</v>
      </c>
      <c r="N171" s="57">
        <v>0.84433303669405146</v>
      </c>
    </row>
    <row r="172" spans="1:14" ht="12.75" customHeight="1" x14ac:dyDescent="0.2">
      <c r="A172" s="56" t="s">
        <v>144</v>
      </c>
      <c r="B172" s="59">
        <v>0.73247962127826527</v>
      </c>
      <c r="C172" s="57">
        <v>0.78224548271491068</v>
      </c>
      <c r="D172" s="57">
        <v>0.82179549266408181</v>
      </c>
      <c r="E172" s="86">
        <v>0.85424800942175538</v>
      </c>
      <c r="F172" s="57">
        <v>0.85616857215629594</v>
      </c>
      <c r="G172" s="40">
        <v>0.86638957840136577</v>
      </c>
      <c r="H172" s="57">
        <v>0.86970821700288292</v>
      </c>
      <c r="I172" s="57">
        <v>0.8751256456667047</v>
      </c>
      <c r="J172" s="57">
        <v>0.88919564610740753</v>
      </c>
      <c r="K172" s="86">
        <v>0.8945297459014091</v>
      </c>
      <c r="L172" s="86">
        <v>0.89643451567391141</v>
      </c>
      <c r="M172" s="57">
        <v>0.90679397175034915</v>
      </c>
      <c r="N172" s="57">
        <v>0.90964474442420817</v>
      </c>
    </row>
    <row r="173" spans="1:14" ht="12.75" customHeight="1" x14ac:dyDescent="0.2">
      <c r="A173" s="56" t="s">
        <v>93</v>
      </c>
      <c r="B173" s="59">
        <v>0.71582430426623933</v>
      </c>
      <c r="C173" s="57">
        <v>0.70065553736650077</v>
      </c>
      <c r="D173" s="57">
        <v>0.73129374894188259</v>
      </c>
      <c r="E173" s="86">
        <v>0.75919311512348919</v>
      </c>
      <c r="F173" s="57">
        <v>0.78397591557816249</v>
      </c>
      <c r="G173" s="40">
        <v>0.80576222025117061</v>
      </c>
      <c r="H173" s="57">
        <v>0.83304844475923601</v>
      </c>
      <c r="I173" s="57">
        <v>0.81501109853310183</v>
      </c>
      <c r="J173" s="57">
        <v>0.81310507018014755</v>
      </c>
      <c r="K173" s="86">
        <v>0.79822792834403045</v>
      </c>
      <c r="L173" s="86">
        <v>0.86255626613163316</v>
      </c>
      <c r="M173" s="57">
        <v>0.88022048861024393</v>
      </c>
      <c r="N173" s="57">
        <v>0.88877542534073195</v>
      </c>
    </row>
    <row r="174" spans="1:14" ht="12.75" customHeight="1" x14ac:dyDescent="0.2">
      <c r="A174" s="56" t="s">
        <v>36</v>
      </c>
      <c r="B174" s="59">
        <v>0.53316311090853574</v>
      </c>
      <c r="C174" s="57">
        <v>0.52922201648563416</v>
      </c>
      <c r="D174" s="57">
        <v>0.55128051859758054</v>
      </c>
      <c r="E174" s="86">
        <v>0.61545913726781964</v>
      </c>
      <c r="F174" s="57">
        <v>0.52352297745379905</v>
      </c>
      <c r="G174" s="40">
        <v>0.49109844227866789</v>
      </c>
      <c r="H174" s="57">
        <v>0.49918777234853956</v>
      </c>
      <c r="I174" s="57">
        <v>0.6453901467694102</v>
      </c>
      <c r="J174" s="57">
        <v>0.7491983498598539</v>
      </c>
      <c r="K174" s="86">
        <v>0.78493268020736995</v>
      </c>
      <c r="L174" s="86">
        <v>0.80401695405857165</v>
      </c>
      <c r="M174" s="57">
        <v>0.83466111586373193</v>
      </c>
      <c r="N174" s="57">
        <v>0.87569753295992181</v>
      </c>
    </row>
    <row r="175" spans="1:14" ht="12.75" customHeight="1" x14ac:dyDescent="0.2">
      <c r="A175" s="56" t="s">
        <v>202</v>
      </c>
      <c r="B175" s="59">
        <v>0.69049665586895459</v>
      </c>
      <c r="C175" s="57">
        <v>0.78071481758309458</v>
      </c>
      <c r="D175" s="57">
        <v>0.86659236460410682</v>
      </c>
      <c r="E175" s="86">
        <v>0.88390834320117995</v>
      </c>
      <c r="F175" s="57">
        <v>0.85237421027352889</v>
      </c>
      <c r="G175" s="40">
        <v>0.83608452889636931</v>
      </c>
      <c r="H175" s="57">
        <v>0.85916406430539993</v>
      </c>
      <c r="I175" s="57">
        <v>0.88337626670997604</v>
      </c>
      <c r="J175" s="57">
        <v>0.93862875025871839</v>
      </c>
      <c r="K175" s="86">
        <v>0.90775784764765355</v>
      </c>
      <c r="L175" s="86">
        <v>0.90241043274725341</v>
      </c>
      <c r="M175" s="57">
        <v>0.89236733653300837</v>
      </c>
      <c r="N175" s="57">
        <v>0.90422444408697844</v>
      </c>
    </row>
    <row r="176" spans="1:14" ht="12.75" customHeight="1" x14ac:dyDescent="0.2">
      <c r="A176" s="56" t="s">
        <v>253</v>
      </c>
      <c r="B176" s="59">
        <v>0.86316054191563196</v>
      </c>
      <c r="C176" s="57">
        <v>0.91763500335379355</v>
      </c>
      <c r="D176" s="57">
        <v>0.87092454774065564</v>
      </c>
      <c r="E176" s="86">
        <v>0.92542752138062634</v>
      </c>
      <c r="F176" s="57">
        <v>0.91258491577379086</v>
      </c>
      <c r="G176" s="40">
        <v>0.81980217798458366</v>
      </c>
      <c r="H176" s="57">
        <v>0.82055772749574307</v>
      </c>
      <c r="I176" s="57">
        <v>0.84509301537807036</v>
      </c>
      <c r="J176" s="57">
        <v>0.94069192762408604</v>
      </c>
      <c r="K176" s="86">
        <v>0.93155518908018342</v>
      </c>
      <c r="L176" s="86">
        <v>0.9271460180043456</v>
      </c>
      <c r="M176" s="57">
        <v>0.97316194464445704</v>
      </c>
      <c r="N176" s="57">
        <v>0.9835258347329936</v>
      </c>
    </row>
    <row r="177" spans="1:14" ht="12.75" customHeight="1" x14ac:dyDescent="0.2">
      <c r="A177" s="56" t="s">
        <v>168</v>
      </c>
      <c r="B177" s="59">
        <v>0.8359970914169691</v>
      </c>
      <c r="C177" s="57">
        <v>0.75778428141619925</v>
      </c>
      <c r="D177" s="57">
        <v>0.61641082620620224</v>
      </c>
      <c r="E177" s="86">
        <v>0.73392821723279111</v>
      </c>
      <c r="F177" s="57">
        <v>0.76180037054688798</v>
      </c>
      <c r="G177" s="40">
        <v>0.86435305594750267</v>
      </c>
      <c r="H177" s="57">
        <v>0.85264648016827727</v>
      </c>
      <c r="I177" s="57">
        <v>0.7968481969438207</v>
      </c>
      <c r="J177" s="57">
        <v>0.7923971710760459</v>
      </c>
      <c r="K177" s="86">
        <v>0.7044826711040354</v>
      </c>
      <c r="L177" s="86">
        <v>0.70518730681454522</v>
      </c>
      <c r="M177" s="57">
        <v>0.7592849230273232</v>
      </c>
      <c r="N177" s="57">
        <v>0.71278227101003866</v>
      </c>
    </row>
    <row r="178" spans="1:14" ht="12.75" customHeight="1" x14ac:dyDescent="0.2">
      <c r="A178" s="56" t="s">
        <v>213</v>
      </c>
      <c r="B178" s="59">
        <v>0.8425773245674133</v>
      </c>
      <c r="C178" s="57">
        <v>0.88399133812544062</v>
      </c>
      <c r="D178" s="57">
        <v>0.94790532754603796</v>
      </c>
      <c r="E178" s="86">
        <v>0.93741490006111794</v>
      </c>
      <c r="F178" s="57">
        <v>0.93578861372556499</v>
      </c>
      <c r="G178" s="40">
        <v>0.90640746748145329</v>
      </c>
      <c r="H178" s="57">
        <v>0.84206701698595854</v>
      </c>
      <c r="I178" s="57">
        <v>0.85353110076507555</v>
      </c>
      <c r="J178" s="57">
        <v>0.86169493995060709</v>
      </c>
      <c r="K178" s="86">
        <v>0.89305799210239856</v>
      </c>
      <c r="L178" s="86">
        <v>0.87726387859364297</v>
      </c>
      <c r="M178" s="57">
        <v>0.88956629117293196</v>
      </c>
      <c r="N178" s="57">
        <v>0.82058898590643181</v>
      </c>
    </row>
    <row r="179" spans="1:14" ht="12.75" customHeight="1" x14ac:dyDescent="0.2">
      <c r="A179" s="56" t="s">
        <v>158</v>
      </c>
      <c r="B179" s="59">
        <v>0.27254976569458261</v>
      </c>
      <c r="C179" s="57">
        <v>0.33114093294193514</v>
      </c>
      <c r="D179" s="57">
        <v>0.47457027346262776</v>
      </c>
      <c r="E179" s="86">
        <v>0.63900414467657063</v>
      </c>
      <c r="F179" s="57">
        <v>0.74591718820106712</v>
      </c>
      <c r="G179" s="40">
        <v>0.88472825604935945</v>
      </c>
      <c r="H179" s="57">
        <v>0.92965599861203996</v>
      </c>
      <c r="I179" s="57">
        <v>0.92687846506507621</v>
      </c>
      <c r="J179" s="57">
        <v>0.84792423531862859</v>
      </c>
      <c r="K179" s="86">
        <v>0.85810836701044557</v>
      </c>
      <c r="L179" s="86">
        <v>0.8738910414851353</v>
      </c>
      <c r="M179" s="57">
        <v>0.79688116709492574</v>
      </c>
      <c r="N179" s="57">
        <v>0.76377719313065817</v>
      </c>
    </row>
    <row r="180" spans="1:14" ht="12.75" customHeight="1" x14ac:dyDescent="0.2">
      <c r="A180" s="56" t="s">
        <v>229</v>
      </c>
      <c r="B180" s="59">
        <v>0.8991904092136801</v>
      </c>
      <c r="C180" s="57">
        <v>0.91352732677640403</v>
      </c>
      <c r="D180" s="57">
        <v>0.95906432748538017</v>
      </c>
      <c r="E180" s="86">
        <v>0.75570078576793887</v>
      </c>
      <c r="F180" s="57">
        <v>0.58971991381963684</v>
      </c>
      <c r="G180" s="40">
        <v>0.5618296754030826</v>
      </c>
      <c r="H180" s="57">
        <v>0.72613562205118498</v>
      </c>
      <c r="I180" s="57">
        <v>0.89051689051689042</v>
      </c>
      <c r="J180" s="57">
        <v>0.88926532770986</v>
      </c>
      <c r="K180" s="86">
        <v>0.86527372477088849</v>
      </c>
      <c r="L180" s="86">
        <v>0.82350263036821525</v>
      </c>
      <c r="M180" s="57">
        <v>0.77962538356203115</v>
      </c>
      <c r="N180" s="57">
        <v>0.80918646575469222</v>
      </c>
    </row>
    <row r="181" spans="1:14" ht="12.75" customHeight="1" x14ac:dyDescent="0.2">
      <c r="A181" s="56" t="s">
        <v>118</v>
      </c>
      <c r="B181" s="59">
        <v>0.76083975941576298</v>
      </c>
      <c r="C181" s="57">
        <v>0.7905657637271567</v>
      </c>
      <c r="D181" s="57">
        <v>0.81723476301016884</v>
      </c>
      <c r="E181" s="86">
        <v>0.86918035816216299</v>
      </c>
      <c r="F181" s="57">
        <v>0.91589987754583213</v>
      </c>
      <c r="G181" s="40">
        <v>0.93927413381897773</v>
      </c>
      <c r="H181" s="57">
        <v>0.9402132025187816</v>
      </c>
      <c r="I181" s="57">
        <v>0.86439616609987058</v>
      </c>
      <c r="J181" s="57">
        <v>0.8499448589215034</v>
      </c>
      <c r="K181" s="86">
        <v>0.76095803349643931</v>
      </c>
      <c r="L181" s="86">
        <v>0.79715433186717466</v>
      </c>
      <c r="M181" s="57">
        <v>0.79968824075515921</v>
      </c>
      <c r="N181" s="57">
        <v>0.82892845640630297</v>
      </c>
    </row>
    <row r="182" spans="1:14" ht="12.75" customHeight="1" x14ac:dyDescent="0.2">
      <c r="A182" s="56" t="s">
        <v>335</v>
      </c>
      <c r="B182" s="59">
        <v>0.92190554099482769</v>
      </c>
      <c r="C182" s="57">
        <v>0.9497384552065391</v>
      </c>
      <c r="D182" s="57">
        <v>0.93619119776749338</v>
      </c>
      <c r="E182" s="86">
        <v>0.88436105724318725</v>
      </c>
      <c r="F182" s="57">
        <v>0.85890086504110152</v>
      </c>
      <c r="G182" s="40">
        <v>0.87793651107714277</v>
      </c>
      <c r="H182" s="57">
        <v>0.90321410733506668</v>
      </c>
      <c r="I182" s="57">
        <v>0.87927074774251945</v>
      </c>
      <c r="J182" s="57">
        <v>0.87268566694895056</v>
      </c>
      <c r="K182" s="86">
        <v>0.85822378281115475</v>
      </c>
      <c r="L182" s="86">
        <v>0.90720959917665456</v>
      </c>
      <c r="M182" s="57">
        <v>0.91903569256443651</v>
      </c>
      <c r="N182" s="57">
        <v>0.89711809902179362</v>
      </c>
    </row>
    <row r="183" spans="1:14" ht="12.75" customHeight="1" x14ac:dyDescent="0.2">
      <c r="A183" s="56" t="s">
        <v>173</v>
      </c>
      <c r="B183" s="59">
        <v>0.75313147289337901</v>
      </c>
      <c r="C183" s="57">
        <v>0.67427425808641939</v>
      </c>
      <c r="D183" s="57">
        <v>0.69383487477347794</v>
      </c>
      <c r="E183" s="86">
        <v>0.73427300523837769</v>
      </c>
      <c r="F183" s="57">
        <v>0.81718585924424092</v>
      </c>
      <c r="G183" s="40">
        <v>0.82950022702771087</v>
      </c>
      <c r="H183" s="57">
        <v>0.82838191287281226</v>
      </c>
      <c r="I183" s="57">
        <v>0.78557664547309403</v>
      </c>
      <c r="J183" s="57">
        <v>0.80847437039300851</v>
      </c>
      <c r="K183" s="86">
        <v>0.83561909968602688</v>
      </c>
      <c r="L183" s="86">
        <v>0.86897526025620053</v>
      </c>
      <c r="M183" s="57">
        <v>0.8487771418290514</v>
      </c>
      <c r="N183" s="57">
        <v>0.81901219451120288</v>
      </c>
    </row>
    <row r="184" spans="1:14" ht="12.75" customHeight="1" x14ac:dyDescent="0.2">
      <c r="A184" s="56" t="s">
        <v>135</v>
      </c>
      <c r="B184" s="59">
        <v>0.79231643153939402</v>
      </c>
      <c r="C184" s="57">
        <v>0.82239435635416103</v>
      </c>
      <c r="D184" s="57">
        <v>0.95190589440931117</v>
      </c>
      <c r="E184" s="86">
        <v>0.87416938254359466</v>
      </c>
      <c r="F184" s="57">
        <v>0.85696697766468144</v>
      </c>
      <c r="G184" s="40">
        <v>0.79472463495259371</v>
      </c>
      <c r="H184" s="57">
        <v>0.77239996123109778</v>
      </c>
      <c r="I184" s="57">
        <v>0.7544182587342122</v>
      </c>
      <c r="J184" s="57">
        <v>0.75866947264854534</v>
      </c>
      <c r="K184" s="86">
        <v>0.87943563637244671</v>
      </c>
      <c r="L184" s="86">
        <v>0.82402966416162038</v>
      </c>
      <c r="M184" s="57">
        <v>0.89314743046667455</v>
      </c>
      <c r="N184" s="57">
        <v>0.78251866879382315</v>
      </c>
    </row>
    <row r="185" spans="1:14" ht="12.75" customHeight="1" x14ac:dyDescent="0.2">
      <c r="A185" s="56" t="s">
        <v>254</v>
      </c>
      <c r="B185" s="59">
        <v>0.79606785230411659</v>
      </c>
      <c r="C185" s="57">
        <v>0.92059900977430098</v>
      </c>
      <c r="D185" s="57">
        <v>0.89061035415361101</v>
      </c>
      <c r="E185" s="86">
        <v>0.86812986460091246</v>
      </c>
      <c r="F185" s="57">
        <v>0.84165345102162303</v>
      </c>
      <c r="G185" s="40">
        <v>0.75885591558274523</v>
      </c>
      <c r="H185" s="57">
        <v>0.79752466396533794</v>
      </c>
      <c r="I185" s="57">
        <v>0.82176136650790566</v>
      </c>
      <c r="J185" s="57">
        <v>0.94302007507319086</v>
      </c>
      <c r="K185" s="86">
        <v>0.93612084863031286</v>
      </c>
      <c r="L185" s="86">
        <v>0.94855408524527762</v>
      </c>
      <c r="M185" s="57">
        <v>0.91596428162677268</v>
      </c>
      <c r="N185" s="57">
        <v>0.95739821370057587</v>
      </c>
    </row>
    <row r="186" spans="1:14" ht="12.75" customHeight="1" x14ac:dyDescent="0.2">
      <c r="A186" s="56" t="s">
        <v>214</v>
      </c>
      <c r="B186" s="59">
        <v>0.60745553352519521</v>
      </c>
      <c r="C186" s="57">
        <v>0.61728687914069236</v>
      </c>
      <c r="D186" s="57">
        <v>0.7666286765590099</v>
      </c>
      <c r="E186" s="86">
        <v>0.88472653077960717</v>
      </c>
      <c r="F186" s="57">
        <v>0.86100165991089872</v>
      </c>
      <c r="G186" s="40">
        <v>0.86507836817671224</v>
      </c>
      <c r="H186" s="57">
        <v>0.8801762289125955</v>
      </c>
      <c r="I186" s="57">
        <v>0.9040164466931756</v>
      </c>
      <c r="J186" s="57">
        <v>0.94570304336790512</v>
      </c>
      <c r="K186" s="86">
        <v>0.94285506615172265</v>
      </c>
      <c r="L186" s="86">
        <v>0.97065870825746214</v>
      </c>
      <c r="M186" s="57">
        <v>0.952776336424078</v>
      </c>
      <c r="N186" s="57">
        <v>0.79688823794220198</v>
      </c>
    </row>
    <row r="187" spans="1:14" ht="12.75" customHeight="1" x14ac:dyDescent="0.2">
      <c r="A187" s="56" t="s">
        <v>159</v>
      </c>
      <c r="B187" s="59">
        <v>0.92761146580859688</v>
      </c>
      <c r="C187" s="57">
        <v>0.92065372810620805</v>
      </c>
      <c r="D187" s="57">
        <v>0.84682203328866201</v>
      </c>
      <c r="E187" s="86">
        <v>0.84790498758799038</v>
      </c>
      <c r="F187" s="57">
        <v>0.92173203116872748</v>
      </c>
      <c r="G187" s="40">
        <v>0.93651957776901185</v>
      </c>
      <c r="H187" s="57">
        <v>0.87357647921930204</v>
      </c>
      <c r="I187" s="57">
        <v>0.87532948635748353</v>
      </c>
      <c r="J187" s="57">
        <v>0.93088175778603344</v>
      </c>
      <c r="K187" s="86">
        <v>1</v>
      </c>
      <c r="L187" s="86">
        <v>0.93408859317427806</v>
      </c>
      <c r="M187" s="57">
        <v>0.92695136820645363</v>
      </c>
      <c r="N187" s="57">
        <v>0.91801970218672757</v>
      </c>
    </row>
    <row r="188" spans="1:14" ht="12.75" customHeight="1" x14ac:dyDescent="0.2">
      <c r="A188" s="56" t="s">
        <v>17</v>
      </c>
      <c r="B188" s="59">
        <v>0.56206446717217629</v>
      </c>
      <c r="C188" s="57">
        <v>0.54774783340346733</v>
      </c>
      <c r="D188" s="57">
        <v>0.55791018040981044</v>
      </c>
      <c r="E188" s="86">
        <v>0.65733232481806347</v>
      </c>
      <c r="F188" s="57">
        <v>0.78970845900571629</v>
      </c>
      <c r="G188" s="40">
        <v>0.88607085360419136</v>
      </c>
      <c r="H188" s="57">
        <v>0.87001020452298883</v>
      </c>
      <c r="I188" s="57">
        <v>0.85993964572171933</v>
      </c>
      <c r="J188" s="57">
        <v>0.8487997272932154</v>
      </c>
      <c r="K188" s="86">
        <v>0.80241106856533861</v>
      </c>
      <c r="L188" s="86">
        <v>0.71827922929728905</v>
      </c>
      <c r="M188" s="57">
        <v>0.67369129907902847</v>
      </c>
      <c r="N188" s="57">
        <v>0.68312779018384584</v>
      </c>
    </row>
    <row r="189" spans="1:14" ht="12.75" customHeight="1" x14ac:dyDescent="0.2">
      <c r="A189" s="56" t="s">
        <v>73</v>
      </c>
      <c r="B189" s="59">
        <v>0.39843614071986594</v>
      </c>
      <c r="C189" s="57">
        <v>0.44073003867742527</v>
      </c>
      <c r="D189" s="57">
        <v>0.56950128582442339</v>
      </c>
      <c r="E189" s="86">
        <v>0.61408713861760278</v>
      </c>
      <c r="F189" s="57">
        <v>0.7719100536764355</v>
      </c>
      <c r="G189" s="40">
        <v>0.82982006676433828</v>
      </c>
      <c r="H189" s="57">
        <v>0.83963040442639547</v>
      </c>
      <c r="I189" s="57">
        <v>0.86494840869330236</v>
      </c>
      <c r="J189" s="57">
        <v>0.84113628206159774</v>
      </c>
      <c r="K189" s="86">
        <v>0.83246309211707759</v>
      </c>
      <c r="L189" s="86">
        <v>0.78399813654278938</v>
      </c>
      <c r="M189" s="57">
        <v>0.8285768890880173</v>
      </c>
      <c r="N189" s="57">
        <v>0.85909037046922221</v>
      </c>
    </row>
    <row r="190" spans="1:14" ht="12.75" customHeight="1" x14ac:dyDescent="0.2">
      <c r="A190" s="56" t="s">
        <v>82</v>
      </c>
      <c r="B190" s="59">
        <v>0.79726456808623158</v>
      </c>
      <c r="C190" s="57">
        <v>0.82857231397951325</v>
      </c>
      <c r="D190" s="57">
        <v>0.81314072352508482</v>
      </c>
      <c r="E190" s="86">
        <v>0.80268414418516765</v>
      </c>
      <c r="F190" s="57">
        <v>0.81220203855616591</v>
      </c>
      <c r="G190" s="40">
        <v>0.83170142961366456</v>
      </c>
      <c r="H190" s="57">
        <v>0.85629635556188222</v>
      </c>
      <c r="I190" s="57">
        <v>0.85210514310077679</v>
      </c>
      <c r="J190" s="57">
        <v>0.85755024596890994</v>
      </c>
      <c r="K190" s="86">
        <v>0.85378774994732132</v>
      </c>
      <c r="L190" s="86">
        <v>0.87142080509542075</v>
      </c>
      <c r="M190" s="57">
        <v>0.88839415149898926</v>
      </c>
      <c r="N190" s="57">
        <v>0.91732171586733824</v>
      </c>
    </row>
    <row r="191" spans="1:14" ht="12.75" customHeight="1" x14ac:dyDescent="0.2">
      <c r="A191" s="56" t="s">
        <v>119</v>
      </c>
      <c r="B191" s="59">
        <v>0.74062669947916093</v>
      </c>
      <c r="C191" s="57">
        <v>0.59771982284054914</v>
      </c>
      <c r="D191" s="57">
        <v>0.66924350933701893</v>
      </c>
      <c r="E191" s="86">
        <v>0.7199774594754631</v>
      </c>
      <c r="F191" s="57">
        <v>0.83852826150031079</v>
      </c>
      <c r="G191" s="40">
        <v>0.81407199948951658</v>
      </c>
      <c r="H191" s="57">
        <v>0.74336110527809185</v>
      </c>
      <c r="I191" s="57">
        <v>0.61673507604450406</v>
      </c>
      <c r="J191" s="57">
        <v>0.66912816722287916</v>
      </c>
      <c r="K191" s="86">
        <v>0.65568604475430392</v>
      </c>
      <c r="L191" s="86">
        <v>0.66887449733639615</v>
      </c>
      <c r="M191" s="57">
        <v>0.70724011009999721</v>
      </c>
      <c r="N191" s="57">
        <v>0.79946944928694663</v>
      </c>
    </row>
    <row r="192" spans="1:14" ht="12.75" customHeight="1" x14ac:dyDescent="0.2">
      <c r="A192" s="56" t="s">
        <v>160</v>
      </c>
      <c r="B192" s="59">
        <v>0.83382360586755577</v>
      </c>
      <c r="C192" s="57">
        <v>0.91386191519242377</v>
      </c>
      <c r="D192" s="57">
        <v>0.93891047165913466</v>
      </c>
      <c r="E192" s="86">
        <v>0.75305780751379459</v>
      </c>
      <c r="F192" s="57">
        <v>0.74255164053769995</v>
      </c>
      <c r="G192" s="40">
        <v>0.67723715467916346</v>
      </c>
      <c r="H192" s="57">
        <v>0.87906683568491584</v>
      </c>
      <c r="I192" s="57">
        <v>0.86874058677786958</v>
      </c>
      <c r="J192" s="57">
        <v>0.84596086420782901</v>
      </c>
      <c r="K192" s="86">
        <v>0.81312228051467184</v>
      </c>
      <c r="L192" s="86">
        <v>0.75304922804978258</v>
      </c>
      <c r="M192" s="57">
        <v>0.88030127308258832</v>
      </c>
      <c r="N192" s="57">
        <v>0.80153349979956501</v>
      </c>
    </row>
    <row r="193" spans="1:14" ht="12.75" customHeight="1" x14ac:dyDescent="0.2">
      <c r="A193" s="56" t="s">
        <v>7081</v>
      </c>
      <c r="B193" s="59">
        <v>0.64457493667658217</v>
      </c>
      <c r="C193" s="57">
        <v>0.61595796923955504</v>
      </c>
      <c r="D193" s="57">
        <v>0.65570062555801367</v>
      </c>
      <c r="E193" s="86">
        <v>0.75798464386316577</v>
      </c>
      <c r="F193" s="57">
        <v>0.82253488658946028</v>
      </c>
      <c r="G193" s="40">
        <v>0.89418529939530866</v>
      </c>
      <c r="H193" s="57">
        <v>0.90199049402867748</v>
      </c>
      <c r="I193" s="57">
        <v>0.84562110654380407</v>
      </c>
      <c r="J193" s="57">
        <v>0.81779066678897305</v>
      </c>
      <c r="K193" s="86">
        <v>0.85379005341702641</v>
      </c>
      <c r="L193" s="86">
        <v>0.87000184431079752</v>
      </c>
      <c r="M193" s="57">
        <v>0.83081404627267175</v>
      </c>
      <c r="N193" s="57">
        <v>0.84006822511280432</v>
      </c>
    </row>
    <row r="194" spans="1:14" ht="12.75" customHeight="1" x14ac:dyDescent="0.2">
      <c r="A194" s="56" t="s">
        <v>288</v>
      </c>
      <c r="B194" s="59">
        <v>0.86166441978330655</v>
      </c>
      <c r="C194" s="57">
        <v>0.84362541681133385</v>
      </c>
      <c r="D194" s="57">
        <v>0.78926642031416439</v>
      </c>
      <c r="E194" s="86">
        <v>0.73328096867128334</v>
      </c>
      <c r="F194" s="57">
        <v>0.66781004333509453</v>
      </c>
      <c r="G194" s="40">
        <v>0.6620316620250698</v>
      </c>
      <c r="H194" s="57">
        <v>0.65120477525392706</v>
      </c>
      <c r="I194" s="57">
        <v>0.73554760706661382</v>
      </c>
      <c r="J194" s="57">
        <v>0.78540777402551509</v>
      </c>
      <c r="K194" s="86">
        <v>0.79842590703505767</v>
      </c>
      <c r="L194" s="86">
        <v>0.77455105552490833</v>
      </c>
      <c r="M194" s="57">
        <v>0.80308320940280498</v>
      </c>
      <c r="N194" s="57">
        <v>0.81431245768133198</v>
      </c>
    </row>
    <row r="195" spans="1:14" ht="12.75" customHeight="1" x14ac:dyDescent="0.2">
      <c r="A195" s="56" t="s">
        <v>191</v>
      </c>
      <c r="B195" s="59">
        <v>0.81388429628260039</v>
      </c>
      <c r="C195" s="57">
        <v>0.89718063946353432</v>
      </c>
      <c r="D195" s="57">
        <v>0.8178561118320703</v>
      </c>
      <c r="E195" s="86">
        <v>0.8532268709125711</v>
      </c>
      <c r="F195" s="57">
        <v>0.82628221965152948</v>
      </c>
      <c r="G195" s="40">
        <v>0.80287754776908538</v>
      </c>
      <c r="H195" s="57">
        <v>0.79331629707068962</v>
      </c>
      <c r="I195" s="57">
        <v>0.75334069012106186</v>
      </c>
      <c r="J195" s="57">
        <v>0.84462660905796361</v>
      </c>
      <c r="K195" s="86">
        <v>0.92246848707644258</v>
      </c>
      <c r="L195" s="86">
        <v>0.83411889864854383</v>
      </c>
      <c r="M195" s="57">
        <v>0.84583650435111191</v>
      </c>
      <c r="N195" s="57">
        <v>0.66312445976462231</v>
      </c>
    </row>
    <row r="196" spans="1:14" ht="12.75" customHeight="1" x14ac:dyDescent="0.2">
      <c r="A196" s="56" t="s">
        <v>105</v>
      </c>
      <c r="B196" s="59">
        <v>0.84024176175178644</v>
      </c>
      <c r="C196" s="57">
        <v>0.83957286654720498</v>
      </c>
      <c r="D196" s="57">
        <v>0.83587930078627715</v>
      </c>
      <c r="E196" s="86">
        <v>0.84931200057638989</v>
      </c>
      <c r="F196" s="57">
        <v>0.84404174458731873</v>
      </c>
      <c r="G196" s="40">
        <v>0.86539689501115336</v>
      </c>
      <c r="H196" s="57">
        <v>0.87246415023941981</v>
      </c>
      <c r="I196" s="57">
        <v>0.86793659806622936</v>
      </c>
      <c r="J196" s="57">
        <v>0.8647414140598304</v>
      </c>
      <c r="K196" s="86">
        <v>0.8647659208447469</v>
      </c>
      <c r="L196" s="86">
        <v>0.86796309894203871</v>
      </c>
      <c r="M196" s="57">
        <v>0.87038957235402581</v>
      </c>
      <c r="N196" s="57">
        <v>0.8581459279102096</v>
      </c>
    </row>
    <row r="197" spans="1:14" ht="12.75" customHeight="1" x14ac:dyDescent="0.2">
      <c r="A197" s="56" t="s">
        <v>255</v>
      </c>
      <c r="B197" s="59">
        <v>0.72837270387610664</v>
      </c>
      <c r="C197" s="57">
        <v>0.78256611634025541</v>
      </c>
      <c r="D197" s="57">
        <v>0.81766589060801487</v>
      </c>
      <c r="E197" s="86">
        <v>0.79676015337610551</v>
      </c>
      <c r="F197" s="57">
        <v>0.80742010770955697</v>
      </c>
      <c r="G197" s="40">
        <v>0.77895696283149718</v>
      </c>
      <c r="H197" s="57">
        <v>0.84217184989035931</v>
      </c>
      <c r="I197" s="57">
        <v>0.82140271923752428</v>
      </c>
      <c r="J197" s="57">
        <v>0.89136925020508107</v>
      </c>
      <c r="K197" s="86">
        <v>0.92499783193797269</v>
      </c>
      <c r="L197" s="86">
        <v>0.98164686324371964</v>
      </c>
      <c r="M197" s="57">
        <v>0.96430156720817106</v>
      </c>
      <c r="N197" s="57">
        <v>0.91370042464972856</v>
      </c>
    </row>
    <row r="198" spans="1:14" ht="12.75" customHeight="1" x14ac:dyDescent="0.2">
      <c r="A198" s="56" t="s">
        <v>161</v>
      </c>
      <c r="B198" s="59">
        <v>0.74558248397528892</v>
      </c>
      <c r="C198" s="57">
        <v>0.72425513829596844</v>
      </c>
      <c r="D198" s="57">
        <v>0.84478063048139429</v>
      </c>
      <c r="E198" s="86">
        <v>0.8631533662253984</v>
      </c>
      <c r="F198" s="57">
        <v>0.92007152826925465</v>
      </c>
      <c r="G198" s="40">
        <v>0.92677932169590449</v>
      </c>
      <c r="H198" s="57">
        <v>0.88766869252808289</v>
      </c>
      <c r="I198" s="57">
        <v>0.87839748195807232</v>
      </c>
      <c r="J198" s="57">
        <v>0.86752615325602944</v>
      </c>
      <c r="K198" s="86">
        <v>0.93365653320809183</v>
      </c>
      <c r="L198" s="86">
        <v>0.93901201684346314</v>
      </c>
      <c r="M198" s="57">
        <v>0.93480048042828523</v>
      </c>
      <c r="N198" s="57">
        <v>0.95025283343775513</v>
      </c>
    </row>
    <row r="199" spans="1:14" ht="12.75" customHeight="1" x14ac:dyDescent="0.2">
      <c r="A199" s="56" t="s">
        <v>106</v>
      </c>
      <c r="B199" s="59">
        <v>0.7706138629746393</v>
      </c>
      <c r="C199" s="57">
        <v>0.81078693361654108</v>
      </c>
      <c r="D199" s="57">
        <v>0.70141330129118662</v>
      </c>
      <c r="E199" s="86">
        <v>0.74424501207268878</v>
      </c>
      <c r="F199" s="57">
        <v>0.75808194888997249</v>
      </c>
      <c r="G199" s="40">
        <v>0.88510026764404237</v>
      </c>
      <c r="H199" s="57">
        <v>0.85773654685702894</v>
      </c>
      <c r="I199" s="57">
        <v>0.83247700430948657</v>
      </c>
      <c r="J199" s="57">
        <v>0.77210866699544545</v>
      </c>
      <c r="K199" s="86">
        <v>0.82473653854367335</v>
      </c>
      <c r="L199" s="86">
        <v>0.75854135162716496</v>
      </c>
      <c r="M199" s="57">
        <v>0.75131054753843662</v>
      </c>
      <c r="N199" s="57">
        <v>0.75583026639710693</v>
      </c>
    </row>
    <row r="200" spans="1:14" ht="12.75" customHeight="1" x14ac:dyDescent="0.2">
      <c r="A200" s="56" t="s">
        <v>392</v>
      </c>
      <c r="B200" s="59">
        <v>0.78985643006549555</v>
      </c>
      <c r="C200" s="57">
        <v>0.78717578283325162</v>
      </c>
      <c r="D200" s="57">
        <v>0.68633006047506517</v>
      </c>
      <c r="E200" s="86">
        <v>0.65217009931126702</v>
      </c>
      <c r="F200" s="57">
        <v>0.72724509157369022</v>
      </c>
      <c r="G200" s="40">
        <v>0.74295357289339137</v>
      </c>
      <c r="H200" s="57">
        <v>0.76268378591658725</v>
      </c>
      <c r="I200" s="57">
        <v>0.74391799129205027</v>
      </c>
      <c r="J200" s="57">
        <v>0.88907931069060098</v>
      </c>
      <c r="K200" s="86">
        <v>0.92785008259247415</v>
      </c>
      <c r="L200" s="86">
        <v>0.93711467091186407</v>
      </c>
      <c r="M200" s="57">
        <v>0.94623054988897548</v>
      </c>
      <c r="N200" s="57">
        <v>0.92354465771178795</v>
      </c>
    </row>
    <row r="201" spans="1:14" ht="12.75" customHeight="1" x14ac:dyDescent="0.2">
      <c r="A201" s="56" t="s">
        <v>256</v>
      </c>
      <c r="B201" s="59">
        <v>0.8792663461475908</v>
      </c>
      <c r="C201" s="57">
        <v>0.94371992543822181</v>
      </c>
      <c r="D201" s="57">
        <v>0.90968401906896135</v>
      </c>
      <c r="E201" s="86">
        <v>0.8689092676196335</v>
      </c>
      <c r="F201" s="57">
        <v>0.81635549957589559</v>
      </c>
      <c r="G201" s="40">
        <v>0.75858460823125873</v>
      </c>
      <c r="H201" s="57">
        <v>0.78726042596159473</v>
      </c>
      <c r="I201" s="57">
        <v>0.82247530052559681</v>
      </c>
      <c r="J201" s="57">
        <v>0.91051982832858813</v>
      </c>
      <c r="K201" s="86">
        <v>0.90698436526741288</v>
      </c>
      <c r="L201" s="86">
        <v>0.91367635097883237</v>
      </c>
      <c r="M201" s="57">
        <v>0.91590748948703771</v>
      </c>
      <c r="N201" s="57">
        <v>0.93777164417401782</v>
      </c>
    </row>
    <row r="202" spans="1:14" ht="12.75" customHeight="1" x14ac:dyDescent="0.2">
      <c r="A202" s="56" t="s">
        <v>215</v>
      </c>
      <c r="B202" s="59">
        <v>0.68133663785005394</v>
      </c>
      <c r="C202" s="57">
        <v>0.73036004048475434</v>
      </c>
      <c r="D202" s="57">
        <v>0.77825870987728407</v>
      </c>
      <c r="E202" s="86">
        <v>0.82142771769330702</v>
      </c>
      <c r="F202" s="57">
        <v>0.83701303720481945</v>
      </c>
      <c r="G202" s="40">
        <v>0.84077996643241859</v>
      </c>
      <c r="H202" s="57">
        <v>0.87506473452798206</v>
      </c>
      <c r="I202" s="57">
        <v>0.87370950236833489</v>
      </c>
      <c r="J202" s="57">
        <v>0.88903129853914653</v>
      </c>
      <c r="K202" s="86">
        <v>0.89605587913977214</v>
      </c>
      <c r="L202" s="86">
        <v>0.90569841269092155</v>
      </c>
      <c r="M202" s="57">
        <v>0.84708468524179459</v>
      </c>
      <c r="N202" s="57">
        <v>0.81697638955981144</v>
      </c>
    </row>
    <row r="203" spans="1:14" ht="12.75" customHeight="1" x14ac:dyDescent="0.2">
      <c r="A203" s="56" t="s">
        <v>7080</v>
      </c>
      <c r="B203" s="59">
        <v>0.84258514629198833</v>
      </c>
      <c r="C203" s="57">
        <v>0.82673572726279021</v>
      </c>
      <c r="D203" s="57">
        <v>0.79427561034136218</v>
      </c>
      <c r="E203" s="86">
        <v>0.75217609148436992</v>
      </c>
      <c r="F203" s="57">
        <v>0.73414202505080095</v>
      </c>
      <c r="G203" s="40">
        <v>0.76183624504305747</v>
      </c>
      <c r="H203" s="57">
        <v>0.79323434894453959</v>
      </c>
      <c r="I203" s="57">
        <v>0.85332408471679466</v>
      </c>
      <c r="J203" s="57">
        <v>0.87555252325726751</v>
      </c>
      <c r="K203" s="86">
        <v>0.89532935529779378</v>
      </c>
      <c r="L203" s="86">
        <v>0.88249303028454573</v>
      </c>
      <c r="M203" s="57">
        <v>0.87636917855007501</v>
      </c>
      <c r="N203" s="57">
        <v>0.89322683466124475</v>
      </c>
    </row>
    <row r="204" spans="1:14" ht="12.75" customHeight="1" x14ac:dyDescent="0.2">
      <c r="A204" s="56" t="s">
        <v>409</v>
      </c>
      <c r="B204" s="59">
        <v>0.56206950101222575</v>
      </c>
      <c r="C204" s="57">
        <v>0.54216597929920851</v>
      </c>
      <c r="D204" s="57">
        <v>0.54981692981452612</v>
      </c>
      <c r="E204" s="86">
        <v>0.62991650150309875</v>
      </c>
      <c r="F204" s="57">
        <v>0.69859412224540074</v>
      </c>
      <c r="G204" s="40">
        <v>0.81846499255580163</v>
      </c>
      <c r="H204" s="57">
        <v>0.86960994346135079</v>
      </c>
      <c r="I204" s="57">
        <v>0.87018006437900652</v>
      </c>
      <c r="J204" s="57">
        <v>0.78556355546356593</v>
      </c>
      <c r="K204" s="86">
        <v>0.70792229750141711</v>
      </c>
      <c r="L204" s="86">
        <v>0.66507784650953894</v>
      </c>
      <c r="M204" s="57">
        <v>0.68926727610949146</v>
      </c>
      <c r="N204" s="57">
        <v>0.69310478521802965</v>
      </c>
    </row>
    <row r="205" spans="1:14" ht="12.75" customHeight="1" x14ac:dyDescent="0.2">
      <c r="A205" s="56" t="s">
        <v>357</v>
      </c>
      <c r="B205" s="59">
        <v>0.64478690647725834</v>
      </c>
      <c r="C205" s="57">
        <v>0.72501782492108779</v>
      </c>
      <c r="D205" s="57">
        <v>0.77676211404740869</v>
      </c>
      <c r="E205" s="86">
        <v>0.78354493474725828</v>
      </c>
      <c r="F205" s="57">
        <v>0.86491787878411175</v>
      </c>
      <c r="G205" s="40">
        <v>0.85326458828369767</v>
      </c>
      <c r="H205" s="57">
        <v>0.90578650782581083</v>
      </c>
      <c r="I205" s="57">
        <v>0.91724302436081306</v>
      </c>
      <c r="J205" s="57">
        <v>0.614065639112226</v>
      </c>
      <c r="K205" s="86">
        <v>0.558891671907776</v>
      </c>
      <c r="L205" s="86">
        <v>0.49239790204690737</v>
      </c>
      <c r="M205" s="57">
        <v>0.70738103870385738</v>
      </c>
      <c r="N205" s="57">
        <v>0.83439986674861177</v>
      </c>
    </row>
    <row r="206" spans="1:14" ht="12.75" customHeight="1" x14ac:dyDescent="0.2">
      <c r="A206" s="56" t="s">
        <v>387</v>
      </c>
      <c r="B206" s="59">
        <v>0.51482768805465395</v>
      </c>
      <c r="C206" s="57">
        <v>0.58283261593693814</v>
      </c>
      <c r="D206" s="57">
        <v>0.67752573984192066</v>
      </c>
      <c r="E206" s="86">
        <v>0.78187918095616415</v>
      </c>
      <c r="F206" s="57">
        <v>0.79561720090765897</v>
      </c>
      <c r="G206" s="40">
        <v>0.75860679067818371</v>
      </c>
      <c r="H206" s="57">
        <v>0.75451135933565594</v>
      </c>
      <c r="I206" s="57">
        <v>0.81423126855375116</v>
      </c>
      <c r="J206" s="57">
        <v>0.87460501095219645</v>
      </c>
      <c r="K206" s="86">
        <v>0.89513647000308649</v>
      </c>
      <c r="L206" s="86">
        <v>0.80939223046394437</v>
      </c>
      <c r="M206" s="57">
        <v>0.82447105216600658</v>
      </c>
      <c r="N206" s="57">
        <v>0.85791703363278282</v>
      </c>
    </row>
    <row r="207" spans="1:14" ht="12.75" customHeight="1" x14ac:dyDescent="0.2">
      <c r="A207" s="56" t="s">
        <v>74</v>
      </c>
      <c r="B207" s="59">
        <v>0.34818351974191281</v>
      </c>
      <c r="C207" s="57">
        <v>0.33030311275313051</v>
      </c>
      <c r="D207" s="57">
        <v>0.38835011351866983</v>
      </c>
      <c r="E207" s="86">
        <v>0.34850192902266741</v>
      </c>
      <c r="F207" s="57">
        <v>0.45750577666417991</v>
      </c>
      <c r="G207" s="40">
        <v>0.51148544902344584</v>
      </c>
      <c r="H207" s="57">
        <v>0.60202016893885091</v>
      </c>
      <c r="I207" s="57">
        <v>0.67264650756382982</v>
      </c>
      <c r="J207" s="57">
        <v>0.74489590057690069</v>
      </c>
      <c r="K207" s="86">
        <v>0.77748722641750623</v>
      </c>
      <c r="L207" s="86">
        <v>0.7770481312030374</v>
      </c>
      <c r="M207" s="57">
        <v>0.80579257183239683</v>
      </c>
      <c r="N207" s="57">
        <v>0.79615737620828597</v>
      </c>
    </row>
    <row r="208" spans="1:14" ht="12.75" customHeight="1" x14ac:dyDescent="0.2">
      <c r="A208" s="56" t="s">
        <v>308</v>
      </c>
      <c r="B208" s="59">
        <v>0.69822867896472418</v>
      </c>
      <c r="C208" s="57">
        <v>0.69045909790371718</v>
      </c>
      <c r="D208" s="57">
        <v>0.7395117408764964</v>
      </c>
      <c r="E208" s="86">
        <v>0.80109257069472106</v>
      </c>
      <c r="F208" s="57">
        <v>0.85336306297506148</v>
      </c>
      <c r="G208" s="40">
        <v>0.83997425132097769</v>
      </c>
      <c r="H208" s="57">
        <v>0.81986906218683553</v>
      </c>
      <c r="I208" s="57">
        <v>0.81808594005370949</v>
      </c>
      <c r="J208" s="57">
        <v>0.84190965054625411</v>
      </c>
      <c r="K208" s="86">
        <v>0.85485812510952386</v>
      </c>
      <c r="L208" s="86">
        <v>0.86435070283066062</v>
      </c>
      <c r="M208" s="57">
        <v>0.86650394265329567</v>
      </c>
      <c r="N208" s="57">
        <v>0.87569297324178785</v>
      </c>
    </row>
    <row r="209" spans="1:14" ht="12.75" customHeight="1" x14ac:dyDescent="0.2">
      <c r="A209" s="56" t="s">
        <v>301</v>
      </c>
      <c r="B209" s="59">
        <v>0.78273913742921364</v>
      </c>
      <c r="C209" s="57">
        <v>0.78060501492702938</v>
      </c>
      <c r="D209" s="57">
        <v>0.700809499383236</v>
      </c>
      <c r="E209" s="86">
        <v>0.63597773472106633</v>
      </c>
      <c r="F209" s="57">
        <v>0.60807461560049192</v>
      </c>
      <c r="G209" s="40">
        <v>0.71021550699937952</v>
      </c>
      <c r="H209" s="57">
        <v>0.6511537061472128</v>
      </c>
      <c r="I209" s="57">
        <v>0.75011121963936012</v>
      </c>
      <c r="J209" s="57">
        <v>0.74531289879638785</v>
      </c>
      <c r="K209" s="86">
        <v>0.90773289262384382</v>
      </c>
      <c r="L209" s="86">
        <v>0.91656730981191703</v>
      </c>
      <c r="M209" s="57">
        <v>0.88653976774434129</v>
      </c>
      <c r="N209" s="57">
        <v>0.84752511522603091</v>
      </c>
    </row>
    <row r="210" spans="1:14" ht="12.75" customHeight="1" x14ac:dyDescent="0.2">
      <c r="A210" s="56" t="s">
        <v>203</v>
      </c>
      <c r="B210" s="59">
        <v>0.81668248955472411</v>
      </c>
      <c r="C210" s="57">
        <v>0.8174556941759854</v>
      </c>
      <c r="D210" s="57">
        <v>0.80491687372082277</v>
      </c>
      <c r="E210" s="86">
        <v>0.80890282807452374</v>
      </c>
      <c r="F210" s="57">
        <v>0.8333979390271985</v>
      </c>
      <c r="G210" s="40">
        <v>0.8580603051024932</v>
      </c>
      <c r="H210" s="57">
        <v>0.89851917416500926</v>
      </c>
      <c r="I210" s="57">
        <v>0.88733600702739512</v>
      </c>
      <c r="J210" s="57">
        <v>0.9066162960121944</v>
      </c>
      <c r="K210" s="86">
        <v>0.87690946163030847</v>
      </c>
      <c r="L210" s="86">
        <v>0.90335519174587686</v>
      </c>
      <c r="M210" s="57">
        <v>0.89629754310604237</v>
      </c>
      <c r="N210" s="57">
        <v>0.90928891487542085</v>
      </c>
    </row>
    <row r="211" spans="1:14" ht="12.75" customHeight="1" x14ac:dyDescent="0.2">
      <c r="A211" s="56" t="s">
        <v>180</v>
      </c>
      <c r="B211" s="59">
        <v>0.87602331527503507</v>
      </c>
      <c r="C211" s="57">
        <v>0.85531762065557582</v>
      </c>
      <c r="D211" s="57">
        <v>0.86552276060358091</v>
      </c>
      <c r="E211" s="86">
        <v>0.89144897859175531</v>
      </c>
      <c r="F211" s="57">
        <v>0.89896966767951714</v>
      </c>
      <c r="G211" s="40">
        <v>0.92209149080377806</v>
      </c>
      <c r="H211" s="57">
        <v>0.93777772131137505</v>
      </c>
      <c r="I211" s="57">
        <v>0.90292887035088043</v>
      </c>
      <c r="J211" s="57">
        <v>0.90920081432910882</v>
      </c>
      <c r="K211" s="86">
        <v>0.87373269250939123</v>
      </c>
      <c r="L211" s="86">
        <v>0.89873463843332946</v>
      </c>
      <c r="M211" s="57">
        <v>0.80810767618851287</v>
      </c>
      <c r="N211" s="57">
        <v>0.85551519747314408</v>
      </c>
    </row>
    <row r="212" spans="1:14" ht="12.75" customHeight="1" x14ac:dyDescent="0.2">
      <c r="A212" s="56" t="s">
        <v>289</v>
      </c>
      <c r="B212" s="59">
        <v>0.60693551538669788</v>
      </c>
      <c r="C212" s="57">
        <v>0.65835516100533942</v>
      </c>
      <c r="D212" s="57">
        <v>0.76766393225666141</v>
      </c>
      <c r="E212" s="86">
        <v>0.7643652493728802</v>
      </c>
      <c r="F212" s="57">
        <v>0.77124012806054731</v>
      </c>
      <c r="G212" s="40">
        <v>0.78475501517025792</v>
      </c>
      <c r="H212" s="57">
        <v>0.84155420694272909</v>
      </c>
      <c r="I212" s="57">
        <v>0.88114270889989044</v>
      </c>
      <c r="J212" s="57">
        <v>0.88956557061727615</v>
      </c>
      <c r="K212" s="86">
        <v>0.891915129063792</v>
      </c>
      <c r="L212" s="86">
        <v>0.88278513490974575</v>
      </c>
      <c r="M212" s="57">
        <v>0.76933701728579973</v>
      </c>
      <c r="N212" s="57">
        <v>0.74326982975493594</v>
      </c>
    </row>
    <row r="213" spans="1:14" ht="12.75" customHeight="1" x14ac:dyDescent="0.2">
      <c r="A213" s="56" t="s">
        <v>242</v>
      </c>
      <c r="B213" s="59">
        <v>0.62918415939662087</v>
      </c>
      <c r="C213" s="57">
        <v>0.67307504506016658</v>
      </c>
      <c r="D213" s="57">
        <v>0.66624082012647889</v>
      </c>
      <c r="E213" s="86">
        <v>0.71714398636157739</v>
      </c>
      <c r="F213" s="57">
        <v>0.75915468857456092</v>
      </c>
      <c r="G213" s="40">
        <v>0.74880015830454971</v>
      </c>
      <c r="H213" s="57">
        <v>0.68221859803851803</v>
      </c>
      <c r="I213" s="57">
        <v>0.63155001553727486</v>
      </c>
      <c r="J213" s="57">
        <v>0.66302973008885013</v>
      </c>
      <c r="K213" s="86">
        <v>0.69991241221326594</v>
      </c>
      <c r="L213" s="86">
        <v>0.75100369480894491</v>
      </c>
      <c r="M213" s="57">
        <v>0.79125731255217635</v>
      </c>
      <c r="N213" s="57">
        <v>0.83018475182238227</v>
      </c>
    </row>
    <row r="214" spans="1:14" ht="12.75" customHeight="1" x14ac:dyDescent="0.2">
      <c r="A214" s="56" t="s">
        <v>192</v>
      </c>
      <c r="B214" s="59">
        <v>0.82356406285406669</v>
      </c>
      <c r="C214" s="57">
        <v>0.82744821555907888</v>
      </c>
      <c r="D214" s="57">
        <v>0.82999909293987228</v>
      </c>
      <c r="E214" s="86">
        <v>0.84542290989303759</v>
      </c>
      <c r="F214" s="57">
        <v>0.84585570714592928</v>
      </c>
      <c r="G214" s="40">
        <v>0.86349164917025767</v>
      </c>
      <c r="H214" s="57">
        <v>0.86720874899815314</v>
      </c>
      <c r="I214" s="57">
        <v>0.87407030951451448</v>
      </c>
      <c r="J214" s="57">
        <v>0.87119917660440549</v>
      </c>
      <c r="K214" s="86">
        <v>0.87187834509464779</v>
      </c>
      <c r="L214" s="86">
        <v>0.87884650875962189</v>
      </c>
      <c r="M214" s="57">
        <v>0.88714569533900278</v>
      </c>
      <c r="N214" s="57">
        <v>0.89292087786366625</v>
      </c>
    </row>
    <row r="215" spans="1:14" ht="12.75" customHeight="1" x14ac:dyDescent="0.2">
      <c r="A215" s="56" t="s">
        <v>388</v>
      </c>
      <c r="B215" s="59">
        <v>0.66618892270323815</v>
      </c>
      <c r="C215" s="57">
        <v>0.69269395049211901</v>
      </c>
      <c r="D215" s="57">
        <v>0.70975244950740068</v>
      </c>
      <c r="E215" s="86">
        <v>0.77087192624014023</v>
      </c>
      <c r="F215" s="57">
        <v>0.74263611716561229</v>
      </c>
      <c r="G215" s="40">
        <v>0.73780818039325691</v>
      </c>
      <c r="H215" s="57">
        <v>0.80313318796803712</v>
      </c>
      <c r="I215" s="57">
        <v>0.85569663239475791</v>
      </c>
      <c r="J215" s="57">
        <v>0.93053516360352251</v>
      </c>
      <c r="K215" s="86">
        <v>0.93217511998072522</v>
      </c>
      <c r="L215" s="86">
        <v>0.87171354697036618</v>
      </c>
      <c r="M215" s="57">
        <v>0.86227200136961868</v>
      </c>
      <c r="N215" s="57">
        <v>0.6820133784723037</v>
      </c>
    </row>
    <row r="216" spans="1:14" ht="12.75" customHeight="1" x14ac:dyDescent="0.2">
      <c r="A216" s="56" t="s">
        <v>324</v>
      </c>
      <c r="B216" s="59">
        <v>0.73484986841219835</v>
      </c>
      <c r="C216" s="57">
        <v>0.77159357224448266</v>
      </c>
      <c r="D216" s="57">
        <v>0.73612574057187297</v>
      </c>
      <c r="E216" s="86">
        <v>0.80978013914870084</v>
      </c>
      <c r="F216" s="57">
        <v>0.80569252374062916</v>
      </c>
      <c r="G216" s="40">
        <v>0.89688485209347613</v>
      </c>
      <c r="H216" s="57">
        <v>0.86999437146551994</v>
      </c>
      <c r="I216" s="57">
        <v>0.89085803718770651</v>
      </c>
      <c r="J216" s="57">
        <v>0.89629331212203045</v>
      </c>
      <c r="K216" s="86">
        <v>0.95723409542731508</v>
      </c>
      <c r="L216" s="86">
        <v>0.95376865777291309</v>
      </c>
      <c r="M216" s="57">
        <v>0.94118961406771662</v>
      </c>
      <c r="N216" s="57">
        <v>0.93511541909662188</v>
      </c>
    </row>
    <row r="217" spans="1:14" ht="12.75" customHeight="1" x14ac:dyDescent="0.2">
      <c r="A217" s="56" t="s">
        <v>358</v>
      </c>
      <c r="B217" s="59">
        <v>0.68587838267342904</v>
      </c>
      <c r="C217" s="57">
        <v>0.55589956035946819</v>
      </c>
      <c r="D217" s="57">
        <v>0.5400561510860401</v>
      </c>
      <c r="E217" s="86">
        <v>0.56162033945098444</v>
      </c>
      <c r="F217" s="57">
        <v>0.62345639695879129</v>
      </c>
      <c r="G217" s="40">
        <v>0.7614246905857559</v>
      </c>
      <c r="H217" s="57">
        <v>0.80547257190190458</v>
      </c>
      <c r="I217" s="57">
        <v>0.83745052188554947</v>
      </c>
      <c r="J217" s="57">
        <v>0.79477272136694432</v>
      </c>
      <c r="K217" s="86">
        <v>0.77555259339495064</v>
      </c>
      <c r="L217" s="86">
        <v>0.83634331425427977</v>
      </c>
      <c r="M217" s="57">
        <v>0.8745357776385525</v>
      </c>
      <c r="N217" s="57">
        <v>0.88271348927029292</v>
      </c>
    </row>
    <row r="218" spans="1:14" ht="12.75" customHeight="1" x14ac:dyDescent="0.2">
      <c r="A218" s="56" t="s">
        <v>395</v>
      </c>
      <c r="B218" s="59">
        <v>0.75149959135661748</v>
      </c>
      <c r="C218" s="57">
        <v>0.65248132949353987</v>
      </c>
      <c r="D218" s="57">
        <v>0.53430306543950867</v>
      </c>
      <c r="E218" s="86">
        <v>0.41991215208564797</v>
      </c>
      <c r="F218" s="57">
        <v>0.56879155108040191</v>
      </c>
      <c r="G218" s="40">
        <v>0.65801914008514462</v>
      </c>
      <c r="H218" s="57">
        <v>0.87604293996044402</v>
      </c>
      <c r="I218" s="57">
        <v>0.83348365438202465</v>
      </c>
      <c r="J218" s="57">
        <v>0.85806757030749592</v>
      </c>
      <c r="K218" s="86">
        <v>0.79796936146058617</v>
      </c>
      <c r="L218" s="86">
        <v>0.85166760554638499</v>
      </c>
      <c r="M218" s="57">
        <v>0.85591851985661849</v>
      </c>
      <c r="N218" s="57">
        <v>0.91514458497424156</v>
      </c>
    </row>
    <row r="219" spans="1:14" ht="12.75" customHeight="1" x14ac:dyDescent="0.2">
      <c r="A219" s="56" t="s">
        <v>204</v>
      </c>
      <c r="B219" s="59">
        <v>0.80142280581266345</v>
      </c>
      <c r="C219" s="57">
        <v>0.86265855835907956</v>
      </c>
      <c r="D219" s="57">
        <v>0.89243038663631824</v>
      </c>
      <c r="E219" s="86">
        <v>0.94841209443989205</v>
      </c>
      <c r="F219" s="57">
        <v>0.91004356734357394</v>
      </c>
      <c r="G219" s="40">
        <v>0.89294497207396739</v>
      </c>
      <c r="H219" s="57">
        <v>0.81717728612782781</v>
      </c>
      <c r="I219" s="57">
        <v>0.7141029182094365</v>
      </c>
      <c r="J219" s="57">
        <v>0.73056367923242693</v>
      </c>
      <c r="K219" s="86">
        <v>0.85119003489675871</v>
      </c>
      <c r="L219" s="86">
        <v>0.98000502905135656</v>
      </c>
      <c r="M219" s="57">
        <v>0.97256378934497756</v>
      </c>
      <c r="N219" s="57">
        <v>0.90281756187280393</v>
      </c>
    </row>
    <row r="220" spans="1:14" ht="12.75" customHeight="1" x14ac:dyDescent="0.2">
      <c r="A220" s="56" t="s">
        <v>309</v>
      </c>
      <c r="B220" s="59">
        <v>0.7564678177124744</v>
      </c>
      <c r="C220" s="57">
        <v>0.78512717912904095</v>
      </c>
      <c r="D220" s="57">
        <v>0.79513560755580459</v>
      </c>
      <c r="E220" s="86">
        <v>0.71468637192306483</v>
      </c>
      <c r="F220" s="57">
        <v>0.73819960865200451</v>
      </c>
      <c r="G220" s="40">
        <v>0.76656299160356445</v>
      </c>
      <c r="H220" s="57">
        <v>0.85778032711821794</v>
      </c>
      <c r="I220" s="57">
        <v>0.88737226766201616</v>
      </c>
      <c r="J220" s="57">
        <v>0.8431871763141382</v>
      </c>
      <c r="K220" s="86">
        <v>0.82269560160390609</v>
      </c>
      <c r="L220" s="86">
        <v>0.83674172125210189</v>
      </c>
      <c r="M220" s="57">
        <v>0.83814128345026839</v>
      </c>
      <c r="N220" s="57">
        <v>0.84295767258517529</v>
      </c>
    </row>
    <row r="221" spans="1:14" ht="12.75" customHeight="1" x14ac:dyDescent="0.2">
      <c r="A221" s="56" t="s">
        <v>399</v>
      </c>
      <c r="B221" s="59">
        <v>0.58778572742570234</v>
      </c>
      <c r="C221" s="57">
        <v>0.53035389162564428</v>
      </c>
      <c r="D221" s="57">
        <v>0.54351494174461623</v>
      </c>
      <c r="E221" s="86">
        <v>0.56650925152323528</v>
      </c>
      <c r="F221" s="57">
        <v>0.60693259272757449</v>
      </c>
      <c r="G221" s="40">
        <v>0.57402025319119065</v>
      </c>
      <c r="H221" s="57">
        <v>0.52694726910947065</v>
      </c>
      <c r="I221" s="57">
        <v>0.47953393122853744</v>
      </c>
      <c r="J221" s="57">
        <v>0.47494892998452265</v>
      </c>
      <c r="K221" s="86">
        <v>0.44504967895573905</v>
      </c>
      <c r="L221" s="86">
        <v>0.50773043672701679</v>
      </c>
      <c r="M221" s="57">
        <v>0.56961336136835838</v>
      </c>
      <c r="N221" s="57">
        <v>0.62364549130553193</v>
      </c>
    </row>
    <row r="222" spans="1:14" ht="12.75" customHeight="1" x14ac:dyDescent="0.2">
      <c r="A222" s="56" t="s">
        <v>75</v>
      </c>
      <c r="B222" s="59">
        <v>0.85810819919199222</v>
      </c>
      <c r="C222" s="57">
        <v>0.64852070857683308</v>
      </c>
      <c r="D222" s="57">
        <v>0.67900710316883151</v>
      </c>
      <c r="E222" s="86">
        <v>0.71089272432963491</v>
      </c>
      <c r="F222" s="57">
        <v>0.81942899120440593</v>
      </c>
      <c r="G222" s="40">
        <v>0.81947736398928017</v>
      </c>
      <c r="H222" s="57">
        <v>0.73040891390923657</v>
      </c>
      <c r="I222" s="57">
        <v>0.84967780129665116</v>
      </c>
      <c r="J222" s="57">
        <v>0.87209827772024928</v>
      </c>
      <c r="K222" s="86">
        <v>0.97871058744941564</v>
      </c>
      <c r="L222" s="86">
        <v>0.89723385081694396</v>
      </c>
      <c r="M222" s="57">
        <v>0.90742257701488216</v>
      </c>
      <c r="N222" s="57">
        <v>0.78290083620551554</v>
      </c>
    </row>
    <row r="223" spans="1:14" ht="12.75" customHeight="1" x14ac:dyDescent="0.2">
      <c r="A223" s="56" t="s">
        <v>181</v>
      </c>
      <c r="B223" s="59">
        <v>0.69110508204206889</v>
      </c>
      <c r="C223" s="57">
        <v>0.683984000087</v>
      </c>
      <c r="D223" s="57">
        <v>0.81579877026731873</v>
      </c>
      <c r="E223" s="86">
        <v>0.79577588455768089</v>
      </c>
      <c r="F223" s="57">
        <v>0.83998305774460091</v>
      </c>
      <c r="G223" s="40">
        <v>0.82996690188195499</v>
      </c>
      <c r="H223" s="57">
        <v>0.81130464851825757</v>
      </c>
      <c r="I223" s="57">
        <v>0.81787750364383649</v>
      </c>
      <c r="J223" s="57">
        <v>0.88707470112004272</v>
      </c>
      <c r="K223" s="86">
        <v>0.92034773452071883</v>
      </c>
      <c r="L223" s="86">
        <v>0.91127956192425896</v>
      </c>
      <c r="M223" s="57">
        <v>0.87543772734648506</v>
      </c>
      <c r="N223" s="57">
        <v>0.84268816326572882</v>
      </c>
    </row>
    <row r="224" spans="1:14" ht="12.75" customHeight="1" x14ac:dyDescent="0.2">
      <c r="A224" s="56" t="s">
        <v>310</v>
      </c>
      <c r="B224" s="59">
        <v>0.853336959871006</v>
      </c>
      <c r="C224" s="57">
        <v>0.83008851922579829</v>
      </c>
      <c r="D224" s="57">
        <v>0.82355418400719371</v>
      </c>
      <c r="E224" s="86">
        <v>0.7981084548254328</v>
      </c>
      <c r="F224" s="57">
        <v>0.81534309425185914</v>
      </c>
      <c r="G224" s="40">
        <v>0.8387501530102387</v>
      </c>
      <c r="H224" s="57">
        <v>0.84704720836571801</v>
      </c>
      <c r="I224" s="57">
        <v>0.83689465505958627</v>
      </c>
      <c r="J224" s="57">
        <v>0.83415728887039042</v>
      </c>
      <c r="K224" s="86">
        <v>0.83582890797902731</v>
      </c>
      <c r="L224" s="86">
        <v>0.82033008133894425</v>
      </c>
      <c r="M224" s="57">
        <v>0.83525752660623331</v>
      </c>
      <c r="N224" s="57">
        <v>0.86357290657427155</v>
      </c>
    </row>
    <row r="225" spans="1:14" ht="12.75" customHeight="1" x14ac:dyDescent="0.2">
      <c r="A225" s="56" t="s">
        <v>7079</v>
      </c>
      <c r="B225" s="59">
        <v>0.75760681549978193</v>
      </c>
      <c r="C225" s="57">
        <v>0.83917829810869904</v>
      </c>
      <c r="D225" s="57">
        <v>0.85497570971111048</v>
      </c>
      <c r="E225" s="86">
        <v>0.93290828679981352</v>
      </c>
      <c r="F225" s="57">
        <v>0.84201839891242269</v>
      </c>
      <c r="G225" s="40">
        <v>0.86429008483644154</v>
      </c>
      <c r="H225" s="57">
        <v>0.88678221259172718</v>
      </c>
      <c r="I225" s="57">
        <v>0.9840750542504928</v>
      </c>
      <c r="J225" s="57">
        <v>0.93251065132896216</v>
      </c>
      <c r="K225" s="86">
        <v>0.92570222346790276</v>
      </c>
      <c r="L225" s="86">
        <v>0.87906344289492722</v>
      </c>
      <c r="M225" s="57">
        <v>0.92825737180473833</v>
      </c>
      <c r="N225" s="57">
        <v>0.91770646204645967</v>
      </c>
    </row>
    <row r="226" spans="1:14" ht="12.75" customHeight="1" x14ac:dyDescent="0.2">
      <c r="A226" s="56" t="s">
        <v>264</v>
      </c>
      <c r="B226" s="59">
        <v>0.7987525208707521</v>
      </c>
      <c r="C226" s="57">
        <v>0.79699897237837547</v>
      </c>
      <c r="D226" s="57">
        <v>0.80540890696072698</v>
      </c>
      <c r="E226" s="86">
        <v>0.76170574608006492</v>
      </c>
      <c r="F226" s="57">
        <v>0.63868394206222556</v>
      </c>
      <c r="G226" s="40">
        <v>0.57927264951858748</v>
      </c>
      <c r="H226" s="57">
        <v>0.65773266146608689</v>
      </c>
      <c r="I226" s="57">
        <v>0.80789011911213271</v>
      </c>
      <c r="J226" s="57">
        <v>0.85832116642841305</v>
      </c>
      <c r="K226" s="86">
        <v>0.94534954641076219</v>
      </c>
      <c r="L226" s="86">
        <v>0.94865081032323151</v>
      </c>
      <c r="M226" s="57">
        <v>0.96986846392618897</v>
      </c>
      <c r="N226" s="57">
        <v>0.98495995609747744</v>
      </c>
    </row>
    <row r="227" spans="1:14" ht="12.75" customHeight="1" x14ac:dyDescent="0.2">
      <c r="A227" s="56" t="s">
        <v>94</v>
      </c>
      <c r="B227" s="59">
        <v>0.96582960669647966</v>
      </c>
      <c r="C227" s="57">
        <v>0.88398009342655615</v>
      </c>
      <c r="D227" s="57">
        <v>0.87834873107004763</v>
      </c>
      <c r="E227" s="86">
        <v>0.8674882465253525</v>
      </c>
      <c r="F227" s="57">
        <v>0.83953077001724097</v>
      </c>
      <c r="G227" s="40">
        <v>0.84931229272085396</v>
      </c>
      <c r="H227" s="57">
        <v>0.84002982729803755</v>
      </c>
      <c r="I227" s="57">
        <v>0.94566272463773016</v>
      </c>
      <c r="J227" s="57">
        <v>0.93371529333546022</v>
      </c>
      <c r="K227" s="86">
        <v>0.95970619651934586</v>
      </c>
      <c r="L227" s="86">
        <v>0.98455540560803723</v>
      </c>
      <c r="M227" s="57">
        <v>0.94784366405339548</v>
      </c>
      <c r="N227" s="57">
        <v>0.93113522629232615</v>
      </c>
    </row>
    <row r="228" spans="1:14" ht="12.75" customHeight="1" x14ac:dyDescent="0.2">
      <c r="A228" s="56" t="s">
        <v>311</v>
      </c>
      <c r="B228" s="59">
        <v>0.66782689185092237</v>
      </c>
      <c r="C228" s="57">
        <v>0.74466598805264761</v>
      </c>
      <c r="D228" s="57">
        <v>0.76618836459276363</v>
      </c>
      <c r="E228" s="86">
        <v>0.72083537456922242</v>
      </c>
      <c r="F228" s="57">
        <v>0.75038267152922788</v>
      </c>
      <c r="G228" s="40">
        <v>0.67693661945085359</v>
      </c>
      <c r="H228" s="57">
        <v>0.70339428867578757</v>
      </c>
      <c r="I228" s="57">
        <v>0.65131992851392029</v>
      </c>
      <c r="J228" s="57">
        <v>0.65581355928671314</v>
      </c>
      <c r="K228" s="86">
        <v>0.65942172157800716</v>
      </c>
      <c r="L228" s="86">
        <v>0.6969915069315854</v>
      </c>
      <c r="M228" s="57">
        <v>0.76356937053776308</v>
      </c>
      <c r="N228" s="57">
        <v>0.7981970546086492</v>
      </c>
    </row>
    <row r="229" spans="1:14" ht="12.75" customHeight="1" x14ac:dyDescent="0.2">
      <c r="A229" s="56" t="s">
        <v>243</v>
      </c>
      <c r="B229" s="59">
        <v>0.66233607702524522</v>
      </c>
      <c r="C229" s="57">
        <v>0.72628370552181298</v>
      </c>
      <c r="D229" s="57">
        <v>0.77020312840188632</v>
      </c>
      <c r="E229" s="86">
        <v>0.81311896126797834</v>
      </c>
      <c r="F229" s="57">
        <v>0.78601374732902274</v>
      </c>
      <c r="G229" s="40">
        <v>0.78675689368567114</v>
      </c>
      <c r="H229" s="57">
        <v>0.78312116124578923</v>
      </c>
      <c r="I229" s="57">
        <v>0.78124418002917417</v>
      </c>
      <c r="J229" s="57">
        <v>0.80232445975000954</v>
      </c>
      <c r="K229" s="86">
        <v>0.86872611659159926</v>
      </c>
      <c r="L229" s="86">
        <v>0.84725360995953325</v>
      </c>
      <c r="M229" s="57">
        <v>0.7942806586058283</v>
      </c>
      <c r="N229" s="57">
        <v>0.8091918750475422</v>
      </c>
    </row>
    <row r="230" spans="1:14" ht="12.75" customHeight="1" x14ac:dyDescent="0.2">
      <c r="A230" s="56" t="s">
        <v>400</v>
      </c>
      <c r="B230" s="59">
        <v>0.5912674414508422</v>
      </c>
      <c r="C230" s="57">
        <v>0.55522854852252757</v>
      </c>
      <c r="D230" s="57">
        <v>0.61441881042224267</v>
      </c>
      <c r="E230" s="86">
        <v>0.6693530904180589</v>
      </c>
      <c r="F230" s="57">
        <v>0.7124897309037993</v>
      </c>
      <c r="G230" s="40">
        <v>0.7317042407343658</v>
      </c>
      <c r="H230" s="57">
        <v>0.70507302060939436</v>
      </c>
      <c r="I230" s="57">
        <v>0.6523521529842039</v>
      </c>
      <c r="J230" s="57">
        <v>0.66590038225677561</v>
      </c>
      <c r="K230" s="86">
        <v>0.6907778330319525</v>
      </c>
      <c r="L230" s="86">
        <v>0.72964610364252935</v>
      </c>
      <c r="M230" s="57">
        <v>0.67713393822523005</v>
      </c>
      <c r="N230" s="57">
        <v>0.56600295548882762</v>
      </c>
    </row>
    <row r="231" spans="1:14" ht="12.75" customHeight="1" x14ac:dyDescent="0.2">
      <c r="A231" s="56" t="s">
        <v>479</v>
      </c>
      <c r="B231" s="59">
        <v>0.68798143591621541</v>
      </c>
      <c r="C231" s="57">
        <v>0.62091022153657283</v>
      </c>
      <c r="D231" s="57">
        <v>0.6614401121500364</v>
      </c>
      <c r="E231" s="86">
        <v>0.76287271624549524</v>
      </c>
      <c r="F231" s="57">
        <v>0.82356803744944906</v>
      </c>
      <c r="G231" s="40">
        <v>0.79930627127847753</v>
      </c>
      <c r="H231" s="57">
        <v>0.83321485420784658</v>
      </c>
      <c r="I231" s="57">
        <v>0.81551906738979374</v>
      </c>
      <c r="J231" s="57">
        <v>0.86967992686319417</v>
      </c>
      <c r="K231" s="86">
        <v>0.8038203734416336</v>
      </c>
      <c r="L231" s="86">
        <v>0.88359779850844156</v>
      </c>
      <c r="M231" s="57">
        <v>0.91567563375272421</v>
      </c>
      <c r="N231" s="57">
        <v>0.92288572798194035</v>
      </c>
    </row>
    <row r="232" spans="1:14" ht="12.75" customHeight="1" x14ac:dyDescent="0.2">
      <c r="A232" s="56" t="s">
        <v>95</v>
      </c>
      <c r="B232" s="59">
        <v>0.95788168998524981</v>
      </c>
      <c r="C232" s="57">
        <v>0.89688275823974939</v>
      </c>
      <c r="D232" s="57">
        <v>0.78948779056480956</v>
      </c>
      <c r="E232" s="86">
        <v>0.77385266027790867</v>
      </c>
      <c r="F232" s="57">
        <v>0.79306269676212737</v>
      </c>
      <c r="G232" s="40">
        <v>0.80102264731503647</v>
      </c>
      <c r="H232" s="57">
        <v>0.77783455314018457</v>
      </c>
      <c r="I232" s="57">
        <v>0.79580031137078222</v>
      </c>
      <c r="J232" s="57">
        <v>0.85853849660354198</v>
      </c>
      <c r="K232" s="86">
        <v>0.9073459497262496</v>
      </c>
      <c r="L232" s="86">
        <v>0.94342690874675716</v>
      </c>
      <c r="M232" s="57">
        <v>0.97032110802385552</v>
      </c>
      <c r="N232" s="57">
        <v>0.93760587301430798</v>
      </c>
    </row>
    <row r="233" spans="1:14" ht="12.75" customHeight="1" x14ac:dyDescent="0.2">
      <c r="A233" s="56" t="s">
        <v>265</v>
      </c>
      <c r="B233" s="59">
        <v>0.66710575014214069</v>
      </c>
      <c r="C233" s="57">
        <v>0.67496928365807773</v>
      </c>
      <c r="D233" s="57">
        <v>0.74804092674687617</v>
      </c>
      <c r="E233" s="86">
        <v>0.53913385284438575</v>
      </c>
      <c r="F233" s="57">
        <v>0.62954933313126804</v>
      </c>
      <c r="G233" s="40">
        <v>0.6377246187268174</v>
      </c>
      <c r="H233" s="57">
        <v>0.87704104935445404</v>
      </c>
      <c r="I233" s="57">
        <v>0.88261052860814393</v>
      </c>
      <c r="J233" s="57">
        <v>0.97276524644945706</v>
      </c>
      <c r="K233" s="86">
        <v>0.99108883319409635</v>
      </c>
      <c r="L233" s="86">
        <v>0.99108883319409635</v>
      </c>
      <c r="M233" s="57">
        <v>0.98091847977431501</v>
      </c>
      <c r="N233" s="57">
        <v>0.89994870843650243</v>
      </c>
    </row>
    <row r="234" spans="1:14" ht="12.75" customHeight="1" x14ac:dyDescent="0.2">
      <c r="A234" s="56" t="s">
        <v>120</v>
      </c>
      <c r="B234" s="59">
        <v>0.7867671596370015</v>
      </c>
      <c r="C234" s="57">
        <v>0.69986151946986797</v>
      </c>
      <c r="D234" s="57">
        <v>0.72557437856543461</v>
      </c>
      <c r="E234" s="86">
        <v>0.72923323020570141</v>
      </c>
      <c r="F234" s="57">
        <v>0.70022466964422314</v>
      </c>
      <c r="G234" s="40">
        <v>0.81860822529587052</v>
      </c>
      <c r="H234" s="57">
        <v>0.8617897995317797</v>
      </c>
      <c r="I234" s="57">
        <v>0.90260383493064467</v>
      </c>
      <c r="J234" s="57">
        <v>0.77401199928537778</v>
      </c>
      <c r="K234" s="86">
        <v>0.77509696277635631</v>
      </c>
      <c r="L234" s="86">
        <v>0.85171607699347296</v>
      </c>
      <c r="M234" s="57">
        <v>0.85164102610282411</v>
      </c>
      <c r="N234" s="57">
        <v>0.84168322026463771</v>
      </c>
    </row>
    <row r="235" spans="1:14" ht="12.75" customHeight="1" x14ac:dyDescent="0.2">
      <c r="A235" s="56" t="s">
        <v>336</v>
      </c>
      <c r="B235" s="59">
        <v>0.85247461106886357</v>
      </c>
      <c r="C235" s="57">
        <v>0.83701081942202116</v>
      </c>
      <c r="D235" s="57">
        <v>0.86914514887755556</v>
      </c>
      <c r="E235" s="86">
        <v>0.88810049768422228</v>
      </c>
      <c r="F235" s="57">
        <v>0.84624329500702611</v>
      </c>
      <c r="G235" s="40">
        <v>0.87827545672858454</v>
      </c>
      <c r="H235" s="57">
        <v>0.85604604360223513</v>
      </c>
      <c r="I235" s="57">
        <v>0.93935577910928236</v>
      </c>
      <c r="J235" s="57">
        <v>0.92043326580665619</v>
      </c>
      <c r="K235" s="86">
        <v>0.94989755065666781</v>
      </c>
      <c r="L235" s="86">
        <v>0.92148666667144574</v>
      </c>
      <c r="M235" s="57">
        <v>0.93617084596267175</v>
      </c>
      <c r="N235" s="57">
        <v>0.92482731309270971</v>
      </c>
    </row>
    <row r="236" spans="1:14" ht="12.75" customHeight="1" x14ac:dyDescent="0.2">
      <c r="A236" s="56" t="s">
        <v>257</v>
      </c>
      <c r="B236" s="59">
        <v>0.60528124321506249</v>
      </c>
      <c r="C236" s="57">
        <v>0.64341745874475242</v>
      </c>
      <c r="D236" s="57">
        <v>0.67294687018743604</v>
      </c>
      <c r="E236" s="86">
        <v>0.75557681855466807</v>
      </c>
      <c r="F236" s="57">
        <v>0.78681977091445265</v>
      </c>
      <c r="G236" s="40">
        <v>0.8727919511522807</v>
      </c>
      <c r="H236" s="57">
        <v>0.87008972672785545</v>
      </c>
      <c r="I236" s="57">
        <v>0.82890457256706851</v>
      </c>
      <c r="J236" s="57">
        <v>0.85165835186930305</v>
      </c>
      <c r="K236" s="86">
        <v>0.91450096806609293</v>
      </c>
      <c r="L236" s="86">
        <v>0.91489500227174936</v>
      </c>
      <c r="M236" s="57">
        <v>0.95300509676203438</v>
      </c>
      <c r="N236" s="57">
        <v>0.85064053754748536</v>
      </c>
    </row>
    <row r="237" spans="1:14" ht="12.75" customHeight="1" x14ac:dyDescent="0.2">
      <c r="A237" s="56" t="s">
        <v>216</v>
      </c>
      <c r="B237" s="59">
        <v>0.85685587308887357</v>
      </c>
      <c r="C237" s="57">
        <v>0.86695416953095317</v>
      </c>
      <c r="D237" s="57">
        <v>0.84057139998301889</v>
      </c>
      <c r="E237" s="86">
        <v>0.81264784347577501</v>
      </c>
      <c r="F237" s="57">
        <v>0.77271718632650666</v>
      </c>
      <c r="G237" s="40">
        <v>0.77690806684676061</v>
      </c>
      <c r="H237" s="57">
        <v>0.77713169719064112</v>
      </c>
      <c r="I237" s="57">
        <v>0.83938220463587232</v>
      </c>
      <c r="J237" s="57">
        <v>0.85685439855462608</v>
      </c>
      <c r="K237" s="86">
        <v>0.89386583938404574</v>
      </c>
      <c r="L237" s="86">
        <v>0.90135844549811528</v>
      </c>
      <c r="M237" s="57">
        <v>0.88936183126712087</v>
      </c>
      <c r="N237" s="57">
        <v>0.9102927427265044</v>
      </c>
    </row>
    <row r="238" spans="1:14" ht="12.75" customHeight="1" x14ac:dyDescent="0.2">
      <c r="A238" s="56" t="s">
        <v>359</v>
      </c>
      <c r="B238" s="59">
        <v>0.7879681376578066</v>
      </c>
      <c r="C238" s="57">
        <v>0.8331428071463316</v>
      </c>
      <c r="D238" s="57">
        <v>0.75287138647935115</v>
      </c>
      <c r="E238" s="86">
        <v>0.6874195698721639</v>
      </c>
      <c r="F238" s="57">
        <v>0.64183385032866369</v>
      </c>
      <c r="G238" s="40">
        <v>0.73670524977262986</v>
      </c>
      <c r="H238" s="57">
        <v>0.82903405656381768</v>
      </c>
      <c r="I238" s="57">
        <v>0.75583188685063207</v>
      </c>
      <c r="J238" s="57">
        <v>0.70335284454061275</v>
      </c>
      <c r="K238" s="86">
        <v>0.63524969510502094</v>
      </c>
      <c r="L238" s="86">
        <v>0.7099231462167036</v>
      </c>
      <c r="M238" s="57">
        <v>0.72492240776861749</v>
      </c>
      <c r="N238" s="57">
        <v>0.80090758110454008</v>
      </c>
    </row>
    <row r="239" spans="1:14" ht="12.75" customHeight="1" x14ac:dyDescent="0.2">
      <c r="A239" s="56" t="s">
        <v>121</v>
      </c>
      <c r="B239" s="59">
        <v>0.59495176409482553</v>
      </c>
      <c r="C239" s="57">
        <v>0.68625702364796182</v>
      </c>
      <c r="D239" s="57">
        <v>0.68840766160224709</v>
      </c>
      <c r="E239" s="86">
        <v>0.76968281550637452</v>
      </c>
      <c r="F239" s="57">
        <v>0.81997039218110312</v>
      </c>
      <c r="G239" s="40">
        <v>0.92923542878977594</v>
      </c>
      <c r="H239" s="57">
        <v>0.90819513653361639</v>
      </c>
      <c r="I239" s="57">
        <v>0.84959309716251685</v>
      </c>
      <c r="J239" s="57">
        <v>0.81582212856240732</v>
      </c>
      <c r="K239" s="86">
        <v>0.85879023680367972</v>
      </c>
      <c r="L239" s="86">
        <v>0.92516409356740092</v>
      </c>
      <c r="M239" s="57">
        <v>0.91121815869994194</v>
      </c>
      <c r="N239" s="57">
        <v>0.83260260962590016</v>
      </c>
    </row>
    <row r="240" spans="1:14" ht="12.75" customHeight="1" x14ac:dyDescent="0.2">
      <c r="A240" s="56" t="s">
        <v>83</v>
      </c>
      <c r="B240" s="59">
        <v>0.35413702597721763</v>
      </c>
      <c r="C240" s="57">
        <v>0.31820005359292969</v>
      </c>
      <c r="D240" s="57">
        <v>0.35818363687214877</v>
      </c>
      <c r="E240" s="86">
        <v>0.46637689597400361</v>
      </c>
      <c r="F240" s="57">
        <v>0.54126971714829908</v>
      </c>
      <c r="G240" s="40">
        <v>0.62820539396720143</v>
      </c>
      <c r="H240" s="57">
        <v>0.56258637938745892</v>
      </c>
      <c r="I240" s="57">
        <v>0.58387449231132937</v>
      </c>
      <c r="J240" s="57">
        <v>0.52101317570307204</v>
      </c>
      <c r="K240" s="86">
        <v>0.6446061265119879</v>
      </c>
      <c r="L240" s="86">
        <v>0.65793145559270083</v>
      </c>
      <c r="M240" s="57">
        <v>0.61893756074675155</v>
      </c>
      <c r="N240" s="57">
        <v>0.6872096377555903</v>
      </c>
    </row>
    <row r="241" spans="1:14" ht="12.75" customHeight="1" x14ac:dyDescent="0.2">
      <c r="A241" s="56" t="s">
        <v>290</v>
      </c>
      <c r="B241" s="59">
        <v>0.64684426927816319</v>
      </c>
      <c r="C241" s="57">
        <v>0.60741876910892445</v>
      </c>
      <c r="D241" s="57">
        <v>0.69426145108433612</v>
      </c>
      <c r="E241" s="86">
        <v>0.7078430985311619</v>
      </c>
      <c r="F241" s="57">
        <v>0.7429103197004735</v>
      </c>
      <c r="G241" s="40">
        <v>0.70813429482986001</v>
      </c>
      <c r="H241" s="57">
        <v>0.72209952821226187</v>
      </c>
      <c r="I241" s="57">
        <v>0.71798540310648395</v>
      </c>
      <c r="J241" s="57">
        <v>0.82422598748053577</v>
      </c>
      <c r="K241" s="86">
        <v>0.82568178147061955</v>
      </c>
      <c r="L241" s="86">
        <v>0.88480820618907075</v>
      </c>
      <c r="M241" s="57">
        <v>0.8861883059636998</v>
      </c>
      <c r="N241" s="57">
        <v>0.95327945344772946</v>
      </c>
    </row>
    <row r="242" spans="1:14" ht="12.75" customHeight="1" x14ac:dyDescent="0.2">
      <c r="A242" s="56" t="s">
        <v>266</v>
      </c>
      <c r="B242" s="59">
        <v>0.82342990257059778</v>
      </c>
      <c r="C242" s="57">
        <v>0.66944636832524695</v>
      </c>
      <c r="D242" s="57">
        <v>0.68505439557768766</v>
      </c>
      <c r="E242" s="86">
        <v>0.57005315917513399</v>
      </c>
      <c r="F242" s="57">
        <v>0.70881503221577569</v>
      </c>
      <c r="G242" s="40">
        <v>0.70863911769805865</v>
      </c>
      <c r="H242" s="57">
        <v>0.78244829272432115</v>
      </c>
      <c r="I242" s="57">
        <v>0.8613400793002729</v>
      </c>
      <c r="J242" s="57">
        <v>0.86139674476354811</v>
      </c>
      <c r="K242" s="86">
        <v>0.87237381879316767</v>
      </c>
      <c r="L242" s="86">
        <v>0.83758976324795464</v>
      </c>
      <c r="M242" s="57">
        <v>0.89543502173609602</v>
      </c>
      <c r="N242" s="57">
        <v>0.93934313059274011</v>
      </c>
    </row>
    <row r="243" spans="1:14" ht="12.75" customHeight="1" x14ac:dyDescent="0.2">
      <c r="A243" s="56" t="s">
        <v>369</v>
      </c>
      <c r="B243" s="59">
        <v>0.84629447212099596</v>
      </c>
      <c r="C243" s="57">
        <v>0.89683249214739902</v>
      </c>
      <c r="D243" s="57">
        <v>0.90373450396649757</v>
      </c>
      <c r="E243" s="86">
        <v>0.85827608682081902</v>
      </c>
      <c r="F243" s="57">
        <v>0.83260189659251704</v>
      </c>
      <c r="G243" s="40">
        <v>0.82936009981470937</v>
      </c>
      <c r="H243" s="57">
        <v>0.85776759525785717</v>
      </c>
      <c r="I243" s="57">
        <v>0.85290373873113834</v>
      </c>
      <c r="J243" s="57">
        <v>0.8914281139697825</v>
      </c>
      <c r="K243" s="86">
        <v>0.84746657439103668</v>
      </c>
      <c r="L243" s="86">
        <v>0.82364419375466813</v>
      </c>
      <c r="M243" s="57">
        <v>0.80415916361073292</v>
      </c>
      <c r="N243" s="57">
        <v>0.8173186541503078</v>
      </c>
    </row>
    <row r="244" spans="1:14" ht="12.75" customHeight="1" x14ac:dyDescent="0.2">
      <c r="A244" s="56" t="s">
        <v>122</v>
      </c>
      <c r="B244" s="59">
        <v>0.5000440758346123</v>
      </c>
      <c r="C244" s="57">
        <v>0.52699564494197226</v>
      </c>
      <c r="D244" s="57">
        <v>0.56902966883265316</v>
      </c>
      <c r="E244" s="86">
        <v>0.57869448978021742</v>
      </c>
      <c r="F244" s="57">
        <v>0.63782269626771448</v>
      </c>
      <c r="G244" s="40">
        <v>0.69685150075738334</v>
      </c>
      <c r="H244" s="57">
        <v>0.77255280963313311</v>
      </c>
      <c r="I244" s="57">
        <v>0.80219272512648432</v>
      </c>
      <c r="J244" s="57">
        <v>0.86827192619383864</v>
      </c>
      <c r="K244" s="86">
        <v>0.88867141118899451</v>
      </c>
      <c r="L244" s="86">
        <v>0.76540372464637352</v>
      </c>
      <c r="M244" s="57">
        <v>0.81735840152597783</v>
      </c>
      <c r="N244" s="57">
        <v>0.79968024805785143</v>
      </c>
    </row>
    <row r="245" spans="1:14" ht="12.75" customHeight="1" x14ac:dyDescent="0.2">
      <c r="A245" s="56" t="s">
        <v>325</v>
      </c>
      <c r="B245" s="59">
        <v>0.94665609919264526</v>
      </c>
      <c r="C245" s="57">
        <v>0.9054035893345177</v>
      </c>
      <c r="D245" s="57">
        <v>0.89770192232102441</v>
      </c>
      <c r="E245" s="86">
        <v>0.82955957014873738</v>
      </c>
      <c r="F245" s="57">
        <v>0.78552406503961125</v>
      </c>
      <c r="G245" s="40">
        <v>0.82295087365013009</v>
      </c>
      <c r="H245" s="57">
        <v>0.88611260269835801</v>
      </c>
      <c r="I245" s="57">
        <v>0.90466934043908276</v>
      </c>
      <c r="J245" s="57">
        <v>0.84587917743988161</v>
      </c>
      <c r="K245" s="86">
        <v>0.75354323630093811</v>
      </c>
      <c r="L245" s="86">
        <v>0.80531552419883301</v>
      </c>
      <c r="M245" s="57">
        <v>0.85584097262639036</v>
      </c>
      <c r="N245" s="57">
        <v>0.94540315840338973</v>
      </c>
    </row>
    <row r="246" spans="1:14" ht="12.75" customHeight="1" x14ac:dyDescent="0.2">
      <c r="A246" s="56" t="s">
        <v>76</v>
      </c>
      <c r="B246" s="59">
        <v>0.7668853333601594</v>
      </c>
      <c r="C246" s="57">
        <v>0.68077045325719576</v>
      </c>
      <c r="D246" s="57">
        <v>0.69052779957569965</v>
      </c>
      <c r="E246" s="86">
        <v>0.75818759702810168</v>
      </c>
      <c r="F246" s="57">
        <v>0.84565735377945883</v>
      </c>
      <c r="G246" s="40">
        <v>0.91138911391630495</v>
      </c>
      <c r="H246" s="57">
        <v>0.86055566374688797</v>
      </c>
      <c r="I246" s="57">
        <v>0.85004762566121295</v>
      </c>
      <c r="J246" s="57">
        <v>0.80216431348280048</v>
      </c>
      <c r="K246" s="86">
        <v>0.80506191279862882</v>
      </c>
      <c r="L246" s="86">
        <v>0.85035098840952994</v>
      </c>
      <c r="M246" s="57">
        <v>0.82367502355325273</v>
      </c>
      <c r="N246" s="57">
        <v>0.82411703436956207</v>
      </c>
    </row>
    <row r="247" spans="1:14" ht="12.75" customHeight="1" x14ac:dyDescent="0.2">
      <c r="A247" s="56" t="s">
        <v>162</v>
      </c>
      <c r="B247" s="59">
        <v>0.87640739824774894</v>
      </c>
      <c r="C247" s="57">
        <v>0.85417647812095643</v>
      </c>
      <c r="D247" s="57">
        <v>0.85590122008338942</v>
      </c>
      <c r="E247" s="86">
        <v>0.97107892649788274</v>
      </c>
      <c r="F247" s="57">
        <v>0.98746189340830115</v>
      </c>
      <c r="G247" s="40">
        <v>0.98568259729784236</v>
      </c>
      <c r="H247" s="57">
        <v>0.97750442517532665</v>
      </c>
      <c r="I247" s="57">
        <v>0.96239777068959764</v>
      </c>
      <c r="J247" s="57">
        <v>0.96317836511225063</v>
      </c>
      <c r="K247" s="86">
        <v>0.97319743908152256</v>
      </c>
      <c r="L247" s="86">
        <v>0.82248894028321207</v>
      </c>
      <c r="M247" s="57">
        <v>0.71246913533714362</v>
      </c>
      <c r="N247" s="57">
        <v>0.62032282444188747</v>
      </c>
    </row>
    <row r="248" spans="1:14" ht="12.75" customHeight="1" x14ac:dyDescent="0.2">
      <c r="A248" s="56" t="s">
        <v>182</v>
      </c>
      <c r="B248" s="59">
        <v>0.56294380138047995</v>
      </c>
      <c r="C248" s="57">
        <v>0.60819597991806706</v>
      </c>
      <c r="D248" s="57">
        <v>0.64870448761145638</v>
      </c>
      <c r="E248" s="86">
        <v>0.7130291734068116</v>
      </c>
      <c r="F248" s="57">
        <v>0.69800844375531534</v>
      </c>
      <c r="G248" s="40">
        <v>0.75064920737388452</v>
      </c>
      <c r="H248" s="57">
        <v>0.73978958089472135</v>
      </c>
      <c r="I248" s="57">
        <v>0.77275341313913326</v>
      </c>
      <c r="J248" s="57">
        <v>0.76648834159204393</v>
      </c>
      <c r="K248" s="86">
        <v>0.76783590696415061</v>
      </c>
      <c r="L248" s="86">
        <v>0.76848983173875818</v>
      </c>
      <c r="M248" s="57">
        <v>0.79438519198603574</v>
      </c>
      <c r="N248" s="57">
        <v>0.76112254410256064</v>
      </c>
    </row>
    <row r="249" spans="1:14" ht="12.75" customHeight="1" x14ac:dyDescent="0.2">
      <c r="A249" s="56" t="s">
        <v>217</v>
      </c>
      <c r="B249" s="59">
        <v>0.95310387574996069</v>
      </c>
      <c r="C249" s="57">
        <v>0.89772929610229912</v>
      </c>
      <c r="D249" s="57">
        <v>0.87495001759509516</v>
      </c>
      <c r="E249" s="86">
        <v>0.85513215959949829</v>
      </c>
      <c r="F249" s="57">
        <v>0.88894507104718679</v>
      </c>
      <c r="G249" s="40">
        <v>0.89322828539645005</v>
      </c>
      <c r="H249" s="57">
        <v>0.93561694445986465</v>
      </c>
      <c r="I249" s="57">
        <v>0.96140213442721933</v>
      </c>
      <c r="J249" s="57">
        <v>0.91181151627899304</v>
      </c>
      <c r="K249" s="86">
        <v>0.91279602018747352</v>
      </c>
      <c r="L249" s="86">
        <v>0.90780806009115433</v>
      </c>
      <c r="M249" s="57">
        <v>0.97386735720929041</v>
      </c>
      <c r="N249" s="57">
        <v>0.96896556406496115</v>
      </c>
    </row>
    <row r="250" spans="1:14" ht="12.75" customHeight="1" x14ac:dyDescent="0.2">
      <c r="A250" s="56" t="s">
        <v>312</v>
      </c>
      <c r="B250" s="59">
        <v>0.75560294909597714</v>
      </c>
      <c r="C250" s="57">
        <v>0.71824533171375549</v>
      </c>
      <c r="D250" s="57">
        <v>0.73797658933158872</v>
      </c>
      <c r="E250" s="86">
        <v>0.62580423269725427</v>
      </c>
      <c r="F250" s="57">
        <v>0.59599897329711349</v>
      </c>
      <c r="G250" s="40">
        <v>0.61504701790160066</v>
      </c>
      <c r="H250" s="57">
        <v>0.7100083491990471</v>
      </c>
      <c r="I250" s="57">
        <v>0.81240660953502963</v>
      </c>
      <c r="J250" s="57">
        <v>0.84886835733460642</v>
      </c>
      <c r="K250" s="86">
        <v>0.90065736373766647</v>
      </c>
      <c r="L250" s="86">
        <v>0.91101433253577557</v>
      </c>
      <c r="M250" s="57">
        <v>0.89477317726535988</v>
      </c>
      <c r="N250" s="57">
        <v>0.84798339035388492</v>
      </c>
    </row>
    <row r="251" spans="1:14" ht="12.75" customHeight="1" x14ac:dyDescent="0.2">
      <c r="A251" s="56" t="s">
        <v>7078</v>
      </c>
      <c r="B251" s="59">
        <v>0.7189007587918268</v>
      </c>
      <c r="C251" s="57">
        <v>0.70146955083838503</v>
      </c>
      <c r="D251" s="57">
        <v>0.69915442460092658</v>
      </c>
      <c r="E251" s="86">
        <v>0.71537009076089175</v>
      </c>
      <c r="F251" s="57">
        <v>0.76759479070525238</v>
      </c>
      <c r="G251" s="40">
        <v>0.81278126886201152</v>
      </c>
      <c r="H251" s="57">
        <v>0.81613743846264253</v>
      </c>
      <c r="I251" s="57">
        <v>0.79398556586194191</v>
      </c>
      <c r="J251" s="57">
        <v>0.82046823722368789</v>
      </c>
      <c r="K251" s="86">
        <v>0.82068582576909677</v>
      </c>
      <c r="L251" s="86">
        <v>0.85134909159819017</v>
      </c>
      <c r="M251" s="57">
        <v>0.84009690605042453</v>
      </c>
      <c r="N251" s="57">
        <v>0.84778099117256212</v>
      </c>
    </row>
    <row r="252" spans="1:14" ht="12.75" customHeight="1" x14ac:dyDescent="0.2">
      <c r="A252" s="56" t="s">
        <v>389</v>
      </c>
      <c r="B252" s="59">
        <v>0.57809090041893785</v>
      </c>
      <c r="C252" s="57">
        <v>0.65823612662910158</v>
      </c>
      <c r="D252" s="57">
        <v>0.67264204227450819</v>
      </c>
      <c r="E252" s="86">
        <v>0.64288177768255805</v>
      </c>
      <c r="F252" s="57">
        <v>0.60898496631254051</v>
      </c>
      <c r="G252" s="40">
        <v>0.59988021143837822</v>
      </c>
      <c r="H252" s="57">
        <v>0.66655301998463734</v>
      </c>
      <c r="I252" s="57">
        <v>0.7399305710979095</v>
      </c>
      <c r="J252" s="57">
        <v>0.7684688716391137</v>
      </c>
      <c r="K252" s="86">
        <v>0.82285872383355174</v>
      </c>
      <c r="L252" s="86">
        <v>0.80572206665984447</v>
      </c>
      <c r="M252" s="57">
        <v>0.84116567162360789</v>
      </c>
      <c r="N252" s="57">
        <v>0.80890377285244408</v>
      </c>
    </row>
    <row r="253" spans="1:14" ht="12.75" customHeight="1" x14ac:dyDescent="0.2">
      <c r="A253" s="56" t="s">
        <v>23</v>
      </c>
      <c r="B253" s="59">
        <v>0.6010029065188871</v>
      </c>
      <c r="C253" s="57">
        <v>0.65646125257845589</v>
      </c>
      <c r="D253" s="57">
        <v>0.69419618656452664</v>
      </c>
      <c r="E253" s="86">
        <v>0.69156649454341979</v>
      </c>
      <c r="F253" s="57">
        <v>0.67480143072979903</v>
      </c>
      <c r="G253" s="40">
        <v>0.70814732853763385</v>
      </c>
      <c r="H253" s="57">
        <v>0.75591861124719184</v>
      </c>
      <c r="I253" s="57">
        <v>0.82061245367904256</v>
      </c>
      <c r="J253" s="57">
        <v>0.80609918662156765</v>
      </c>
      <c r="K253" s="86">
        <v>0.81960268846724438</v>
      </c>
      <c r="L253" s="86">
        <v>0.7978111827770088</v>
      </c>
      <c r="M253" s="57">
        <v>0.83620981024866081</v>
      </c>
      <c r="N253" s="57">
        <v>0.87563764046240733</v>
      </c>
    </row>
    <row r="254" spans="1:14" ht="12.75" customHeight="1" x14ac:dyDescent="0.2">
      <c r="A254" s="56" t="s">
        <v>77</v>
      </c>
      <c r="B254" s="59">
        <v>0.61459229227593692</v>
      </c>
      <c r="C254" s="57">
        <v>0.68716865589298315</v>
      </c>
      <c r="D254" s="57">
        <v>0.69878400448770783</v>
      </c>
      <c r="E254" s="86">
        <v>0.70935423578274692</v>
      </c>
      <c r="F254" s="57">
        <v>0.73615888914883509</v>
      </c>
      <c r="G254" s="40">
        <v>0.75951521467256244</v>
      </c>
      <c r="H254" s="57">
        <v>0.80618993992550803</v>
      </c>
      <c r="I254" s="57">
        <v>0.80288579449430786</v>
      </c>
      <c r="J254" s="57">
        <v>0.82707755035764829</v>
      </c>
      <c r="K254" s="86">
        <v>0.83645091372121827</v>
      </c>
      <c r="L254" s="86">
        <v>0.83966071787721075</v>
      </c>
      <c r="M254" s="57">
        <v>0.83034009729298963</v>
      </c>
      <c r="N254" s="57">
        <v>0.88201628620997097</v>
      </c>
    </row>
    <row r="255" spans="1:14" ht="12.75" customHeight="1" x14ac:dyDescent="0.2">
      <c r="A255" s="56" t="s">
        <v>326</v>
      </c>
      <c r="B255" s="59">
        <v>0.84639719827597926</v>
      </c>
      <c r="C255" s="57">
        <v>0.84266009381507911</v>
      </c>
      <c r="D255" s="57">
        <v>0.82161294519693229</v>
      </c>
      <c r="E255" s="86">
        <v>0.84376330551042411</v>
      </c>
      <c r="F255" s="57">
        <v>0.86212693145865238</v>
      </c>
      <c r="G255" s="40">
        <v>0.88613301096833119</v>
      </c>
      <c r="H255" s="57">
        <v>0.9053034061579055</v>
      </c>
      <c r="I255" s="57">
        <v>0.89854959925079469</v>
      </c>
      <c r="J255" s="57">
        <v>0.92026228506334873</v>
      </c>
      <c r="K255" s="86">
        <v>0.88306381539809919</v>
      </c>
      <c r="L255" s="86">
        <v>0.89798269340320591</v>
      </c>
      <c r="M255" s="57">
        <v>0.89484296035916289</v>
      </c>
      <c r="N255" s="57">
        <v>0.92626210616260796</v>
      </c>
    </row>
    <row r="256" spans="1:14" ht="12.75" customHeight="1" x14ac:dyDescent="0.2">
      <c r="A256" s="56" t="s">
        <v>267</v>
      </c>
      <c r="B256" s="59">
        <v>0.73120909713355309</v>
      </c>
      <c r="C256" s="57">
        <v>0.81395645571330377</v>
      </c>
      <c r="D256" s="57">
        <v>0.84864753753841848</v>
      </c>
      <c r="E256" s="86">
        <v>0.81678665108134541</v>
      </c>
      <c r="F256" s="57">
        <v>0.80526236008837826</v>
      </c>
      <c r="G256" s="40">
        <v>0.83596305939347371</v>
      </c>
      <c r="H256" s="57">
        <v>0.86468139125588162</v>
      </c>
      <c r="I256" s="57">
        <v>0.86304592251457091</v>
      </c>
      <c r="J256" s="57">
        <v>0.86547437339135647</v>
      </c>
      <c r="K256" s="86">
        <v>0.86023979085515012</v>
      </c>
      <c r="L256" s="86">
        <v>0.78015411454549211</v>
      </c>
      <c r="M256" s="57">
        <v>0.83821493201549691</v>
      </c>
      <c r="N256" s="57">
        <v>0.89469450686383478</v>
      </c>
    </row>
    <row r="257" spans="1:14" ht="12.75" customHeight="1" x14ac:dyDescent="0.2">
      <c r="A257" s="56" t="s">
        <v>230</v>
      </c>
      <c r="B257" s="59">
        <v>0.8131756837930304</v>
      </c>
      <c r="C257" s="57">
        <v>0.80287752332698037</v>
      </c>
      <c r="D257" s="57">
        <v>0.84315804569472119</v>
      </c>
      <c r="E257" s="86">
        <v>0.82358949950180882</v>
      </c>
      <c r="F257" s="57">
        <v>0.72812927283375795</v>
      </c>
      <c r="G257" s="40">
        <v>0.70499498980768827</v>
      </c>
      <c r="H257" s="57">
        <v>0.71520347693115249</v>
      </c>
      <c r="I257" s="57">
        <v>0.77465361786822273</v>
      </c>
      <c r="J257" s="57">
        <v>0.76428582022828451</v>
      </c>
      <c r="K257" s="86">
        <v>0.78048400992897093</v>
      </c>
      <c r="L257" s="86">
        <v>0.79963748356836872</v>
      </c>
      <c r="M257" s="57">
        <v>0.8056806371891877</v>
      </c>
      <c r="N257" s="57">
        <v>0.85606561645672574</v>
      </c>
    </row>
    <row r="258" spans="1:14" ht="12.75" customHeight="1" x14ac:dyDescent="0.2">
      <c r="A258" s="56" t="s">
        <v>7077</v>
      </c>
      <c r="B258" s="59">
        <v>0.65456542335446455</v>
      </c>
      <c r="C258" s="57">
        <v>0.65948006702415263</v>
      </c>
      <c r="D258" s="57">
        <v>0.68250809685301872</v>
      </c>
      <c r="E258" s="86">
        <v>0.71362792444984768</v>
      </c>
      <c r="F258" s="57">
        <v>0.70939271709813534</v>
      </c>
      <c r="G258" s="40">
        <v>0.73388475750435622</v>
      </c>
      <c r="H258" s="57">
        <v>0.72167630968805696</v>
      </c>
      <c r="I258" s="57">
        <v>0.73751688575442964</v>
      </c>
      <c r="J258" s="57">
        <v>0.72175430418216457</v>
      </c>
      <c r="K258" s="86">
        <v>0.76323208405296494</v>
      </c>
      <c r="L258" s="86">
        <v>0.77614038586207323</v>
      </c>
      <c r="M258" s="57">
        <v>0.80034319361557527</v>
      </c>
      <c r="N258" s="57">
        <v>0.78905448416477475</v>
      </c>
    </row>
    <row r="259" spans="1:14" ht="12.75" customHeight="1" x14ac:dyDescent="0.2">
      <c r="A259" s="56" t="s">
        <v>231</v>
      </c>
      <c r="B259" s="59">
        <v>0.70047157463528775</v>
      </c>
      <c r="C259" s="57">
        <v>0.80147053724780537</v>
      </c>
      <c r="D259" s="57">
        <v>0.78138241698292166</v>
      </c>
      <c r="E259" s="86">
        <v>0.83244314575985312</v>
      </c>
      <c r="F259" s="57">
        <v>0.73717799287279695</v>
      </c>
      <c r="G259" s="40">
        <v>0.76594943761047896</v>
      </c>
      <c r="H259" s="57">
        <v>0.79396547773521331</v>
      </c>
      <c r="I259" s="57">
        <v>0.93758517093571625</v>
      </c>
      <c r="J259" s="57">
        <v>0.93819859260176963</v>
      </c>
      <c r="K259" s="86">
        <v>0.98045831017967233</v>
      </c>
      <c r="L259" s="86">
        <v>0.97051678971183619</v>
      </c>
      <c r="M259" s="57">
        <v>0.9711832231268076</v>
      </c>
      <c r="N259" s="57">
        <v>0.94796811042336759</v>
      </c>
    </row>
    <row r="260" spans="1:14" ht="12.75" customHeight="1" x14ac:dyDescent="0.2">
      <c r="A260" s="56" t="s">
        <v>232</v>
      </c>
      <c r="B260" s="59">
        <v>0.68104918684325921</v>
      </c>
      <c r="C260" s="57">
        <v>0.73344446854252332</v>
      </c>
      <c r="D260" s="57">
        <v>0.7866504355333559</v>
      </c>
      <c r="E260" s="86">
        <v>0.83956912294262886</v>
      </c>
      <c r="F260" s="57">
        <v>0.85481168310740119</v>
      </c>
      <c r="G260" s="40">
        <v>0.87287675636798256</v>
      </c>
      <c r="H260" s="57">
        <v>0.8800289957360331</v>
      </c>
      <c r="I260" s="57">
        <v>0.90335431570172264</v>
      </c>
      <c r="J260" s="57">
        <v>0.91360541490415226</v>
      </c>
      <c r="K260" s="86">
        <v>0.92387168523960372</v>
      </c>
      <c r="L260" s="86">
        <v>0.91420919510530096</v>
      </c>
      <c r="M260" s="57">
        <v>0.92635467432585983</v>
      </c>
      <c r="N260" s="57">
        <v>0.91255708894355969</v>
      </c>
    </row>
    <row r="261" spans="1:14" ht="12.75" customHeight="1" x14ac:dyDescent="0.2">
      <c r="A261" s="56" t="s">
        <v>313</v>
      </c>
      <c r="B261" s="59">
        <v>0.75747673931484927</v>
      </c>
      <c r="C261" s="57">
        <v>0.63123193384510379</v>
      </c>
      <c r="D261" s="57">
        <v>0.61681188518143626</v>
      </c>
      <c r="E261" s="86">
        <v>0.66704330824793356</v>
      </c>
      <c r="F261" s="57">
        <v>0.76353106412862604</v>
      </c>
      <c r="G261" s="40">
        <v>0.85238818109160863</v>
      </c>
      <c r="H261" s="57">
        <v>0.8814536086663759</v>
      </c>
      <c r="I261" s="57">
        <v>0.93206359166948627</v>
      </c>
      <c r="J261" s="57">
        <v>0.96837352904447282</v>
      </c>
      <c r="K261" s="86">
        <v>0.95131636709437417</v>
      </c>
      <c r="L261" s="86">
        <v>0.95781409289034547</v>
      </c>
      <c r="M261" s="57">
        <v>0.86012674034106118</v>
      </c>
      <c r="N261" s="57">
        <v>0.83510237583787728</v>
      </c>
    </row>
    <row r="262" spans="1:14" ht="12.75" customHeight="1" x14ac:dyDescent="0.2">
      <c r="A262" s="56" t="s">
        <v>379</v>
      </c>
      <c r="B262" s="59">
        <v>0.61102747685603231</v>
      </c>
      <c r="C262" s="57">
        <v>0.65489011994035151</v>
      </c>
      <c r="D262" s="57">
        <v>0.72830208180689338</v>
      </c>
      <c r="E262" s="86">
        <v>0.78584543380508132</v>
      </c>
      <c r="F262" s="57">
        <v>0.82170515864650417</v>
      </c>
      <c r="G262" s="40">
        <v>0.82955790122512185</v>
      </c>
      <c r="H262" s="57">
        <v>0.84579816069582592</v>
      </c>
      <c r="I262" s="57">
        <v>0.82792860896267806</v>
      </c>
      <c r="J262" s="57">
        <v>0.82150256013265011</v>
      </c>
      <c r="K262" s="86">
        <v>0.83952944964202292</v>
      </c>
      <c r="L262" s="86">
        <v>0.85296657645636687</v>
      </c>
      <c r="M262" s="57">
        <v>0.84603498611879768</v>
      </c>
      <c r="N262" s="57">
        <v>0.85603999111097828</v>
      </c>
    </row>
    <row r="263" spans="1:14" ht="12.75" customHeight="1" x14ac:dyDescent="0.2">
      <c r="A263" s="56" t="s">
        <v>30</v>
      </c>
      <c r="B263" s="59">
        <v>0.66564515920368394</v>
      </c>
      <c r="C263" s="57">
        <v>0.75360968521774818</v>
      </c>
      <c r="D263" s="57">
        <v>0.88140110946983741</v>
      </c>
      <c r="E263" s="86">
        <v>0.96864031171321041</v>
      </c>
      <c r="F263" s="57">
        <v>0.98113506878808077</v>
      </c>
      <c r="G263" s="40">
        <v>0.99680195368731772</v>
      </c>
      <c r="H263" s="57">
        <v>0.99846400354881359</v>
      </c>
      <c r="I263" s="57">
        <v>0.98352767282300924</v>
      </c>
      <c r="J263" s="57">
        <v>0.93585524189421221</v>
      </c>
      <c r="K263" s="86">
        <v>0.93275369585637791</v>
      </c>
      <c r="L263" s="86">
        <v>0.87289227725572571</v>
      </c>
      <c r="M263" s="57">
        <v>0.90344763825246854</v>
      </c>
      <c r="N263" s="57">
        <v>0.84638895303239436</v>
      </c>
    </row>
    <row r="264" spans="1:14" ht="12.75" customHeight="1" x14ac:dyDescent="0.2">
      <c r="A264" s="56" t="s">
        <v>393</v>
      </c>
      <c r="B264" s="59">
        <v>0.75957054277798741</v>
      </c>
      <c r="C264" s="57">
        <v>0.82109600380878656</v>
      </c>
      <c r="D264" s="57">
        <v>0.75470833572829843</v>
      </c>
      <c r="E264" s="86">
        <v>0.77509183480889698</v>
      </c>
      <c r="F264" s="57">
        <v>0.61037733086178525</v>
      </c>
      <c r="G264" s="40">
        <v>0.72192635869329669</v>
      </c>
      <c r="H264" s="57">
        <v>0.73115813535303165</v>
      </c>
      <c r="I264" s="57">
        <v>0.86547257608584405</v>
      </c>
      <c r="J264" s="57">
        <v>0.82956797573780727</v>
      </c>
      <c r="K264" s="86">
        <v>0.87110650637252973</v>
      </c>
      <c r="L264" s="86">
        <v>0.87939829994340835</v>
      </c>
      <c r="M264" s="57">
        <v>0.87893124612419038</v>
      </c>
      <c r="N264" s="57">
        <v>0.88322943120040742</v>
      </c>
    </row>
    <row r="265" spans="1:14" ht="12.75" customHeight="1" x14ac:dyDescent="0.2">
      <c r="A265" s="56" t="s">
        <v>244</v>
      </c>
      <c r="B265" s="59">
        <v>0.83612399756646871</v>
      </c>
      <c r="C265" s="57">
        <v>0.87238650844699439</v>
      </c>
      <c r="D265" s="57">
        <v>0.91628114109795933</v>
      </c>
      <c r="E265" s="86">
        <v>0.85256092435434561</v>
      </c>
      <c r="F265" s="57">
        <v>0.81297097164902665</v>
      </c>
      <c r="G265" s="40">
        <v>0.8010700132842633</v>
      </c>
      <c r="H265" s="57">
        <v>0.88557092573708029</v>
      </c>
      <c r="I265" s="57">
        <v>0.8827861861102354</v>
      </c>
      <c r="J265" s="57">
        <v>0.89821930339895417</v>
      </c>
      <c r="K265" s="86">
        <v>0.84174994303242145</v>
      </c>
      <c r="L265" s="86">
        <v>0.8958483677858361</v>
      </c>
      <c r="M265" s="57">
        <v>0.89728520062106709</v>
      </c>
      <c r="N265" s="57">
        <v>0.8491322664006159</v>
      </c>
    </row>
    <row r="266" spans="1:14" ht="12.75" customHeight="1" x14ac:dyDescent="0.2">
      <c r="A266" s="56" t="s">
        <v>281</v>
      </c>
      <c r="B266" s="59">
        <v>0.83810289965908302</v>
      </c>
      <c r="C266" s="57">
        <v>0.86050995727723123</v>
      </c>
      <c r="D266" s="57">
        <v>0.86338950752033305</v>
      </c>
      <c r="E266" s="86">
        <v>0.82731380787463082</v>
      </c>
      <c r="F266" s="57">
        <v>0.72513820644281435</v>
      </c>
      <c r="G266" s="40">
        <v>0.77968049582465848</v>
      </c>
      <c r="H266" s="57">
        <v>0.816981432285664</v>
      </c>
      <c r="I266" s="57">
        <v>0.88248924011447372</v>
      </c>
      <c r="J266" s="57">
        <v>0.84161730890594166</v>
      </c>
      <c r="K266" s="86">
        <v>0.77189858138993517</v>
      </c>
      <c r="L266" s="86">
        <v>0.82906611244485084</v>
      </c>
      <c r="M266" s="57">
        <v>0.86371393268784924</v>
      </c>
      <c r="N266" s="57">
        <v>0.90794298297937859</v>
      </c>
    </row>
    <row r="267" spans="1:14" ht="12.75" customHeight="1" x14ac:dyDescent="0.2">
      <c r="A267" s="56" t="s">
        <v>282</v>
      </c>
      <c r="B267" s="59">
        <v>0.79676337588153279</v>
      </c>
      <c r="C267" s="57">
        <v>0.73163697900673652</v>
      </c>
      <c r="D267" s="57">
        <v>0.5870585809930734</v>
      </c>
      <c r="E267" s="86">
        <v>0.62032132992997213</v>
      </c>
      <c r="F267" s="57">
        <v>0.64356655023863107</v>
      </c>
      <c r="G267" s="40">
        <v>0.75575207561725755</v>
      </c>
      <c r="H267" s="57">
        <v>0.7096024405386151</v>
      </c>
      <c r="I267" s="57">
        <v>0.78224257537153752</v>
      </c>
      <c r="J267" s="57">
        <v>0.72997194421259393</v>
      </c>
      <c r="K267" s="86">
        <v>0.80092356801905684</v>
      </c>
      <c r="L267" s="86">
        <v>0.81342072488646477</v>
      </c>
      <c r="M267" s="57">
        <v>0.90371518506670734</v>
      </c>
      <c r="N267" s="57">
        <v>0.92988565441081406</v>
      </c>
    </row>
    <row r="268" spans="1:14" ht="12.75" customHeight="1" x14ac:dyDescent="0.2">
      <c r="A268" s="56" t="s">
        <v>7076</v>
      </c>
      <c r="B268" s="59">
        <v>0.72621293845154078</v>
      </c>
      <c r="C268" s="57">
        <v>0.78619772992303705</v>
      </c>
      <c r="D268" s="57">
        <v>0.833502973849089</v>
      </c>
      <c r="E268" s="86">
        <v>0.85920413254542061</v>
      </c>
      <c r="F268" s="57">
        <v>0.90557412027086459</v>
      </c>
      <c r="G268" s="40">
        <v>0.91850411484526084</v>
      </c>
      <c r="H268" s="57">
        <v>0.92711057786042661</v>
      </c>
      <c r="I268" s="57">
        <v>0.89395844871126273</v>
      </c>
      <c r="J268" s="57">
        <v>0.85492173339962518</v>
      </c>
      <c r="K268" s="86">
        <v>0.83513120021592424</v>
      </c>
      <c r="L268" s="86">
        <v>0.8016748373159891</v>
      </c>
      <c r="M268" s="57">
        <v>0.80849883420210567</v>
      </c>
      <c r="N268" s="57">
        <v>0.80565089176585258</v>
      </c>
    </row>
    <row r="269" spans="1:14" ht="12.75" customHeight="1" x14ac:dyDescent="0.2">
      <c r="A269" s="56" t="s">
        <v>18</v>
      </c>
      <c r="B269" s="59">
        <v>0.70443400928550803</v>
      </c>
      <c r="C269" s="57">
        <v>0.72169149048281545</v>
      </c>
      <c r="D269" s="57">
        <v>0.78064638574665757</v>
      </c>
      <c r="E269" s="86">
        <v>0.87010286319653884</v>
      </c>
      <c r="F269" s="57">
        <v>0.82948599483064778</v>
      </c>
      <c r="G269" s="40">
        <v>0.84325675568978209</v>
      </c>
      <c r="H269" s="57">
        <v>0.76925549467159426</v>
      </c>
      <c r="I269" s="57">
        <v>0.83999141028565216</v>
      </c>
      <c r="J269" s="57">
        <v>0.7736557465280306</v>
      </c>
      <c r="K269" s="86">
        <v>0.82442933519167194</v>
      </c>
      <c r="L269" s="86">
        <v>0.79664099551712841</v>
      </c>
      <c r="M269" s="57">
        <v>0.84082164454069697</v>
      </c>
      <c r="N269" s="57">
        <v>0.75910341355079536</v>
      </c>
    </row>
    <row r="270" spans="1:14" ht="12.75" customHeight="1" x14ac:dyDescent="0.2">
      <c r="A270" s="56" t="s">
        <v>12</v>
      </c>
      <c r="B270" s="59">
        <v>0.63393905897505054</v>
      </c>
      <c r="C270" s="57">
        <v>0.63308869223594111</v>
      </c>
      <c r="D270" s="57">
        <v>0.62426237469199897</v>
      </c>
      <c r="E270" s="86">
        <v>0.67583764211287611</v>
      </c>
      <c r="F270" s="57">
        <v>0.72863870876093684</v>
      </c>
      <c r="G270" s="40">
        <v>0.81188233316270519</v>
      </c>
      <c r="H270" s="57">
        <v>0.82830561908503686</v>
      </c>
      <c r="I270" s="57">
        <v>0.83391820111980763</v>
      </c>
      <c r="J270" s="57">
        <v>0.85505568734538018</v>
      </c>
      <c r="K270" s="86">
        <v>0.8679424016125532</v>
      </c>
      <c r="L270" s="86">
        <v>0.86817560994220611</v>
      </c>
      <c r="M270" s="57">
        <v>0.86484357672949208</v>
      </c>
      <c r="N270" s="57">
        <v>0.83642747873115064</v>
      </c>
    </row>
    <row r="271" spans="1:14" ht="12.75" customHeight="1" x14ac:dyDescent="0.2">
      <c r="A271" s="56" t="s">
        <v>370</v>
      </c>
      <c r="B271" s="59">
        <v>0.91451164778798877</v>
      </c>
      <c r="C271" s="57">
        <v>0.86392545995234526</v>
      </c>
      <c r="D271" s="57">
        <v>0.83584658660917854</v>
      </c>
      <c r="E271" s="86">
        <v>0.79372827659442835</v>
      </c>
      <c r="F271" s="57">
        <v>0.80436144394043307</v>
      </c>
      <c r="G271" s="40">
        <v>0.83295831780160035</v>
      </c>
      <c r="H271" s="57">
        <v>0.85951110800634878</v>
      </c>
      <c r="I271" s="57">
        <v>0.98042117896307446</v>
      </c>
      <c r="J271" s="57">
        <v>0.9732236980813832</v>
      </c>
      <c r="K271" s="86">
        <v>0.97337461300309602</v>
      </c>
      <c r="L271" s="86">
        <v>0.96207184628237263</v>
      </c>
      <c r="M271" s="57">
        <v>0.97011278195488726</v>
      </c>
      <c r="N271" s="57">
        <v>0.97946950710108605</v>
      </c>
    </row>
    <row r="272" spans="1:14" ht="12.75" customHeight="1" x14ac:dyDescent="0.2">
      <c r="A272" s="56" t="s">
        <v>169</v>
      </c>
      <c r="B272" s="59">
        <v>0.80453136130636171</v>
      </c>
      <c r="C272" s="57">
        <v>0.75911019104135102</v>
      </c>
      <c r="D272" s="57">
        <v>0.72972490679140722</v>
      </c>
      <c r="E272" s="86">
        <v>0.78676071432076766</v>
      </c>
      <c r="F272" s="57">
        <v>0.85223750917342278</v>
      </c>
      <c r="G272" s="40">
        <v>0.87006521157428052</v>
      </c>
      <c r="H272" s="57">
        <v>0.88614481412026469</v>
      </c>
      <c r="I272" s="57">
        <v>0.85784230104007264</v>
      </c>
      <c r="J272" s="57">
        <v>0.86736906163864713</v>
      </c>
      <c r="K272" s="86">
        <v>0.94033239414577052</v>
      </c>
      <c r="L272" s="86">
        <v>0.96114647126383801</v>
      </c>
      <c r="M272" s="57">
        <v>0.95491212849509066</v>
      </c>
      <c r="N272" s="57">
        <v>0.94303551356268456</v>
      </c>
    </row>
    <row r="273" spans="1:14" ht="12.75" customHeight="1" x14ac:dyDescent="0.2">
      <c r="A273" s="56" t="s">
        <v>67</v>
      </c>
      <c r="B273" s="59">
        <v>0.54415422771908495</v>
      </c>
      <c r="C273" s="57">
        <v>0.55146090865069219</v>
      </c>
      <c r="D273" s="57">
        <v>0.63725667600770064</v>
      </c>
      <c r="E273" s="86">
        <v>0.68868515117048901</v>
      </c>
      <c r="F273" s="57">
        <v>0.75542483299481888</v>
      </c>
      <c r="G273" s="40">
        <v>0.7804669888614878</v>
      </c>
      <c r="H273" s="57">
        <v>0.79809834042219252</v>
      </c>
      <c r="I273" s="57">
        <v>0.82707453882575177</v>
      </c>
      <c r="J273" s="57">
        <v>0.84053468364693928</v>
      </c>
      <c r="K273" s="86">
        <v>0.8417332653958377</v>
      </c>
      <c r="L273" s="86">
        <v>0.83339931640707743</v>
      </c>
      <c r="M273" s="57">
        <v>0.84836306407342976</v>
      </c>
      <c r="N273" s="57">
        <v>0.8446636379466862</v>
      </c>
    </row>
    <row r="274" spans="1:14" ht="12.75" customHeight="1" x14ac:dyDescent="0.2">
      <c r="A274" s="56" t="s">
        <v>37</v>
      </c>
      <c r="B274" s="59">
        <v>0.54366001931327623</v>
      </c>
      <c r="C274" s="57">
        <v>0.63290730151179242</v>
      </c>
      <c r="D274" s="57">
        <v>0.67775798486993943</v>
      </c>
      <c r="E274" s="86">
        <v>0.69599008510504534</v>
      </c>
      <c r="F274" s="57">
        <v>0.65566930252214051</v>
      </c>
      <c r="G274" s="40">
        <v>0.68785764550784645</v>
      </c>
      <c r="H274" s="57">
        <v>0.67018218825997578</v>
      </c>
      <c r="I274" s="57">
        <v>0.73032572155329278</v>
      </c>
      <c r="J274" s="57">
        <v>0.72069328817296452</v>
      </c>
      <c r="K274" s="86">
        <v>0.76502201967923344</v>
      </c>
      <c r="L274" s="86">
        <v>0.76700457139523115</v>
      </c>
      <c r="M274" s="57">
        <v>0.81272069652328238</v>
      </c>
      <c r="N274" s="57">
        <v>0.80744478709893863</v>
      </c>
    </row>
    <row r="275" spans="1:14" ht="12.75" customHeight="1" x14ac:dyDescent="0.2">
      <c r="A275" s="56" t="s">
        <v>13</v>
      </c>
      <c r="B275" s="59">
        <v>0.61263308105122427</v>
      </c>
      <c r="C275" s="57">
        <v>0.57803028197866813</v>
      </c>
      <c r="D275" s="57">
        <v>0.56971227427085414</v>
      </c>
      <c r="E275" s="86">
        <v>0.61519403089239133</v>
      </c>
      <c r="F275" s="57">
        <v>0.66081758977352767</v>
      </c>
      <c r="G275" s="40">
        <v>0.75475695096304751</v>
      </c>
      <c r="H275" s="57">
        <v>0.77245473790284025</v>
      </c>
      <c r="I275" s="57">
        <v>0.80144352743506275</v>
      </c>
      <c r="J275" s="57">
        <v>0.78243341700993652</v>
      </c>
      <c r="K275" s="86">
        <v>0.77283888026012926</v>
      </c>
      <c r="L275" s="86">
        <v>0.78858002175820141</v>
      </c>
      <c r="M275" s="57">
        <v>0.8023169961458273</v>
      </c>
      <c r="N275" s="57">
        <v>0.84441667754842775</v>
      </c>
    </row>
    <row r="276" spans="1:14" ht="12.75" customHeight="1" x14ac:dyDescent="0.2">
      <c r="A276" s="56" t="s">
        <v>68</v>
      </c>
      <c r="B276" s="59">
        <v>0.74469360630327308</v>
      </c>
      <c r="C276" s="57">
        <v>0.72138349387392686</v>
      </c>
      <c r="D276" s="57">
        <v>0.73720365004672195</v>
      </c>
      <c r="E276" s="86">
        <v>0.80556065432736579</v>
      </c>
      <c r="F276" s="57">
        <v>0.83470833500483366</v>
      </c>
      <c r="G276" s="40">
        <v>0.85558832839018117</v>
      </c>
      <c r="H276" s="57">
        <v>0.8508459243562162</v>
      </c>
      <c r="I276" s="57">
        <v>0.87133883502000131</v>
      </c>
      <c r="J276" s="57">
        <v>0.89308723742748564</v>
      </c>
      <c r="K276" s="86">
        <v>0.92383192295694283</v>
      </c>
      <c r="L276" s="86">
        <v>0.90530038664107337</v>
      </c>
      <c r="M276" s="57">
        <v>0.88618769841731604</v>
      </c>
      <c r="N276" s="57">
        <v>0.86118538190512905</v>
      </c>
    </row>
    <row r="277" spans="1:14" ht="12.75" customHeight="1" x14ac:dyDescent="0.2">
      <c r="A277" s="56" t="s">
        <v>96</v>
      </c>
      <c r="B277" s="59">
        <v>0.66502528316231169</v>
      </c>
      <c r="C277" s="57">
        <v>0.68345596524164032</v>
      </c>
      <c r="D277" s="57">
        <v>0.90691576980851929</v>
      </c>
      <c r="E277" s="86">
        <v>0.84635884001992012</v>
      </c>
      <c r="F277" s="57">
        <v>0.83912991547560356</v>
      </c>
      <c r="G277" s="40">
        <v>0.75143861641810294</v>
      </c>
      <c r="H277" s="57">
        <v>0.81042913016660201</v>
      </c>
      <c r="I277" s="57">
        <v>0.79153212323344757</v>
      </c>
      <c r="J277" s="57">
        <v>0.84789637699965159</v>
      </c>
      <c r="K277" s="86">
        <v>0.83057499383158662</v>
      </c>
      <c r="L277" s="86">
        <v>0.89127752444819597</v>
      </c>
      <c r="M277" s="57">
        <v>0.93757309863990967</v>
      </c>
      <c r="N277" s="57">
        <v>0.95703705087431878</v>
      </c>
    </row>
    <row r="278" spans="1:14" ht="12.75" customHeight="1" x14ac:dyDescent="0.2">
      <c r="A278" s="56" t="s">
        <v>291</v>
      </c>
      <c r="B278" s="59">
        <v>0.72592332761231704</v>
      </c>
      <c r="C278" s="57">
        <v>0.70679265740700858</v>
      </c>
      <c r="D278" s="57">
        <v>0.83460644053635413</v>
      </c>
      <c r="E278" s="86">
        <v>0.93798224575208733</v>
      </c>
      <c r="F278" s="57">
        <v>0.96993909906221643</v>
      </c>
      <c r="G278" s="40">
        <v>0.87956019122209639</v>
      </c>
      <c r="H278" s="57">
        <v>0.74888109156824056</v>
      </c>
      <c r="I278" s="57">
        <v>0.72797031467392248</v>
      </c>
      <c r="J278" s="57">
        <v>0.80347239188600605</v>
      </c>
      <c r="K278" s="86">
        <v>0.92135979675909085</v>
      </c>
      <c r="L278" s="86">
        <v>0.89472506871963475</v>
      </c>
      <c r="M278" s="57">
        <v>0.89910737885710523</v>
      </c>
      <c r="N278" s="57">
        <v>0.81714681665700883</v>
      </c>
    </row>
    <row r="279" spans="1:14" ht="12.75" customHeight="1" x14ac:dyDescent="0.2">
      <c r="A279" s="56" t="s">
        <v>371</v>
      </c>
      <c r="B279" s="59">
        <v>0.60114994194056548</v>
      </c>
      <c r="C279" s="57">
        <v>0.64271289754022887</v>
      </c>
      <c r="D279" s="57">
        <v>0.73692909810477192</v>
      </c>
      <c r="E279" s="86">
        <v>0.88917818059505349</v>
      </c>
      <c r="F279" s="57">
        <v>0.85690618631114956</v>
      </c>
      <c r="G279" s="40">
        <v>0.87388302351947766</v>
      </c>
      <c r="H279" s="57">
        <v>0.88714725453724108</v>
      </c>
      <c r="I279" s="57">
        <v>0.92219124267927288</v>
      </c>
      <c r="J279" s="57">
        <v>0.9039835577457227</v>
      </c>
      <c r="K279" s="86">
        <v>0.88605707245518917</v>
      </c>
      <c r="L279" s="86">
        <v>0.86653551172290122</v>
      </c>
      <c r="M279" s="57">
        <v>0.85355217277096507</v>
      </c>
      <c r="N279" s="57">
        <v>0.81837420350395862</v>
      </c>
    </row>
    <row r="280" spans="1:14" ht="12.75" customHeight="1" x14ac:dyDescent="0.2">
      <c r="A280" s="56" t="s">
        <v>43</v>
      </c>
      <c r="B280" s="59">
        <v>0.49079211418287683</v>
      </c>
      <c r="C280" s="57">
        <v>0.59079177661807014</v>
      </c>
      <c r="D280" s="57">
        <v>0.69764770877707694</v>
      </c>
      <c r="E280" s="86">
        <v>0.7926278909666461</v>
      </c>
      <c r="F280" s="57">
        <v>0.78496421412044304</v>
      </c>
      <c r="G280" s="40">
        <v>0.80611977952037661</v>
      </c>
      <c r="H280" s="57">
        <v>0.78848964145484868</v>
      </c>
      <c r="I280" s="57">
        <v>0.77371573987211928</v>
      </c>
      <c r="J280" s="57">
        <v>0.77080356205125922</v>
      </c>
      <c r="K280" s="86">
        <v>0.7796964776053722</v>
      </c>
      <c r="L280" s="86">
        <v>0.81399829471591245</v>
      </c>
      <c r="M280" s="57">
        <v>0.82669906415931538</v>
      </c>
      <c r="N280" s="57">
        <v>0.85352388283851932</v>
      </c>
    </row>
    <row r="281" spans="1:14" ht="12.75" customHeight="1" x14ac:dyDescent="0.2">
      <c r="A281" s="56" t="s">
        <v>401</v>
      </c>
      <c r="B281" s="59">
        <v>0.56673561870256861</v>
      </c>
      <c r="C281" s="57">
        <v>0.527463462969052</v>
      </c>
      <c r="D281" s="57">
        <v>0.50904143098070298</v>
      </c>
      <c r="E281" s="86">
        <v>0.49253494025938221</v>
      </c>
      <c r="F281" s="57">
        <v>0.50561817466723724</v>
      </c>
      <c r="G281" s="40">
        <v>0.47882662634020007</v>
      </c>
      <c r="H281" s="57">
        <v>0.484535345892809</v>
      </c>
      <c r="I281" s="57">
        <v>0.4920014055031951</v>
      </c>
      <c r="J281" s="57">
        <v>0.53018961744547621</v>
      </c>
      <c r="K281" s="86">
        <v>0.53902188481839486</v>
      </c>
      <c r="L281" s="86">
        <v>0.51950511911369157</v>
      </c>
      <c r="M281" s="57">
        <v>0.52801935630564867</v>
      </c>
      <c r="N281" s="57">
        <v>0.54480890074866684</v>
      </c>
    </row>
    <row r="282" spans="1:14" ht="12.75" customHeight="1" x14ac:dyDescent="0.2">
      <c r="A282" s="56" t="s">
        <v>107</v>
      </c>
      <c r="B282" s="59">
        <v>0.69138731894559979</v>
      </c>
      <c r="C282" s="57">
        <v>0.67582707935611175</v>
      </c>
      <c r="D282" s="57">
        <v>0.73028845539946163</v>
      </c>
      <c r="E282" s="86">
        <v>0.83333221828076276</v>
      </c>
      <c r="F282" s="57">
        <v>0.8358057773927835</v>
      </c>
      <c r="G282" s="40">
        <v>0.80503841977095958</v>
      </c>
      <c r="H282" s="57">
        <v>0.75003495197691039</v>
      </c>
      <c r="I282" s="57">
        <v>0.77322888221367048</v>
      </c>
      <c r="J282" s="57">
        <v>0.74440468768451507</v>
      </c>
      <c r="K282" s="86">
        <v>0.71863315235794101</v>
      </c>
      <c r="L282" s="86">
        <v>0.73445675304961477</v>
      </c>
      <c r="M282" s="57">
        <v>0.732629730269864</v>
      </c>
      <c r="N282" s="57">
        <v>0.72073680953948716</v>
      </c>
    </row>
    <row r="283" spans="1:14" ht="12.75" customHeight="1" x14ac:dyDescent="0.2">
      <c r="A283" s="56" t="s">
        <v>7075</v>
      </c>
      <c r="B283" s="59">
        <v>0.64810291167727818</v>
      </c>
      <c r="C283" s="57">
        <v>0.68883864366767211</v>
      </c>
      <c r="D283" s="57">
        <v>0.73805053410361265</v>
      </c>
      <c r="E283" s="86">
        <v>0.84630569813839218</v>
      </c>
      <c r="F283" s="57">
        <v>0.80093793524941326</v>
      </c>
      <c r="G283" s="40">
        <v>0.81598484419469164</v>
      </c>
      <c r="H283" s="57">
        <v>0.89969903715553434</v>
      </c>
      <c r="I283" s="57">
        <v>0.81716174141351894</v>
      </c>
      <c r="J283" s="57">
        <v>0.69768949505729971</v>
      </c>
      <c r="K283" s="86">
        <v>0.70218792060835689</v>
      </c>
      <c r="L283" s="86">
        <v>0.77632672618404619</v>
      </c>
      <c r="M283" s="57">
        <v>0.90805963746226614</v>
      </c>
      <c r="N283" s="57">
        <v>0.8476045353090953</v>
      </c>
    </row>
    <row r="284" spans="1:14" ht="12.75" customHeight="1" x14ac:dyDescent="0.2">
      <c r="A284" s="56" t="s">
        <v>84</v>
      </c>
      <c r="B284" s="59">
        <v>0.73311197312551757</v>
      </c>
      <c r="C284" s="57">
        <v>0.75238228277988828</v>
      </c>
      <c r="D284" s="57">
        <v>0.69510789996902755</v>
      </c>
      <c r="E284" s="86">
        <v>0.7167420654198966</v>
      </c>
      <c r="F284" s="57">
        <v>0.77578781940135177</v>
      </c>
      <c r="G284" s="40">
        <v>0.94915504298223397</v>
      </c>
      <c r="H284" s="57">
        <v>0.99414434197042889</v>
      </c>
      <c r="I284" s="57">
        <v>0.99908895282004628</v>
      </c>
      <c r="J284" s="57">
        <v>0.99962828974382256</v>
      </c>
      <c r="K284" s="86">
        <v>0.9789408449926249</v>
      </c>
      <c r="L284" s="86">
        <v>0.91364697072699552</v>
      </c>
      <c r="M284" s="57">
        <v>0.89491066413517517</v>
      </c>
      <c r="N284" s="57">
        <v>0.89329072913460783</v>
      </c>
    </row>
    <row r="285" spans="1:14" ht="12.75" customHeight="1" x14ac:dyDescent="0.2">
      <c r="A285" s="56" t="s">
        <v>292</v>
      </c>
      <c r="B285" s="59">
        <v>0.93084220142374186</v>
      </c>
      <c r="C285" s="57">
        <v>0.93681308458760737</v>
      </c>
      <c r="D285" s="57">
        <v>0.94204517693403733</v>
      </c>
      <c r="E285" s="86">
        <v>0.97583548460741432</v>
      </c>
      <c r="F285" s="57">
        <v>0.95646465106892053</v>
      </c>
      <c r="G285" s="40">
        <v>0.87258999790933223</v>
      </c>
      <c r="H285" s="57">
        <v>0.84903629988884077</v>
      </c>
      <c r="I285" s="57">
        <v>0.87471920991484964</v>
      </c>
      <c r="J285" s="57">
        <v>0.96586429139749763</v>
      </c>
      <c r="K285" s="86">
        <v>0.99916457811194659</v>
      </c>
      <c r="L285" s="86">
        <v>1</v>
      </c>
      <c r="M285" s="57">
        <v>0.95933404550299972</v>
      </c>
      <c r="N285" s="57">
        <v>0.92387415939496265</v>
      </c>
    </row>
    <row r="286" spans="1:14" ht="12.75" customHeight="1" x14ac:dyDescent="0.2">
      <c r="A286" s="56" t="s">
        <v>31</v>
      </c>
      <c r="B286" s="59">
        <v>0.73245551344478421</v>
      </c>
      <c r="C286" s="57">
        <v>0.72866405103905274</v>
      </c>
      <c r="D286" s="57">
        <v>0.70595128474910041</v>
      </c>
      <c r="E286" s="86">
        <v>0.68754039857816507</v>
      </c>
      <c r="F286" s="57">
        <v>0.71095053796499563</v>
      </c>
      <c r="G286" s="40">
        <v>0.75067086376653247</v>
      </c>
      <c r="H286" s="57">
        <v>0.84627096049668926</v>
      </c>
      <c r="I286" s="57">
        <v>0.90284356238142083</v>
      </c>
      <c r="J286" s="57">
        <v>0.94854269960150972</v>
      </c>
      <c r="K286" s="86">
        <v>0.94683875052913968</v>
      </c>
      <c r="L286" s="86">
        <v>0.96583967596281362</v>
      </c>
      <c r="M286" s="57">
        <v>0.99432146800567855</v>
      </c>
      <c r="N286" s="57">
        <v>0.93630279639105041</v>
      </c>
    </row>
    <row r="287" spans="1:14" ht="12.75" customHeight="1" x14ac:dyDescent="0.2">
      <c r="A287" s="56" t="s">
        <v>97</v>
      </c>
      <c r="B287" s="59">
        <v>0.66363631607625306</v>
      </c>
      <c r="C287" s="57">
        <v>0.93059349493959942</v>
      </c>
      <c r="D287" s="57">
        <v>0.91826943718291199</v>
      </c>
      <c r="E287" s="86">
        <v>0.9028521059761071</v>
      </c>
      <c r="F287" s="57">
        <v>0.80898788890053452</v>
      </c>
      <c r="G287" s="40">
        <v>0.87227538399175064</v>
      </c>
      <c r="H287" s="57">
        <v>0.7138005772951258</v>
      </c>
      <c r="I287" s="57">
        <v>0.72850108784498424</v>
      </c>
      <c r="J287" s="57">
        <v>0.72549410954542781</v>
      </c>
      <c r="K287" s="86">
        <v>0.84716555001888239</v>
      </c>
      <c r="L287" s="86">
        <v>0.82281290336768098</v>
      </c>
      <c r="M287" s="57">
        <v>0.82123970630576204</v>
      </c>
      <c r="N287" s="57">
        <v>0.81233767401535373</v>
      </c>
    </row>
    <row r="288" spans="1:14" ht="12.75" customHeight="1" x14ac:dyDescent="0.2">
      <c r="A288" s="56" t="s">
        <v>7074</v>
      </c>
      <c r="B288" s="59">
        <v>0.66996010768370351</v>
      </c>
      <c r="C288" s="57">
        <v>0.84305486036950184</v>
      </c>
      <c r="D288" s="57">
        <v>0.87416586228801541</v>
      </c>
      <c r="E288" s="86">
        <v>0.75034591980475895</v>
      </c>
      <c r="F288" s="57">
        <v>0.60784886345741163</v>
      </c>
      <c r="G288" s="40">
        <v>0.6029792429543831</v>
      </c>
      <c r="H288" s="57">
        <v>0.79433475380006036</v>
      </c>
      <c r="I288" s="57">
        <v>0.92287808764462176</v>
      </c>
      <c r="J288" s="57">
        <v>0.88111499868282872</v>
      </c>
      <c r="K288" s="86">
        <v>0.84031037164362143</v>
      </c>
      <c r="L288" s="86">
        <v>0.80227623087863387</v>
      </c>
      <c r="M288" s="57">
        <v>0.8522875610596522</v>
      </c>
      <c r="N288" s="57">
        <v>0.88725260383585913</v>
      </c>
    </row>
    <row r="289" spans="1:14" ht="12.75" customHeight="1" x14ac:dyDescent="0.2">
      <c r="A289" s="56" t="s">
        <v>218</v>
      </c>
      <c r="B289" s="59">
        <v>0.75635044540138952</v>
      </c>
      <c r="C289" s="57">
        <v>0.81127400957262674</v>
      </c>
      <c r="D289" s="57">
        <v>0.8907554396649644</v>
      </c>
      <c r="E289" s="86">
        <v>0.83938981907309407</v>
      </c>
      <c r="F289" s="57">
        <v>0.73161689094827675</v>
      </c>
      <c r="G289" s="40">
        <v>0.70398233992349402</v>
      </c>
      <c r="H289" s="57">
        <v>0.81533198168140764</v>
      </c>
      <c r="I289" s="57">
        <v>0.89177815627924273</v>
      </c>
      <c r="J289" s="57">
        <v>0.87493081449563392</v>
      </c>
      <c r="K289" s="86">
        <v>0.83143639338828734</v>
      </c>
      <c r="L289" s="86">
        <v>0.76169171877709996</v>
      </c>
      <c r="M289" s="57">
        <v>0.73214964216737821</v>
      </c>
      <c r="N289" s="57">
        <v>0.68982087492738009</v>
      </c>
    </row>
    <row r="290" spans="1:14" ht="12.75" customHeight="1" x14ac:dyDescent="0.2">
      <c r="A290" s="56" t="s">
        <v>108</v>
      </c>
      <c r="B290" s="59">
        <v>0.81535377157111333</v>
      </c>
      <c r="C290" s="57">
        <v>0.85235141570740403</v>
      </c>
      <c r="D290" s="57">
        <v>0.87845063957473501</v>
      </c>
      <c r="E290" s="86">
        <v>0.8384308406621277</v>
      </c>
      <c r="F290" s="57">
        <v>0.77324636012628334</v>
      </c>
      <c r="G290" s="40">
        <v>0.72450869299078313</v>
      </c>
      <c r="H290" s="57">
        <v>0.74061589618219636</v>
      </c>
      <c r="I290" s="57">
        <v>0.84543811306023997</v>
      </c>
      <c r="J290" s="57">
        <v>0.89863136359869189</v>
      </c>
      <c r="K290" s="86">
        <v>0.92128469146603598</v>
      </c>
      <c r="L290" s="86">
        <v>0.90951768099683317</v>
      </c>
      <c r="M290" s="57">
        <v>0.83286157778718828</v>
      </c>
      <c r="N290" s="57">
        <v>0.82069946106114333</v>
      </c>
    </row>
    <row r="291" spans="1:14" ht="12.75" customHeight="1" x14ac:dyDescent="0.2">
      <c r="A291" s="56" t="s">
        <v>59</v>
      </c>
      <c r="B291" s="59">
        <v>0.69127161018422922</v>
      </c>
      <c r="C291" s="57">
        <v>0.70664613246729913</v>
      </c>
      <c r="D291" s="57">
        <v>0.74216966906867887</v>
      </c>
      <c r="E291" s="86">
        <v>0.77568548025943185</v>
      </c>
      <c r="F291" s="57">
        <v>0.76801728090840593</v>
      </c>
      <c r="G291" s="40">
        <v>0.77540138002103864</v>
      </c>
      <c r="H291" s="57">
        <v>0.77179988559783463</v>
      </c>
      <c r="I291" s="57">
        <v>0.80431156985199037</v>
      </c>
      <c r="J291" s="57">
        <v>0.82149163107162926</v>
      </c>
      <c r="K291" s="86">
        <v>0.84614773122298226</v>
      </c>
      <c r="L291" s="86">
        <v>0.86722513828367698</v>
      </c>
      <c r="M291" s="57">
        <v>0.88538685777180515</v>
      </c>
      <c r="N291" s="57">
        <v>0.90112367498967227</v>
      </c>
    </row>
    <row r="292" spans="1:14" ht="12.75" customHeight="1" x14ac:dyDescent="0.2">
      <c r="A292" s="56" t="s">
        <v>245</v>
      </c>
      <c r="B292" s="59">
        <v>0.87297050831748368</v>
      </c>
      <c r="C292" s="57">
        <v>0.88254329216663197</v>
      </c>
      <c r="D292" s="57">
        <v>0.80043905226187306</v>
      </c>
      <c r="E292" s="86">
        <v>0.68637311049235861</v>
      </c>
      <c r="F292" s="57">
        <v>0.61023065660268105</v>
      </c>
      <c r="G292" s="40">
        <v>0.65307593115879659</v>
      </c>
      <c r="H292" s="57">
        <v>0.71293018597580016</v>
      </c>
      <c r="I292" s="57">
        <v>0.65855057499577585</v>
      </c>
      <c r="J292" s="57">
        <v>0.7735331598197458</v>
      </c>
      <c r="K292" s="86">
        <v>0.86545557543018681</v>
      </c>
      <c r="L292" s="86">
        <v>0.97600801174359952</v>
      </c>
      <c r="M292" s="57">
        <v>0.97774073862252531</v>
      </c>
      <c r="N292" s="57">
        <v>0.9782723707331048</v>
      </c>
    </row>
    <row r="293" spans="1:14" ht="12.75" customHeight="1" x14ac:dyDescent="0.2">
      <c r="A293" s="56" t="s">
        <v>174</v>
      </c>
      <c r="B293" s="59">
        <v>0.67070196424100625</v>
      </c>
      <c r="C293" s="57">
        <v>0.75458633545686682</v>
      </c>
      <c r="D293" s="57">
        <v>0.80749175027174935</v>
      </c>
      <c r="E293" s="86">
        <v>0.75057906344885839</v>
      </c>
      <c r="F293" s="57">
        <v>0.7606746640869092</v>
      </c>
      <c r="G293" s="40">
        <v>0.78510389755203802</v>
      </c>
      <c r="H293" s="57">
        <v>0.81477001579786545</v>
      </c>
      <c r="I293" s="57">
        <v>0.80815975588395117</v>
      </c>
      <c r="J293" s="57">
        <v>0.84775245931392751</v>
      </c>
      <c r="K293" s="86">
        <v>0.93860528903664819</v>
      </c>
      <c r="L293" s="86">
        <v>0.86397945372024842</v>
      </c>
      <c r="M293" s="57">
        <v>0.77419888726382402</v>
      </c>
      <c r="N293" s="57">
        <v>0.7808742537526584</v>
      </c>
    </row>
    <row r="294" spans="1:14" ht="12.75" customHeight="1" x14ac:dyDescent="0.2">
      <c r="A294" s="56" t="s">
        <v>4</v>
      </c>
      <c r="B294" s="59">
        <v>0.71961411810729869</v>
      </c>
      <c r="C294" s="57">
        <v>0.70587110316107404</v>
      </c>
      <c r="D294" s="57">
        <v>0.75424543569212787</v>
      </c>
      <c r="E294" s="86">
        <v>0.75408716297628786</v>
      </c>
      <c r="F294" s="57">
        <v>0.82446965105572334</v>
      </c>
      <c r="G294" s="40">
        <v>0.82172393658547527</v>
      </c>
      <c r="H294" s="57">
        <v>0.86673765090392374</v>
      </c>
      <c r="I294" s="57">
        <v>0.84610753576127751</v>
      </c>
      <c r="J294" s="57">
        <v>0.89726363910234108</v>
      </c>
      <c r="K294" s="86">
        <v>0.92666729083712474</v>
      </c>
      <c r="L294" s="86">
        <v>0.92789950150171796</v>
      </c>
      <c r="M294" s="57">
        <v>0.90468956609466356</v>
      </c>
      <c r="N294" s="57">
        <v>0.88366189983102339</v>
      </c>
    </row>
    <row r="295" spans="1:14" ht="12.75" customHeight="1" x14ac:dyDescent="0.2">
      <c r="A295" s="56" t="s">
        <v>327</v>
      </c>
      <c r="B295" s="59">
        <v>0.7742133713482966</v>
      </c>
      <c r="C295" s="57">
        <v>0.85462286459274173</v>
      </c>
      <c r="D295" s="57">
        <v>0.89386074423809159</v>
      </c>
      <c r="E295" s="86">
        <v>0.92578082221080116</v>
      </c>
      <c r="F295" s="57">
        <v>0.82698800993040855</v>
      </c>
      <c r="G295" s="40">
        <v>0.7404860066506771</v>
      </c>
      <c r="H295" s="57">
        <v>0.58773674939871701</v>
      </c>
      <c r="I295" s="57">
        <v>0.6943183763381654</v>
      </c>
      <c r="J295" s="57">
        <v>0.65258911814432075</v>
      </c>
      <c r="K295" s="86">
        <v>0.77882097901448966</v>
      </c>
      <c r="L295" s="86">
        <v>0.76394892439101081</v>
      </c>
      <c r="M295" s="57">
        <v>0.89419612292299389</v>
      </c>
      <c r="N295" s="57">
        <v>0.87452743472577199</v>
      </c>
    </row>
    <row r="296" spans="1:14" ht="12.75" customHeight="1" x14ac:dyDescent="0.2">
      <c r="A296" s="56" t="s">
        <v>85</v>
      </c>
      <c r="B296" s="59">
        <v>0.77412711507659271</v>
      </c>
      <c r="C296" s="57">
        <v>0.76088475670700184</v>
      </c>
      <c r="D296" s="57">
        <v>0.75828948141183827</v>
      </c>
      <c r="E296" s="86">
        <v>0.81729823300485316</v>
      </c>
      <c r="F296" s="57">
        <v>0.82234523817503524</v>
      </c>
      <c r="G296" s="40">
        <v>0.85230682985397255</v>
      </c>
      <c r="H296" s="57">
        <v>0.84825463582867722</v>
      </c>
      <c r="I296" s="57">
        <v>0.86456280999601354</v>
      </c>
      <c r="J296" s="57">
        <v>0.86344553295338111</v>
      </c>
      <c r="K296" s="86">
        <v>0.83852814047537372</v>
      </c>
      <c r="L296" s="86">
        <v>0.8238432406894961</v>
      </c>
      <c r="M296" s="57">
        <v>0.82211699913868552</v>
      </c>
      <c r="N296" s="57">
        <v>0.85951566985043859</v>
      </c>
    </row>
    <row r="297" spans="1:14" ht="12.75" customHeight="1" x14ac:dyDescent="0.2">
      <c r="A297" s="56" t="s">
        <v>293</v>
      </c>
      <c r="B297" s="59">
        <v>0.51971552581517155</v>
      </c>
      <c r="C297" s="57">
        <v>0.60080388052722589</v>
      </c>
      <c r="D297" s="57">
        <v>0.68752007826548667</v>
      </c>
      <c r="E297" s="86">
        <v>0.78290892081400398</v>
      </c>
      <c r="F297" s="57">
        <v>0.81643148238545782</v>
      </c>
      <c r="G297" s="40">
        <v>0.83879627631541676</v>
      </c>
      <c r="H297" s="57">
        <v>0.8898280171099936</v>
      </c>
      <c r="I297" s="57">
        <v>0.90191210232473618</v>
      </c>
      <c r="J297" s="57">
        <v>0.87830284773657796</v>
      </c>
      <c r="K297" s="86">
        <v>0.85121193873815371</v>
      </c>
      <c r="L297" s="86">
        <v>0.84693354463854542</v>
      </c>
      <c r="M297" s="57">
        <v>0.88567019670034253</v>
      </c>
      <c r="N297" s="57">
        <v>0.92663153728103531</v>
      </c>
    </row>
    <row r="298" spans="1:14" ht="12.75" customHeight="1" x14ac:dyDescent="0.2">
      <c r="A298" s="56" t="s">
        <v>205</v>
      </c>
      <c r="B298" s="59">
        <v>0.80707981231251313</v>
      </c>
      <c r="C298" s="57">
        <v>0.78865642791031776</v>
      </c>
      <c r="D298" s="57">
        <v>0.67177785070950569</v>
      </c>
      <c r="E298" s="86">
        <v>0.63943679270940157</v>
      </c>
      <c r="F298" s="57">
        <v>0.65654352086463308</v>
      </c>
      <c r="G298" s="40">
        <v>0.85688055671003083</v>
      </c>
      <c r="H298" s="57">
        <v>0.92760393184387924</v>
      </c>
      <c r="I298" s="57">
        <v>0.89363813604361619</v>
      </c>
      <c r="J298" s="57">
        <v>0.89326516298451664</v>
      </c>
      <c r="K298" s="86">
        <v>0.9310248449968529</v>
      </c>
      <c r="L298" s="86">
        <v>0.92109126093266125</v>
      </c>
      <c r="M298" s="57">
        <v>0.87138144018560748</v>
      </c>
      <c r="N298" s="57">
        <v>0.85275672792735724</v>
      </c>
    </row>
    <row r="299" spans="1:14" ht="12.75" customHeight="1" x14ac:dyDescent="0.2">
      <c r="A299" s="56" t="s">
        <v>19</v>
      </c>
      <c r="B299" s="59">
        <v>0.57125939439131124</v>
      </c>
      <c r="C299" s="57">
        <v>0.68406860782497814</v>
      </c>
      <c r="D299" s="57">
        <v>0.76132193141935967</v>
      </c>
      <c r="E299" s="86">
        <v>0.79258031845257382</v>
      </c>
      <c r="F299" s="57">
        <v>0.822796201133556</v>
      </c>
      <c r="G299" s="40">
        <v>0.8510243432054887</v>
      </c>
      <c r="H299" s="57">
        <v>0.84439760700055644</v>
      </c>
      <c r="I299" s="57">
        <v>0.84979328588075276</v>
      </c>
      <c r="J299" s="57">
        <v>0.79638982548510129</v>
      </c>
      <c r="K299" s="86">
        <v>0.84560715220349891</v>
      </c>
      <c r="L299" s="86">
        <v>0.81721830223030556</v>
      </c>
      <c r="M299" s="57">
        <v>0.83625107125361742</v>
      </c>
      <c r="N299" s="57">
        <v>0.79516520969246951</v>
      </c>
    </row>
    <row r="300" spans="1:14" ht="12.75" customHeight="1" x14ac:dyDescent="0.2">
      <c r="A300" s="56" t="s">
        <v>314</v>
      </c>
      <c r="B300" s="59">
        <v>0.68932555025737774</v>
      </c>
      <c r="C300" s="57">
        <v>0.59994583084693742</v>
      </c>
      <c r="D300" s="57">
        <v>0.5780630715365872</v>
      </c>
      <c r="E300" s="86">
        <v>0.64594345660988706</v>
      </c>
      <c r="F300" s="57">
        <v>0.72066278449131616</v>
      </c>
      <c r="G300" s="40">
        <v>0.74826091947904738</v>
      </c>
      <c r="H300" s="57">
        <v>0.82583786749039645</v>
      </c>
      <c r="I300" s="57">
        <v>0.69380258962153418</v>
      </c>
      <c r="J300" s="57">
        <v>0.64539639090933321</v>
      </c>
      <c r="K300" s="86">
        <v>0.50922080575822015</v>
      </c>
      <c r="L300" s="86">
        <v>0.63241784934465894</v>
      </c>
      <c r="M300" s="57">
        <v>0.67194178655730807</v>
      </c>
      <c r="N300" s="57">
        <v>0.68447544002806848</v>
      </c>
    </row>
    <row r="301" spans="1:14" ht="12.75" customHeight="1" x14ac:dyDescent="0.2">
      <c r="A301" s="56" t="s">
        <v>123</v>
      </c>
      <c r="B301" s="59">
        <v>0.5424861586406271</v>
      </c>
      <c r="C301" s="57">
        <v>0.55275725490440841</v>
      </c>
      <c r="D301" s="57">
        <v>0.54045345602760209</v>
      </c>
      <c r="E301" s="86">
        <v>0.66073583336557096</v>
      </c>
      <c r="F301" s="57">
        <v>0.7485663702963915</v>
      </c>
      <c r="G301" s="40">
        <v>0.85977430547721434</v>
      </c>
      <c r="H301" s="57">
        <v>0.80574811179529926</v>
      </c>
      <c r="I301" s="57">
        <v>0.824691728171428</v>
      </c>
      <c r="J301" s="57">
        <v>0.82242149517735663</v>
      </c>
      <c r="K301" s="86">
        <v>0.87036553356111579</v>
      </c>
      <c r="L301" s="86">
        <v>0.83598241654509498</v>
      </c>
      <c r="M301" s="57">
        <v>0.86951601327919359</v>
      </c>
      <c r="N301" s="57">
        <v>0.78687015882889477</v>
      </c>
    </row>
    <row r="302" spans="1:14" ht="12.75" customHeight="1" x14ac:dyDescent="0.2">
      <c r="A302" s="56" t="s">
        <v>411</v>
      </c>
      <c r="B302" s="59">
        <v>1</v>
      </c>
      <c r="C302" s="57">
        <v>1</v>
      </c>
      <c r="D302" s="57">
        <v>0.95380900828098902</v>
      </c>
      <c r="E302" s="86">
        <v>0.90157948156089551</v>
      </c>
      <c r="F302" s="57">
        <v>0.72602547195134337</v>
      </c>
      <c r="G302" s="40">
        <v>0.74231593571600241</v>
      </c>
      <c r="H302" s="57">
        <v>0.59991559420102092</v>
      </c>
      <c r="I302" s="57">
        <v>0.72780496224960478</v>
      </c>
      <c r="J302" s="57">
        <v>0.73724802858055993</v>
      </c>
      <c r="K302" s="86">
        <v>0.92059970132691327</v>
      </c>
      <c r="L302" s="86">
        <v>0.9543637924611289</v>
      </c>
      <c r="M302" s="57">
        <v>0.82321698350083661</v>
      </c>
      <c r="N302" s="57">
        <v>0.69151006443812391</v>
      </c>
    </row>
    <row r="303" spans="1:14" ht="12.75" customHeight="1" x14ac:dyDescent="0.2">
      <c r="A303" s="56" t="s">
        <v>372</v>
      </c>
      <c r="B303" s="59">
        <v>0.83803234276655658</v>
      </c>
      <c r="C303" s="57">
        <v>0.82115554221536124</v>
      </c>
      <c r="D303" s="57">
        <v>0.74090649993275448</v>
      </c>
      <c r="E303" s="86">
        <v>0.68415300933988832</v>
      </c>
      <c r="F303" s="57">
        <v>0.70583894592772578</v>
      </c>
      <c r="G303" s="40">
        <v>0.77557465941731041</v>
      </c>
      <c r="H303" s="57">
        <v>0.85096904441421917</v>
      </c>
      <c r="I303" s="57">
        <v>0.83314082867370154</v>
      </c>
      <c r="J303" s="57">
        <v>0.85564570806778806</v>
      </c>
      <c r="K303" s="86">
        <v>0.85531101511407981</v>
      </c>
      <c r="L303" s="86">
        <v>0.88596972481741243</v>
      </c>
      <c r="M303" s="57">
        <v>0.89006956896784162</v>
      </c>
      <c r="N303" s="57">
        <v>0.89046265380078804</v>
      </c>
    </row>
    <row r="304" spans="1:14" ht="12.75" customHeight="1" x14ac:dyDescent="0.2">
      <c r="A304" s="56" t="s">
        <v>60</v>
      </c>
      <c r="B304" s="59">
        <v>0.71479591022905742</v>
      </c>
      <c r="C304" s="57">
        <v>0.79289127768408252</v>
      </c>
      <c r="D304" s="57">
        <v>0.85470770398067231</v>
      </c>
      <c r="E304" s="86">
        <v>0.90354078760741141</v>
      </c>
      <c r="F304" s="57">
        <v>0.88856638867309845</v>
      </c>
      <c r="G304" s="40">
        <v>0.85002423161934682</v>
      </c>
      <c r="H304" s="57">
        <v>0.77752753863832025</v>
      </c>
      <c r="I304" s="57">
        <v>0.7786394571756533</v>
      </c>
      <c r="J304" s="57">
        <v>0.81727046747732979</v>
      </c>
      <c r="K304" s="86">
        <v>0.90340189926144987</v>
      </c>
      <c r="L304" s="86">
        <v>0.92768772330653115</v>
      </c>
      <c r="M304" s="57">
        <v>0.92584425639922419</v>
      </c>
      <c r="N304" s="57">
        <v>0.95085620548823979</v>
      </c>
    </row>
    <row r="305" spans="1:14" ht="12.75" customHeight="1" x14ac:dyDescent="0.2">
      <c r="A305" s="56" t="s">
        <v>360</v>
      </c>
      <c r="B305" s="59">
        <v>0.75177314717436572</v>
      </c>
      <c r="C305" s="57">
        <v>0.67658241944585218</v>
      </c>
      <c r="D305" s="57">
        <v>0.68951076281790546</v>
      </c>
      <c r="E305" s="86">
        <v>0.76849365588377516</v>
      </c>
      <c r="F305" s="57">
        <v>0.84328392132134333</v>
      </c>
      <c r="G305" s="40">
        <v>0.91809242153547277</v>
      </c>
      <c r="H305" s="57">
        <v>0.8858003765575696</v>
      </c>
      <c r="I305" s="57">
        <v>0.89826152930022085</v>
      </c>
      <c r="J305" s="57">
        <v>0.89669403668552261</v>
      </c>
      <c r="K305" s="86">
        <v>0.94653975566702364</v>
      </c>
      <c r="L305" s="86">
        <v>0.95274304325426573</v>
      </c>
      <c r="M305" s="57">
        <v>0.93927294188400146</v>
      </c>
      <c r="N305" s="57">
        <v>0.93009805142484814</v>
      </c>
    </row>
    <row r="306" spans="1:14" ht="12.75" customHeight="1" x14ac:dyDescent="0.2">
      <c r="A306" s="56" t="s">
        <v>51</v>
      </c>
      <c r="B306" s="59">
        <v>0.64368384900283804</v>
      </c>
      <c r="C306" s="57">
        <v>0.67889997352005238</v>
      </c>
      <c r="D306" s="57">
        <v>0.67770713802395133</v>
      </c>
      <c r="E306" s="86">
        <v>0.71683170621222203</v>
      </c>
      <c r="F306" s="57">
        <v>0.7168507377103257</v>
      </c>
      <c r="G306" s="40">
        <v>0.74626766167904324</v>
      </c>
      <c r="H306" s="57">
        <v>0.72733200266843046</v>
      </c>
      <c r="I306" s="57">
        <v>0.77512058217302704</v>
      </c>
      <c r="J306" s="57">
        <v>0.81197087395745748</v>
      </c>
      <c r="K306" s="86">
        <v>0.82822909807859435</v>
      </c>
      <c r="L306" s="86">
        <v>0.82621204877199439</v>
      </c>
      <c r="M306" s="57">
        <v>0.78653178430486081</v>
      </c>
      <c r="N306" s="57">
        <v>0.70873392244591182</v>
      </c>
    </row>
    <row r="307" spans="1:14" ht="12.75" customHeight="1" x14ac:dyDescent="0.2">
      <c r="A307" s="56" t="s">
        <v>69</v>
      </c>
      <c r="B307" s="59">
        <v>0.49211939874716526</v>
      </c>
      <c r="C307" s="57">
        <v>0.56366715285960378</v>
      </c>
      <c r="D307" s="57">
        <v>0.51579450673524718</v>
      </c>
      <c r="E307" s="86">
        <v>0.65345911606399987</v>
      </c>
      <c r="F307" s="57">
        <v>0.6531481684008188</v>
      </c>
      <c r="G307" s="40">
        <v>0.76640484366071471</v>
      </c>
      <c r="H307" s="57">
        <v>0.76523340587228661</v>
      </c>
      <c r="I307" s="57">
        <v>0.75666844312491988</v>
      </c>
      <c r="J307" s="57">
        <v>0.82138846846888347</v>
      </c>
      <c r="K307" s="86">
        <v>0.81461581312032083</v>
      </c>
      <c r="L307" s="86">
        <v>0.87616781081297856</v>
      </c>
      <c r="M307" s="57">
        <v>0.86763868591494964</v>
      </c>
      <c r="N307" s="57">
        <v>0.89449376159737082</v>
      </c>
    </row>
    <row r="308" spans="1:14" ht="12.75" customHeight="1" x14ac:dyDescent="0.2">
      <c r="A308" s="56" t="s">
        <v>145</v>
      </c>
      <c r="B308" s="59">
        <v>0.76025666033040418</v>
      </c>
      <c r="C308" s="57">
        <v>0.70470641755515795</v>
      </c>
      <c r="D308" s="57">
        <v>0.69350583756349049</v>
      </c>
      <c r="E308" s="86">
        <v>0.69401278180977766</v>
      </c>
      <c r="F308" s="57">
        <v>0.65774896591931764</v>
      </c>
      <c r="G308" s="40">
        <v>0.65744383339651724</v>
      </c>
      <c r="H308" s="57">
        <v>0.60304359183332101</v>
      </c>
      <c r="I308" s="57">
        <v>0.69518901852693016</v>
      </c>
      <c r="J308" s="57">
        <v>0.76928740435422893</v>
      </c>
      <c r="K308" s="86">
        <v>0.80855106999494231</v>
      </c>
      <c r="L308" s="86">
        <v>0.82722646544998091</v>
      </c>
      <c r="M308" s="57">
        <v>0.82191714608927635</v>
      </c>
      <c r="N308" s="57">
        <v>0.78956533124591555</v>
      </c>
    </row>
    <row r="309" spans="1:14" ht="12.75" customHeight="1" x14ac:dyDescent="0.2">
      <c r="A309" s="56" t="s">
        <v>136</v>
      </c>
      <c r="B309" s="59">
        <v>0.55487949326174169</v>
      </c>
      <c r="C309" s="57">
        <v>0.54947703984901064</v>
      </c>
      <c r="D309" s="57">
        <v>0.55790888962780605</v>
      </c>
      <c r="E309" s="86">
        <v>0.60755156307039804</v>
      </c>
      <c r="F309" s="57">
        <v>0.77216591351034325</v>
      </c>
      <c r="G309" s="40">
        <v>0.78277249767435197</v>
      </c>
      <c r="H309" s="57">
        <v>0.74148856512928241</v>
      </c>
      <c r="I309" s="57">
        <v>0.73057417224370702</v>
      </c>
      <c r="J309" s="57">
        <v>0.74803210099172601</v>
      </c>
      <c r="K309" s="86">
        <v>0.82377517196292238</v>
      </c>
      <c r="L309" s="86">
        <v>0.8041642002475542</v>
      </c>
      <c r="M309" s="57">
        <v>0.82748873839291848</v>
      </c>
      <c r="N309" s="57">
        <v>0.77900358562690997</v>
      </c>
    </row>
    <row r="310" spans="1:14" ht="12.75" customHeight="1" x14ac:dyDescent="0.2">
      <c r="A310" s="56" t="s">
        <v>7073</v>
      </c>
      <c r="B310" s="59">
        <v>0.75226665916234747</v>
      </c>
      <c r="C310" s="57">
        <v>0.77721697125077815</v>
      </c>
      <c r="D310" s="57">
        <v>0.8135738915289813</v>
      </c>
      <c r="E310" s="86">
        <v>0.87380651330713988</v>
      </c>
      <c r="F310" s="57">
        <v>0.88059942974506322</v>
      </c>
      <c r="G310" s="40">
        <v>0.88357204214146101</v>
      </c>
      <c r="H310" s="57">
        <v>0.88279926650773433</v>
      </c>
      <c r="I310" s="57">
        <v>0.90873241467159627</v>
      </c>
      <c r="J310" s="57">
        <v>0.886970962401468</v>
      </c>
      <c r="K310" s="86">
        <v>0.88705393743280891</v>
      </c>
      <c r="L310" s="86">
        <v>0.78844246900222625</v>
      </c>
      <c r="M310" s="57">
        <v>0.80645961764226026</v>
      </c>
      <c r="N310" s="57">
        <v>0.83976252592210088</v>
      </c>
    </row>
    <row r="311" spans="1:14" ht="12.75" customHeight="1" x14ac:dyDescent="0.2">
      <c r="A311" s="56" t="s">
        <v>183</v>
      </c>
      <c r="B311" s="59">
        <v>0.85463812981406129</v>
      </c>
      <c r="C311" s="57">
        <v>0.87417805878810595</v>
      </c>
      <c r="D311" s="57">
        <v>0.84846312639486199</v>
      </c>
      <c r="E311" s="86">
        <v>0.93242165608543948</v>
      </c>
      <c r="F311" s="57">
        <v>0.92657370286906515</v>
      </c>
      <c r="G311" s="40">
        <v>0.9626681193260036</v>
      </c>
      <c r="H311" s="57">
        <v>0.90196901689460807</v>
      </c>
      <c r="I311" s="57">
        <v>0.90718407474124485</v>
      </c>
      <c r="J311" s="57">
        <v>0.87191912351005652</v>
      </c>
      <c r="K311" s="86">
        <v>0.96109850643257888</v>
      </c>
      <c r="L311" s="86">
        <v>0.83272661981275331</v>
      </c>
      <c r="M311" s="57">
        <v>0.86428572523283276</v>
      </c>
      <c r="N311" s="57">
        <v>0.85998575963255763</v>
      </c>
    </row>
    <row r="312" spans="1:14" ht="12.75" customHeight="1" x14ac:dyDescent="0.2">
      <c r="A312" s="56" t="s">
        <v>86</v>
      </c>
      <c r="B312" s="59">
        <v>0.77792285722554622</v>
      </c>
      <c r="C312" s="57">
        <v>0.78079121634535198</v>
      </c>
      <c r="D312" s="57">
        <v>0.71836406770985473</v>
      </c>
      <c r="E312" s="86">
        <v>0.69860237777875867</v>
      </c>
      <c r="F312" s="57">
        <v>0.69107029508184625</v>
      </c>
      <c r="G312" s="40">
        <v>0.69850792000736328</v>
      </c>
      <c r="H312" s="57">
        <v>0.70500509885450902</v>
      </c>
      <c r="I312" s="57">
        <v>0.70675487694018224</v>
      </c>
      <c r="J312" s="57">
        <v>0.69556055185342835</v>
      </c>
      <c r="K312" s="86">
        <v>0.77138128481893486</v>
      </c>
      <c r="L312" s="86">
        <v>0.78419243488994894</v>
      </c>
      <c r="M312" s="57">
        <v>0.83260943000770504</v>
      </c>
      <c r="N312" s="57">
        <v>0.79168459126039092</v>
      </c>
    </row>
    <row r="313" spans="1:14" ht="12.75" customHeight="1" x14ac:dyDescent="0.2">
      <c r="A313" s="56" t="s">
        <v>184</v>
      </c>
      <c r="B313" s="59">
        <v>0.71832742211124978</v>
      </c>
      <c r="C313" s="57">
        <v>0.72594169745688886</v>
      </c>
      <c r="D313" s="57">
        <v>0.76075899348204779</v>
      </c>
      <c r="E313" s="86">
        <v>0.76043717215724727</v>
      </c>
      <c r="F313" s="57">
        <v>0.8690152932893308</v>
      </c>
      <c r="G313" s="40">
        <v>0.92668167974540261</v>
      </c>
      <c r="H313" s="57">
        <v>0.80344499719389295</v>
      </c>
      <c r="I313" s="57">
        <v>0.80806523420459964</v>
      </c>
      <c r="J313" s="57">
        <v>0.7852134285706206</v>
      </c>
      <c r="K313" s="86">
        <v>0.89140780322532398</v>
      </c>
      <c r="L313" s="86">
        <v>0.86799097898419941</v>
      </c>
      <c r="M313" s="57">
        <v>0.8248706032968055</v>
      </c>
      <c r="N313" s="57">
        <v>0.72274703289036102</v>
      </c>
    </row>
    <row r="314" spans="1:14" ht="12.75" customHeight="1" x14ac:dyDescent="0.2">
      <c r="A314" s="56" t="s">
        <v>403</v>
      </c>
      <c r="B314" s="59">
        <v>0.46316390702026161</v>
      </c>
      <c r="C314" s="57">
        <v>0.4343738173884179</v>
      </c>
      <c r="D314" s="57">
        <v>0.4596352620480893</v>
      </c>
      <c r="E314" s="86">
        <v>0.4827817261283065</v>
      </c>
      <c r="F314" s="57">
        <v>0.62428205154013749</v>
      </c>
      <c r="G314" s="40">
        <v>0.783667700798096</v>
      </c>
      <c r="H314" s="57">
        <v>0.8133011021796418</v>
      </c>
      <c r="I314" s="57">
        <v>0.825647204801366</v>
      </c>
      <c r="J314" s="57">
        <v>0.80760049845926041</v>
      </c>
      <c r="K314" s="86">
        <v>0.75797702797660926</v>
      </c>
      <c r="L314" s="86">
        <v>0.76453637101430616</v>
      </c>
      <c r="M314" s="57">
        <v>0.74734588451400075</v>
      </c>
      <c r="N314" s="57">
        <v>0.80049559652916213</v>
      </c>
    </row>
    <row r="315" spans="1:14" ht="12.75" customHeight="1" x14ac:dyDescent="0.2">
      <c r="A315" s="56" t="s">
        <v>7072</v>
      </c>
      <c r="B315" s="59">
        <v>0.46318537177690006</v>
      </c>
      <c r="C315" s="57">
        <v>0.48357536582469179</v>
      </c>
      <c r="D315" s="57">
        <v>0.52750403423551395</v>
      </c>
      <c r="E315" s="86">
        <v>0.6989908888425691</v>
      </c>
      <c r="F315" s="57">
        <v>0.77226842918772787</v>
      </c>
      <c r="G315" s="40">
        <v>0.8631591137129403</v>
      </c>
      <c r="H315" s="57">
        <v>0.88408874813600002</v>
      </c>
      <c r="I315" s="57">
        <v>0.8663527669212584</v>
      </c>
      <c r="J315" s="57">
        <v>0.87304380535861092</v>
      </c>
      <c r="K315" s="86">
        <v>0.88859426002336794</v>
      </c>
      <c r="L315" s="86">
        <v>0.89392955444491895</v>
      </c>
      <c r="M315" s="57">
        <v>0.91198835096499631</v>
      </c>
      <c r="N315" s="57">
        <v>0.89820656219373385</v>
      </c>
    </row>
    <row r="316" spans="1:14" ht="12.75" customHeight="1" x14ac:dyDescent="0.2">
      <c r="A316" s="56" t="s">
        <v>98</v>
      </c>
      <c r="B316" s="59">
        <v>0.79507998878279862</v>
      </c>
      <c r="C316" s="57">
        <v>0.80980567276585813</v>
      </c>
      <c r="D316" s="57">
        <v>0.79895638348970621</v>
      </c>
      <c r="E316" s="86">
        <v>0.81873355739185938</v>
      </c>
      <c r="F316" s="57">
        <v>0.79779310121114</v>
      </c>
      <c r="G316" s="40">
        <v>0.81030763413968809</v>
      </c>
      <c r="H316" s="57">
        <v>0.82842680063364738</v>
      </c>
      <c r="I316" s="57">
        <v>0.83724947312958753</v>
      </c>
      <c r="J316" s="57">
        <v>0.85714915051127727</v>
      </c>
      <c r="K316" s="86">
        <v>0.8375166730148309</v>
      </c>
      <c r="L316" s="86">
        <v>0.85108103885076192</v>
      </c>
      <c r="M316" s="57">
        <v>0.86559801917581558</v>
      </c>
      <c r="N316" s="57">
        <v>0.86627505738225785</v>
      </c>
    </row>
    <row r="317" spans="1:14" ht="12.75" customHeight="1" x14ac:dyDescent="0.2">
      <c r="A317" s="56" t="s">
        <v>258</v>
      </c>
      <c r="B317" s="59">
        <v>0.72321293306993084</v>
      </c>
      <c r="C317" s="57">
        <v>0.78074617929483692</v>
      </c>
      <c r="D317" s="57">
        <v>0.80987706084487066</v>
      </c>
      <c r="E317" s="86">
        <v>0.83346626658168532</v>
      </c>
      <c r="F317" s="57">
        <v>0.83049230893234582</v>
      </c>
      <c r="G317" s="40">
        <v>0.74414254039341798</v>
      </c>
      <c r="H317" s="57">
        <v>0.73948112941610644</v>
      </c>
      <c r="I317" s="57">
        <v>0.69848232791949982</v>
      </c>
      <c r="J317" s="57">
        <v>0.82137180094395923</v>
      </c>
      <c r="K317" s="86">
        <v>0.88154395622906667</v>
      </c>
      <c r="L317" s="86">
        <v>0.85773313957087394</v>
      </c>
      <c r="M317" s="57">
        <v>0.79355390737386211</v>
      </c>
      <c r="N317" s="57">
        <v>0.76205993957196816</v>
      </c>
    </row>
    <row r="318" spans="1:14" ht="12.75" customHeight="1" x14ac:dyDescent="0.2">
      <c r="A318" s="56" t="s">
        <v>268</v>
      </c>
      <c r="B318" s="59">
        <v>0.69265381983345586</v>
      </c>
      <c r="C318" s="57">
        <v>0.79192996978220298</v>
      </c>
      <c r="D318" s="57">
        <v>0.78461861433770663</v>
      </c>
      <c r="E318" s="86">
        <v>0.89380623582120844</v>
      </c>
      <c r="F318" s="57">
        <v>0.80025334909614187</v>
      </c>
      <c r="G318" s="40">
        <v>0.84049465449064764</v>
      </c>
      <c r="H318" s="57">
        <v>0.80568328918679999</v>
      </c>
      <c r="I318" s="57">
        <v>0.85526523386022246</v>
      </c>
      <c r="J318" s="57">
        <v>0.86337696993653024</v>
      </c>
      <c r="K318" s="86">
        <v>0.86137660533427507</v>
      </c>
      <c r="L318" s="86">
        <v>0.86481856585436778</v>
      </c>
      <c r="M318" s="57">
        <v>0.82457827589887367</v>
      </c>
      <c r="N318" s="57">
        <v>0.81459080484681412</v>
      </c>
    </row>
    <row r="319" spans="1:14" ht="12.75" customHeight="1" x14ac:dyDescent="0.2">
      <c r="A319" s="56" t="s">
        <v>185</v>
      </c>
      <c r="B319" s="59">
        <v>0.59450038662074933</v>
      </c>
      <c r="C319" s="57">
        <v>0.74188208879807516</v>
      </c>
      <c r="D319" s="57">
        <v>0.85572889571815525</v>
      </c>
      <c r="E319" s="86">
        <v>0.8215985120576228</v>
      </c>
      <c r="F319" s="57">
        <v>0.81181424362826815</v>
      </c>
      <c r="G319" s="40">
        <v>0.82829009600131942</v>
      </c>
      <c r="H319" s="57">
        <v>0.89878316995535645</v>
      </c>
      <c r="I319" s="57">
        <v>0.8938667771525356</v>
      </c>
      <c r="J319" s="57">
        <v>0.77729291070901574</v>
      </c>
      <c r="K319" s="86">
        <v>0.76945173657911159</v>
      </c>
      <c r="L319" s="86">
        <v>0.82215791281735451</v>
      </c>
      <c r="M319" s="57">
        <v>0.90985158742103434</v>
      </c>
      <c r="N319" s="57">
        <v>0.89399090777301637</v>
      </c>
    </row>
    <row r="320" spans="1:14" ht="12.75" customHeight="1" x14ac:dyDescent="0.2">
      <c r="A320" s="56" t="s">
        <v>99</v>
      </c>
      <c r="B320" s="59">
        <v>0.65573408632020636</v>
      </c>
      <c r="C320" s="57">
        <v>0.79019547610077634</v>
      </c>
      <c r="D320" s="57">
        <v>0.81612314540836561</v>
      </c>
      <c r="E320" s="86">
        <v>0.82832956837660854</v>
      </c>
      <c r="F320" s="57">
        <v>0.84860853847875395</v>
      </c>
      <c r="G320" s="40">
        <v>0.87101088050143882</v>
      </c>
      <c r="H320" s="57">
        <v>0.88848862513279592</v>
      </c>
      <c r="I320" s="57">
        <v>0.86954049311701154</v>
      </c>
      <c r="J320" s="57">
        <v>0.87383381203588362</v>
      </c>
      <c r="K320" s="86">
        <v>0.85530521538165427</v>
      </c>
      <c r="L320" s="86">
        <v>0.90645991823768768</v>
      </c>
      <c r="M320" s="57">
        <v>0.86011902927383188</v>
      </c>
      <c r="N320" s="57">
        <v>0.92495740899962087</v>
      </c>
    </row>
    <row r="321" spans="1:14" ht="12.75" customHeight="1" x14ac:dyDescent="0.2">
      <c r="A321" s="56" t="s">
        <v>361</v>
      </c>
      <c r="B321" s="59">
        <v>0.68786835836073834</v>
      </c>
      <c r="C321" s="57">
        <v>0.75436892030068348</v>
      </c>
      <c r="D321" s="57">
        <v>0.7786202527618844</v>
      </c>
      <c r="E321" s="86">
        <v>0.86983258499371363</v>
      </c>
      <c r="F321" s="57">
        <v>0.80382316509920226</v>
      </c>
      <c r="G321" s="40">
        <v>0.80168055083783596</v>
      </c>
      <c r="H321" s="57">
        <v>0.84452391269251315</v>
      </c>
      <c r="I321" s="57">
        <v>0.88751703347658373</v>
      </c>
      <c r="J321" s="57">
        <v>0.9204632431525579</v>
      </c>
      <c r="K321" s="86">
        <v>0.94223874514439199</v>
      </c>
      <c r="L321" s="86">
        <v>0.9247142427239603</v>
      </c>
      <c r="M321" s="57">
        <v>0.92749036086589243</v>
      </c>
      <c r="N321" s="57">
        <v>0.85587378808942338</v>
      </c>
    </row>
    <row r="322" spans="1:14" ht="12.75" customHeight="1" x14ac:dyDescent="0.2">
      <c r="A322" s="56" t="s">
        <v>175</v>
      </c>
      <c r="B322" s="59">
        <v>0.73870388362030914</v>
      </c>
      <c r="C322" s="57">
        <v>0.70468563515314697</v>
      </c>
      <c r="D322" s="57">
        <v>0.81051219833813537</v>
      </c>
      <c r="E322" s="86">
        <v>0.79585194146132443</v>
      </c>
      <c r="F322" s="57">
        <v>0.77384583506095483</v>
      </c>
      <c r="G322" s="40">
        <v>0.70185291666990646</v>
      </c>
      <c r="H322" s="57">
        <v>0.63481068166454546</v>
      </c>
      <c r="I322" s="57">
        <v>0.72305239501394836</v>
      </c>
      <c r="J322" s="57">
        <v>0.78876341382656212</v>
      </c>
      <c r="K322" s="86">
        <v>0.89382774120973696</v>
      </c>
      <c r="L322" s="86">
        <v>0.91312674828425611</v>
      </c>
      <c r="M322" s="57">
        <v>0.95386417442344573</v>
      </c>
      <c r="N322" s="57">
        <v>0.95329265844369082</v>
      </c>
    </row>
    <row r="323" spans="1:14" ht="12.75" customHeight="1" x14ac:dyDescent="0.2">
      <c r="A323" s="56" t="s">
        <v>362</v>
      </c>
      <c r="B323" s="59">
        <v>0.70571331397115111</v>
      </c>
      <c r="C323" s="57">
        <v>0.76759673608234869</v>
      </c>
      <c r="D323" s="57">
        <v>0.81713706863104585</v>
      </c>
      <c r="E323" s="86">
        <v>0.85960027930159366</v>
      </c>
      <c r="F323" s="57">
        <v>0.82202329921062089</v>
      </c>
      <c r="G323" s="40">
        <v>0.79003077011241618</v>
      </c>
      <c r="H323" s="57">
        <v>0.74124968331442187</v>
      </c>
      <c r="I323" s="57">
        <v>0.78622416752511459</v>
      </c>
      <c r="J323" s="57">
        <v>0.86024386415002063</v>
      </c>
      <c r="K323" s="86">
        <v>0.94141010410955361</v>
      </c>
      <c r="L323" s="86">
        <v>0.95567566684931382</v>
      </c>
      <c r="M323" s="57">
        <v>0.92725435076523965</v>
      </c>
      <c r="N323" s="57">
        <v>0.91201640463026801</v>
      </c>
    </row>
    <row r="324" spans="1:14" ht="12.75" customHeight="1" x14ac:dyDescent="0.2">
      <c r="A324" s="56" t="s">
        <v>137</v>
      </c>
      <c r="B324" s="59">
        <v>0.76231252807978933</v>
      </c>
      <c r="C324" s="57">
        <v>0.62576143198607326</v>
      </c>
      <c r="D324" s="57">
        <v>0.60676448878699352</v>
      </c>
      <c r="E324" s="86">
        <v>0.66582999831550582</v>
      </c>
      <c r="F324" s="57">
        <v>0.81870399364227897</v>
      </c>
      <c r="G324" s="40">
        <v>0.89343367546359043</v>
      </c>
      <c r="H324" s="57">
        <v>0.91600520262451379</v>
      </c>
      <c r="I324" s="57">
        <v>0.8860880322635265</v>
      </c>
      <c r="J324" s="57">
        <v>0.86042344009655813</v>
      </c>
      <c r="K324" s="86">
        <v>0.82002570476312175</v>
      </c>
      <c r="L324" s="86">
        <v>0.75604911473205938</v>
      </c>
      <c r="M324" s="57">
        <v>0.71906422149070348</v>
      </c>
      <c r="N324" s="57">
        <v>0.67103246254237459</v>
      </c>
    </row>
    <row r="325" spans="1:14" ht="12.75" customHeight="1" x14ac:dyDescent="0.2">
      <c r="A325" s="56" t="s">
        <v>478</v>
      </c>
      <c r="B325" s="59">
        <v>0.42464704335456577</v>
      </c>
      <c r="C325" s="57">
        <v>0.54499066565334842</v>
      </c>
      <c r="D325" s="57">
        <v>0.62185443258313489</v>
      </c>
      <c r="E325" s="86">
        <v>0.90486820870023721</v>
      </c>
      <c r="F325" s="57">
        <v>0.87436716138495052</v>
      </c>
      <c r="G325" s="40">
        <v>0.88948187123650246</v>
      </c>
      <c r="H325" s="57">
        <v>0.77957688768452105</v>
      </c>
      <c r="I325" s="57">
        <v>0.8105403235140326</v>
      </c>
      <c r="J325" s="57">
        <v>0.74868290464857745</v>
      </c>
      <c r="K325" s="86">
        <v>0.78241383391262487</v>
      </c>
      <c r="L325" s="86">
        <v>0.69639906022279208</v>
      </c>
      <c r="M325" s="57">
        <v>0.70947553520423445</v>
      </c>
      <c r="N325" s="57">
        <v>0.78159201307619364</v>
      </c>
    </row>
    <row r="326" spans="1:14" ht="12.75" customHeight="1" x14ac:dyDescent="0.2">
      <c r="A326" s="56" t="s">
        <v>294</v>
      </c>
      <c r="B326" s="59">
        <v>0.75929321011089534</v>
      </c>
      <c r="C326" s="57">
        <v>0.82979781440143141</v>
      </c>
      <c r="D326" s="57">
        <v>0.79526351726894318</v>
      </c>
      <c r="E326" s="86">
        <v>0.80692514005838645</v>
      </c>
      <c r="F326" s="57">
        <v>0.84848617662963222</v>
      </c>
      <c r="G326" s="40">
        <v>0.90063067414669618</v>
      </c>
      <c r="H326" s="57">
        <v>0.84797557193157147</v>
      </c>
      <c r="I326" s="57">
        <v>0.83878726939343318</v>
      </c>
      <c r="J326" s="57">
        <v>0.79482161057488199</v>
      </c>
      <c r="K326" s="86">
        <v>0.85176108117876481</v>
      </c>
      <c r="L326" s="86">
        <v>0.77075079085454357</v>
      </c>
      <c r="M326" s="57">
        <v>0.75008761876964414</v>
      </c>
      <c r="N326" s="57">
        <v>0.67495780001447014</v>
      </c>
    </row>
    <row r="327" spans="1:14" ht="12.75" customHeight="1" x14ac:dyDescent="0.2">
      <c r="A327" s="56" t="s">
        <v>193</v>
      </c>
      <c r="B327" s="59">
        <v>0.62023724244740364</v>
      </c>
      <c r="C327" s="57">
        <v>0.59727503274024862</v>
      </c>
      <c r="D327" s="57">
        <v>0.51471184246864732</v>
      </c>
      <c r="E327" s="86">
        <v>0.66108618268559405</v>
      </c>
      <c r="F327" s="57">
        <v>0.6795829352996533</v>
      </c>
      <c r="G327" s="40">
        <v>0.79544154945144196</v>
      </c>
      <c r="H327" s="57">
        <v>0.80335278241365771</v>
      </c>
      <c r="I327" s="57">
        <v>0.87433462363792402</v>
      </c>
      <c r="J327" s="57">
        <v>0.91749246627929815</v>
      </c>
      <c r="K327" s="86">
        <v>0.95039046293286178</v>
      </c>
      <c r="L327" s="86">
        <v>0.95095166343814264</v>
      </c>
      <c r="M327" s="57">
        <v>0.94788197715637768</v>
      </c>
      <c r="N327" s="57">
        <v>0.96010849454805758</v>
      </c>
    </row>
    <row r="328" spans="1:14" ht="12.75" customHeight="1" x14ac:dyDescent="0.2">
      <c r="A328" s="56" t="s">
        <v>315</v>
      </c>
      <c r="B328" s="59">
        <v>0.71533229901019302</v>
      </c>
      <c r="C328" s="57">
        <v>0.79612062287078833</v>
      </c>
      <c r="D328" s="57">
        <v>0.77570468535894888</v>
      </c>
      <c r="E328" s="86">
        <v>0.84778865380369928</v>
      </c>
      <c r="F328" s="57">
        <v>0.8331664531555899</v>
      </c>
      <c r="G328" s="40">
        <v>0.87551237807754845</v>
      </c>
      <c r="H328" s="57">
        <v>0.87480823209858871</v>
      </c>
      <c r="I328" s="57">
        <v>0.84074554237559118</v>
      </c>
      <c r="J328" s="57">
        <v>0.80378409802031314</v>
      </c>
      <c r="K328" s="86">
        <v>0.80936803118016487</v>
      </c>
      <c r="L328" s="86">
        <v>0.84830918133784727</v>
      </c>
      <c r="M328" s="57">
        <v>0.86931396860663235</v>
      </c>
      <c r="N328" s="57">
        <v>0.84043081278514231</v>
      </c>
    </row>
    <row r="329" spans="1:14" ht="12.75" customHeight="1" x14ac:dyDescent="0.2">
      <c r="A329" s="56" t="s">
        <v>194</v>
      </c>
      <c r="B329" s="59">
        <v>0.85354829849101099</v>
      </c>
      <c r="C329" s="57">
        <v>0.80025113987278251</v>
      </c>
      <c r="D329" s="57">
        <v>0.85483080898115216</v>
      </c>
      <c r="E329" s="86">
        <v>0.89620801457115518</v>
      </c>
      <c r="F329" s="57">
        <v>0.95395470281053818</v>
      </c>
      <c r="G329" s="40">
        <v>0.91530882026832883</v>
      </c>
      <c r="H329" s="57">
        <v>0.64480794524331975</v>
      </c>
      <c r="I329" s="57">
        <v>0.6257385325812298</v>
      </c>
      <c r="J329" s="57">
        <v>0.68015849945708018</v>
      </c>
      <c r="K329" s="86">
        <v>0.97100939483210957</v>
      </c>
      <c r="L329" s="86">
        <v>0.94263301116361209</v>
      </c>
      <c r="M329" s="57">
        <v>0.91827769113203039</v>
      </c>
      <c r="N329" s="57">
        <v>0.90602483677391288</v>
      </c>
    </row>
    <row r="330" spans="1:14" ht="12.75" customHeight="1" x14ac:dyDescent="0.2">
      <c r="A330" s="56" t="s">
        <v>269</v>
      </c>
      <c r="B330" s="59">
        <v>0.80545369393628441</v>
      </c>
      <c r="C330" s="57">
        <v>0.89711334700246825</v>
      </c>
      <c r="D330" s="57">
        <v>0.88262570313240263</v>
      </c>
      <c r="E330" s="86">
        <v>0.84965976327814818</v>
      </c>
      <c r="F330" s="57">
        <v>0.82121744196323088</v>
      </c>
      <c r="G330" s="40">
        <v>0.7581844442411434</v>
      </c>
      <c r="H330" s="57">
        <v>0.77443222551254864</v>
      </c>
      <c r="I330" s="57">
        <v>0.72059005641430629</v>
      </c>
      <c r="J330" s="57">
        <v>0.75192641114239434</v>
      </c>
      <c r="K330" s="86">
        <v>0.80090054906262065</v>
      </c>
      <c r="L330" s="86">
        <v>0.82101707480764574</v>
      </c>
      <c r="M330" s="57">
        <v>0.80637205327466399</v>
      </c>
      <c r="N330" s="57">
        <v>0.72930587957684423</v>
      </c>
    </row>
    <row r="331" spans="1:14" ht="12.75" customHeight="1" x14ac:dyDescent="0.2">
      <c r="A331" s="56" t="s">
        <v>373</v>
      </c>
      <c r="B331" s="59">
        <v>0.8735928789104549</v>
      </c>
      <c r="C331" s="57">
        <v>0.89649751933913047</v>
      </c>
      <c r="D331" s="57">
        <v>0.88753210312612574</v>
      </c>
      <c r="E331" s="86">
        <v>0.91186721946787463</v>
      </c>
      <c r="F331" s="57">
        <v>0.88916096110055232</v>
      </c>
      <c r="G331" s="40">
        <v>0.91283339846747358</v>
      </c>
      <c r="H331" s="57">
        <v>0.90826222326755124</v>
      </c>
      <c r="I331" s="57">
        <v>0.93404483158507068</v>
      </c>
      <c r="J331" s="57">
        <v>0.94672561309488801</v>
      </c>
      <c r="K331" s="86">
        <v>0.95110925366680055</v>
      </c>
      <c r="L331" s="86">
        <v>0.97960240260622899</v>
      </c>
      <c r="M331" s="57">
        <v>0.94562795563598512</v>
      </c>
      <c r="N331" s="57">
        <v>0.89656466814499414</v>
      </c>
    </row>
    <row r="332" spans="1:14" ht="12.75" customHeight="1" x14ac:dyDescent="0.2">
      <c r="A332" s="56" t="s">
        <v>347</v>
      </c>
      <c r="B332" s="59">
        <v>0.91740769349076512</v>
      </c>
      <c r="C332" s="57">
        <v>0.92685505096872944</v>
      </c>
      <c r="D332" s="57">
        <v>0.93183472741062368</v>
      </c>
      <c r="E332" s="86">
        <v>0.89262902176373604</v>
      </c>
      <c r="F332" s="57">
        <v>0.80117361667874498</v>
      </c>
      <c r="G332" s="40">
        <v>0.7815190403256661</v>
      </c>
      <c r="H332" s="57">
        <v>0.76330106188278946</v>
      </c>
      <c r="I332" s="57">
        <v>0.86775191855972322</v>
      </c>
      <c r="J332" s="57">
        <v>0.88359884868002636</v>
      </c>
      <c r="K332" s="86">
        <v>0.94282353285454346</v>
      </c>
      <c r="L332" s="86">
        <v>0.92625326530765351</v>
      </c>
      <c r="M332" s="57">
        <v>0.89341847962122889</v>
      </c>
      <c r="N332" s="57">
        <v>0.90919256395487003</v>
      </c>
    </row>
    <row r="333" spans="1:14" ht="12.75" customHeight="1" x14ac:dyDescent="0.2">
      <c r="A333" s="56" t="s">
        <v>78</v>
      </c>
      <c r="B333" s="59">
        <v>0.42700054278271232</v>
      </c>
      <c r="C333" s="57">
        <v>0.48824008879320502</v>
      </c>
      <c r="D333" s="57">
        <v>0.61288926140812094</v>
      </c>
      <c r="E333" s="86">
        <v>0.74381800721347879</v>
      </c>
      <c r="F333" s="57">
        <v>0.74387148431324557</v>
      </c>
      <c r="G333" s="40">
        <v>0.76870433857847731</v>
      </c>
      <c r="H333" s="57">
        <v>0.63353641300943597</v>
      </c>
      <c r="I333" s="57">
        <v>0.57351161279088314</v>
      </c>
      <c r="J333" s="57">
        <v>0.57308614177580164</v>
      </c>
      <c r="K333" s="86">
        <v>0.69066003642987395</v>
      </c>
      <c r="L333" s="86">
        <v>0.82256270287376021</v>
      </c>
      <c r="M333" s="57">
        <v>0.79594296749779792</v>
      </c>
      <c r="N333" s="57">
        <v>0.71107175641915477</v>
      </c>
    </row>
    <row r="334" spans="1:14" ht="12.75" customHeight="1" x14ac:dyDescent="0.2">
      <c r="A334" s="56" t="s">
        <v>146</v>
      </c>
      <c r="B334" s="59">
        <v>0.70295236079802004</v>
      </c>
      <c r="C334" s="57">
        <v>0.66555879582158428</v>
      </c>
      <c r="D334" s="57">
        <v>0.70802594616028591</v>
      </c>
      <c r="E334" s="86">
        <v>0.68474599708151873</v>
      </c>
      <c r="F334" s="57">
        <v>0.75162829375997919</v>
      </c>
      <c r="G334" s="40">
        <v>0.72783040632901452</v>
      </c>
      <c r="H334" s="57">
        <v>0.83001444961344184</v>
      </c>
      <c r="I334" s="57">
        <v>0.86879583586328268</v>
      </c>
      <c r="J334" s="57">
        <v>0.92036379140864166</v>
      </c>
      <c r="K334" s="86">
        <v>0.92187757538871906</v>
      </c>
      <c r="L334" s="86">
        <v>0.84864950114193727</v>
      </c>
      <c r="M334" s="57">
        <v>0.86563358116321087</v>
      </c>
      <c r="N334" s="57">
        <v>0.84548715541201347</v>
      </c>
    </row>
    <row r="335" spans="1:14" ht="12.75" customHeight="1" x14ac:dyDescent="0.2">
      <c r="A335" s="56" t="s">
        <v>270</v>
      </c>
      <c r="B335" s="59">
        <v>0.70336852160453345</v>
      </c>
      <c r="C335" s="57">
        <v>0.77314427444959843</v>
      </c>
      <c r="D335" s="57">
        <v>0.87910784011645859</v>
      </c>
      <c r="E335" s="86">
        <v>0.85394392021569665</v>
      </c>
      <c r="F335" s="57">
        <v>0.87072528280853945</v>
      </c>
      <c r="G335" s="40">
        <v>0.87671404432874056</v>
      </c>
      <c r="H335" s="57">
        <v>0.84316770592643875</v>
      </c>
      <c r="I335" s="57">
        <v>0.83023856688001219</v>
      </c>
      <c r="J335" s="57">
        <v>0.87782197538058038</v>
      </c>
      <c r="K335" s="86">
        <v>0.7483657239346998</v>
      </c>
      <c r="L335" s="86">
        <v>0.75937553474600872</v>
      </c>
      <c r="M335" s="57">
        <v>0.74603809758585682</v>
      </c>
      <c r="N335" s="57">
        <v>0.82679229747909366</v>
      </c>
    </row>
    <row r="336" spans="1:14" ht="12.75" customHeight="1" x14ac:dyDescent="0.2">
      <c r="A336" s="56" t="s">
        <v>348</v>
      </c>
      <c r="B336" s="59">
        <v>0.75465901191421947</v>
      </c>
      <c r="C336" s="57">
        <v>0.79379120005020865</v>
      </c>
      <c r="D336" s="57">
        <v>0.80092177119465724</v>
      </c>
      <c r="E336" s="86">
        <v>0.77294882076468363</v>
      </c>
      <c r="F336" s="57">
        <v>0.6894129829901896</v>
      </c>
      <c r="G336" s="40">
        <v>0.70049732169071965</v>
      </c>
      <c r="H336" s="57">
        <v>0.75913489019495872</v>
      </c>
      <c r="I336" s="57">
        <v>0.81962062451382944</v>
      </c>
      <c r="J336" s="57">
        <v>0.80970712414405244</v>
      </c>
      <c r="K336" s="86">
        <v>0.80223045934851545</v>
      </c>
      <c r="L336" s="86">
        <v>0.82150261401562508</v>
      </c>
      <c r="M336" s="57">
        <v>0.83937231897311315</v>
      </c>
      <c r="N336" s="57">
        <v>0.86333501308088456</v>
      </c>
    </row>
    <row r="337" spans="1:14" ht="12.75" customHeight="1" x14ac:dyDescent="0.2">
      <c r="A337" s="56" t="s">
        <v>316</v>
      </c>
      <c r="B337" s="59">
        <v>0.83703470646959299</v>
      </c>
      <c r="C337" s="57">
        <v>0.85276321225467122</v>
      </c>
      <c r="D337" s="57">
        <v>0.78242089918291302</v>
      </c>
      <c r="E337" s="86">
        <v>0.76010777608734337</v>
      </c>
      <c r="F337" s="57">
        <v>0.76101561948255902</v>
      </c>
      <c r="G337" s="40">
        <v>0.83171173163153889</v>
      </c>
      <c r="H337" s="57">
        <v>0.8269245522586145</v>
      </c>
      <c r="I337" s="57">
        <v>0.86636692351418121</v>
      </c>
      <c r="J337" s="57">
        <v>0.86491761013086033</v>
      </c>
      <c r="K337" s="86">
        <v>0.86518196587709217</v>
      </c>
      <c r="L337" s="86">
        <v>0.79764618013609345</v>
      </c>
      <c r="M337" s="57">
        <v>0.77920271988674139</v>
      </c>
      <c r="N337" s="57">
        <v>0.76229004084091245</v>
      </c>
    </row>
    <row r="338" spans="1:14" ht="12.75" customHeight="1" x14ac:dyDescent="0.2">
      <c r="A338" s="56" t="s">
        <v>38</v>
      </c>
      <c r="B338" s="59">
        <v>0.71091578968846092</v>
      </c>
      <c r="C338" s="57">
        <v>0.74628861223713538</v>
      </c>
      <c r="D338" s="57">
        <v>0.80760218425362418</v>
      </c>
      <c r="E338" s="86">
        <v>0.78494734781433539</v>
      </c>
      <c r="F338" s="57">
        <v>0.77429676154231564</v>
      </c>
      <c r="G338" s="40">
        <v>0.74549661314799387</v>
      </c>
      <c r="H338" s="57">
        <v>0.86987874464102743</v>
      </c>
      <c r="I338" s="57">
        <v>0.82183030247560118</v>
      </c>
      <c r="J338" s="57">
        <v>0.82466367009332198</v>
      </c>
      <c r="K338" s="86">
        <v>0.82108007372131031</v>
      </c>
      <c r="L338" s="86">
        <v>0.85623165964057668</v>
      </c>
      <c r="M338" s="57">
        <v>0.88300261630117827</v>
      </c>
      <c r="N338" s="57">
        <v>0.92495373255469182</v>
      </c>
    </row>
    <row r="339" spans="1:14" ht="12.75" customHeight="1" x14ac:dyDescent="0.2">
      <c r="A339" s="56" t="s">
        <v>147</v>
      </c>
      <c r="B339" s="59">
        <v>0.69610979531315265</v>
      </c>
      <c r="C339" s="57">
        <v>0.71633580102657257</v>
      </c>
      <c r="D339" s="57">
        <v>0.73055212779384926</v>
      </c>
      <c r="E339" s="86">
        <v>0.76653219586234689</v>
      </c>
      <c r="F339" s="57">
        <v>0.81299742448298984</v>
      </c>
      <c r="G339" s="40">
        <v>0.84343170436926551</v>
      </c>
      <c r="H339" s="57">
        <v>0.85769928877993806</v>
      </c>
      <c r="I339" s="57">
        <v>0.83815863920079614</v>
      </c>
      <c r="J339" s="57">
        <v>0.80842456743117641</v>
      </c>
      <c r="K339" s="86">
        <v>0.78196061608768597</v>
      </c>
      <c r="L339" s="86">
        <v>0.73554530460813117</v>
      </c>
      <c r="M339" s="57">
        <v>0.71268712028475345</v>
      </c>
      <c r="N339" s="57">
        <v>0.68778362175223695</v>
      </c>
    </row>
    <row r="340" spans="1:14" ht="12.75" customHeight="1" x14ac:dyDescent="0.2">
      <c r="A340" s="56" t="s">
        <v>233</v>
      </c>
      <c r="B340" s="59">
        <v>0.75962023869992201</v>
      </c>
      <c r="C340" s="57">
        <v>0.65770363789276554</v>
      </c>
      <c r="D340" s="57">
        <v>0.57952395686923575</v>
      </c>
      <c r="E340" s="86">
        <v>0.66417097428176064</v>
      </c>
      <c r="F340" s="57">
        <v>0.79080689996144837</v>
      </c>
      <c r="G340" s="40">
        <v>0.97331174363572293</v>
      </c>
      <c r="H340" s="57">
        <v>0.95971929247193632</v>
      </c>
      <c r="I340" s="57">
        <v>0.97233855993884921</v>
      </c>
      <c r="J340" s="57">
        <v>0.96833205707651115</v>
      </c>
      <c r="K340" s="86">
        <v>0.88869169037839801</v>
      </c>
      <c r="L340" s="86">
        <v>0.89064100811718949</v>
      </c>
      <c r="M340" s="57">
        <v>0.88142605153381171</v>
      </c>
      <c r="N340" s="57">
        <v>0.94489523129015796</v>
      </c>
    </row>
    <row r="341" spans="1:14" ht="12.75" customHeight="1" x14ac:dyDescent="0.2">
      <c r="A341" s="56" t="s">
        <v>124</v>
      </c>
      <c r="B341" s="59">
        <v>0.60834602854657982</v>
      </c>
      <c r="C341" s="57">
        <v>0.5959337500222851</v>
      </c>
      <c r="D341" s="57">
        <v>0.59280281605438911</v>
      </c>
      <c r="E341" s="86">
        <v>0.73774387286463528</v>
      </c>
      <c r="F341" s="57">
        <v>0.69506436043429887</v>
      </c>
      <c r="G341" s="40">
        <v>0.50842355520493632</v>
      </c>
      <c r="H341" s="57">
        <v>0.5921538589386468</v>
      </c>
      <c r="I341" s="57">
        <v>0.43778803203934985</v>
      </c>
      <c r="J341" s="57">
        <v>0.4159842483604092</v>
      </c>
      <c r="K341" s="86">
        <v>0.45999006386699309</v>
      </c>
      <c r="L341" s="86">
        <v>0.64418315616645827</v>
      </c>
      <c r="M341" s="57">
        <v>0.63977999139177644</v>
      </c>
      <c r="N341" s="57">
        <v>0.95360372575918573</v>
      </c>
    </row>
    <row r="342" spans="1:14" ht="12.75" customHeight="1" x14ac:dyDescent="0.2">
      <c r="A342" s="56" t="s">
        <v>374</v>
      </c>
      <c r="B342" s="59">
        <v>0.74359761917561729</v>
      </c>
      <c r="C342" s="57">
        <v>0.77485395667244317</v>
      </c>
      <c r="D342" s="57">
        <v>0.8229714068153372</v>
      </c>
      <c r="E342" s="86">
        <v>0.78719170653146353</v>
      </c>
      <c r="F342" s="57">
        <v>0.75549391288491907</v>
      </c>
      <c r="G342" s="40">
        <v>0.79315936877160442</v>
      </c>
      <c r="H342" s="57">
        <v>0.8745009095982853</v>
      </c>
      <c r="I342" s="57">
        <v>0.9213538736860335</v>
      </c>
      <c r="J342" s="57">
        <v>0.8903478808867038</v>
      </c>
      <c r="K342" s="86">
        <v>0.89393217657140045</v>
      </c>
      <c r="L342" s="86">
        <v>0.88151771462728645</v>
      </c>
      <c r="M342" s="57">
        <v>0.90552227040635103</v>
      </c>
      <c r="N342" s="57">
        <v>0.89094340153304419</v>
      </c>
    </row>
    <row r="343" spans="1:14" ht="12.75" customHeight="1" x14ac:dyDescent="0.2">
      <c r="A343" s="56" t="s">
        <v>109</v>
      </c>
      <c r="B343" s="59">
        <v>0.79229689080104571</v>
      </c>
      <c r="C343" s="57">
        <v>0.82392882050225535</v>
      </c>
      <c r="D343" s="57">
        <v>0.8327028825552466</v>
      </c>
      <c r="E343" s="86">
        <v>0.81980662649120639</v>
      </c>
      <c r="F343" s="57">
        <v>0.74978664582395604</v>
      </c>
      <c r="G343" s="40">
        <v>0.7748915625690117</v>
      </c>
      <c r="H343" s="57">
        <v>0.78589298991087142</v>
      </c>
      <c r="I343" s="57">
        <v>0.8385183322227725</v>
      </c>
      <c r="J343" s="57">
        <v>0.87814130205133123</v>
      </c>
      <c r="K343" s="86">
        <v>0.91419806417704219</v>
      </c>
      <c r="L343" s="86">
        <v>0.93334651227332166</v>
      </c>
      <c r="M343" s="57">
        <v>0.90759617460298303</v>
      </c>
      <c r="N343" s="57">
        <v>0.9080294098085423</v>
      </c>
    </row>
    <row r="344" spans="1:14" ht="12.75" customHeight="1" x14ac:dyDescent="0.2">
      <c r="A344" s="56" t="s">
        <v>219</v>
      </c>
      <c r="B344" s="59">
        <v>0.72302331020876476</v>
      </c>
      <c r="C344" s="57">
        <v>0.79722910937496083</v>
      </c>
      <c r="D344" s="57">
        <v>0.82478258521993719</v>
      </c>
      <c r="E344" s="86">
        <v>0.85801218430290238</v>
      </c>
      <c r="F344" s="57">
        <v>0.88340381530100931</v>
      </c>
      <c r="G344" s="40">
        <v>0.88706745946124388</v>
      </c>
      <c r="H344" s="57">
        <v>0.9109690813838206</v>
      </c>
      <c r="I344" s="57">
        <v>0.80704435867097679</v>
      </c>
      <c r="J344" s="57">
        <v>0.78253113974575383</v>
      </c>
      <c r="K344" s="86">
        <v>0.83863413050644953</v>
      </c>
      <c r="L344" s="86">
        <v>0.98003983596347377</v>
      </c>
      <c r="M344" s="57">
        <v>0.98596181390410598</v>
      </c>
      <c r="N344" s="57">
        <v>0.94959395542977187</v>
      </c>
    </row>
    <row r="345" spans="1:14" ht="12.75" customHeight="1" x14ac:dyDescent="0.2">
      <c r="A345" s="56" t="s">
        <v>125</v>
      </c>
      <c r="B345" s="59">
        <v>0.39245767983989949</v>
      </c>
      <c r="C345" s="57">
        <v>0.50643061921228816</v>
      </c>
      <c r="D345" s="57">
        <v>0.6700983722134749</v>
      </c>
      <c r="E345" s="86">
        <v>0.76146833642810918</v>
      </c>
      <c r="F345" s="57">
        <v>0.81196786050496461</v>
      </c>
      <c r="G345" s="40">
        <v>0.83025705685591389</v>
      </c>
      <c r="H345" s="57">
        <v>0.80642568248639523</v>
      </c>
      <c r="I345" s="57">
        <v>0.74151696435032799</v>
      </c>
      <c r="J345" s="57">
        <v>0.69806410282026921</v>
      </c>
      <c r="K345" s="86">
        <v>0.77835586058798401</v>
      </c>
      <c r="L345" s="86">
        <v>0.80977667673036147</v>
      </c>
      <c r="M345" s="57">
        <v>0.73797666349926505</v>
      </c>
      <c r="N345" s="57">
        <v>0.70021949382789339</v>
      </c>
    </row>
    <row r="346" spans="1:14" ht="12.75" customHeight="1" x14ac:dyDescent="0.2">
      <c r="A346" s="56" t="s">
        <v>483</v>
      </c>
      <c r="B346" s="59">
        <v>0.75637370932361414</v>
      </c>
      <c r="C346" s="57">
        <v>0.69511198700419408</v>
      </c>
      <c r="D346" s="57">
        <v>0.7731805416317602</v>
      </c>
      <c r="E346" s="86">
        <v>0.78408300444703583</v>
      </c>
      <c r="F346" s="57">
        <v>0.90351714187598697</v>
      </c>
      <c r="G346" s="40">
        <v>0.90579334276963885</v>
      </c>
      <c r="H346" s="57">
        <v>0.8674758576700593</v>
      </c>
      <c r="I346" s="57">
        <v>0.80117898036359902</v>
      </c>
      <c r="J346" s="57">
        <v>0.82205789751581293</v>
      </c>
      <c r="K346" s="86">
        <v>0.84666560037561711</v>
      </c>
      <c r="L346" s="86">
        <v>0.87086268685225277</v>
      </c>
      <c r="M346" s="57">
        <v>0.85529148448673098</v>
      </c>
      <c r="N346" s="57">
        <v>0.83881180287790269</v>
      </c>
    </row>
    <row r="347" spans="1:14" ht="12.75" customHeight="1" x14ac:dyDescent="0.2">
      <c r="A347" s="56" t="s">
        <v>234</v>
      </c>
      <c r="B347" s="59">
        <v>0.53951687116517888</v>
      </c>
      <c r="C347" s="57">
        <v>0.54553183608770739</v>
      </c>
      <c r="D347" s="57">
        <v>0.64536419531644762</v>
      </c>
      <c r="E347" s="86">
        <v>0.69297590748627957</v>
      </c>
      <c r="F347" s="57">
        <v>0.77708849839549166</v>
      </c>
      <c r="G347" s="40">
        <v>0.82164962073407677</v>
      </c>
      <c r="H347" s="57">
        <v>0.86518261401070851</v>
      </c>
      <c r="I347" s="57">
        <v>0.80824774747505446</v>
      </c>
      <c r="J347" s="57">
        <v>0.82507987549469552</v>
      </c>
      <c r="K347" s="86">
        <v>0.79471689159689818</v>
      </c>
      <c r="L347" s="86">
        <v>0.83470366923649486</v>
      </c>
      <c r="M347" s="57">
        <v>0.85313841724663819</v>
      </c>
      <c r="N347" s="57">
        <v>0.952365031944851</v>
      </c>
    </row>
    <row r="348" spans="1:14" ht="12.75" customHeight="1" x14ac:dyDescent="0.2">
      <c r="A348" s="56" t="s">
        <v>163</v>
      </c>
      <c r="B348" s="59">
        <v>0.71975055524128229</v>
      </c>
      <c r="C348" s="57">
        <v>0.77397223506422408</v>
      </c>
      <c r="D348" s="57">
        <v>0.80541043161768278</v>
      </c>
      <c r="E348" s="86">
        <v>0.82751228178845204</v>
      </c>
      <c r="F348" s="57">
        <v>0.79740438988838236</v>
      </c>
      <c r="G348" s="40">
        <v>0.74472231841433523</v>
      </c>
      <c r="H348" s="57">
        <v>0.72624669180718016</v>
      </c>
      <c r="I348" s="57">
        <v>0.66085467626418148</v>
      </c>
      <c r="J348" s="57">
        <v>0.72702066562000844</v>
      </c>
      <c r="K348" s="86">
        <v>0.80436713650891078</v>
      </c>
      <c r="L348" s="86">
        <v>0.85465392463114842</v>
      </c>
      <c r="M348" s="57">
        <v>0.86888302720257737</v>
      </c>
      <c r="N348" s="57">
        <v>0.86014788285255539</v>
      </c>
    </row>
    <row r="349" spans="1:14" ht="12.75" customHeight="1" x14ac:dyDescent="0.2">
      <c r="A349" s="56" t="s">
        <v>24</v>
      </c>
      <c r="B349" s="59">
        <v>0.53627815149892799</v>
      </c>
      <c r="C349" s="57">
        <v>0.620756882973584</v>
      </c>
      <c r="D349" s="57">
        <v>0.68872631456865718</v>
      </c>
      <c r="E349" s="86">
        <v>0.68129091577667211</v>
      </c>
      <c r="F349" s="57">
        <v>0.60857048464891828</v>
      </c>
      <c r="G349" s="40">
        <v>0.70923328519811824</v>
      </c>
      <c r="H349" s="57">
        <v>0.76784783561686698</v>
      </c>
      <c r="I349" s="57">
        <v>0.83494320978063186</v>
      </c>
      <c r="J349" s="57">
        <v>0.8118460629852472</v>
      </c>
      <c r="K349" s="86">
        <v>0.79840171004549543</v>
      </c>
      <c r="L349" s="86">
        <v>0.81226419261166194</v>
      </c>
      <c r="M349" s="57">
        <v>0.82580119507149563</v>
      </c>
      <c r="N349" s="57">
        <v>0.84991131593462788</v>
      </c>
    </row>
    <row r="350" spans="1:14" ht="12.75" customHeight="1" x14ac:dyDescent="0.2">
      <c r="A350" s="56" t="s">
        <v>220</v>
      </c>
      <c r="B350" s="59">
        <v>0.8537898091298679</v>
      </c>
      <c r="C350" s="57">
        <v>0.84941538225175706</v>
      </c>
      <c r="D350" s="57">
        <v>0.85194574662422673</v>
      </c>
      <c r="E350" s="86">
        <v>0.82879574184712446</v>
      </c>
      <c r="F350" s="57">
        <v>0.88353887644236195</v>
      </c>
      <c r="G350" s="40">
        <v>0.88325772484542087</v>
      </c>
      <c r="H350" s="57">
        <v>0.88907653964672761</v>
      </c>
      <c r="I350" s="57">
        <v>0.83431846399458742</v>
      </c>
      <c r="J350" s="57">
        <v>0.77581252750644536</v>
      </c>
      <c r="K350" s="86">
        <v>0.85567485571775836</v>
      </c>
      <c r="L350" s="86">
        <v>0.92922818101596194</v>
      </c>
      <c r="M350" s="57">
        <v>0.98820583527472694</v>
      </c>
      <c r="N350" s="57">
        <v>0.91955305216648353</v>
      </c>
    </row>
    <row r="351" spans="1:14" ht="12.75" customHeight="1" x14ac:dyDescent="0.2">
      <c r="A351" s="56" t="s">
        <v>283</v>
      </c>
      <c r="B351" s="59">
        <v>0.757241336525034</v>
      </c>
      <c r="C351" s="57">
        <v>0.82885722094720371</v>
      </c>
      <c r="D351" s="57">
        <v>0.82117765992644198</v>
      </c>
      <c r="E351" s="86">
        <v>0.80160429381341636</v>
      </c>
      <c r="F351" s="57">
        <v>0.72859313179009144</v>
      </c>
      <c r="G351" s="40">
        <v>0.81180725354669325</v>
      </c>
      <c r="H351" s="57">
        <v>0.79149245600877027</v>
      </c>
      <c r="I351" s="57">
        <v>0.83500306212398601</v>
      </c>
      <c r="J351" s="57">
        <v>0.80553844300297028</v>
      </c>
      <c r="K351" s="86">
        <v>0.85966563166705789</v>
      </c>
      <c r="L351" s="86">
        <v>0.85302023028481422</v>
      </c>
      <c r="M351" s="57">
        <v>0.87650064367769198</v>
      </c>
      <c r="N351" s="57">
        <v>0.90569540742786148</v>
      </c>
    </row>
    <row r="352" spans="1:14" ht="12.75" customHeight="1" x14ac:dyDescent="0.2">
      <c r="A352" s="56" t="s">
        <v>7071</v>
      </c>
      <c r="B352" s="59">
        <v>0.87952322185204812</v>
      </c>
      <c r="C352" s="57">
        <v>0.86672850575491933</v>
      </c>
      <c r="D352" s="57">
        <v>0.83458530037386591</v>
      </c>
      <c r="E352" s="86">
        <v>0.87432009187510662</v>
      </c>
      <c r="F352" s="57">
        <v>0.90025987310805622</v>
      </c>
      <c r="G352" s="40">
        <v>0.89217522143120964</v>
      </c>
      <c r="H352" s="57">
        <v>0.88892736547065931</v>
      </c>
      <c r="I352" s="57">
        <v>0.88736918888317862</v>
      </c>
      <c r="J352" s="57">
        <v>0.94019970468265035</v>
      </c>
      <c r="K352" s="86">
        <v>0.96140098665590124</v>
      </c>
      <c r="L352" s="86">
        <v>0.99162428688600679</v>
      </c>
      <c r="M352" s="57">
        <v>0.9387265296786319</v>
      </c>
      <c r="N352" s="57">
        <v>0.92695234910500679</v>
      </c>
    </row>
    <row r="353" spans="1:14" ht="12.75" customHeight="1" x14ac:dyDescent="0.2">
      <c r="A353" s="56" t="s">
        <v>39</v>
      </c>
      <c r="B353" s="59">
        <v>0.83420829872542601</v>
      </c>
      <c r="C353" s="57">
        <v>0.84306084168874451</v>
      </c>
      <c r="D353" s="57">
        <v>0.83633761049833921</v>
      </c>
      <c r="E353" s="86">
        <v>0.8194833666529332</v>
      </c>
      <c r="F353" s="57">
        <v>0.79563168433866827</v>
      </c>
      <c r="G353" s="40">
        <v>0.71551216452056499</v>
      </c>
      <c r="H353" s="57">
        <v>0.7720079041397927</v>
      </c>
      <c r="I353" s="57">
        <v>0.78054502021643468</v>
      </c>
      <c r="J353" s="57">
        <v>0.87812467990085163</v>
      </c>
      <c r="K353" s="86">
        <v>0.8874248738147501</v>
      </c>
      <c r="L353" s="86">
        <v>0.8672054275946669</v>
      </c>
      <c r="M353" s="57">
        <v>0.8285031130146322</v>
      </c>
      <c r="N353" s="57">
        <v>0.70604465919895298</v>
      </c>
    </row>
    <row r="354" spans="1:14" ht="12.75" customHeight="1" x14ac:dyDescent="0.2">
      <c r="A354" s="56" t="s">
        <v>317</v>
      </c>
      <c r="B354" s="59">
        <v>0.82213550367019472</v>
      </c>
      <c r="C354" s="57">
        <v>0.74352365495412009</v>
      </c>
      <c r="D354" s="57">
        <v>0.63494384051299013</v>
      </c>
      <c r="E354" s="86">
        <v>0.72955012613693937</v>
      </c>
      <c r="F354" s="57">
        <v>0.77845741893042142</v>
      </c>
      <c r="G354" s="40">
        <v>0.84274955152085829</v>
      </c>
      <c r="H354" s="57">
        <v>0.84416572252767252</v>
      </c>
      <c r="I354" s="57">
        <v>0.86301013818703465</v>
      </c>
      <c r="J354" s="57">
        <v>0.89357275726574981</v>
      </c>
      <c r="K354" s="86">
        <v>0.89237317711880115</v>
      </c>
      <c r="L354" s="86">
        <v>0.87211366472898855</v>
      </c>
      <c r="M354" s="57">
        <v>0.86772492467216844</v>
      </c>
      <c r="N354" s="57">
        <v>0.77558027235042637</v>
      </c>
    </row>
    <row r="355" spans="1:14" ht="12.75" customHeight="1" x14ac:dyDescent="0.2">
      <c r="A355" s="56" t="s">
        <v>14</v>
      </c>
      <c r="B355" s="59">
        <v>0.59211170860130324</v>
      </c>
      <c r="C355" s="57">
        <v>0.58226733537685693</v>
      </c>
      <c r="D355" s="57">
        <v>0.597949924947203</v>
      </c>
      <c r="E355" s="86">
        <v>0.68100798476935953</v>
      </c>
      <c r="F355" s="57">
        <v>0.76299341378293717</v>
      </c>
      <c r="G355" s="40">
        <v>0.84482550328213313</v>
      </c>
      <c r="H355" s="57">
        <v>0.85794219376764669</v>
      </c>
      <c r="I355" s="57">
        <v>0.88753968368736158</v>
      </c>
      <c r="J355" s="57">
        <v>0.88064774914741795</v>
      </c>
      <c r="K355" s="86">
        <v>0.88109637130221119</v>
      </c>
      <c r="L355" s="86">
        <v>0.87018911697948553</v>
      </c>
      <c r="M355" s="57">
        <v>0.87711793645306579</v>
      </c>
      <c r="N355" s="57">
        <v>0.8862631726343887</v>
      </c>
    </row>
    <row r="356" spans="1:14" ht="12.75" customHeight="1" x14ac:dyDescent="0.2">
      <c r="A356" s="56" t="s">
        <v>221</v>
      </c>
      <c r="B356" s="59">
        <v>0.81062112326532976</v>
      </c>
      <c r="C356" s="57">
        <v>0.83846851953377843</v>
      </c>
      <c r="D356" s="57">
        <v>0.81340019459035739</v>
      </c>
      <c r="E356" s="86">
        <v>0.94332320085564891</v>
      </c>
      <c r="F356" s="57">
        <v>0.91993138799015173</v>
      </c>
      <c r="G356" s="40">
        <v>0.7966364582825588</v>
      </c>
      <c r="H356" s="57">
        <v>0.80482359278548277</v>
      </c>
      <c r="I356" s="57">
        <v>0.67109883376292034</v>
      </c>
      <c r="J356" s="57">
        <v>0.8638187309799551</v>
      </c>
      <c r="K356" s="86">
        <v>0.86464344233098223</v>
      </c>
      <c r="L356" s="86">
        <v>1</v>
      </c>
      <c r="M356" s="57">
        <v>0.98853193590035693</v>
      </c>
      <c r="N356" s="57">
        <v>0.98034480139743296</v>
      </c>
    </row>
    <row r="357" spans="1:14" ht="12.75" customHeight="1" x14ac:dyDescent="0.2">
      <c r="A357" s="56" t="s">
        <v>25</v>
      </c>
      <c r="B357" s="59">
        <v>0.73767167032146819</v>
      </c>
      <c r="C357" s="57">
        <v>0.69926147795985383</v>
      </c>
      <c r="D357" s="57">
        <v>0.70226661318000383</v>
      </c>
      <c r="E357" s="86">
        <v>0.69128158863100175</v>
      </c>
      <c r="F357" s="57">
        <v>0.75144404291210876</v>
      </c>
      <c r="G357" s="40">
        <v>0.78145856451922302</v>
      </c>
      <c r="H357" s="57">
        <v>0.83676124824046061</v>
      </c>
      <c r="I357" s="57">
        <v>0.8448250508296109</v>
      </c>
      <c r="J357" s="57">
        <v>0.8634980930439965</v>
      </c>
      <c r="K357" s="86">
        <v>0.87378844773499642</v>
      </c>
      <c r="L357" s="86">
        <v>0.87181761071573982</v>
      </c>
      <c r="M357" s="57">
        <v>0.88507549734314417</v>
      </c>
      <c r="N357" s="57">
        <v>0.88830320462591461</v>
      </c>
    </row>
    <row r="358" spans="1:14" ht="12.75" customHeight="1" x14ac:dyDescent="0.2">
      <c r="A358" s="56" t="s">
        <v>318</v>
      </c>
      <c r="B358" s="59">
        <v>0.81844391408990713</v>
      </c>
      <c r="C358" s="57">
        <v>0.83174471337836364</v>
      </c>
      <c r="D358" s="57">
        <v>0.84159876641418574</v>
      </c>
      <c r="E358" s="86">
        <v>0.81093376051591937</v>
      </c>
      <c r="F358" s="57">
        <v>0.76618273689968619</v>
      </c>
      <c r="G358" s="40">
        <v>0.73605737229392831</v>
      </c>
      <c r="H358" s="57">
        <v>0.73657202783969267</v>
      </c>
      <c r="I358" s="57">
        <v>0.7578258236276102</v>
      </c>
      <c r="J358" s="57">
        <v>0.76797819369498954</v>
      </c>
      <c r="K358" s="86">
        <v>0.8064501768762663</v>
      </c>
      <c r="L358" s="86">
        <v>0.82473710591760396</v>
      </c>
      <c r="M358" s="57">
        <v>0.84967191349748283</v>
      </c>
      <c r="N358" s="57">
        <v>0.8328849923466507</v>
      </c>
    </row>
    <row r="359" spans="1:14" ht="12.75" customHeight="1" x14ac:dyDescent="0.2">
      <c r="A359" s="56" t="s">
        <v>319</v>
      </c>
      <c r="B359" s="59">
        <v>0.57615793190183051</v>
      </c>
      <c r="C359" s="57">
        <v>0.634380572297366</v>
      </c>
      <c r="D359" s="57">
        <v>0.71246674626469242</v>
      </c>
      <c r="E359" s="86">
        <v>0.67796016217668276</v>
      </c>
      <c r="F359" s="57">
        <v>0.63196771886558822</v>
      </c>
      <c r="G359" s="40">
        <v>0.71634365647491671</v>
      </c>
      <c r="H359" s="57">
        <v>0.8538069531271294</v>
      </c>
      <c r="I359" s="57">
        <v>0.88178620884595593</v>
      </c>
      <c r="J359" s="57">
        <v>0.90123789723704739</v>
      </c>
      <c r="K359" s="86">
        <v>0.86098824187716261</v>
      </c>
      <c r="L359" s="86">
        <v>0.82416124067511065</v>
      </c>
      <c r="M359" s="57">
        <v>0.73130946356583593</v>
      </c>
      <c r="N359" s="57">
        <v>0.75642201165158218</v>
      </c>
    </row>
    <row r="360" spans="1:14" ht="12.75" customHeight="1" x14ac:dyDescent="0.2">
      <c r="A360" s="56" t="s">
        <v>164</v>
      </c>
      <c r="B360" s="59">
        <v>0.79242526749929398</v>
      </c>
      <c r="C360" s="57">
        <v>0.81390699247639864</v>
      </c>
      <c r="D360" s="57">
        <v>0.90616778305592938</v>
      </c>
      <c r="E360" s="86">
        <v>0.92136474347673281</v>
      </c>
      <c r="F360" s="57">
        <v>0.88499279188165181</v>
      </c>
      <c r="G360" s="40">
        <v>0.89770573365637851</v>
      </c>
      <c r="H360" s="57">
        <v>0.86558891761988244</v>
      </c>
      <c r="I360" s="57">
        <v>0.86486781708271032</v>
      </c>
      <c r="J360" s="57">
        <v>0.86685160931941352</v>
      </c>
      <c r="K360" s="86">
        <v>0.90800721232323334</v>
      </c>
      <c r="L360" s="86">
        <v>0.78424169663273435</v>
      </c>
      <c r="M360" s="57">
        <v>0.78179314618455598</v>
      </c>
      <c r="N360" s="57">
        <v>0.8170435147166426</v>
      </c>
    </row>
    <row r="361" spans="1:14" ht="12.75" customHeight="1" x14ac:dyDescent="0.2">
      <c r="A361" s="56" t="s">
        <v>295</v>
      </c>
      <c r="B361" s="59">
        <v>0.87672741635285656</v>
      </c>
      <c r="C361" s="57">
        <v>0.94065410439679453</v>
      </c>
      <c r="D361" s="57">
        <v>0.95907179613572036</v>
      </c>
      <c r="E361" s="86">
        <v>0.75802025422312047</v>
      </c>
      <c r="F361" s="57">
        <v>0.72788299520932964</v>
      </c>
      <c r="G361" s="40">
        <v>0.5715775531552415</v>
      </c>
      <c r="H361" s="57">
        <v>0.69548647338553771</v>
      </c>
      <c r="I361" s="57">
        <v>0.71685180257476722</v>
      </c>
      <c r="J361" s="57">
        <v>0.85473955288992942</v>
      </c>
      <c r="K361" s="86">
        <v>0.89921350786759546</v>
      </c>
      <c r="L361" s="86">
        <v>0.78995360286298544</v>
      </c>
      <c r="M361" s="57">
        <v>0.79411728858365382</v>
      </c>
      <c r="N361" s="57">
        <v>0.72296725915045501</v>
      </c>
    </row>
    <row r="362" spans="1:14" ht="12.75" customHeight="1" x14ac:dyDescent="0.2">
      <c r="A362" s="56" t="s">
        <v>126</v>
      </c>
      <c r="B362" s="59">
        <v>0.73465302550650335</v>
      </c>
      <c r="C362" s="57">
        <v>0.65155766597768527</v>
      </c>
      <c r="D362" s="57">
        <v>0.74857326344615316</v>
      </c>
      <c r="E362" s="86">
        <v>0.78329885698820645</v>
      </c>
      <c r="F362" s="57">
        <v>0.81508891399575434</v>
      </c>
      <c r="G362" s="40">
        <v>0.7864081469884624</v>
      </c>
      <c r="H362" s="57">
        <v>0.70549738491999081</v>
      </c>
      <c r="I362" s="57">
        <v>0.78757127447766473</v>
      </c>
      <c r="J362" s="57">
        <v>0.80945593354435064</v>
      </c>
      <c r="K362" s="86">
        <v>0.86186519394077399</v>
      </c>
      <c r="L362" s="86">
        <v>0.78936350711663772</v>
      </c>
      <c r="M362" s="57">
        <v>0.72082409813134218</v>
      </c>
      <c r="N362" s="57">
        <v>0.71557173981323541</v>
      </c>
    </row>
    <row r="363" spans="1:14" ht="12.75" customHeight="1" x14ac:dyDescent="0.2">
      <c r="A363" s="56" t="s">
        <v>222</v>
      </c>
      <c r="B363" s="59">
        <v>0.72874219289811215</v>
      </c>
      <c r="C363" s="57">
        <v>0.75500246107235125</v>
      </c>
      <c r="D363" s="57">
        <v>0.66130115727968053</v>
      </c>
      <c r="E363" s="86">
        <v>0.76908499770392991</v>
      </c>
      <c r="F363" s="57">
        <v>0.7653425883034134</v>
      </c>
      <c r="G363" s="40">
        <v>0.87723844693424213</v>
      </c>
      <c r="H363" s="57">
        <v>0.89250747323772373</v>
      </c>
      <c r="I363" s="57">
        <v>0.93862063025514508</v>
      </c>
      <c r="J363" s="57">
        <v>0.9415691780953338</v>
      </c>
      <c r="K363" s="86">
        <v>0.93382340805967567</v>
      </c>
      <c r="L363" s="86">
        <v>0.91740802186936665</v>
      </c>
      <c r="M363" s="57">
        <v>0.87216078757649507</v>
      </c>
      <c r="N363" s="57">
        <v>0.86331033399913559</v>
      </c>
    </row>
    <row r="364" spans="1:14" ht="12.75" customHeight="1" x14ac:dyDescent="0.2">
      <c r="A364" s="56" t="s">
        <v>127</v>
      </c>
      <c r="B364" s="59">
        <v>0.67091968832429671</v>
      </c>
      <c r="C364" s="57">
        <v>0.63551626583705334</v>
      </c>
      <c r="D364" s="57">
        <v>0.64861370074704738</v>
      </c>
      <c r="E364" s="86">
        <v>0.58756310925478972</v>
      </c>
      <c r="F364" s="57">
        <v>0.5671075957924564</v>
      </c>
      <c r="G364" s="40">
        <v>0.60682341361125725</v>
      </c>
      <c r="H364" s="57">
        <v>0.65255290472097516</v>
      </c>
      <c r="I364" s="57">
        <v>0.77640816982927452</v>
      </c>
      <c r="J364" s="57">
        <v>0.79394870691162789</v>
      </c>
      <c r="K364" s="86">
        <v>0.81859701373078197</v>
      </c>
      <c r="L364" s="86">
        <v>0.85497298858370385</v>
      </c>
      <c r="M364" s="57">
        <v>0.85420709946595752</v>
      </c>
      <c r="N364" s="57">
        <v>0.91047427416931825</v>
      </c>
    </row>
    <row r="365" spans="1:14" ht="12.75" customHeight="1" x14ac:dyDescent="0.2">
      <c r="A365" s="56" t="s">
        <v>7070</v>
      </c>
      <c r="B365" s="59">
        <v>0.74718868211687228</v>
      </c>
      <c r="C365" s="57">
        <v>0.75052527044238815</v>
      </c>
      <c r="D365" s="57">
        <v>0.76785414758883963</v>
      </c>
      <c r="E365" s="86">
        <v>0.76711662358784694</v>
      </c>
      <c r="F365" s="57">
        <v>0.79072774696885206</v>
      </c>
      <c r="G365" s="40">
        <v>0.82216093768752196</v>
      </c>
      <c r="H365" s="57">
        <v>0.83337046091117184</v>
      </c>
      <c r="I365" s="57">
        <v>0.83437640882324349</v>
      </c>
      <c r="J365" s="57">
        <v>0.83623114577902502</v>
      </c>
      <c r="K365" s="86">
        <v>0.8533525501316529</v>
      </c>
      <c r="L365" s="86">
        <v>0.85411275031293032</v>
      </c>
      <c r="M365" s="57">
        <v>0.8475586657736125</v>
      </c>
      <c r="N365" s="57">
        <v>0.83326397130363328</v>
      </c>
    </row>
    <row r="366" spans="1:14" ht="12.75" customHeight="1" x14ac:dyDescent="0.2">
      <c r="A366" s="56" t="s">
        <v>381</v>
      </c>
      <c r="B366" s="59">
        <v>0.75925347137959598</v>
      </c>
      <c r="C366" s="57">
        <v>0.78145232876956949</v>
      </c>
      <c r="D366" s="57">
        <v>0.84245126051506969</v>
      </c>
      <c r="E366" s="86">
        <v>0.83174888317759788</v>
      </c>
      <c r="F366" s="57">
        <v>0.85024106714209113</v>
      </c>
      <c r="G366" s="40">
        <v>0.82274176554663281</v>
      </c>
      <c r="H366" s="57">
        <v>0.8467494682454656</v>
      </c>
      <c r="I366" s="57">
        <v>0.84763059513860217</v>
      </c>
      <c r="J366" s="57">
        <v>0.88685257314685606</v>
      </c>
      <c r="K366" s="86">
        <v>0.91541061569004067</v>
      </c>
      <c r="L366" s="86">
        <v>0.9183414264452826</v>
      </c>
      <c r="M366" s="57">
        <v>0.86536100312250019</v>
      </c>
      <c r="N366" s="57">
        <v>0.83223425282790287</v>
      </c>
    </row>
    <row r="367" spans="1:14" ht="12.75" customHeight="1" x14ac:dyDescent="0.2">
      <c r="A367" s="56" t="s">
        <v>391</v>
      </c>
      <c r="B367" s="59">
        <v>0.57441419988127906</v>
      </c>
      <c r="C367" s="57">
        <v>0.64413862368853347</v>
      </c>
      <c r="D367" s="57">
        <v>0.70382450412042197</v>
      </c>
      <c r="E367" s="86">
        <v>0.72943756814758409</v>
      </c>
      <c r="F367" s="57">
        <v>0.74585696785477573</v>
      </c>
      <c r="G367" s="40">
        <v>0.77889553651699928</v>
      </c>
      <c r="H367" s="57">
        <v>0.75826120989547363</v>
      </c>
      <c r="I367" s="57">
        <v>0.82264491568241971</v>
      </c>
      <c r="J367" s="57">
        <v>0.83906222503496164</v>
      </c>
      <c r="K367" s="86">
        <v>0.9062958687900643</v>
      </c>
      <c r="L367" s="86">
        <v>0.86554677295713278</v>
      </c>
      <c r="M367" s="57">
        <v>0.87467055645162517</v>
      </c>
      <c r="N367" s="57">
        <v>0.86673577699590088</v>
      </c>
    </row>
    <row r="368" spans="1:14" ht="12.75" customHeight="1" x14ac:dyDescent="0.2">
      <c r="A368" s="56" t="s">
        <v>320</v>
      </c>
      <c r="B368" s="59">
        <v>0.9789408449926249</v>
      </c>
      <c r="C368" s="57">
        <v>0.92093089170590303</v>
      </c>
      <c r="D368" s="57">
        <v>0.86229978536655538</v>
      </c>
      <c r="E368" s="86">
        <v>0.84735983941650517</v>
      </c>
      <c r="F368" s="57">
        <v>0.89730365033581416</v>
      </c>
      <c r="G368" s="40">
        <v>0.93960443210240874</v>
      </c>
      <c r="H368" s="57">
        <v>0.94011119051689018</v>
      </c>
      <c r="I368" s="57">
        <v>0.85695407136683599</v>
      </c>
      <c r="J368" s="57">
        <v>0.85587539529927614</v>
      </c>
      <c r="K368" s="86">
        <v>0.74891279502257557</v>
      </c>
      <c r="L368" s="86">
        <v>0.72565024241158216</v>
      </c>
      <c r="M368" s="57">
        <v>0.65544686093158444</v>
      </c>
      <c r="N368" s="57">
        <v>0.7077475748688199</v>
      </c>
    </row>
    <row r="369" spans="1:14" ht="12.75" customHeight="1" x14ac:dyDescent="0.2">
      <c r="A369" s="56" t="s">
        <v>128</v>
      </c>
      <c r="B369" s="59">
        <v>0.78840652376163034</v>
      </c>
      <c r="C369" s="57">
        <v>0.77381855277991685</v>
      </c>
      <c r="D369" s="57">
        <v>0.82919281170205206</v>
      </c>
      <c r="E369" s="86">
        <v>0.85340310078955284</v>
      </c>
      <c r="F369" s="57">
        <v>0.90883577606153942</v>
      </c>
      <c r="G369" s="40">
        <v>0.95110736157025177</v>
      </c>
      <c r="H369" s="57">
        <v>0.90254163490051054</v>
      </c>
      <c r="I369" s="57">
        <v>0.86104708161843024</v>
      </c>
      <c r="J369" s="57">
        <v>0.80165433001483066</v>
      </c>
      <c r="K369" s="86">
        <v>0.83142707417957296</v>
      </c>
      <c r="L369" s="86">
        <v>0.90342428396945917</v>
      </c>
      <c r="M369" s="57">
        <v>0.94860340058142834</v>
      </c>
      <c r="N369" s="57">
        <v>0.93582067882985187</v>
      </c>
    </row>
    <row r="370" spans="1:14" ht="12.75" customHeight="1" x14ac:dyDescent="0.2">
      <c r="A370" s="56" t="s">
        <v>112</v>
      </c>
      <c r="B370" s="59">
        <v>0.8308859142572862</v>
      </c>
      <c r="C370" s="57">
        <v>0.85423662121795363</v>
      </c>
      <c r="D370" s="57">
        <v>0.82044108643944436</v>
      </c>
      <c r="E370" s="86">
        <v>0.82699517398725231</v>
      </c>
      <c r="F370" s="57">
        <v>0.85337478792256682</v>
      </c>
      <c r="G370" s="40">
        <v>0.89716838650470498</v>
      </c>
      <c r="H370" s="57">
        <v>0.88183419193911317</v>
      </c>
      <c r="I370" s="57">
        <v>0.87814806804630219</v>
      </c>
      <c r="J370" s="57">
        <v>0.87552412718945194</v>
      </c>
      <c r="K370" s="86">
        <v>0.92071939385849999</v>
      </c>
      <c r="L370" s="86">
        <v>0.91416720336129254</v>
      </c>
      <c r="M370" s="57">
        <v>0.86504556239104102</v>
      </c>
      <c r="N370" s="57">
        <v>0.8588869031347276</v>
      </c>
    </row>
    <row r="371" spans="1:14" ht="12.75" customHeight="1" x14ac:dyDescent="0.2">
      <c r="A371" s="56" t="s">
        <v>176</v>
      </c>
      <c r="B371" s="59">
        <v>0.72585554686543319</v>
      </c>
      <c r="C371" s="57">
        <v>0.69456950500185399</v>
      </c>
      <c r="D371" s="57">
        <v>0.74271897988509739</v>
      </c>
      <c r="E371" s="86">
        <v>0.79243538277205927</v>
      </c>
      <c r="F371" s="57">
        <v>0.81349205201211516</v>
      </c>
      <c r="G371" s="40">
        <v>0.82763815254821671</v>
      </c>
      <c r="H371" s="57">
        <v>0.86008794259193444</v>
      </c>
      <c r="I371" s="57">
        <v>0.8637103489622816</v>
      </c>
      <c r="J371" s="57">
        <v>0.87626673441755731</v>
      </c>
      <c r="K371" s="86">
        <v>0.84896681191224932</v>
      </c>
      <c r="L371" s="86">
        <v>0.85693128531814189</v>
      </c>
      <c r="M371" s="57">
        <v>0.8863545891448924</v>
      </c>
      <c r="N371" s="57">
        <v>0.9150127871358289</v>
      </c>
    </row>
    <row r="372" spans="1:14" ht="12.75" customHeight="1" x14ac:dyDescent="0.2">
      <c r="A372" s="56" t="s">
        <v>382</v>
      </c>
      <c r="B372" s="59">
        <v>0.47981948128546309</v>
      </c>
      <c r="C372" s="57">
        <v>0.49727804042168494</v>
      </c>
      <c r="D372" s="57">
        <v>0.49489472809369084</v>
      </c>
      <c r="E372" s="86">
        <v>0.6468436622580841</v>
      </c>
      <c r="F372" s="57">
        <v>0.82003287942451841</v>
      </c>
      <c r="G372" s="40">
        <v>0.95225049796246874</v>
      </c>
      <c r="H372" s="57">
        <v>0.84788864961838328</v>
      </c>
      <c r="I372" s="57">
        <v>0.85040097171337059</v>
      </c>
      <c r="J372" s="57">
        <v>0.85238811066310338</v>
      </c>
      <c r="K372" s="86">
        <v>0.97332058467574722</v>
      </c>
      <c r="L372" s="86">
        <v>0.9939692409102866</v>
      </c>
      <c r="M372" s="57">
        <v>0.95792763728134034</v>
      </c>
      <c r="N372" s="57">
        <v>0.94050185092097305</v>
      </c>
    </row>
    <row r="373" spans="1:14" ht="12.75" customHeight="1" x14ac:dyDescent="0.2">
      <c r="A373" s="56" t="s">
        <v>113</v>
      </c>
      <c r="B373" s="59">
        <v>0.78458942454047464</v>
      </c>
      <c r="C373" s="57">
        <v>0.7812867008087846</v>
      </c>
      <c r="D373" s="57">
        <v>0.78242696725805205</v>
      </c>
      <c r="E373" s="86">
        <v>0.79739276401451009</v>
      </c>
      <c r="F373" s="57">
        <v>0.76408432536007853</v>
      </c>
      <c r="G373" s="40">
        <v>0.83124077647227168</v>
      </c>
      <c r="H373" s="57">
        <v>0.81400365714957845</v>
      </c>
      <c r="I373" s="57">
        <v>0.80509774651160237</v>
      </c>
      <c r="J373" s="57">
        <v>0.73606570349865075</v>
      </c>
      <c r="K373" s="86">
        <v>0.75842355306628251</v>
      </c>
      <c r="L373" s="86">
        <v>0.83251289129101413</v>
      </c>
      <c r="M373" s="57">
        <v>0.93453473474029825</v>
      </c>
      <c r="N373" s="57">
        <v>0.95592418295171733</v>
      </c>
    </row>
    <row r="374" spans="1:14" ht="12.75" customHeight="1" x14ac:dyDescent="0.2">
      <c r="A374" s="56" t="s">
        <v>271</v>
      </c>
      <c r="B374" s="59">
        <v>0.73108094256480449</v>
      </c>
      <c r="C374" s="57">
        <v>0.68890174400381177</v>
      </c>
      <c r="D374" s="57">
        <v>0.8158535569450126</v>
      </c>
      <c r="E374" s="86">
        <v>0.71835662900832042</v>
      </c>
      <c r="F374" s="57">
        <v>0.72155077476992879</v>
      </c>
      <c r="G374" s="40">
        <v>0.63519437943683077</v>
      </c>
      <c r="H374" s="57">
        <v>0.68242085109410267</v>
      </c>
      <c r="I374" s="57">
        <v>0.77323315498090439</v>
      </c>
      <c r="J374" s="57">
        <v>0.81707959878556757</v>
      </c>
      <c r="K374" s="86">
        <v>0.89687694345892666</v>
      </c>
      <c r="L374" s="86">
        <v>0.91281360130234557</v>
      </c>
      <c r="M374" s="57">
        <v>0.95933404550299972</v>
      </c>
      <c r="N374" s="57">
        <v>0.97966702275149986</v>
      </c>
    </row>
    <row r="375" spans="1:14" ht="12.75" customHeight="1" x14ac:dyDescent="0.2">
      <c r="A375" s="56" t="s">
        <v>246</v>
      </c>
      <c r="B375" s="59">
        <v>0.69334922527204002</v>
      </c>
      <c r="C375" s="57">
        <v>0.71665735142933384</v>
      </c>
      <c r="D375" s="57">
        <v>0.76715019977642085</v>
      </c>
      <c r="E375" s="86">
        <v>0.77148430984090954</v>
      </c>
      <c r="F375" s="57">
        <v>0.76696903342987088</v>
      </c>
      <c r="G375" s="40">
        <v>0.82715534757733311</v>
      </c>
      <c r="H375" s="57">
        <v>0.85040569825483736</v>
      </c>
      <c r="I375" s="57">
        <v>0.82974144617909829</v>
      </c>
      <c r="J375" s="57">
        <v>0.81238905837153208</v>
      </c>
      <c r="K375" s="86">
        <v>0.75002857677087309</v>
      </c>
      <c r="L375" s="86">
        <v>0.77079582925614287</v>
      </c>
      <c r="M375" s="57">
        <v>0.78039212648360834</v>
      </c>
      <c r="N375" s="57">
        <v>0.85181888782904602</v>
      </c>
    </row>
    <row r="376" spans="1:14" ht="12.75" customHeight="1" x14ac:dyDescent="0.2">
      <c r="A376" s="56" t="s">
        <v>272</v>
      </c>
      <c r="B376" s="59">
        <v>0.63829279445792031</v>
      </c>
      <c r="C376" s="57">
        <v>0.62500647783443164</v>
      </c>
      <c r="D376" s="57">
        <v>0.64148436847717416</v>
      </c>
      <c r="E376" s="86">
        <v>0.69968417754724177</v>
      </c>
      <c r="F376" s="57">
        <v>0.72548844856496386</v>
      </c>
      <c r="G376" s="40">
        <v>0.76868152549004465</v>
      </c>
      <c r="H376" s="57">
        <v>0.75314621975183638</v>
      </c>
      <c r="I376" s="57">
        <v>0.83811838236083336</v>
      </c>
      <c r="J376" s="57">
        <v>0.77375883125631228</v>
      </c>
      <c r="K376" s="86">
        <v>0.76182024660827408</v>
      </c>
      <c r="L376" s="86">
        <v>0.76526702596619012</v>
      </c>
      <c r="M376" s="57">
        <v>0.82194913639972667</v>
      </c>
      <c r="N376" s="57">
        <v>0.8690732487684194</v>
      </c>
    </row>
    <row r="377" spans="1:14" ht="12.75" customHeight="1" x14ac:dyDescent="0.2">
      <c r="A377" s="56" t="s">
        <v>61</v>
      </c>
      <c r="B377" s="59">
        <v>0.60157547441957038</v>
      </c>
      <c r="C377" s="57">
        <v>0.6024672427590817</v>
      </c>
      <c r="D377" s="57">
        <v>0.49090636585977637</v>
      </c>
      <c r="E377" s="86">
        <v>0.68261323154631859</v>
      </c>
      <c r="F377" s="57">
        <v>0.74515467559991588</v>
      </c>
      <c r="G377" s="40">
        <v>0.77838060344307303</v>
      </c>
      <c r="H377" s="57">
        <v>0.71185572109799899</v>
      </c>
      <c r="I377" s="57">
        <v>0.72402166530543199</v>
      </c>
      <c r="J377" s="57">
        <v>0.77271466742264783</v>
      </c>
      <c r="K377" s="86">
        <v>0.81557829037942697</v>
      </c>
      <c r="L377" s="86">
        <v>0.84520881308675133</v>
      </c>
      <c r="M377" s="57">
        <v>0.89523726633222278</v>
      </c>
      <c r="N377" s="57">
        <v>0.9324363383062918</v>
      </c>
    </row>
    <row r="378" spans="1:14" ht="12.75" customHeight="1" x14ac:dyDescent="0.2">
      <c r="A378" s="56" t="s">
        <v>52</v>
      </c>
      <c r="B378" s="59">
        <v>0.65677812335520869</v>
      </c>
      <c r="C378" s="57">
        <v>0.679608851267826</v>
      </c>
      <c r="D378" s="57">
        <v>0.69944854412762358</v>
      </c>
      <c r="E378" s="86">
        <v>0.75037938090044509</v>
      </c>
      <c r="F378" s="57">
        <v>0.76072673563707305</v>
      </c>
      <c r="G378" s="40">
        <v>0.80146492848345374</v>
      </c>
      <c r="H378" s="57">
        <v>0.81440006954868494</v>
      </c>
      <c r="I378" s="57">
        <v>0.82926496809859851</v>
      </c>
      <c r="J378" s="57">
        <v>0.84170118688497519</v>
      </c>
      <c r="K378" s="86">
        <v>0.86120534742747734</v>
      </c>
      <c r="L378" s="86">
        <v>0.85486893176023626</v>
      </c>
      <c r="M378" s="57">
        <v>0.86399806412195268</v>
      </c>
      <c r="N378" s="57">
        <v>0.87837695401949389</v>
      </c>
    </row>
    <row r="379" spans="1:14" ht="12.75" customHeight="1" x14ac:dyDescent="0.2">
      <c r="A379" s="56" t="s">
        <v>206</v>
      </c>
      <c r="B379" s="59">
        <v>0.81816886734280703</v>
      </c>
      <c r="C379" s="57">
        <v>0.82503351196633623</v>
      </c>
      <c r="D379" s="57">
        <v>0.85994832049272485</v>
      </c>
      <c r="E379" s="86">
        <v>0.88663230368977286</v>
      </c>
      <c r="F379" s="57">
        <v>0.86249495613893468</v>
      </c>
      <c r="G379" s="40">
        <v>0.90847988860736983</v>
      </c>
      <c r="H379" s="57">
        <v>0.95580747152135004</v>
      </c>
      <c r="I379" s="57">
        <v>0.98575242077477176</v>
      </c>
      <c r="J379" s="57">
        <v>0.9449885742225046</v>
      </c>
      <c r="K379" s="86">
        <v>0.87280600425325316</v>
      </c>
      <c r="L379" s="86">
        <v>0.86039866074321558</v>
      </c>
      <c r="M379" s="57">
        <v>0.89000814413402185</v>
      </c>
      <c r="N379" s="57">
        <v>0.90310838667659132</v>
      </c>
    </row>
    <row r="380" spans="1:14" ht="12.75" customHeight="1" x14ac:dyDescent="0.2">
      <c r="A380" s="56" t="s">
        <v>235</v>
      </c>
      <c r="B380" s="59">
        <v>0.7865809931441633</v>
      </c>
      <c r="C380" s="57">
        <v>0.84334951943061354</v>
      </c>
      <c r="D380" s="57">
        <v>0.86713651532052516</v>
      </c>
      <c r="E380" s="86">
        <v>0.85217250288672519</v>
      </c>
      <c r="F380" s="57">
        <v>0.78798319362018487</v>
      </c>
      <c r="G380" s="40">
        <v>0.79203322634846562</v>
      </c>
      <c r="H380" s="57">
        <v>0.80896072513177353</v>
      </c>
      <c r="I380" s="57">
        <v>0.86528789236005466</v>
      </c>
      <c r="J380" s="57">
        <v>0.9007912080193643</v>
      </c>
      <c r="K380" s="86">
        <v>0.92431400454457224</v>
      </c>
      <c r="L380" s="86">
        <v>0.92728965547816256</v>
      </c>
      <c r="M380" s="57">
        <v>0.93278501602467678</v>
      </c>
      <c r="N380" s="57">
        <v>0.91857171386611913</v>
      </c>
    </row>
    <row r="381" spans="1:14" ht="12.75" customHeight="1" x14ac:dyDescent="0.2">
      <c r="A381" s="56" t="s">
        <v>328</v>
      </c>
      <c r="B381" s="59">
        <v>0.7514122025695692</v>
      </c>
      <c r="C381" s="57">
        <v>0.71239873508436335</v>
      </c>
      <c r="D381" s="57">
        <v>0.70422439885804922</v>
      </c>
      <c r="E381" s="86">
        <v>0.70941837083728465</v>
      </c>
      <c r="F381" s="57">
        <v>0.69230369555580717</v>
      </c>
      <c r="G381" s="40">
        <v>0.74856186455690621</v>
      </c>
      <c r="H381" s="57">
        <v>0.79726735482164823</v>
      </c>
      <c r="I381" s="57">
        <v>0.83514724798844575</v>
      </c>
      <c r="J381" s="57">
        <v>0.8518417590609304</v>
      </c>
      <c r="K381" s="86">
        <v>0.9186661699196893</v>
      </c>
      <c r="L381" s="86">
        <v>0.93117978052089656</v>
      </c>
      <c r="M381" s="57">
        <v>0.93564531784425176</v>
      </c>
      <c r="N381" s="57">
        <v>0.89928076189971007</v>
      </c>
    </row>
    <row r="382" spans="1:14" ht="12.75" customHeight="1" x14ac:dyDescent="0.2">
      <c r="A382" s="56" t="s">
        <v>44</v>
      </c>
      <c r="B382" s="59">
        <v>0.63549734325836515</v>
      </c>
      <c r="C382" s="57">
        <v>0.71447364397127533</v>
      </c>
      <c r="D382" s="57">
        <v>0.76646679103187443</v>
      </c>
      <c r="E382" s="86">
        <v>0.73314352229645374</v>
      </c>
      <c r="F382" s="57">
        <v>0.74844599380182009</v>
      </c>
      <c r="G382" s="40">
        <v>0.76779941674050978</v>
      </c>
      <c r="H382" s="57">
        <v>0.81587772769029454</v>
      </c>
      <c r="I382" s="57">
        <v>0.81129345602622049</v>
      </c>
      <c r="J382" s="57">
        <v>0.76982957431231058</v>
      </c>
      <c r="K382" s="86">
        <v>0.76488906984285043</v>
      </c>
      <c r="L382" s="86">
        <v>0.76659881106068639</v>
      </c>
      <c r="M382" s="57">
        <v>0.82142925868951266</v>
      </c>
      <c r="N382" s="57">
        <v>0.86646031579087823</v>
      </c>
    </row>
    <row r="383" spans="1:14" ht="12.75" customHeight="1" x14ac:dyDescent="0.2">
      <c r="A383" s="56" t="s">
        <v>410</v>
      </c>
      <c r="B383" s="59">
        <v>0.62696215620608564</v>
      </c>
      <c r="C383" s="57">
        <v>0.59324300101664962</v>
      </c>
      <c r="D383" s="57">
        <v>0.60734567355075131</v>
      </c>
      <c r="E383" s="86">
        <v>0.72394898291615262</v>
      </c>
      <c r="F383" s="57">
        <v>0.7669551946036709</v>
      </c>
      <c r="G383" s="40">
        <v>0.87105205649500672</v>
      </c>
      <c r="H383" s="57">
        <v>0.93624439392073644</v>
      </c>
      <c r="I383" s="57">
        <v>0.90111956690797435</v>
      </c>
      <c r="J383" s="57">
        <v>0.8601695808588844</v>
      </c>
      <c r="K383" s="86">
        <v>0.83444454193236794</v>
      </c>
      <c r="L383" s="86">
        <v>0.77432682096024996</v>
      </c>
      <c r="M383" s="57">
        <v>0.78527801009561049</v>
      </c>
      <c r="N383" s="57">
        <v>0.75063494541032905</v>
      </c>
    </row>
    <row r="384" spans="1:14" ht="12.75" customHeight="1" x14ac:dyDescent="0.2">
      <c r="A384" s="56" t="s">
        <v>321</v>
      </c>
      <c r="B384" s="59">
        <v>0.77737690095102019</v>
      </c>
      <c r="C384" s="57">
        <v>0.77440037302639597</v>
      </c>
      <c r="D384" s="57">
        <v>0.77741535750124235</v>
      </c>
      <c r="E384" s="86">
        <v>0.79177192232103211</v>
      </c>
      <c r="F384" s="57">
        <v>0.81051881551055738</v>
      </c>
      <c r="G384" s="40">
        <v>0.84979564054837819</v>
      </c>
      <c r="H384" s="57">
        <v>0.87895661274103809</v>
      </c>
      <c r="I384" s="57">
        <v>0.90538241703216293</v>
      </c>
      <c r="J384" s="57">
        <v>0.89709014724539216</v>
      </c>
      <c r="K384" s="86">
        <v>0.89637416427820238</v>
      </c>
      <c r="L384" s="86">
        <v>0.89647255804339976</v>
      </c>
      <c r="M384" s="57">
        <v>0.91049346507740825</v>
      </c>
      <c r="N384" s="57">
        <v>0.89017036239759817</v>
      </c>
    </row>
    <row r="385" spans="1:14" ht="12.75" customHeight="1" x14ac:dyDescent="0.2">
      <c r="A385" s="56" t="s">
        <v>170</v>
      </c>
      <c r="B385" s="59">
        <v>0.86239227111666616</v>
      </c>
      <c r="C385" s="57">
        <v>0.83102464142084564</v>
      </c>
      <c r="D385" s="57">
        <v>0.79322557077284017</v>
      </c>
      <c r="E385" s="86">
        <v>0.77177661342985715</v>
      </c>
      <c r="F385" s="57">
        <v>0.78605991345314363</v>
      </c>
      <c r="G385" s="40">
        <v>0.88946871345861156</v>
      </c>
      <c r="H385" s="57">
        <v>0.87595397784658191</v>
      </c>
      <c r="I385" s="57">
        <v>0.85659262650419743</v>
      </c>
      <c r="J385" s="57">
        <v>0.83632866270086936</v>
      </c>
      <c r="K385" s="86">
        <v>0.83677235748917012</v>
      </c>
      <c r="L385" s="86">
        <v>0.88281108300607725</v>
      </c>
      <c r="M385" s="57">
        <v>0.88849129555647055</v>
      </c>
      <c r="N385" s="57">
        <v>0.92510997484941271</v>
      </c>
    </row>
    <row r="386" spans="1:14" ht="12.75" customHeight="1" x14ac:dyDescent="0.2">
      <c r="A386" s="56" t="s">
        <v>349</v>
      </c>
      <c r="B386" s="59">
        <v>0.68132616322351958</v>
      </c>
      <c r="C386" s="57">
        <v>0.74524384020931533</v>
      </c>
      <c r="D386" s="57">
        <v>0.81677299807110659</v>
      </c>
      <c r="E386" s="86">
        <v>0.88961401467623213</v>
      </c>
      <c r="F386" s="57">
        <v>0.94922567489444043</v>
      </c>
      <c r="G386" s="40">
        <v>0.9451590976914529</v>
      </c>
      <c r="H386" s="57">
        <v>0.94402333596402332</v>
      </c>
      <c r="I386" s="57">
        <v>0.94249770524326715</v>
      </c>
      <c r="J386" s="57">
        <v>0.95546067484161556</v>
      </c>
      <c r="K386" s="86">
        <v>0.96591508876077858</v>
      </c>
      <c r="L386" s="86">
        <v>0.91567052310652608</v>
      </c>
      <c r="M386" s="57">
        <v>0.88767609280843507</v>
      </c>
      <c r="N386" s="57">
        <v>0.8337092085988117</v>
      </c>
    </row>
    <row r="387" spans="1:14" ht="12.75" customHeight="1" x14ac:dyDescent="0.2">
      <c r="A387" s="56" t="s">
        <v>404</v>
      </c>
      <c r="B387" s="59">
        <v>0.32213180186891927</v>
      </c>
      <c r="C387" s="57">
        <v>0.36805253337991939</v>
      </c>
      <c r="D387" s="57">
        <v>0.34729943115722622</v>
      </c>
      <c r="E387" s="86">
        <v>0.46348271918454326</v>
      </c>
      <c r="F387" s="57">
        <v>0.60327484272842458</v>
      </c>
      <c r="G387" s="40">
        <v>0.82165875042768077</v>
      </c>
      <c r="H387" s="57">
        <v>0.82338771777250386</v>
      </c>
      <c r="I387" s="57">
        <v>0.79777560169429862</v>
      </c>
      <c r="J387" s="57">
        <v>0.75268960794647199</v>
      </c>
      <c r="K387" s="86">
        <v>0.71818906273150329</v>
      </c>
      <c r="L387" s="86">
        <v>0.67618158166688003</v>
      </c>
      <c r="M387" s="57">
        <v>0.70522550502035763</v>
      </c>
      <c r="N387" s="57">
        <v>0.68628463134547435</v>
      </c>
    </row>
    <row r="388" spans="1:14" ht="12.75" customHeight="1" x14ac:dyDescent="0.2">
      <c r="A388" s="56" t="s">
        <v>247</v>
      </c>
      <c r="B388" s="59">
        <v>0.84926891013594108</v>
      </c>
      <c r="C388" s="57">
        <v>0.73643944730893773</v>
      </c>
      <c r="D388" s="57">
        <v>0.79709649212631295</v>
      </c>
      <c r="E388" s="86">
        <v>0.79785954664206271</v>
      </c>
      <c r="F388" s="57">
        <v>0.89109594587459162</v>
      </c>
      <c r="G388" s="40">
        <v>0.90142752332252829</v>
      </c>
      <c r="H388" s="57">
        <v>0.91355589149981054</v>
      </c>
      <c r="I388" s="57">
        <v>0.92517660507998134</v>
      </c>
      <c r="J388" s="57">
        <v>0.86470159094973587</v>
      </c>
      <c r="K388" s="86">
        <v>0.84503321452839675</v>
      </c>
      <c r="L388" s="86">
        <v>0.81857269142217959</v>
      </c>
      <c r="M388" s="57">
        <v>0.86706316322248167</v>
      </c>
      <c r="N388" s="57">
        <v>0.83404097565884461</v>
      </c>
    </row>
    <row r="389" spans="1:14" ht="12.75" customHeight="1" x14ac:dyDescent="0.2">
      <c r="A389" s="56" t="s">
        <v>337</v>
      </c>
      <c r="B389" s="59">
        <v>0.79472451232729613</v>
      </c>
      <c r="C389" s="57">
        <v>0.82598420685030527</v>
      </c>
      <c r="D389" s="57">
        <v>0.81264254966670801</v>
      </c>
      <c r="E389" s="86">
        <v>0.80365761451014295</v>
      </c>
      <c r="F389" s="57">
        <v>0.80973521159714001</v>
      </c>
      <c r="G389" s="40">
        <v>0.86271912697720998</v>
      </c>
      <c r="H389" s="57">
        <v>0.88013088906405024</v>
      </c>
      <c r="I389" s="57">
        <v>0.94096541773184494</v>
      </c>
      <c r="J389" s="57">
        <v>0.91763850240626399</v>
      </c>
      <c r="K389" s="86">
        <v>0.93024529631895458</v>
      </c>
      <c r="L389" s="86">
        <v>0.8783212408915464</v>
      </c>
      <c r="M389" s="57">
        <v>0.8755525197757893</v>
      </c>
      <c r="N389" s="57">
        <v>0.83899010101828086</v>
      </c>
    </row>
    <row r="390" spans="1:14" ht="12.75" customHeight="1" x14ac:dyDescent="0.2">
      <c r="A390" s="56" t="s">
        <v>70</v>
      </c>
      <c r="B390" s="59">
        <v>0.65585507175884195</v>
      </c>
      <c r="C390" s="57">
        <v>0.64091656237087591</v>
      </c>
      <c r="D390" s="57">
        <v>0.67801847705227436</v>
      </c>
      <c r="E390" s="86">
        <v>0.67604901121256999</v>
      </c>
      <c r="F390" s="57">
        <v>0.68214119844557686</v>
      </c>
      <c r="G390" s="40">
        <v>0.73456008638333647</v>
      </c>
      <c r="H390" s="57">
        <v>0.71414741620769784</v>
      </c>
      <c r="I390" s="57">
        <v>0.80382541255410855</v>
      </c>
      <c r="J390" s="57">
        <v>0.82277311308486734</v>
      </c>
      <c r="K390" s="86">
        <v>0.9261685715886071</v>
      </c>
      <c r="L390" s="86">
        <v>0.90696586712411376</v>
      </c>
      <c r="M390" s="57">
        <v>0.90119069059831192</v>
      </c>
      <c r="N390" s="57">
        <v>0.89347606998774187</v>
      </c>
    </row>
    <row r="391" spans="1:14" ht="12.75" customHeight="1" x14ac:dyDescent="0.2">
      <c r="A391" s="56" t="s">
        <v>259</v>
      </c>
      <c r="B391" s="59">
        <v>0.72953046353241613</v>
      </c>
      <c r="C391" s="57">
        <v>0.81601095346168062</v>
      </c>
      <c r="D391" s="57">
        <v>0.88116364655169133</v>
      </c>
      <c r="E391" s="86">
        <v>0.87955058491056126</v>
      </c>
      <c r="F391" s="57">
        <v>0.86705265222599603</v>
      </c>
      <c r="G391" s="40">
        <v>0.89950029578481683</v>
      </c>
      <c r="H391" s="57">
        <v>0.88721213739697158</v>
      </c>
      <c r="I391" s="57">
        <v>0.90045402622430648</v>
      </c>
      <c r="J391" s="57">
        <v>0.91717808771398579</v>
      </c>
      <c r="K391" s="86">
        <v>0.94221913088245568</v>
      </c>
      <c r="L391" s="86">
        <v>0.93689284915256665</v>
      </c>
      <c r="M391" s="57">
        <v>0.90581308839331764</v>
      </c>
      <c r="N391" s="57">
        <v>0.91120491010742188</v>
      </c>
    </row>
    <row r="392" spans="1:14" ht="12.75" customHeight="1" x14ac:dyDescent="0.2">
      <c r="A392" s="56" t="s">
        <v>248</v>
      </c>
      <c r="B392" s="59">
        <v>0.65902417855821038</v>
      </c>
      <c r="C392" s="57">
        <v>0.69441713160650753</v>
      </c>
      <c r="D392" s="57">
        <v>0.69286995299219634</v>
      </c>
      <c r="E392" s="86">
        <v>0.65781488100740304</v>
      </c>
      <c r="F392" s="57">
        <v>0.64475679737548452</v>
      </c>
      <c r="G392" s="40">
        <v>0.66239051672767957</v>
      </c>
      <c r="H392" s="57">
        <v>0.68028518613522182</v>
      </c>
      <c r="I392" s="57">
        <v>0.74145121709829453</v>
      </c>
      <c r="J392" s="57">
        <v>0.80079920289254203</v>
      </c>
      <c r="K392" s="86">
        <v>0.84626531890053425</v>
      </c>
      <c r="L392" s="86">
        <v>0.84938371506042942</v>
      </c>
      <c r="M392" s="57">
        <v>0.86620579513216123</v>
      </c>
      <c r="N392" s="57">
        <v>0.88068940106016547</v>
      </c>
    </row>
    <row r="393" spans="1:14" ht="12.75" customHeight="1" x14ac:dyDescent="0.2">
      <c r="A393" s="56" t="s">
        <v>32</v>
      </c>
      <c r="B393" s="59">
        <v>0.80776717888096172</v>
      </c>
      <c r="C393" s="57">
        <v>0.80840585203070725</v>
      </c>
      <c r="D393" s="57">
        <v>0.79879605951907851</v>
      </c>
      <c r="E393" s="86">
        <v>0.80302127623652486</v>
      </c>
      <c r="F393" s="57">
        <v>0.79829332939923547</v>
      </c>
      <c r="G393" s="40">
        <v>0.81609739288732663</v>
      </c>
      <c r="H393" s="57">
        <v>0.83913783238488515</v>
      </c>
      <c r="I393" s="57">
        <v>0.85657404707389073</v>
      </c>
      <c r="J393" s="57">
        <v>0.8667443008250052</v>
      </c>
      <c r="K393" s="86">
        <v>0.86866258217257686</v>
      </c>
      <c r="L393" s="86">
        <v>0.88110611276413797</v>
      </c>
      <c r="M393" s="57">
        <v>0.89910343565273143</v>
      </c>
      <c r="N393" s="57">
        <v>0.8828666280842814</v>
      </c>
    </row>
    <row r="394" spans="1:14" ht="12.75" customHeight="1" x14ac:dyDescent="0.2">
      <c r="A394" s="56" t="s">
        <v>236</v>
      </c>
      <c r="B394" s="59">
        <v>0.85781152331401378</v>
      </c>
      <c r="C394" s="57">
        <v>0.88449383627853606</v>
      </c>
      <c r="D394" s="57">
        <v>0.55168704741436225</v>
      </c>
      <c r="E394" s="86">
        <v>0.57607619025351364</v>
      </c>
      <c r="F394" s="57">
        <v>0.55750019383190141</v>
      </c>
      <c r="G394" s="40">
        <v>0.83930702562660386</v>
      </c>
      <c r="H394" s="57">
        <v>0.80168769300528397</v>
      </c>
      <c r="I394" s="57">
        <v>0.89431728856742454</v>
      </c>
      <c r="J394" s="57">
        <v>0.93885664970261562</v>
      </c>
      <c r="K394" s="86">
        <v>0.85576524061030523</v>
      </c>
      <c r="L394" s="86">
        <v>0.84829659027010829</v>
      </c>
      <c r="M394" s="57">
        <v>0.84144184657325927</v>
      </c>
      <c r="N394" s="57">
        <v>0.97042242111812593</v>
      </c>
    </row>
    <row r="395" spans="1:14" ht="12.75" customHeight="1" x14ac:dyDescent="0.2">
      <c r="A395" s="56" t="s">
        <v>129</v>
      </c>
      <c r="B395" s="59">
        <v>0.77960078604200378</v>
      </c>
      <c r="C395" s="57">
        <v>0.7708077059008076</v>
      </c>
      <c r="D395" s="57">
        <v>0.71584122193451272</v>
      </c>
      <c r="E395" s="86">
        <v>0.73661839551663333</v>
      </c>
      <c r="F395" s="57">
        <v>0.80914029930126252</v>
      </c>
      <c r="G395" s="40">
        <v>0.82037710302633116</v>
      </c>
      <c r="H395" s="57">
        <v>0.81695698436608177</v>
      </c>
      <c r="I395" s="57">
        <v>0.75103694570372426</v>
      </c>
      <c r="J395" s="57">
        <v>0.82728498630182123</v>
      </c>
      <c r="K395" s="86">
        <v>0.7669122606255977</v>
      </c>
      <c r="L395" s="86">
        <v>0.85021880318892562</v>
      </c>
      <c r="M395" s="57">
        <v>0.84779987282934854</v>
      </c>
      <c r="N395" s="57">
        <v>0.93392341914131849</v>
      </c>
    </row>
    <row r="396" spans="1:14" ht="12.75" customHeight="1" x14ac:dyDescent="0.2">
      <c r="A396" s="56" t="s">
        <v>40</v>
      </c>
      <c r="B396" s="59">
        <v>0.34275103083294428</v>
      </c>
      <c r="C396" s="57">
        <v>0.42567654697463125</v>
      </c>
      <c r="D396" s="57">
        <v>0.59465583016512691</v>
      </c>
      <c r="E396" s="86">
        <v>0.82226037400244134</v>
      </c>
      <c r="F396" s="57">
        <v>0.76223355240806556</v>
      </c>
      <c r="G396" s="40">
        <v>0.78417332599929146</v>
      </c>
      <c r="H396" s="57">
        <v>0.80711086318856751</v>
      </c>
      <c r="I396" s="57">
        <v>0.88945870393108517</v>
      </c>
      <c r="J396" s="57">
        <v>0.84041862390769151</v>
      </c>
      <c r="K396" s="86">
        <v>0.84672470976643188</v>
      </c>
      <c r="L396" s="86">
        <v>0.76660478865799331</v>
      </c>
      <c r="M396" s="57">
        <v>0.76062971464490392</v>
      </c>
      <c r="N396" s="57">
        <v>0.7652676495255738</v>
      </c>
    </row>
    <row r="397" spans="1:14" ht="12.75" customHeight="1" x14ac:dyDescent="0.2">
      <c r="A397" s="56" t="s">
        <v>322</v>
      </c>
      <c r="B397" s="59">
        <v>0.78116964294013214</v>
      </c>
      <c r="C397" s="57">
        <v>0.80768665119836502</v>
      </c>
      <c r="D397" s="57">
        <v>0.83049141529267256</v>
      </c>
      <c r="E397" s="86">
        <v>0.86179758353684344</v>
      </c>
      <c r="F397" s="57">
        <v>0.90280916290930469</v>
      </c>
      <c r="G397" s="40">
        <v>0.90549866506984777</v>
      </c>
      <c r="H397" s="57">
        <v>0.85010556101565971</v>
      </c>
      <c r="I397" s="57">
        <v>0.85104196384101505</v>
      </c>
      <c r="J397" s="57">
        <v>0.83444239824782873</v>
      </c>
      <c r="K397" s="86">
        <v>0.91111964346421281</v>
      </c>
      <c r="L397" s="86">
        <v>0.91852769096849496</v>
      </c>
      <c r="M397" s="57">
        <v>0.99121917209928367</v>
      </c>
      <c r="N397" s="57">
        <v>0.98393975528987765</v>
      </c>
    </row>
    <row r="398" spans="1:14" ht="12.75" customHeight="1" x14ac:dyDescent="0.2">
      <c r="A398" s="56" t="s">
        <v>363</v>
      </c>
      <c r="B398" s="59">
        <v>0.77470060361098947</v>
      </c>
      <c r="C398" s="57">
        <v>0.87010086691535304</v>
      </c>
      <c r="D398" s="57">
        <v>0.896483548819628</v>
      </c>
      <c r="E398" s="86">
        <v>0.91737631514371165</v>
      </c>
      <c r="F398" s="57">
        <v>0.88411637114300856</v>
      </c>
      <c r="G398" s="40">
        <v>0.84888093954695132</v>
      </c>
      <c r="H398" s="57">
        <v>0.87891797311489872</v>
      </c>
      <c r="I398" s="57">
        <v>0.88816603744305767</v>
      </c>
      <c r="J398" s="57">
        <v>0.93535531753612144</v>
      </c>
      <c r="K398" s="86">
        <v>0.8928767513003284</v>
      </c>
      <c r="L398" s="86">
        <v>0.88943514932465317</v>
      </c>
      <c r="M398" s="57">
        <v>0.87009484189437425</v>
      </c>
      <c r="N398" s="57">
        <v>0.91073625348792309</v>
      </c>
    </row>
    <row r="399" spans="1:14" ht="12.75" customHeight="1" x14ac:dyDescent="0.2">
      <c r="A399" s="56" t="s">
        <v>7069</v>
      </c>
      <c r="B399" s="59">
        <v>0.64698797978939748</v>
      </c>
      <c r="C399" s="57">
        <v>0.65395951668049779</v>
      </c>
      <c r="D399" s="57">
        <v>0.71494343791310067</v>
      </c>
      <c r="E399" s="86">
        <v>0.64277904087534543</v>
      </c>
      <c r="F399" s="57">
        <v>0.92784680521527074</v>
      </c>
      <c r="G399" s="40">
        <v>0.87946506047935713</v>
      </c>
      <c r="H399" s="57">
        <v>0.9467449609171078</v>
      </c>
      <c r="I399" s="57">
        <v>0.9467449609171078</v>
      </c>
      <c r="J399" s="57">
        <v>1</v>
      </c>
      <c r="K399" s="86">
        <v>0.99399814716934964</v>
      </c>
      <c r="L399" s="86">
        <v>0.91321087146863089</v>
      </c>
      <c r="M399" s="57">
        <v>0.88908275456620522</v>
      </c>
      <c r="N399" s="57">
        <v>0.89167474354492615</v>
      </c>
    </row>
    <row r="400" spans="1:14" ht="12.75" customHeight="1" x14ac:dyDescent="0.2">
      <c r="A400" s="56" t="s">
        <v>390</v>
      </c>
      <c r="B400" s="59">
        <v>0.78515012308568954</v>
      </c>
      <c r="C400" s="57">
        <v>0.67260366958956819</v>
      </c>
      <c r="D400" s="57">
        <v>0.68713352412354001</v>
      </c>
      <c r="E400" s="86">
        <v>0.62179374572843005</v>
      </c>
      <c r="F400" s="57">
        <v>0.70419134094543911</v>
      </c>
      <c r="G400" s="40">
        <v>0.74347214938002038</v>
      </c>
      <c r="H400" s="57">
        <v>0.79216799311156449</v>
      </c>
      <c r="I400" s="57">
        <v>0.76942201098560015</v>
      </c>
      <c r="J400" s="57">
        <v>0.7377502319921615</v>
      </c>
      <c r="K400" s="86">
        <v>0.75384763932228382</v>
      </c>
      <c r="L400" s="86">
        <v>0.76948079380292989</v>
      </c>
      <c r="M400" s="57">
        <v>0.82141831147355804</v>
      </c>
      <c r="N400" s="57">
        <v>0.85300587011913775</v>
      </c>
    </row>
    <row r="401" spans="1:14" ht="12.75" customHeight="1" x14ac:dyDescent="0.2">
      <c r="A401" s="56" t="s">
        <v>41</v>
      </c>
      <c r="B401" s="59">
        <v>0.65232530807182787</v>
      </c>
      <c r="C401" s="57">
        <v>0.63841223419708271</v>
      </c>
      <c r="D401" s="57">
        <v>0.66854606963797547</v>
      </c>
      <c r="E401" s="86">
        <v>0.69841254849530332</v>
      </c>
      <c r="F401" s="57">
        <v>0.73546125944633089</v>
      </c>
      <c r="G401" s="40">
        <v>0.73936412137165586</v>
      </c>
      <c r="H401" s="57">
        <v>0.74672460360413584</v>
      </c>
      <c r="I401" s="57">
        <v>0.79563148441650045</v>
      </c>
      <c r="J401" s="57">
        <v>0.82996194435035464</v>
      </c>
      <c r="K401" s="86">
        <v>0.88328311738216858</v>
      </c>
      <c r="L401" s="86">
        <v>0.9135197463036383</v>
      </c>
      <c r="M401" s="57">
        <v>0.92297143225133238</v>
      </c>
      <c r="N401" s="57">
        <v>0.90756037339865647</v>
      </c>
    </row>
    <row r="402" spans="1:14" ht="12.75" customHeight="1" x14ac:dyDescent="0.2">
      <c r="A402" s="64" t="s">
        <v>284</v>
      </c>
      <c r="B402" s="85">
        <v>0.60227643959020283</v>
      </c>
      <c r="C402" s="61">
        <v>0.58939816066823891</v>
      </c>
      <c r="D402" s="61">
        <v>0.57943737140277085</v>
      </c>
      <c r="E402" s="83">
        <v>0.67335856358463053</v>
      </c>
      <c r="F402" s="61">
        <v>0.58708216873092633</v>
      </c>
      <c r="G402" s="84">
        <v>0.60008604629520157</v>
      </c>
      <c r="H402" s="61">
        <v>0.61616040413956752</v>
      </c>
      <c r="I402" s="61">
        <v>0.75517947415292708</v>
      </c>
      <c r="J402" s="61">
        <v>0.75937077399035557</v>
      </c>
      <c r="K402" s="83">
        <v>0.76877091340905057</v>
      </c>
      <c r="L402" s="83">
        <v>0.7161046453335479</v>
      </c>
      <c r="M402" s="61">
        <v>0.71262666580976142</v>
      </c>
      <c r="N402" s="57">
        <v>0.72216079644972631</v>
      </c>
    </row>
    <row r="403" spans="1:14" ht="12.75" customHeight="1" x14ac:dyDescent="0.2">
      <c r="E403" s="57"/>
      <c r="F403" s="57"/>
      <c r="G403" s="57"/>
      <c r="J403" s="57"/>
      <c r="L403" s="57"/>
    </row>
    <row r="404" spans="1:14" ht="12.75" customHeight="1" x14ac:dyDescent="0.2"/>
    <row r="405" spans="1:14" ht="12.75" customHeight="1" x14ac:dyDescent="0.2"/>
    <row r="406" spans="1:14" ht="12.75" customHeight="1" x14ac:dyDescent="0.2"/>
    <row r="407" spans="1:14" ht="12.75" customHeight="1" x14ac:dyDescent="0.2"/>
    <row r="408" spans="1:14" ht="12.75" customHeight="1" x14ac:dyDescent="0.2"/>
    <row r="409" spans="1:14" ht="12.75" customHeight="1" x14ac:dyDescent="0.2"/>
    <row r="410" spans="1:14" ht="12.75" customHeight="1" x14ac:dyDescent="0.2"/>
    <row r="411" spans="1:14" ht="12.75" customHeight="1" x14ac:dyDescent="0.2"/>
    <row r="412" spans="1:14" ht="12.75" customHeight="1" x14ac:dyDescent="0.2"/>
    <row r="413" spans="1:14" ht="12.75" customHeight="1" x14ac:dyDescent="0.2"/>
    <row r="414" spans="1:14" ht="12.75" customHeight="1" x14ac:dyDescent="0.2"/>
    <row r="415" spans="1:14" ht="12.75" customHeight="1" x14ac:dyDescent="0.2"/>
    <row r="416" spans="1:14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</sheetData>
  <sheetProtection selectLockedCells="1" selectUnlockedCells="1"/>
  <mergeCells count="2">
    <mergeCell ref="A2:A3"/>
    <mergeCell ref="B2:N2"/>
  </mergeCells>
  <printOptions horizontalCentered="1"/>
  <pageMargins left="0.62992125984251968" right="0.6692913385826772" top="0.98425196850393704" bottom="0.98425196850393704" header="0.51181102362204722" footer="0.51181102362204722"/>
  <pageSetup paperSize="9" scale="61" firstPageNumber="0" orientation="portrait" r:id="rId1"/>
  <headerFooter alignWithMargins="0"/>
  <rowBreaks count="4" manualBreakCount="4">
    <brk id="86" max="9" man="1"/>
    <brk id="169" max="9" man="1"/>
    <brk id="252" max="9" man="1"/>
    <brk id="33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7</vt:i4>
      </vt:variant>
    </vt:vector>
  </HeadingPairs>
  <TitlesOfParts>
    <vt:vector size="16" baseType="lpstr">
      <vt:lpstr>Dados Gerais Resumo Por Área</vt:lpstr>
      <vt:lpstr>Dados Gerais Resumo PorSR</vt:lpstr>
      <vt:lpstr>Dados Gerais por Municipio</vt:lpstr>
      <vt:lpstr>Fator Tráfego (DER-PR)</vt:lpstr>
      <vt:lpstr>IDHM (IBGE2022)</vt:lpstr>
      <vt:lpstr> IPDM Indice Geral (IPARDES-PR)</vt:lpstr>
      <vt:lpstr>IPDM_renda  (IPARDES-PR)</vt:lpstr>
      <vt:lpstr>IPDM_educação  (IPARDES-PR)</vt:lpstr>
      <vt:lpstr>IPDM_saúde   (IPARDES-PR)</vt:lpstr>
      <vt:lpstr>'IPDM_educação  (IPARDES-PR)'!Area_de_impressao</vt:lpstr>
      <vt:lpstr>'IPDM_renda  (IPARDES-PR)'!Area_de_impressao</vt:lpstr>
      <vt:lpstr>'IPDM_saúde   (IPARDES-PR)'!Area_de_impressao</vt:lpstr>
      <vt:lpstr>Excel_BuiltIn_Print_Titles_2</vt:lpstr>
      <vt:lpstr>'IPDM_educação  (IPARDES-PR)'!Titulos_de_impressao</vt:lpstr>
      <vt:lpstr>'IPDM_renda  (IPARDES-PR)'!Titulos_de_impressao</vt:lpstr>
      <vt:lpstr>'IPDM_saúde   (IPARDES-PR)'!Titulos_de_impressao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ZOCCO-DS037</dc:creator>
  <cp:lastModifiedBy>Rafael Rodrigues Teixeira</cp:lastModifiedBy>
  <cp:lastPrinted>2024-04-26T19:48:00Z</cp:lastPrinted>
  <dcterms:created xsi:type="dcterms:W3CDTF">2024-04-26T18:56:53Z</dcterms:created>
  <dcterms:modified xsi:type="dcterms:W3CDTF">2026-07-03T21:23:12Z</dcterms:modified>
</cp:coreProperties>
</file>