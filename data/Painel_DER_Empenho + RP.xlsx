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iza\Downloads\Painel - DER\Painel - DER\data\"/>
    </mc:Choice>
  </mc:AlternateContent>
  <xr:revisionPtr revIDLastSave="0" documentId="13_ncr:1_{A3CD0B0D-E46E-4E85-9FD8-A60FA276BD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umo Geral" sheetId="1" r:id="rId1"/>
    <sheet name="Detalhe 2024" sheetId="2" r:id="rId2"/>
    <sheet name="Detalhe 2025" sheetId="3" r:id="rId3"/>
    <sheet name="Resumo por Regio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4" l="1"/>
  <c r="F9" i="4"/>
  <c r="C9" i="4"/>
  <c r="B9" i="4"/>
  <c r="G8" i="4"/>
  <c r="F8" i="4"/>
  <c r="C8" i="4"/>
  <c r="B8" i="4"/>
  <c r="G7" i="4"/>
  <c r="F7" i="4"/>
  <c r="C7" i="4"/>
  <c r="B7" i="4"/>
  <c r="G6" i="4"/>
  <c r="F6" i="4"/>
  <c r="C6" i="4"/>
  <c r="B6" i="4"/>
  <c r="G5" i="4"/>
  <c r="G10" i="4" s="1"/>
  <c r="C6" i="1" s="1"/>
  <c r="F5" i="4"/>
  <c r="F10" i="4" s="1"/>
  <c r="B6" i="1" s="1"/>
  <c r="C5" i="4"/>
  <c r="C10" i="4" s="1"/>
  <c r="C5" i="1" s="1"/>
  <c r="B5" i="4"/>
  <c r="B10" i="4" s="1"/>
  <c r="B5" i="1" s="1"/>
  <c r="E54" i="3"/>
  <c r="D53" i="3"/>
  <c r="F52" i="3"/>
  <c r="G52" i="3" s="1"/>
  <c r="E52" i="3"/>
  <c r="D52" i="3"/>
  <c r="G50" i="3"/>
  <c r="F50" i="3"/>
  <c r="G49" i="3"/>
  <c r="F49" i="3"/>
  <c r="F48" i="3"/>
  <c r="G48" i="3" s="1"/>
  <c r="F47" i="3"/>
  <c r="G47" i="3" s="1"/>
  <c r="F46" i="3"/>
  <c r="G46" i="3" s="1"/>
  <c r="F45" i="3"/>
  <c r="G45" i="3" s="1"/>
  <c r="G44" i="3"/>
  <c r="F44" i="3"/>
  <c r="G43" i="3"/>
  <c r="F43" i="3"/>
  <c r="G42" i="3"/>
  <c r="F42" i="3"/>
  <c r="F41" i="3"/>
  <c r="G41" i="3" s="1"/>
  <c r="F40" i="3"/>
  <c r="G40" i="3" s="1"/>
  <c r="F39" i="3"/>
  <c r="G39" i="3" s="1"/>
  <c r="G38" i="3"/>
  <c r="F38" i="3"/>
  <c r="G37" i="3"/>
  <c r="F37" i="3"/>
  <c r="F36" i="3"/>
  <c r="G36" i="3" s="1"/>
  <c r="F35" i="3"/>
  <c r="G35" i="3" s="1"/>
  <c r="G34" i="3"/>
  <c r="F34" i="3"/>
  <c r="F33" i="3"/>
  <c r="G33" i="3" s="1"/>
  <c r="G32" i="3"/>
  <c r="F32" i="3"/>
  <c r="G31" i="3"/>
  <c r="F31" i="3"/>
  <c r="F30" i="3"/>
  <c r="G30" i="3" s="1"/>
  <c r="F29" i="3"/>
  <c r="G29" i="3" s="1"/>
  <c r="F28" i="3"/>
  <c r="G28" i="3" s="1"/>
  <c r="F27" i="3"/>
  <c r="G27" i="3" s="1"/>
  <c r="G26" i="3"/>
  <c r="F26" i="3"/>
  <c r="G25" i="3"/>
  <c r="F25" i="3"/>
  <c r="F24" i="3"/>
  <c r="G24" i="3" s="1"/>
  <c r="F23" i="3"/>
  <c r="G23" i="3" s="1"/>
  <c r="F22" i="3"/>
  <c r="G22" i="3" s="1"/>
  <c r="F21" i="3"/>
  <c r="G21" i="3" s="1"/>
  <c r="G20" i="3"/>
  <c r="F20" i="3"/>
  <c r="G19" i="3"/>
  <c r="F19" i="3"/>
  <c r="F18" i="3"/>
  <c r="G18" i="3" s="1"/>
  <c r="F17" i="3"/>
  <c r="G17" i="3" s="1"/>
  <c r="F16" i="3"/>
  <c r="G16" i="3" s="1"/>
  <c r="F15" i="3"/>
  <c r="G15" i="3" s="1"/>
  <c r="G14" i="3"/>
  <c r="F14" i="3"/>
  <c r="G13" i="3"/>
  <c r="F13" i="3"/>
  <c r="F12" i="3"/>
  <c r="G12" i="3" s="1"/>
  <c r="F11" i="3"/>
  <c r="G11" i="3" s="1"/>
  <c r="F10" i="3"/>
  <c r="G10" i="3" s="1"/>
  <c r="F9" i="3"/>
  <c r="G9" i="3" s="1"/>
  <c r="G8" i="3"/>
  <c r="F8" i="3"/>
  <c r="G7" i="3"/>
  <c r="F7" i="3"/>
  <c r="F6" i="3"/>
  <c r="G6" i="3" s="1"/>
  <c r="F5" i="3"/>
  <c r="G5" i="3" s="1"/>
  <c r="E61" i="2"/>
  <c r="D60" i="2"/>
  <c r="F59" i="2"/>
  <c r="G59" i="2" s="1"/>
  <c r="E59" i="2"/>
  <c r="D59" i="2"/>
  <c r="G57" i="2"/>
  <c r="F57" i="2"/>
  <c r="F56" i="2"/>
  <c r="G56" i="2" s="1"/>
  <c r="F55" i="2"/>
  <c r="G55" i="2" s="1"/>
  <c r="F54" i="2"/>
  <c r="G54" i="2" s="1"/>
  <c r="G53" i="2"/>
  <c r="F53" i="2"/>
  <c r="F52" i="2"/>
  <c r="G52" i="2" s="1"/>
  <c r="G51" i="2"/>
  <c r="F51" i="2"/>
  <c r="G50" i="2"/>
  <c r="F50" i="2"/>
  <c r="F49" i="2"/>
  <c r="G49" i="2" s="1"/>
  <c r="F48" i="2"/>
  <c r="G48" i="2" s="1"/>
  <c r="F47" i="2"/>
  <c r="G47" i="2" s="1"/>
  <c r="F46" i="2"/>
  <c r="G46" i="2" s="1"/>
  <c r="G45" i="2"/>
  <c r="F45" i="2"/>
  <c r="F44" i="2"/>
  <c r="G44" i="2" s="1"/>
  <c r="F43" i="2"/>
  <c r="G43" i="2" s="1"/>
  <c r="F42" i="2"/>
  <c r="G42" i="2" s="1"/>
  <c r="F41" i="2"/>
  <c r="G41" i="2" s="1"/>
  <c r="F40" i="2"/>
  <c r="G40" i="2" s="1"/>
  <c r="G39" i="2"/>
  <c r="F39" i="2"/>
  <c r="F38" i="2"/>
  <c r="G38" i="2" s="1"/>
  <c r="F37" i="2"/>
  <c r="G37" i="2" s="1"/>
  <c r="G36" i="2"/>
  <c r="F36" i="2"/>
  <c r="G35" i="2"/>
  <c r="F35" i="2"/>
  <c r="G34" i="2"/>
  <c r="F34" i="2"/>
  <c r="G33" i="2"/>
  <c r="F33" i="2"/>
  <c r="F32" i="2"/>
  <c r="G32" i="2" s="1"/>
  <c r="F31" i="2"/>
  <c r="G31" i="2" s="1"/>
  <c r="F30" i="2"/>
  <c r="G30" i="2" s="1"/>
  <c r="F29" i="2"/>
  <c r="G29" i="2" s="1"/>
  <c r="F28" i="2"/>
  <c r="G28" i="2" s="1"/>
  <c r="G27" i="2"/>
  <c r="F27" i="2"/>
  <c r="F26" i="2"/>
  <c r="G26" i="2" s="1"/>
  <c r="F25" i="2"/>
  <c r="G25" i="2" s="1"/>
  <c r="F24" i="2"/>
  <c r="G24" i="2" s="1"/>
  <c r="F23" i="2"/>
  <c r="G23" i="2" s="1"/>
  <c r="F22" i="2"/>
  <c r="G22" i="2" s="1"/>
  <c r="G21" i="2"/>
  <c r="F21" i="2"/>
  <c r="F20" i="2"/>
  <c r="G20" i="2" s="1"/>
  <c r="F19" i="2"/>
  <c r="G19" i="2" s="1"/>
  <c r="F18" i="2"/>
  <c r="G18" i="2" s="1"/>
  <c r="F17" i="2"/>
  <c r="G17" i="2" s="1"/>
  <c r="F16" i="2"/>
  <c r="G16" i="2" s="1"/>
  <c r="G15" i="2"/>
  <c r="F15" i="2"/>
  <c r="F14" i="2"/>
  <c r="G14" i="2" s="1"/>
  <c r="F13" i="2"/>
  <c r="G13" i="2" s="1"/>
  <c r="F12" i="2"/>
  <c r="G12" i="2" s="1"/>
  <c r="F11" i="2"/>
  <c r="G11" i="2" s="1"/>
  <c r="F10" i="2"/>
  <c r="G10" i="2" s="1"/>
  <c r="G9" i="2"/>
  <c r="F9" i="2"/>
  <c r="F8" i="2"/>
  <c r="G8" i="2" s="1"/>
  <c r="F7" i="2"/>
  <c r="G7" i="2" s="1"/>
  <c r="G6" i="2"/>
  <c r="F6" i="2"/>
  <c r="G5" i="2"/>
  <c r="F5" i="2"/>
  <c r="D6" i="1" l="1"/>
  <c r="E6" i="1" s="1"/>
  <c r="D5" i="1"/>
  <c r="E5" i="1" s="1"/>
  <c r="I9" i="4"/>
  <c r="D5" i="4"/>
  <c r="H6" i="4"/>
  <c r="I6" i="4" s="1"/>
  <c r="D8" i="4"/>
  <c r="E8" i="4" s="1"/>
  <c r="H9" i="4"/>
  <c r="H5" i="4"/>
  <c r="D7" i="4"/>
  <c r="E7" i="4" s="1"/>
  <c r="H8" i="4"/>
  <c r="I8" i="4" s="1"/>
  <c r="D6" i="4"/>
  <c r="E6" i="4" s="1"/>
  <c r="H7" i="4"/>
  <c r="I7" i="4" s="1"/>
  <c r="D9" i="4"/>
  <c r="E9" i="4" s="1"/>
  <c r="D10" i="4" l="1"/>
  <c r="E10" i="4" s="1"/>
  <c r="H10" i="4"/>
  <c r="I10" i="4" s="1"/>
  <c r="I5" i="4"/>
  <c r="E5" i="4"/>
</calcChain>
</file>

<file path=xl/sharedStrings.xml><?xml version="1.0" encoding="utf-8"?>
<sst xmlns="http://schemas.openxmlformats.org/spreadsheetml/2006/main" count="461" uniqueCount="105">
  <si>
    <t>Painel DER — Liquidação Total: Exercício Corrente vs. RP / Exercício Anterior</t>
  </si>
  <si>
    <t>Elaborado a partir de: Empenhos 2024 CGM.xlsx, Anexo_1_ContratosDOPSR1 por Regional editável.xlsx e Pagamentos com RPs 2024-2025.xlsx (enviados pelo DER)</t>
  </si>
  <si>
    <t>Ano</t>
  </si>
  <si>
    <t>Liquidado Exercício Corrente (R$)</t>
  </si>
  <si>
    <t>Liquidado Total c/ RP (R$)</t>
  </si>
  <si>
    <t>RP / Exercício Anterior (R$)</t>
  </si>
  <si>
    <t>% RP sobre o Total Liquidado</t>
  </si>
  <si>
    <t>Composição da Liquidação Total 2024 — Exercício Corrente vs. RP/Exercício Anterior</t>
  </si>
  <si>
    <t>Fonte (Exercício Corrente): Empenhos 2024 CGM.xlsx  |  Fonte (Total c/ RP): Pagamentos com RPs 2024-2025.xlsx (DER)</t>
  </si>
  <si>
    <t>Contrato</t>
  </si>
  <si>
    <t>Regional (SR)</t>
  </si>
  <si>
    <t>Tipo</t>
  </si>
  <si>
    <t>% RP sobre o Total</t>
  </si>
  <si>
    <t>Status</t>
  </si>
  <si>
    <t>Observação</t>
  </si>
  <si>
    <t>CO001/2023DOP</t>
  </si>
  <si>
    <t>Norte</t>
  </si>
  <si>
    <t>PROCONSERVA</t>
  </si>
  <si>
    <t>Só na planilha c/ RP</t>
  </si>
  <si>
    <t>Não consta na base de exercício corrente — todo o valor liquidado pode ser RP/exercício anterior. Confirmar com DER.</t>
  </si>
  <si>
    <t>CO002/2023DOP</t>
  </si>
  <si>
    <t>CO004/2020DOP</t>
  </si>
  <si>
    <t>Noroeste</t>
  </si>
  <si>
    <t>COP</t>
  </si>
  <si>
    <t>Casado</t>
  </si>
  <si>
    <t>CO005/2020DOP</t>
  </si>
  <si>
    <t>CO006/2020DOP</t>
  </si>
  <si>
    <t>CO006/2023DOP</t>
  </si>
  <si>
    <t>Oeste</t>
  </si>
  <si>
    <t>CO007/2020DOP</t>
  </si>
  <si>
    <t>CO007/2023DOP</t>
  </si>
  <si>
    <t>CO009/2020DOP</t>
  </si>
  <si>
    <t>CO015/2023DOP</t>
  </si>
  <si>
    <t>CO016/2022DOP</t>
  </si>
  <si>
    <t>Campos Gerais</t>
  </si>
  <si>
    <t>CO016/2023DOP</t>
  </si>
  <si>
    <t>CO017/2023DOP</t>
  </si>
  <si>
    <t>CO018/2023DOP</t>
  </si>
  <si>
    <t>CO019/2023DOP</t>
  </si>
  <si>
    <t>CO023/2023DOP</t>
  </si>
  <si>
    <t>CO024/2023DOP</t>
  </si>
  <si>
    <t>CO025/2019DT-DOP</t>
  </si>
  <si>
    <t>CREMEP</t>
  </si>
  <si>
    <t>CO026/2020DOP</t>
  </si>
  <si>
    <t>CO026/2023DOP</t>
  </si>
  <si>
    <t>CO028/2023DOP</t>
  </si>
  <si>
    <t>CO035/2024DOP</t>
  </si>
  <si>
    <t>CO036/2024DOP</t>
  </si>
  <si>
    <t>CO045/2023DOP</t>
  </si>
  <si>
    <t>CO051/2023DOP</t>
  </si>
  <si>
    <t>CO056/2022DOP</t>
  </si>
  <si>
    <t>Leste</t>
  </si>
  <si>
    <t>CO057/2022DOP</t>
  </si>
  <si>
    <t>CO058/2022DOP</t>
  </si>
  <si>
    <t>CO059/2022DOP</t>
  </si>
  <si>
    <t>CO066/2018DOP</t>
  </si>
  <si>
    <t>CO068/2018DOP</t>
  </si>
  <si>
    <t>CO069/2018DOP</t>
  </si>
  <si>
    <t>CO069/2022DOP</t>
  </si>
  <si>
    <t>CO071/2023DOP</t>
  </si>
  <si>
    <t>CO072/2022DOP</t>
  </si>
  <si>
    <t>CO089/2024DOP</t>
  </si>
  <si>
    <t>INTEGRA</t>
  </si>
  <si>
    <t>CO091/2024DOP</t>
  </si>
  <si>
    <t>CO093/2018DT-DOP</t>
  </si>
  <si>
    <t>CO123/2021DOP</t>
  </si>
  <si>
    <t>CO124/2021DOP</t>
  </si>
  <si>
    <t>CO124/2024DOP</t>
  </si>
  <si>
    <t>CO128/2021DOP</t>
  </si>
  <si>
    <t>CO129/2021DOP</t>
  </si>
  <si>
    <t>CO131/2021DOP</t>
  </si>
  <si>
    <t>CO132/2021DOP</t>
  </si>
  <si>
    <t>CO133/2021DOP</t>
  </si>
  <si>
    <t>Só na base (sem RP)</t>
  </si>
  <si>
    <t>Não consta na planilha com RP enviada pelo DER — confirmar se o contrato foi encerrado/reclassificado.</t>
  </si>
  <si>
    <t>CO142/2018DT-DOP</t>
  </si>
  <si>
    <t>CO167/2012DOP</t>
  </si>
  <si>
    <t>CO169/2022DOP</t>
  </si>
  <si>
    <t>CO215/2012DOP</t>
  </si>
  <si>
    <t>CO257/2012DOP</t>
  </si>
  <si>
    <t>TOTAL — CONTRATOS CASADOS (usado no % RP)</t>
  </si>
  <si>
    <t>Total — só na base (sem RP), não incluído no % RP acima</t>
  </si>
  <si>
    <t>Total — só na planilha c/ RP, não incluído no % RP acima</t>
  </si>
  <si>
    <t>Composição da Liquidação Total 2025 — Exercício Corrente vs. RP/Exercício Anterior</t>
  </si>
  <si>
    <t>Fonte (Exercício Corrente): Anexo_1_ContratosDOPSR1 por Regional editável.xlsx  |  Fonte (Total c/ RP): Pagamentos com RPs 2024-2025.xlsx (DER)</t>
  </si>
  <si>
    <t>CO072/2025DOP</t>
  </si>
  <si>
    <t>CO092/2025DOP</t>
  </si>
  <si>
    <t>CO121/2025DOP</t>
  </si>
  <si>
    <t>CO137/2025DOP</t>
  </si>
  <si>
    <t>EMERGENCIAL</t>
  </si>
  <si>
    <t>CO152/2025DOP</t>
  </si>
  <si>
    <t>CO173/2025DOP</t>
  </si>
  <si>
    <t>CO175/2025DOP</t>
  </si>
  <si>
    <t>Resumo por Regional — Liquidação: Exercício Corrente vs. RP/Exercício Anterior</t>
  </si>
  <si>
    <t>Considera apenas contratos casados entre as duas bases (ver Status nas abas de detalhe). Fórmulas SUMIFS.</t>
  </si>
  <si>
    <t>Regional</t>
  </si>
  <si>
    <t>Liquidado Exerc. Corrente 2024 (R$)</t>
  </si>
  <si>
    <t>Liquidado Total c/ RP 2024 (R$)</t>
  </si>
  <si>
    <t>RP 2024 (R$)</t>
  </si>
  <si>
    <t>% RP 2024</t>
  </si>
  <si>
    <t>Liquidado Exerc. Corrente 2025 (R$)</t>
  </si>
  <si>
    <t>Liquidado Total c/ RP 2025 (R$)</t>
  </si>
  <si>
    <t>RP 2025 (R$)</t>
  </si>
  <si>
    <t>% RP 2025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</si>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</sst>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5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1F4E79"/>
      <name val="Arial"/>
      <charset val="1"/>
    </font>
    <font>
      <sz val="9"/>
      <color rgb="FF404040"/>
      <name val="Arial"/>
      <charset val="1"/>
    </font>
    <font>
      <b/>
      <sz val="14"/>
      <color rgb="FF1F4E79"/>
      <name val="Arial"/>
      <charset val="1"/>
    </font>
    <font>
      <i/>
      <sz val="9"/>
      <color rgb="FFC0000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0" fillId="0" borderId="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/>
    <xf numFmtId="164" fontId="4" fillId="0" borderId="1" xfId="0" applyNumberFormat="1" applyFont="1" applyBorder="1"/>
    <xf numFmtId="0" fontId="9" fillId="0" borderId="1" xfId="0" applyFont="1" applyBorder="1" applyAlignment="1">
      <alignment vertical="center" wrapText="1"/>
    </xf>
    <xf numFmtId="164" fontId="10" fillId="0" borderId="2" xfId="0" applyNumberFormat="1" applyFont="1" applyBorder="1"/>
    <xf numFmtId="165" fontId="10" fillId="0" borderId="2" xfId="0" applyNumberFormat="1" applyFont="1" applyBorder="1"/>
    <xf numFmtId="0" fontId="0" fillId="0" borderId="2" xfId="0" applyBorder="1"/>
    <xf numFmtId="164" fontId="11" fillId="0" borderId="0" xfId="0" applyNumberFormat="1" applyFont="1"/>
    <xf numFmtId="0" fontId="7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8" fillId="0" borderId="0" xfId="0" applyFont="1"/>
    <xf numFmtId="0" fontId="10" fillId="0" borderId="2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>
      <selection activeCell="A11" sqref="A11:E11"/>
    </sheetView>
  </sheetViews>
  <sheetFormatPr defaultColWidth="8.6640625" defaultRowHeight="14.4" x14ac:dyDescent="0.3"/>
  <cols>
    <col min="1" max="1" width="10" customWidth="1"/>
    <col min="2" max="2" width="26" customWidth="1"/>
    <col min="3" max="3" width="24" customWidth="1"/>
    <col min="4" max="4" width="26" customWidth="1"/>
    <col min="5" max="5" width="24" customWidth="1"/>
  </cols>
  <sheetData>
    <row r="1" spans="1:5" ht="19.2" x14ac:dyDescent="0.35">
      <c r="A1" s="14" t="s">
        <v>0</v>
      </c>
      <c r="B1" s="14"/>
      <c r="C1" s="14"/>
      <c r="D1" s="14"/>
      <c r="E1" s="14"/>
    </row>
    <row r="2" spans="1:5" x14ac:dyDescent="0.3">
      <c r="A2" s="15" t="s">
        <v>1</v>
      </c>
      <c r="B2" s="15"/>
      <c r="C2" s="15"/>
      <c r="D2" s="15"/>
      <c r="E2" s="15"/>
    </row>
    <row r="4" spans="1:5" ht="26.4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3">
      <c r="A5" s="3">
        <v>2024</v>
      </c>
      <c r="B5" s="4">
        <f>'Resumo por Regional'!B10</f>
        <v>677058692.81000006</v>
      </c>
      <c r="C5" s="4">
        <f>'Resumo por Regional'!C10</f>
        <v>689363450.13</v>
      </c>
      <c r="D5" s="4">
        <f>C5-B5</f>
        <v>12304757.319999933</v>
      </c>
      <c r="E5" s="5">
        <f>D5/C5</f>
        <v>1.7849448382677532E-2</v>
      </c>
    </row>
    <row r="6" spans="1:5" x14ac:dyDescent="0.3">
      <c r="A6" s="3">
        <v>2025</v>
      </c>
      <c r="B6" s="4">
        <f>'Resumo por Regional'!F10</f>
        <v>828997343.46000004</v>
      </c>
      <c r="C6" s="4">
        <f>'Resumo por Regional'!G10</f>
        <v>855364233.5</v>
      </c>
      <c r="D6" s="4">
        <f>C6-B6</f>
        <v>26366890.039999962</v>
      </c>
      <c r="E6" s="5">
        <f>D6/C6</f>
        <v>3.0825336163649589E-2</v>
      </c>
    </row>
    <row r="9" spans="1:5" x14ac:dyDescent="0.3">
      <c r="A9" s="6"/>
    </row>
    <row r="10" spans="1:5" ht="30" customHeight="1" x14ac:dyDescent="0.3">
      <c r="A10" s="13"/>
      <c r="B10" s="13"/>
      <c r="C10" s="13"/>
      <c r="D10" s="13"/>
      <c r="E10" s="13"/>
    </row>
    <row r="11" spans="1:5" ht="30" customHeight="1" x14ac:dyDescent="0.3">
      <c r="A11" s="13"/>
      <c r="B11" s="13"/>
      <c r="C11" s="13"/>
      <c r="D11" s="13"/>
      <c r="E11" s="13"/>
    </row>
    <row r="12" spans="1:5" ht="30" customHeight="1" x14ac:dyDescent="0.3">
      <c r="A12" s="13"/>
      <c r="B12" s="13"/>
      <c r="C12" s="13"/>
      <c r="D12" s="13"/>
      <c r="E12" s="13"/>
    </row>
    <row r="13" spans="1:5" ht="30" customHeight="1" x14ac:dyDescent="0.3">
      <c r="A13" s="13"/>
      <c r="B13" s="13"/>
      <c r="C13" s="13"/>
      <c r="D13" s="13"/>
      <c r="E13" s="13"/>
    </row>
    <row r="14" spans="1:5" ht="30" customHeight="1" x14ac:dyDescent="0.3">
      <c r="A14" s="13"/>
      <c r="B14" s="13"/>
      <c r="C14" s="13"/>
      <c r="D14" s="13"/>
      <c r="E14" s="13"/>
    </row>
  </sheetData>
  <mergeCells count="7">
    <mergeCell ref="A13:E13"/>
    <mergeCell ref="A14:E14"/>
    <mergeCell ref="A1:E1"/>
    <mergeCell ref="A2:E2"/>
    <mergeCell ref="A10:E10"/>
    <mergeCell ref="A11:E11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zoomScaleNormal="100" workbookViewId="0">
      <pane ySplit="4" topLeftCell="A5" activePane="bottomLeft" state="frozen"/>
      <selection pane="bottomLeft" sqref="A1:I1"/>
    </sheetView>
  </sheetViews>
  <sheetFormatPr defaultColWidth="8.6640625" defaultRowHeight="14.4" x14ac:dyDescent="0.3"/>
  <cols>
    <col min="1" max="2" width="16" customWidth="1"/>
    <col min="3" max="3" width="14" customWidth="1"/>
    <col min="4" max="6" width="22" customWidth="1"/>
    <col min="7" max="7" width="13" customWidth="1"/>
    <col min="8" max="8" width="20" customWidth="1"/>
    <col min="9" max="9" width="42" customWidth="1"/>
  </cols>
  <sheetData>
    <row r="1" spans="1:9" ht="17.399999999999999" x14ac:dyDescent="0.3">
      <c r="A1" s="16" t="s">
        <v>7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5" t="s">
        <v>8</v>
      </c>
      <c r="B2" s="15"/>
      <c r="C2" s="15"/>
      <c r="D2" s="15"/>
      <c r="E2" s="15"/>
      <c r="F2" s="15"/>
      <c r="G2" s="15"/>
      <c r="H2" s="15"/>
      <c r="I2" s="15"/>
    </row>
    <row r="4" spans="1:9" ht="26.4" x14ac:dyDescent="0.3">
      <c r="A4" s="2" t="s">
        <v>9</v>
      </c>
      <c r="B4" s="2" t="s">
        <v>10</v>
      </c>
      <c r="C4" s="2" t="s">
        <v>11</v>
      </c>
      <c r="D4" s="2" t="s">
        <v>3</v>
      </c>
      <c r="E4" s="2" t="s">
        <v>4</v>
      </c>
      <c r="F4" s="2" t="s">
        <v>5</v>
      </c>
      <c r="G4" s="2" t="s">
        <v>12</v>
      </c>
      <c r="H4" s="2" t="s">
        <v>13</v>
      </c>
      <c r="I4" s="2" t="s">
        <v>14</v>
      </c>
    </row>
    <row r="5" spans="1:9" ht="34.200000000000003" x14ac:dyDescent="0.3">
      <c r="A5" s="3" t="s">
        <v>15</v>
      </c>
      <c r="B5" s="3" t="s">
        <v>16</v>
      </c>
      <c r="C5" s="3" t="s">
        <v>17</v>
      </c>
      <c r="D5" s="7"/>
      <c r="E5" s="7">
        <v>0</v>
      </c>
      <c r="F5" s="4" t="str">
        <f t="shared" ref="F5:F36" si="0">IF(H5="Casado",E5-D5,"")</f>
        <v/>
      </c>
      <c r="G5" s="5" t="str">
        <f t="shared" ref="G5:G36" si="1">IF(H5&lt;&gt;"Casado","",IF(E5=0,0,F5/E5))</f>
        <v/>
      </c>
      <c r="H5" s="3" t="s">
        <v>18</v>
      </c>
      <c r="I5" s="8" t="s">
        <v>19</v>
      </c>
    </row>
    <row r="6" spans="1:9" ht="34.200000000000003" x14ac:dyDescent="0.3">
      <c r="A6" s="3" t="s">
        <v>20</v>
      </c>
      <c r="B6" s="3" t="s">
        <v>16</v>
      </c>
      <c r="C6" s="3" t="s">
        <v>17</v>
      </c>
      <c r="D6" s="7"/>
      <c r="E6" s="7">
        <v>248441.37</v>
      </c>
      <c r="F6" s="4" t="str">
        <f t="shared" si="0"/>
        <v/>
      </c>
      <c r="G6" s="5" t="str">
        <f t="shared" si="1"/>
        <v/>
      </c>
      <c r="H6" s="3" t="s">
        <v>18</v>
      </c>
      <c r="I6" s="8" t="s">
        <v>19</v>
      </c>
    </row>
    <row r="7" spans="1:9" x14ac:dyDescent="0.3">
      <c r="A7" s="3" t="s">
        <v>21</v>
      </c>
      <c r="B7" s="3" t="s">
        <v>22</v>
      </c>
      <c r="C7" s="3" t="s">
        <v>23</v>
      </c>
      <c r="D7" s="7">
        <v>14155143.970000001</v>
      </c>
      <c r="E7" s="7">
        <v>14285872.43</v>
      </c>
      <c r="F7" s="4">
        <f t="shared" si="0"/>
        <v>130728.45999999903</v>
      </c>
      <c r="G7" s="5">
        <f t="shared" si="1"/>
        <v>9.1508908987225947E-3</v>
      </c>
      <c r="H7" s="3" t="s">
        <v>24</v>
      </c>
      <c r="I7" s="8"/>
    </row>
    <row r="8" spans="1:9" x14ac:dyDescent="0.3">
      <c r="A8" s="3" t="s">
        <v>25</v>
      </c>
      <c r="B8" s="3" t="s">
        <v>22</v>
      </c>
      <c r="C8" s="3" t="s">
        <v>23</v>
      </c>
      <c r="D8" s="7">
        <v>10214286.199999999</v>
      </c>
      <c r="E8" s="7">
        <v>10214286.199999999</v>
      </c>
      <c r="F8" s="4">
        <f t="shared" si="0"/>
        <v>0</v>
      </c>
      <c r="G8" s="5">
        <f t="shared" si="1"/>
        <v>0</v>
      </c>
      <c r="H8" s="3" t="s">
        <v>24</v>
      </c>
      <c r="I8" s="8"/>
    </row>
    <row r="9" spans="1:9" x14ac:dyDescent="0.3">
      <c r="A9" s="3" t="s">
        <v>26</v>
      </c>
      <c r="B9" s="3" t="s">
        <v>16</v>
      </c>
      <c r="C9" s="3" t="s">
        <v>23</v>
      </c>
      <c r="D9" s="7">
        <v>18480639.129999999</v>
      </c>
      <c r="E9" s="7">
        <v>18480639.129999999</v>
      </c>
      <c r="F9" s="4">
        <f t="shared" si="0"/>
        <v>0</v>
      </c>
      <c r="G9" s="5">
        <f t="shared" si="1"/>
        <v>0</v>
      </c>
      <c r="H9" s="3" t="s">
        <v>24</v>
      </c>
      <c r="I9" s="8"/>
    </row>
    <row r="10" spans="1:9" x14ac:dyDescent="0.3">
      <c r="A10" s="3" t="s">
        <v>27</v>
      </c>
      <c r="B10" s="3" t="s">
        <v>28</v>
      </c>
      <c r="C10" s="3" t="s">
        <v>17</v>
      </c>
      <c r="D10" s="7">
        <v>16776796.49</v>
      </c>
      <c r="E10" s="7">
        <v>18973722.789999999</v>
      </c>
      <c r="F10" s="4">
        <f t="shared" si="0"/>
        <v>2196926.2999999989</v>
      </c>
      <c r="G10" s="5">
        <f t="shared" si="1"/>
        <v>0.11578783585675012</v>
      </c>
      <c r="H10" s="3" t="s">
        <v>24</v>
      </c>
      <c r="I10" s="8"/>
    </row>
    <row r="11" spans="1:9" x14ac:dyDescent="0.3">
      <c r="A11" s="3" t="s">
        <v>29</v>
      </c>
      <c r="B11" s="3" t="s">
        <v>16</v>
      </c>
      <c r="C11" s="3" t="s">
        <v>23</v>
      </c>
      <c r="D11" s="7">
        <v>12133453.050000001</v>
      </c>
      <c r="E11" s="7">
        <v>12133453.050000001</v>
      </c>
      <c r="F11" s="4">
        <f t="shared" si="0"/>
        <v>0</v>
      </c>
      <c r="G11" s="5">
        <f t="shared" si="1"/>
        <v>0</v>
      </c>
      <c r="H11" s="3" t="s">
        <v>24</v>
      </c>
      <c r="I11" s="8"/>
    </row>
    <row r="12" spans="1:9" x14ac:dyDescent="0.3">
      <c r="A12" s="3" t="s">
        <v>30</v>
      </c>
      <c r="B12" s="3" t="s">
        <v>28</v>
      </c>
      <c r="C12" s="3" t="s">
        <v>17</v>
      </c>
      <c r="D12" s="7">
        <v>10340244.640000001</v>
      </c>
      <c r="E12" s="7">
        <v>10340244.640000001</v>
      </c>
      <c r="F12" s="4">
        <f t="shared" si="0"/>
        <v>0</v>
      </c>
      <c r="G12" s="5">
        <f t="shared" si="1"/>
        <v>0</v>
      </c>
      <c r="H12" s="3" t="s">
        <v>24</v>
      </c>
      <c r="I12" s="8"/>
    </row>
    <row r="13" spans="1:9" x14ac:dyDescent="0.3">
      <c r="A13" s="3" t="s">
        <v>31</v>
      </c>
      <c r="B13" s="3" t="s">
        <v>22</v>
      </c>
      <c r="C13" s="3" t="s">
        <v>23</v>
      </c>
      <c r="D13" s="7">
        <v>12411731.41</v>
      </c>
      <c r="E13" s="7">
        <v>12713728.25</v>
      </c>
      <c r="F13" s="4">
        <f t="shared" si="0"/>
        <v>301996.83999999985</v>
      </c>
      <c r="G13" s="5">
        <f t="shared" si="1"/>
        <v>2.3753601938125417E-2</v>
      </c>
      <c r="H13" s="3" t="s">
        <v>24</v>
      </c>
      <c r="I13" s="8"/>
    </row>
    <row r="14" spans="1:9" x14ac:dyDescent="0.3">
      <c r="A14" s="3" t="s">
        <v>32</v>
      </c>
      <c r="B14" s="3" t="s">
        <v>22</v>
      </c>
      <c r="C14" s="3" t="s">
        <v>17</v>
      </c>
      <c r="D14" s="7">
        <v>19306439.079999998</v>
      </c>
      <c r="E14" s="7">
        <v>19751606.100000001</v>
      </c>
      <c r="F14" s="4">
        <f t="shared" si="0"/>
        <v>445167.02000000328</v>
      </c>
      <c r="G14" s="5">
        <f t="shared" si="1"/>
        <v>2.2538269432175607E-2</v>
      </c>
      <c r="H14" s="3" t="s">
        <v>24</v>
      </c>
      <c r="I14" s="8"/>
    </row>
    <row r="15" spans="1:9" x14ac:dyDescent="0.3">
      <c r="A15" s="3" t="s">
        <v>33</v>
      </c>
      <c r="B15" s="3" t="s">
        <v>34</v>
      </c>
      <c r="C15" s="3" t="s">
        <v>17</v>
      </c>
      <c r="D15" s="7">
        <v>36705260.5</v>
      </c>
      <c r="E15" s="7">
        <v>36872431.689999998</v>
      </c>
      <c r="F15" s="4">
        <f t="shared" si="0"/>
        <v>167171.18999999762</v>
      </c>
      <c r="G15" s="5">
        <f t="shared" si="1"/>
        <v>4.5337717730543747E-3</v>
      </c>
      <c r="H15" s="3" t="s">
        <v>24</v>
      </c>
      <c r="I15" s="8"/>
    </row>
    <row r="16" spans="1:9" x14ac:dyDescent="0.3">
      <c r="A16" s="3" t="s">
        <v>35</v>
      </c>
      <c r="B16" s="3" t="s">
        <v>34</v>
      </c>
      <c r="C16" s="3" t="s">
        <v>17</v>
      </c>
      <c r="D16" s="7">
        <v>31689339.02</v>
      </c>
      <c r="E16" s="7">
        <v>31689339.02</v>
      </c>
      <c r="F16" s="4">
        <f t="shared" si="0"/>
        <v>0</v>
      </c>
      <c r="G16" s="5">
        <f t="shared" si="1"/>
        <v>0</v>
      </c>
      <c r="H16" s="3" t="s">
        <v>24</v>
      </c>
      <c r="I16" s="8"/>
    </row>
    <row r="17" spans="1:9" x14ac:dyDescent="0.3">
      <c r="A17" s="3" t="s">
        <v>36</v>
      </c>
      <c r="B17" s="3" t="s">
        <v>28</v>
      </c>
      <c r="C17" s="3" t="s">
        <v>17</v>
      </c>
      <c r="D17" s="7">
        <v>19912515.640000001</v>
      </c>
      <c r="E17" s="7">
        <v>20054107.93</v>
      </c>
      <c r="F17" s="4">
        <f t="shared" si="0"/>
        <v>141592.28999999911</v>
      </c>
      <c r="G17" s="5">
        <f t="shared" si="1"/>
        <v>7.0605130128069031E-3</v>
      </c>
      <c r="H17" s="3" t="s">
        <v>24</v>
      </c>
      <c r="I17" s="8"/>
    </row>
    <row r="18" spans="1:9" x14ac:dyDescent="0.3">
      <c r="A18" s="3" t="s">
        <v>37</v>
      </c>
      <c r="B18" s="3" t="s">
        <v>28</v>
      </c>
      <c r="C18" s="3" t="s">
        <v>17</v>
      </c>
      <c r="D18" s="7">
        <v>13351979.810000001</v>
      </c>
      <c r="E18" s="7">
        <v>13351979.810000001</v>
      </c>
      <c r="F18" s="4">
        <f t="shared" si="0"/>
        <v>0</v>
      </c>
      <c r="G18" s="5">
        <f t="shared" si="1"/>
        <v>0</v>
      </c>
      <c r="H18" s="3" t="s">
        <v>24</v>
      </c>
      <c r="I18" s="8"/>
    </row>
    <row r="19" spans="1:9" x14ac:dyDescent="0.3">
      <c r="A19" s="3" t="s">
        <v>38</v>
      </c>
      <c r="B19" s="3" t="s">
        <v>28</v>
      </c>
      <c r="C19" s="3" t="s">
        <v>17</v>
      </c>
      <c r="D19" s="7">
        <v>26786342.940000001</v>
      </c>
      <c r="E19" s="7">
        <v>26786342.940000001</v>
      </c>
      <c r="F19" s="4">
        <f t="shared" si="0"/>
        <v>0</v>
      </c>
      <c r="G19" s="5">
        <f t="shared" si="1"/>
        <v>0</v>
      </c>
      <c r="H19" s="3" t="s">
        <v>24</v>
      </c>
      <c r="I19" s="8"/>
    </row>
    <row r="20" spans="1:9" x14ac:dyDescent="0.3">
      <c r="A20" s="3" t="s">
        <v>39</v>
      </c>
      <c r="B20" s="3" t="s">
        <v>16</v>
      </c>
      <c r="C20" s="3" t="s">
        <v>17</v>
      </c>
      <c r="D20" s="7">
        <v>42007423.659999996</v>
      </c>
      <c r="E20" s="7">
        <v>42007423.659999996</v>
      </c>
      <c r="F20" s="4">
        <f t="shared" si="0"/>
        <v>0</v>
      </c>
      <c r="G20" s="5">
        <f t="shared" si="1"/>
        <v>0</v>
      </c>
      <c r="H20" s="3" t="s">
        <v>24</v>
      </c>
      <c r="I20" s="8"/>
    </row>
    <row r="21" spans="1:9" x14ac:dyDescent="0.3">
      <c r="A21" s="3" t="s">
        <v>40</v>
      </c>
      <c r="B21" s="3" t="s">
        <v>34</v>
      </c>
      <c r="C21" s="3" t="s">
        <v>17</v>
      </c>
      <c r="D21" s="7">
        <v>31154292.620000001</v>
      </c>
      <c r="E21" s="7">
        <v>31154292.620000001</v>
      </c>
      <c r="F21" s="4">
        <f t="shared" si="0"/>
        <v>0</v>
      </c>
      <c r="G21" s="5">
        <f t="shared" si="1"/>
        <v>0</v>
      </c>
      <c r="H21" s="3" t="s">
        <v>24</v>
      </c>
      <c r="I21" s="8"/>
    </row>
    <row r="22" spans="1:9" x14ac:dyDescent="0.3">
      <c r="A22" s="3" t="s">
        <v>41</v>
      </c>
      <c r="B22" s="3" t="s">
        <v>22</v>
      </c>
      <c r="C22" s="3" t="s">
        <v>42</v>
      </c>
      <c r="D22" s="7">
        <v>23098445.129999999</v>
      </c>
      <c r="E22" s="7">
        <v>23098445.129999999</v>
      </c>
      <c r="F22" s="4">
        <f t="shared" si="0"/>
        <v>0</v>
      </c>
      <c r="G22" s="5">
        <f t="shared" si="1"/>
        <v>0</v>
      </c>
      <c r="H22" s="3" t="s">
        <v>24</v>
      </c>
      <c r="I22" s="8"/>
    </row>
    <row r="23" spans="1:9" x14ac:dyDescent="0.3">
      <c r="A23" s="3" t="s">
        <v>43</v>
      </c>
      <c r="B23" s="3" t="s">
        <v>22</v>
      </c>
      <c r="C23" s="3" t="s">
        <v>23</v>
      </c>
      <c r="D23" s="7">
        <v>177123.24</v>
      </c>
      <c r="E23" s="7">
        <v>177123.24</v>
      </c>
      <c r="F23" s="4">
        <f t="shared" si="0"/>
        <v>0</v>
      </c>
      <c r="G23" s="5">
        <f t="shared" si="1"/>
        <v>0</v>
      </c>
      <c r="H23" s="3" t="s">
        <v>24</v>
      </c>
      <c r="I23" s="8"/>
    </row>
    <row r="24" spans="1:9" x14ac:dyDescent="0.3">
      <c r="A24" s="3" t="s">
        <v>44</v>
      </c>
      <c r="B24" s="3" t="s">
        <v>28</v>
      </c>
      <c r="C24" s="3" t="s">
        <v>17</v>
      </c>
      <c r="D24" s="7">
        <v>42313777.939999998</v>
      </c>
      <c r="E24" s="7">
        <v>42313777.939999998</v>
      </c>
      <c r="F24" s="4">
        <f t="shared" si="0"/>
        <v>0</v>
      </c>
      <c r="G24" s="5">
        <f t="shared" si="1"/>
        <v>0</v>
      </c>
      <c r="H24" s="3" t="s">
        <v>24</v>
      </c>
      <c r="I24" s="8"/>
    </row>
    <row r="25" spans="1:9" x14ac:dyDescent="0.3">
      <c r="A25" s="3" t="s">
        <v>45</v>
      </c>
      <c r="B25" s="3" t="s">
        <v>28</v>
      </c>
      <c r="C25" s="3" t="s">
        <v>17</v>
      </c>
      <c r="D25" s="7">
        <v>14336182.77</v>
      </c>
      <c r="E25" s="7">
        <v>15321856.800000001</v>
      </c>
      <c r="F25" s="4">
        <f t="shared" si="0"/>
        <v>985674.03000000119</v>
      </c>
      <c r="G25" s="5">
        <f t="shared" si="1"/>
        <v>6.4331238887443534E-2</v>
      </c>
      <c r="H25" s="3" t="s">
        <v>24</v>
      </c>
      <c r="I25" s="8"/>
    </row>
    <row r="26" spans="1:9" x14ac:dyDescent="0.3">
      <c r="A26" s="3" t="s">
        <v>46</v>
      </c>
      <c r="B26" s="3" t="s">
        <v>16</v>
      </c>
      <c r="C26" s="3" t="s">
        <v>17</v>
      </c>
      <c r="D26" s="7">
        <v>374159.17</v>
      </c>
      <c r="E26" s="7">
        <v>374159.17</v>
      </c>
      <c r="F26" s="4">
        <f t="shared" si="0"/>
        <v>0</v>
      </c>
      <c r="G26" s="5">
        <f t="shared" si="1"/>
        <v>0</v>
      </c>
      <c r="H26" s="3" t="s">
        <v>24</v>
      </c>
      <c r="I26" s="8"/>
    </row>
    <row r="27" spans="1:9" x14ac:dyDescent="0.3">
      <c r="A27" s="3" t="s">
        <v>47</v>
      </c>
      <c r="B27" s="3" t="s">
        <v>16</v>
      </c>
      <c r="C27" s="3" t="s">
        <v>17</v>
      </c>
      <c r="D27" s="7">
        <v>27442511.170000002</v>
      </c>
      <c r="E27" s="7">
        <v>27442511.170000002</v>
      </c>
      <c r="F27" s="4">
        <f t="shared" si="0"/>
        <v>0</v>
      </c>
      <c r="G27" s="5">
        <f t="shared" si="1"/>
        <v>0</v>
      </c>
      <c r="H27" s="3" t="s">
        <v>24</v>
      </c>
      <c r="I27" s="8"/>
    </row>
    <row r="28" spans="1:9" x14ac:dyDescent="0.3">
      <c r="A28" s="3" t="s">
        <v>48</v>
      </c>
      <c r="B28" s="3" t="s">
        <v>16</v>
      </c>
      <c r="C28" s="3" t="s">
        <v>17</v>
      </c>
      <c r="D28" s="7">
        <v>21089234.079999998</v>
      </c>
      <c r="E28" s="7">
        <v>21089234.079999998</v>
      </c>
      <c r="F28" s="4">
        <f t="shared" si="0"/>
        <v>0</v>
      </c>
      <c r="G28" s="5">
        <f t="shared" si="1"/>
        <v>0</v>
      </c>
      <c r="H28" s="3" t="s">
        <v>24</v>
      </c>
      <c r="I28" s="8"/>
    </row>
    <row r="29" spans="1:9" x14ac:dyDescent="0.3">
      <c r="A29" s="3" t="s">
        <v>49</v>
      </c>
      <c r="B29" s="3" t="s">
        <v>16</v>
      </c>
      <c r="C29" s="3" t="s">
        <v>17</v>
      </c>
      <c r="D29" s="7">
        <v>7308.22</v>
      </c>
      <c r="E29" s="7">
        <v>7308.22</v>
      </c>
      <c r="F29" s="4">
        <f t="shared" si="0"/>
        <v>0</v>
      </c>
      <c r="G29" s="5">
        <f t="shared" si="1"/>
        <v>0</v>
      </c>
      <c r="H29" s="3" t="s">
        <v>24</v>
      </c>
      <c r="I29" s="8"/>
    </row>
    <row r="30" spans="1:9" x14ac:dyDescent="0.3">
      <c r="A30" s="3" t="s">
        <v>50</v>
      </c>
      <c r="B30" s="3" t="s">
        <v>51</v>
      </c>
      <c r="C30" s="3" t="s">
        <v>17</v>
      </c>
      <c r="D30" s="7">
        <v>3350161</v>
      </c>
      <c r="E30" s="7">
        <v>3733976.56</v>
      </c>
      <c r="F30" s="4">
        <f t="shared" si="0"/>
        <v>383815.56000000006</v>
      </c>
      <c r="G30" s="5">
        <f t="shared" si="1"/>
        <v>0.10279002929788077</v>
      </c>
      <c r="H30" s="3" t="s">
        <v>24</v>
      </c>
      <c r="I30" s="8"/>
    </row>
    <row r="31" spans="1:9" x14ac:dyDescent="0.3">
      <c r="A31" s="3" t="s">
        <v>52</v>
      </c>
      <c r="B31" s="3" t="s">
        <v>51</v>
      </c>
      <c r="C31" s="3" t="s">
        <v>17</v>
      </c>
      <c r="D31" s="7">
        <v>8648231.2599999998</v>
      </c>
      <c r="E31" s="7">
        <v>8648231.2599999998</v>
      </c>
      <c r="F31" s="4">
        <f t="shared" si="0"/>
        <v>0</v>
      </c>
      <c r="G31" s="5">
        <f t="shared" si="1"/>
        <v>0</v>
      </c>
      <c r="H31" s="3" t="s">
        <v>24</v>
      </c>
      <c r="I31" s="8"/>
    </row>
    <row r="32" spans="1:9" x14ac:dyDescent="0.3">
      <c r="A32" s="3" t="s">
        <v>53</v>
      </c>
      <c r="B32" s="3" t="s">
        <v>51</v>
      </c>
      <c r="C32" s="3" t="s">
        <v>17</v>
      </c>
      <c r="D32" s="7">
        <v>10994691.810000001</v>
      </c>
      <c r="E32" s="7">
        <v>11340367.27</v>
      </c>
      <c r="F32" s="4">
        <f t="shared" si="0"/>
        <v>345675.45999999903</v>
      </c>
      <c r="G32" s="5">
        <f t="shared" si="1"/>
        <v>3.0481857577439733E-2</v>
      </c>
      <c r="H32" s="3" t="s">
        <v>24</v>
      </c>
      <c r="I32" s="8"/>
    </row>
    <row r="33" spans="1:9" x14ac:dyDescent="0.3">
      <c r="A33" s="3" t="s">
        <v>54</v>
      </c>
      <c r="B33" s="3" t="s">
        <v>51</v>
      </c>
      <c r="C33" s="3" t="s">
        <v>17</v>
      </c>
      <c r="D33" s="7">
        <v>3493467.29</v>
      </c>
      <c r="E33" s="7">
        <v>5092825.8499999996</v>
      </c>
      <c r="F33" s="4">
        <f t="shared" si="0"/>
        <v>1599358.5599999996</v>
      </c>
      <c r="G33" s="5">
        <f t="shared" si="1"/>
        <v>0.31404147856341874</v>
      </c>
      <c r="H33" s="3" t="s">
        <v>24</v>
      </c>
      <c r="I33" s="8"/>
    </row>
    <row r="34" spans="1:9" ht="34.200000000000003" x14ac:dyDescent="0.3">
      <c r="A34" s="3" t="s">
        <v>55</v>
      </c>
      <c r="B34" s="3" t="s">
        <v>28</v>
      </c>
      <c r="C34" s="3" t="s">
        <v>23</v>
      </c>
      <c r="D34" s="7"/>
      <c r="E34" s="7">
        <v>445521.88</v>
      </c>
      <c r="F34" s="4" t="str">
        <f t="shared" si="0"/>
        <v/>
      </c>
      <c r="G34" s="5" t="str">
        <f t="shared" si="1"/>
        <v/>
      </c>
      <c r="H34" s="3" t="s">
        <v>18</v>
      </c>
      <c r="I34" s="8" t="s">
        <v>19</v>
      </c>
    </row>
    <row r="35" spans="1:9" ht="34.200000000000003" x14ac:dyDescent="0.3">
      <c r="A35" s="3" t="s">
        <v>56</v>
      </c>
      <c r="B35" s="3" t="s">
        <v>51</v>
      </c>
      <c r="C35" s="3" t="s">
        <v>23</v>
      </c>
      <c r="D35" s="7"/>
      <c r="E35" s="7">
        <v>385615.19</v>
      </c>
      <c r="F35" s="4" t="str">
        <f t="shared" si="0"/>
        <v/>
      </c>
      <c r="G35" s="5" t="str">
        <f t="shared" si="1"/>
        <v/>
      </c>
      <c r="H35" s="3" t="s">
        <v>18</v>
      </c>
      <c r="I35" s="8" t="s">
        <v>19</v>
      </c>
    </row>
    <row r="36" spans="1:9" ht="34.200000000000003" x14ac:dyDescent="0.3">
      <c r="A36" s="3" t="s">
        <v>57</v>
      </c>
      <c r="B36" s="3" t="s">
        <v>28</v>
      </c>
      <c r="C36" s="3" t="s">
        <v>23</v>
      </c>
      <c r="D36" s="7"/>
      <c r="E36" s="7">
        <v>22984.799999999999</v>
      </c>
      <c r="F36" s="4" t="str">
        <f t="shared" si="0"/>
        <v/>
      </c>
      <c r="G36" s="5" t="str">
        <f t="shared" si="1"/>
        <v/>
      </c>
      <c r="H36" s="3" t="s">
        <v>18</v>
      </c>
      <c r="I36" s="8" t="s">
        <v>19</v>
      </c>
    </row>
    <row r="37" spans="1:9" x14ac:dyDescent="0.3">
      <c r="A37" s="3" t="s">
        <v>58</v>
      </c>
      <c r="B37" s="3" t="s">
        <v>22</v>
      </c>
      <c r="C37" s="3" t="s">
        <v>17</v>
      </c>
      <c r="D37" s="7">
        <v>5132361.63</v>
      </c>
      <c r="E37" s="7">
        <v>5132361.63</v>
      </c>
      <c r="F37" s="4">
        <f t="shared" ref="F37:F57" si="2">IF(H37="Casado",E37-D37,"")</f>
        <v>0</v>
      </c>
      <c r="G37" s="5">
        <f t="shared" ref="G37:G57" si="3">IF(H37&lt;&gt;"Casado","",IF(E37=0,0,F37/E37))</f>
        <v>0</v>
      </c>
      <c r="H37" s="3" t="s">
        <v>24</v>
      </c>
      <c r="I37" s="8"/>
    </row>
    <row r="38" spans="1:9" x14ac:dyDescent="0.3">
      <c r="A38" s="3" t="s">
        <v>59</v>
      </c>
      <c r="B38" s="3" t="s">
        <v>28</v>
      </c>
      <c r="C38" s="3" t="s">
        <v>17</v>
      </c>
      <c r="D38" s="7">
        <v>33555710.170000002</v>
      </c>
      <c r="E38" s="7">
        <v>37104577.109999999</v>
      </c>
      <c r="F38" s="4">
        <f t="shared" si="2"/>
        <v>3548866.9399999976</v>
      </c>
      <c r="G38" s="5">
        <f t="shared" si="3"/>
        <v>9.5644990899075563E-2</v>
      </c>
      <c r="H38" s="3" t="s">
        <v>24</v>
      </c>
      <c r="I38" s="8"/>
    </row>
    <row r="39" spans="1:9" x14ac:dyDescent="0.3">
      <c r="A39" s="3" t="s">
        <v>60</v>
      </c>
      <c r="B39" s="3" t="s">
        <v>22</v>
      </c>
      <c r="C39" s="3" t="s">
        <v>17</v>
      </c>
      <c r="D39" s="7">
        <v>6383090.9800000004</v>
      </c>
      <c r="E39" s="7">
        <v>6439301.8200000003</v>
      </c>
      <c r="F39" s="4">
        <f t="shared" si="2"/>
        <v>56210.839999999851</v>
      </c>
      <c r="G39" s="5">
        <f t="shared" si="3"/>
        <v>8.729337678413069E-3</v>
      </c>
      <c r="H39" s="3" t="s">
        <v>24</v>
      </c>
      <c r="I39" s="8"/>
    </row>
    <row r="40" spans="1:9" x14ac:dyDescent="0.3">
      <c r="A40" s="3" t="s">
        <v>61</v>
      </c>
      <c r="B40" s="3" t="s">
        <v>16</v>
      </c>
      <c r="C40" s="3" t="s">
        <v>62</v>
      </c>
      <c r="D40" s="7">
        <v>28994505.949999999</v>
      </c>
      <c r="E40" s="7">
        <v>28994505.949999999</v>
      </c>
      <c r="F40" s="4">
        <f t="shared" si="2"/>
        <v>0</v>
      </c>
      <c r="G40" s="5">
        <f t="shared" si="3"/>
        <v>0</v>
      </c>
      <c r="H40" s="3" t="s">
        <v>24</v>
      </c>
      <c r="I40" s="8"/>
    </row>
    <row r="41" spans="1:9" x14ac:dyDescent="0.3">
      <c r="A41" s="3" t="s">
        <v>63</v>
      </c>
      <c r="B41" s="3" t="s">
        <v>34</v>
      </c>
      <c r="C41" s="3" t="s">
        <v>17</v>
      </c>
      <c r="D41" s="7">
        <v>15828848.08</v>
      </c>
      <c r="E41" s="7">
        <v>15828848.08</v>
      </c>
      <c r="F41" s="4">
        <f t="shared" si="2"/>
        <v>0</v>
      </c>
      <c r="G41" s="5">
        <f t="shared" si="3"/>
        <v>0</v>
      </c>
      <c r="H41" s="3" t="s">
        <v>24</v>
      </c>
      <c r="I41" s="8"/>
    </row>
    <row r="42" spans="1:9" x14ac:dyDescent="0.3">
      <c r="A42" s="3" t="s">
        <v>64</v>
      </c>
      <c r="B42" s="3" t="s">
        <v>22</v>
      </c>
      <c r="C42" s="3" t="s">
        <v>42</v>
      </c>
      <c r="D42" s="7">
        <v>4809721.41</v>
      </c>
      <c r="E42" s="7">
        <v>5757152.5599999996</v>
      </c>
      <c r="F42" s="4">
        <f t="shared" si="2"/>
        <v>947431.14999999944</v>
      </c>
      <c r="G42" s="5">
        <f t="shared" si="3"/>
        <v>0.16456592736184145</v>
      </c>
      <c r="H42" s="3" t="s">
        <v>24</v>
      </c>
      <c r="I42" s="8"/>
    </row>
    <row r="43" spans="1:9" x14ac:dyDescent="0.3">
      <c r="A43" s="3" t="s">
        <v>65</v>
      </c>
      <c r="B43" s="3" t="s">
        <v>22</v>
      </c>
      <c r="C43" s="3" t="s">
        <v>17</v>
      </c>
      <c r="D43" s="7">
        <v>25933915.190000001</v>
      </c>
      <c r="E43" s="7">
        <v>25933915.190000001</v>
      </c>
      <c r="F43" s="4">
        <f t="shared" si="2"/>
        <v>0</v>
      </c>
      <c r="G43" s="5">
        <f t="shared" si="3"/>
        <v>0</v>
      </c>
      <c r="H43" s="3" t="s">
        <v>24</v>
      </c>
      <c r="I43" s="8"/>
    </row>
    <row r="44" spans="1:9" x14ac:dyDescent="0.3">
      <c r="A44" s="3" t="s">
        <v>66</v>
      </c>
      <c r="B44" s="3" t="s">
        <v>28</v>
      </c>
      <c r="C44" s="3" t="s">
        <v>17</v>
      </c>
      <c r="D44" s="7">
        <v>24493107.120000001</v>
      </c>
      <c r="E44" s="7">
        <v>24493107.120000001</v>
      </c>
      <c r="F44" s="4">
        <f t="shared" si="2"/>
        <v>0</v>
      </c>
      <c r="G44" s="5">
        <f t="shared" si="3"/>
        <v>0</v>
      </c>
      <c r="H44" s="3" t="s">
        <v>24</v>
      </c>
      <c r="I44" s="8"/>
    </row>
    <row r="45" spans="1:9" x14ac:dyDescent="0.3">
      <c r="A45" s="3" t="s">
        <v>67</v>
      </c>
      <c r="B45" s="3" t="s">
        <v>28</v>
      </c>
      <c r="C45" s="3" t="s">
        <v>17</v>
      </c>
      <c r="D45" s="7">
        <v>0</v>
      </c>
      <c r="E45" s="7">
        <v>0</v>
      </c>
      <c r="F45" s="4">
        <f t="shared" si="2"/>
        <v>0</v>
      </c>
      <c r="G45" s="5">
        <f t="shared" si="3"/>
        <v>0</v>
      </c>
      <c r="H45" s="3" t="s">
        <v>24</v>
      </c>
      <c r="I45" s="8"/>
    </row>
    <row r="46" spans="1:9" x14ac:dyDescent="0.3">
      <c r="A46" s="3" t="s">
        <v>68</v>
      </c>
      <c r="B46" s="3" t="s">
        <v>34</v>
      </c>
      <c r="C46" s="3" t="s">
        <v>62</v>
      </c>
      <c r="D46" s="7">
        <v>12997590.640000001</v>
      </c>
      <c r="E46" s="7">
        <v>12997590.640000001</v>
      </c>
      <c r="F46" s="4">
        <f t="shared" si="2"/>
        <v>0</v>
      </c>
      <c r="G46" s="5">
        <f t="shared" si="3"/>
        <v>0</v>
      </c>
      <c r="H46" s="3" t="s">
        <v>24</v>
      </c>
      <c r="I46" s="8"/>
    </row>
    <row r="47" spans="1:9" x14ac:dyDescent="0.3">
      <c r="A47" s="3" t="s">
        <v>69</v>
      </c>
      <c r="B47" s="3" t="s">
        <v>16</v>
      </c>
      <c r="C47" s="3" t="s">
        <v>62</v>
      </c>
      <c r="D47" s="7">
        <v>1271695.46</v>
      </c>
      <c r="E47" s="7">
        <v>1271695.46</v>
      </c>
      <c r="F47" s="4">
        <f t="shared" si="2"/>
        <v>0</v>
      </c>
      <c r="G47" s="5">
        <f t="shared" si="3"/>
        <v>0</v>
      </c>
      <c r="H47" s="3" t="s">
        <v>24</v>
      </c>
      <c r="I47" s="8"/>
    </row>
    <row r="48" spans="1:9" x14ac:dyDescent="0.3">
      <c r="A48" s="3" t="s">
        <v>70</v>
      </c>
      <c r="B48" s="3" t="s">
        <v>28</v>
      </c>
      <c r="C48" s="3" t="s">
        <v>62</v>
      </c>
      <c r="D48" s="7">
        <v>2669311.9</v>
      </c>
      <c r="E48" s="7">
        <v>2669311.9</v>
      </c>
      <c r="F48" s="4">
        <f t="shared" si="2"/>
        <v>0</v>
      </c>
      <c r="G48" s="5">
        <f t="shared" si="3"/>
        <v>0</v>
      </c>
      <c r="H48" s="3" t="s">
        <v>24</v>
      </c>
      <c r="I48" s="8"/>
    </row>
    <row r="49" spans="1:9" x14ac:dyDescent="0.3">
      <c r="A49" s="3" t="s">
        <v>71</v>
      </c>
      <c r="B49" s="3" t="s">
        <v>51</v>
      </c>
      <c r="C49" s="3" t="s">
        <v>62</v>
      </c>
      <c r="D49" s="7">
        <v>2122955.58</v>
      </c>
      <c r="E49" s="7">
        <v>2378377.61</v>
      </c>
      <c r="F49" s="4">
        <f t="shared" si="2"/>
        <v>255422.0299999998</v>
      </c>
      <c r="G49" s="5">
        <f t="shared" si="3"/>
        <v>0.10739338821811387</v>
      </c>
      <c r="H49" s="3" t="s">
        <v>24</v>
      </c>
      <c r="I49" s="8"/>
    </row>
    <row r="50" spans="1:9" ht="34.200000000000003" x14ac:dyDescent="0.3">
      <c r="A50" s="3" t="s">
        <v>72</v>
      </c>
      <c r="B50" s="3" t="s">
        <v>22</v>
      </c>
      <c r="C50" s="3" t="s">
        <v>62</v>
      </c>
      <c r="D50" s="7"/>
      <c r="E50" s="7">
        <v>12228614.77</v>
      </c>
      <c r="F50" s="4" t="str">
        <f t="shared" si="2"/>
        <v/>
      </c>
      <c r="G50" s="5" t="str">
        <f t="shared" si="3"/>
        <v/>
      </c>
      <c r="H50" s="3" t="s">
        <v>18</v>
      </c>
      <c r="I50" s="8" t="s">
        <v>19</v>
      </c>
    </row>
    <row r="51" spans="1:9" ht="22.8" x14ac:dyDescent="0.3">
      <c r="A51" s="3" t="s">
        <v>72</v>
      </c>
      <c r="B51" s="3" t="s">
        <v>16</v>
      </c>
      <c r="C51" s="3" t="s">
        <v>62</v>
      </c>
      <c r="D51" s="7">
        <v>10920912.810000001</v>
      </c>
      <c r="E51" s="7"/>
      <c r="F51" s="4" t="str">
        <f t="shared" si="2"/>
        <v/>
      </c>
      <c r="G51" s="5" t="str">
        <f t="shared" si="3"/>
        <v/>
      </c>
      <c r="H51" s="3" t="s">
        <v>73</v>
      </c>
      <c r="I51" s="8" t="s">
        <v>74</v>
      </c>
    </row>
    <row r="52" spans="1:9" x14ac:dyDescent="0.3">
      <c r="A52" s="3" t="s">
        <v>75</v>
      </c>
      <c r="B52" s="3" t="s">
        <v>22</v>
      </c>
      <c r="C52" s="3" t="s">
        <v>42</v>
      </c>
      <c r="D52" s="7">
        <v>10186136.15</v>
      </c>
      <c r="E52" s="7">
        <v>10984856.800000001</v>
      </c>
      <c r="F52" s="4">
        <f t="shared" si="2"/>
        <v>798720.65000000037</v>
      </c>
      <c r="G52" s="5">
        <f t="shared" si="3"/>
        <v>7.2711066201609498E-2</v>
      </c>
      <c r="H52" s="3" t="s">
        <v>24</v>
      </c>
      <c r="I52" s="8"/>
    </row>
    <row r="53" spans="1:9" ht="34.200000000000003" x14ac:dyDescent="0.3">
      <c r="A53" s="3" t="s">
        <v>76</v>
      </c>
      <c r="B53" s="3" t="s">
        <v>28</v>
      </c>
      <c r="C53" s="3" t="s">
        <v>23</v>
      </c>
      <c r="D53" s="7"/>
      <c r="E53" s="7">
        <v>558148.81999999995</v>
      </c>
      <c r="F53" s="4" t="str">
        <f t="shared" si="2"/>
        <v/>
      </c>
      <c r="G53" s="5" t="str">
        <f t="shared" si="3"/>
        <v/>
      </c>
      <c r="H53" s="3" t="s">
        <v>18</v>
      </c>
      <c r="I53" s="8" t="s">
        <v>19</v>
      </c>
    </row>
    <row r="54" spans="1:9" x14ac:dyDescent="0.3">
      <c r="A54" s="3" t="s">
        <v>77</v>
      </c>
      <c r="B54" s="3" t="s">
        <v>34</v>
      </c>
      <c r="C54" s="3" t="s">
        <v>17</v>
      </c>
      <c r="D54" s="7">
        <v>28953604.52</v>
      </c>
      <c r="E54" s="7">
        <v>28953604.52</v>
      </c>
      <c r="F54" s="4">
        <f t="shared" si="2"/>
        <v>0</v>
      </c>
      <c r="G54" s="5">
        <f t="shared" si="3"/>
        <v>0</v>
      </c>
      <c r="H54" s="3" t="s">
        <v>24</v>
      </c>
      <c r="I54" s="8"/>
    </row>
    <row r="55" spans="1:9" x14ac:dyDescent="0.3">
      <c r="A55" s="3" t="s">
        <v>78</v>
      </c>
      <c r="B55" s="3" t="s">
        <v>22</v>
      </c>
      <c r="C55" s="3" t="s">
        <v>42</v>
      </c>
      <c r="D55" s="7">
        <v>1600063.62</v>
      </c>
      <c r="E55" s="7">
        <v>1600063.62</v>
      </c>
      <c r="F55" s="4">
        <f t="shared" si="2"/>
        <v>0</v>
      </c>
      <c r="G55" s="5">
        <f t="shared" si="3"/>
        <v>0</v>
      </c>
      <c r="H55" s="3" t="s">
        <v>24</v>
      </c>
      <c r="I55" s="8"/>
    </row>
    <row r="56" spans="1:9" x14ac:dyDescent="0.3">
      <c r="A56" s="3" t="s">
        <v>79</v>
      </c>
      <c r="B56" s="3" t="s">
        <v>22</v>
      </c>
      <c r="C56" s="3" t="s">
        <v>23</v>
      </c>
      <c r="D56" s="7">
        <v>1374893.17</v>
      </c>
      <c r="E56" s="7">
        <v>1374893.17</v>
      </c>
      <c r="F56" s="4">
        <f t="shared" si="2"/>
        <v>0</v>
      </c>
      <c r="G56" s="5">
        <f t="shared" si="3"/>
        <v>0</v>
      </c>
      <c r="H56" s="3" t="s">
        <v>24</v>
      </c>
      <c r="I56" s="8"/>
    </row>
    <row r="57" spans="1:9" ht="22.8" x14ac:dyDescent="0.3">
      <c r="A57" s="3" t="s">
        <v>79</v>
      </c>
      <c r="B57" s="3" t="s">
        <v>28</v>
      </c>
      <c r="C57" s="3" t="s">
        <v>23</v>
      </c>
      <c r="D57" s="7">
        <v>558148.81999999995</v>
      </c>
      <c r="E57" s="7"/>
      <c r="F57" s="4" t="str">
        <f t="shared" si="2"/>
        <v/>
      </c>
      <c r="G57" s="5" t="str">
        <f t="shared" si="3"/>
        <v/>
      </c>
      <c r="H57" s="3" t="s">
        <v>73</v>
      </c>
      <c r="I57" s="8" t="s">
        <v>74</v>
      </c>
    </row>
    <row r="59" spans="1:9" x14ac:dyDescent="0.3">
      <c r="A59" s="17" t="s">
        <v>80</v>
      </c>
      <c r="B59" s="17"/>
      <c r="C59" s="17"/>
      <c r="D59" s="9">
        <f>SUMIFS(D5:D57,$H$5:$H$57,"Casado")</f>
        <v>677058692.81000006</v>
      </c>
      <c r="E59" s="9">
        <f>SUMIFS(E5:E57,$H$5:$H$57,"Casado")</f>
        <v>689363450.13</v>
      </c>
      <c r="F59" s="9">
        <f>SUMIFS(F5:F57,$H$5:$H$57,"Casado")</f>
        <v>12304757.319999993</v>
      </c>
      <c r="G59" s="10">
        <f>F59/E59</f>
        <v>1.7849448382677619E-2</v>
      </c>
      <c r="H59" s="11"/>
      <c r="I59" s="11"/>
    </row>
    <row r="60" spans="1:9" x14ac:dyDescent="0.3">
      <c r="A60" s="18" t="s">
        <v>81</v>
      </c>
      <c r="B60" s="18"/>
      <c r="C60" s="18"/>
      <c r="D60" s="12">
        <f>SUMIFS(D5:D57,$H$5:$H$57,"Só na base (sem RP)")</f>
        <v>11479061.630000001</v>
      </c>
    </row>
    <row r="61" spans="1:9" x14ac:dyDescent="0.3">
      <c r="A61" s="18" t="s">
        <v>82</v>
      </c>
      <c r="B61" s="18"/>
      <c r="C61" s="18"/>
      <c r="E61" s="12">
        <f>SUMIFS(E5:E57,$H$5:$H$57,"Só na planilha c/ RP")</f>
        <v>13889326.83</v>
      </c>
    </row>
  </sheetData>
  <mergeCells count="5">
    <mergeCell ref="A1:I1"/>
    <mergeCell ref="A2:I2"/>
    <mergeCell ref="A59:C59"/>
    <mergeCell ref="A60:C60"/>
    <mergeCell ref="A61:C6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4" topLeftCell="A5" activePane="bottomLeft" state="frozen"/>
      <selection pane="bottomLeft" sqref="A1:I1"/>
    </sheetView>
  </sheetViews>
  <sheetFormatPr defaultColWidth="8.6640625" defaultRowHeight="14.4" x14ac:dyDescent="0.3"/>
  <cols>
    <col min="1" max="2" width="16" customWidth="1"/>
    <col min="3" max="3" width="14" customWidth="1"/>
    <col min="4" max="6" width="22" customWidth="1"/>
    <col min="7" max="7" width="13" customWidth="1"/>
    <col min="8" max="8" width="20" customWidth="1"/>
    <col min="9" max="9" width="42" customWidth="1"/>
  </cols>
  <sheetData>
    <row r="1" spans="1:9" ht="17.399999999999999" x14ac:dyDescent="0.3">
      <c r="A1" s="16" t="s">
        <v>83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5" t="s">
        <v>84</v>
      </c>
      <c r="B2" s="15"/>
      <c r="C2" s="15"/>
      <c r="D2" s="15"/>
      <c r="E2" s="15"/>
      <c r="F2" s="15"/>
      <c r="G2" s="15"/>
      <c r="H2" s="15"/>
      <c r="I2" s="15"/>
    </row>
    <row r="4" spans="1:9" ht="26.4" x14ac:dyDescent="0.3">
      <c r="A4" s="2" t="s">
        <v>9</v>
      </c>
      <c r="B4" s="2" t="s">
        <v>10</v>
      </c>
      <c r="C4" s="2" t="s">
        <v>11</v>
      </c>
      <c r="D4" s="2" t="s">
        <v>3</v>
      </c>
      <c r="E4" s="2" t="s">
        <v>4</v>
      </c>
      <c r="F4" s="2" t="s">
        <v>5</v>
      </c>
      <c r="G4" s="2" t="s">
        <v>12</v>
      </c>
      <c r="H4" s="2" t="s">
        <v>13</v>
      </c>
      <c r="I4" s="2" t="s">
        <v>14</v>
      </c>
    </row>
    <row r="5" spans="1:9" x14ac:dyDescent="0.3">
      <c r="A5" s="3" t="s">
        <v>21</v>
      </c>
      <c r="B5" s="3" t="s">
        <v>22</v>
      </c>
      <c r="C5" s="3" t="s">
        <v>23</v>
      </c>
      <c r="D5" s="7">
        <v>39131335.780000001</v>
      </c>
      <c r="E5" s="7">
        <v>39631335.780000001</v>
      </c>
      <c r="F5" s="4">
        <f t="shared" ref="F5:F50" si="0">IF(H5="Casado",E5-D5,"")</f>
        <v>500000</v>
      </c>
      <c r="G5" s="5">
        <f t="shared" ref="G5:G50" si="1">IF(H5&lt;&gt;"Casado","",IF(E5=0,0,F5/E5))</f>
        <v>1.2616279268899272E-2</v>
      </c>
      <c r="H5" s="3" t="s">
        <v>24</v>
      </c>
      <c r="I5" s="8"/>
    </row>
    <row r="6" spans="1:9" x14ac:dyDescent="0.3">
      <c r="A6" s="3" t="s">
        <v>25</v>
      </c>
      <c r="B6" s="3" t="s">
        <v>22</v>
      </c>
      <c r="C6" s="3" t="s">
        <v>23</v>
      </c>
      <c r="D6" s="7">
        <v>4267004.2300000004</v>
      </c>
      <c r="E6" s="7">
        <v>4767004.2300000004</v>
      </c>
      <c r="F6" s="4">
        <f t="shared" si="0"/>
        <v>500000</v>
      </c>
      <c r="G6" s="5">
        <f t="shared" si="1"/>
        <v>0.10488767701387165</v>
      </c>
      <c r="H6" s="3" t="s">
        <v>24</v>
      </c>
      <c r="I6" s="8"/>
    </row>
    <row r="7" spans="1:9" x14ac:dyDescent="0.3">
      <c r="A7" s="3" t="s">
        <v>26</v>
      </c>
      <c r="B7" s="3" t="s">
        <v>16</v>
      </c>
      <c r="C7" s="3" t="s">
        <v>23</v>
      </c>
      <c r="D7" s="7">
        <v>32168826.77</v>
      </c>
      <c r="E7" s="7">
        <v>32168826.77</v>
      </c>
      <c r="F7" s="4">
        <f t="shared" si="0"/>
        <v>0</v>
      </c>
      <c r="G7" s="5">
        <f t="shared" si="1"/>
        <v>0</v>
      </c>
      <c r="H7" s="3" t="s">
        <v>24</v>
      </c>
      <c r="I7" s="8"/>
    </row>
    <row r="8" spans="1:9" x14ac:dyDescent="0.3">
      <c r="A8" s="3" t="s">
        <v>27</v>
      </c>
      <c r="B8" s="3" t="s">
        <v>28</v>
      </c>
      <c r="C8" s="3" t="s">
        <v>17</v>
      </c>
      <c r="D8" s="7">
        <v>26866861.93</v>
      </c>
      <c r="E8" s="7">
        <v>27666861.93</v>
      </c>
      <c r="F8" s="4">
        <f t="shared" si="0"/>
        <v>800000</v>
      </c>
      <c r="G8" s="5">
        <f t="shared" si="1"/>
        <v>2.8915458573656894E-2</v>
      </c>
      <c r="H8" s="3" t="s">
        <v>24</v>
      </c>
      <c r="I8" s="8"/>
    </row>
    <row r="9" spans="1:9" x14ac:dyDescent="0.3">
      <c r="A9" s="3" t="s">
        <v>29</v>
      </c>
      <c r="B9" s="3" t="s">
        <v>16</v>
      </c>
      <c r="C9" s="3" t="s">
        <v>23</v>
      </c>
      <c r="D9" s="7">
        <v>20300895.829999998</v>
      </c>
      <c r="E9" s="7">
        <v>20351500.199999999</v>
      </c>
      <c r="F9" s="4">
        <f t="shared" si="0"/>
        <v>50604.370000001043</v>
      </c>
      <c r="G9" s="5">
        <f t="shared" si="1"/>
        <v>2.4865179226443977E-3</v>
      </c>
      <c r="H9" s="3" t="s">
        <v>24</v>
      </c>
      <c r="I9" s="8"/>
    </row>
    <row r="10" spans="1:9" x14ac:dyDescent="0.3">
      <c r="A10" s="3" t="s">
        <v>30</v>
      </c>
      <c r="B10" s="3" t="s">
        <v>28</v>
      </c>
      <c r="C10" s="3" t="s">
        <v>17</v>
      </c>
      <c r="D10" s="7">
        <v>8410678.3100000005</v>
      </c>
      <c r="E10" s="7">
        <v>9210678.3100000005</v>
      </c>
      <c r="F10" s="4">
        <f t="shared" si="0"/>
        <v>800000</v>
      </c>
      <c r="G10" s="5">
        <f t="shared" si="1"/>
        <v>8.6855709544371218E-2</v>
      </c>
      <c r="H10" s="3" t="s">
        <v>24</v>
      </c>
      <c r="I10" s="8"/>
    </row>
    <row r="11" spans="1:9" x14ac:dyDescent="0.3">
      <c r="A11" s="3" t="s">
        <v>31</v>
      </c>
      <c r="B11" s="3" t="s">
        <v>22</v>
      </c>
      <c r="C11" s="3" t="s">
        <v>23</v>
      </c>
      <c r="D11" s="7">
        <v>34404476.340000004</v>
      </c>
      <c r="E11" s="7">
        <v>35004476.340000004</v>
      </c>
      <c r="F11" s="4">
        <f t="shared" si="0"/>
        <v>600000</v>
      </c>
      <c r="G11" s="5">
        <f t="shared" si="1"/>
        <v>1.7140664930169899E-2</v>
      </c>
      <c r="H11" s="3" t="s">
        <v>24</v>
      </c>
      <c r="I11" s="8"/>
    </row>
    <row r="12" spans="1:9" x14ac:dyDescent="0.3">
      <c r="A12" s="3" t="s">
        <v>32</v>
      </c>
      <c r="B12" s="3" t="s">
        <v>22</v>
      </c>
      <c r="C12" s="3" t="s">
        <v>17</v>
      </c>
      <c r="D12" s="7">
        <v>70775630.75</v>
      </c>
      <c r="E12" s="7">
        <v>73002118.819999993</v>
      </c>
      <c r="F12" s="4">
        <f t="shared" si="0"/>
        <v>2226488.0699999928</v>
      </c>
      <c r="G12" s="5">
        <f t="shared" si="1"/>
        <v>3.0498951345368539E-2</v>
      </c>
      <c r="H12" s="3" t="s">
        <v>24</v>
      </c>
      <c r="I12" s="8"/>
    </row>
    <row r="13" spans="1:9" x14ac:dyDescent="0.3">
      <c r="A13" s="3" t="s">
        <v>33</v>
      </c>
      <c r="B13" s="3" t="s">
        <v>34</v>
      </c>
      <c r="C13" s="3" t="s">
        <v>17</v>
      </c>
      <c r="D13" s="7">
        <v>34514568.789999999</v>
      </c>
      <c r="E13" s="7">
        <v>35814568.789999999</v>
      </c>
      <c r="F13" s="4">
        <f t="shared" si="0"/>
        <v>1300000</v>
      </c>
      <c r="G13" s="5">
        <f t="shared" si="1"/>
        <v>3.6298077679577725E-2</v>
      </c>
      <c r="H13" s="3" t="s">
        <v>24</v>
      </c>
      <c r="I13" s="8"/>
    </row>
    <row r="14" spans="1:9" x14ac:dyDescent="0.3">
      <c r="A14" s="3" t="s">
        <v>35</v>
      </c>
      <c r="B14" s="3" t="s">
        <v>34</v>
      </c>
      <c r="C14" s="3" t="s">
        <v>17</v>
      </c>
      <c r="D14" s="7">
        <v>30464839.949999999</v>
      </c>
      <c r="E14" s="7">
        <v>31264839.949999999</v>
      </c>
      <c r="F14" s="4">
        <f t="shared" si="0"/>
        <v>800000</v>
      </c>
      <c r="G14" s="5">
        <f t="shared" si="1"/>
        <v>2.5587848883262876E-2</v>
      </c>
      <c r="H14" s="3" t="s">
        <v>24</v>
      </c>
      <c r="I14" s="8"/>
    </row>
    <row r="15" spans="1:9" x14ac:dyDescent="0.3">
      <c r="A15" s="3" t="s">
        <v>36</v>
      </c>
      <c r="B15" s="3" t="s">
        <v>28</v>
      </c>
      <c r="C15" s="3" t="s">
        <v>17</v>
      </c>
      <c r="D15" s="7">
        <v>15748303.050000001</v>
      </c>
      <c r="E15" s="7">
        <v>16548303.050000001</v>
      </c>
      <c r="F15" s="4">
        <f t="shared" si="0"/>
        <v>800000</v>
      </c>
      <c r="G15" s="5">
        <f t="shared" si="1"/>
        <v>4.8343325450521044E-2</v>
      </c>
      <c r="H15" s="3" t="s">
        <v>24</v>
      </c>
      <c r="I15" s="8"/>
    </row>
    <row r="16" spans="1:9" x14ac:dyDescent="0.3">
      <c r="A16" s="3" t="s">
        <v>37</v>
      </c>
      <c r="B16" s="3" t="s">
        <v>28</v>
      </c>
      <c r="C16" s="3" t="s">
        <v>17</v>
      </c>
      <c r="D16" s="7">
        <v>193539.39</v>
      </c>
      <c r="E16" s="7">
        <v>193539.39</v>
      </c>
      <c r="F16" s="4">
        <f t="shared" si="0"/>
        <v>0</v>
      </c>
      <c r="G16" s="5">
        <f t="shared" si="1"/>
        <v>0</v>
      </c>
      <c r="H16" s="3" t="s">
        <v>24</v>
      </c>
      <c r="I16" s="8"/>
    </row>
    <row r="17" spans="1:9" x14ac:dyDescent="0.3">
      <c r="A17" s="3" t="s">
        <v>38</v>
      </c>
      <c r="B17" s="3" t="s">
        <v>28</v>
      </c>
      <c r="C17" s="3" t="s">
        <v>17</v>
      </c>
      <c r="D17" s="7">
        <v>35956475.229999997</v>
      </c>
      <c r="E17" s="7">
        <v>37355360.200000003</v>
      </c>
      <c r="F17" s="4">
        <f t="shared" si="0"/>
        <v>1398884.9700000063</v>
      </c>
      <c r="G17" s="5">
        <f t="shared" si="1"/>
        <v>3.7448038581622517E-2</v>
      </c>
      <c r="H17" s="3" t="s">
        <v>24</v>
      </c>
      <c r="I17" s="8"/>
    </row>
    <row r="18" spans="1:9" x14ac:dyDescent="0.3">
      <c r="A18" s="3" t="s">
        <v>39</v>
      </c>
      <c r="B18" s="3" t="s">
        <v>16</v>
      </c>
      <c r="C18" s="3" t="s">
        <v>17</v>
      </c>
      <c r="D18" s="7">
        <v>44425386.009999998</v>
      </c>
      <c r="E18" s="7">
        <v>46834250.189999998</v>
      </c>
      <c r="F18" s="4">
        <f t="shared" si="0"/>
        <v>2408864.1799999997</v>
      </c>
      <c r="G18" s="5">
        <f t="shared" si="1"/>
        <v>5.1433815428400691E-2</v>
      </c>
      <c r="H18" s="3" t="s">
        <v>24</v>
      </c>
      <c r="I18" s="8"/>
    </row>
    <row r="19" spans="1:9" x14ac:dyDescent="0.3">
      <c r="A19" s="3" t="s">
        <v>40</v>
      </c>
      <c r="B19" s="3" t="s">
        <v>34</v>
      </c>
      <c r="C19" s="3" t="s">
        <v>17</v>
      </c>
      <c r="D19" s="7">
        <v>38934193.079999998</v>
      </c>
      <c r="E19" s="7">
        <v>38934193.079999998</v>
      </c>
      <c r="F19" s="4">
        <f t="shared" si="0"/>
        <v>0</v>
      </c>
      <c r="G19" s="5">
        <f t="shared" si="1"/>
        <v>0</v>
      </c>
      <c r="H19" s="3" t="s">
        <v>24</v>
      </c>
      <c r="I19" s="8"/>
    </row>
    <row r="20" spans="1:9" x14ac:dyDescent="0.3">
      <c r="A20" s="3" t="s">
        <v>41</v>
      </c>
      <c r="B20" s="3" t="s">
        <v>22</v>
      </c>
      <c r="C20" s="3" t="s">
        <v>42</v>
      </c>
      <c r="D20" s="7">
        <v>4567926.09</v>
      </c>
      <c r="E20" s="7">
        <v>5067926.09</v>
      </c>
      <c r="F20" s="4">
        <f t="shared" si="0"/>
        <v>500000</v>
      </c>
      <c r="G20" s="5">
        <f t="shared" si="1"/>
        <v>9.8659686649060815E-2</v>
      </c>
      <c r="H20" s="3" t="s">
        <v>24</v>
      </c>
      <c r="I20" s="8"/>
    </row>
    <row r="21" spans="1:9" x14ac:dyDescent="0.3">
      <c r="A21" s="3" t="s">
        <v>44</v>
      </c>
      <c r="B21" s="3" t="s">
        <v>28</v>
      </c>
      <c r="C21" s="3" t="s">
        <v>17</v>
      </c>
      <c r="D21" s="7">
        <v>34419756.390000001</v>
      </c>
      <c r="E21" s="7">
        <v>35719756.390000001</v>
      </c>
      <c r="F21" s="4">
        <f t="shared" si="0"/>
        <v>1300000</v>
      </c>
      <c r="G21" s="5">
        <f t="shared" si="1"/>
        <v>3.6394425141262843E-2</v>
      </c>
      <c r="H21" s="3" t="s">
        <v>24</v>
      </c>
      <c r="I21" s="8"/>
    </row>
    <row r="22" spans="1:9" x14ac:dyDescent="0.3">
      <c r="A22" s="3" t="s">
        <v>45</v>
      </c>
      <c r="B22" s="3" t="s">
        <v>28</v>
      </c>
      <c r="C22" s="3" t="s">
        <v>17</v>
      </c>
      <c r="D22" s="7">
        <v>447415.47</v>
      </c>
      <c r="E22" s="7">
        <v>1764475.64</v>
      </c>
      <c r="F22" s="4">
        <f t="shared" si="0"/>
        <v>1317060.17</v>
      </c>
      <c r="G22" s="5">
        <f t="shared" si="1"/>
        <v>0.7464314837466387</v>
      </c>
      <c r="H22" s="3" t="s">
        <v>24</v>
      </c>
      <c r="I22" s="8"/>
    </row>
    <row r="23" spans="1:9" x14ac:dyDescent="0.3">
      <c r="A23" s="3" t="s">
        <v>46</v>
      </c>
      <c r="B23" s="3" t="s">
        <v>16</v>
      </c>
      <c r="C23" s="3" t="s">
        <v>17</v>
      </c>
      <c r="D23" s="7">
        <v>9921695.8599999994</v>
      </c>
      <c r="E23" s="7">
        <v>10090603.210000001</v>
      </c>
      <c r="F23" s="4">
        <f t="shared" si="0"/>
        <v>168907.35000000149</v>
      </c>
      <c r="G23" s="5">
        <f t="shared" si="1"/>
        <v>1.6739073619762467E-2</v>
      </c>
      <c r="H23" s="3" t="s">
        <v>24</v>
      </c>
      <c r="I23" s="8"/>
    </row>
    <row r="24" spans="1:9" x14ac:dyDescent="0.3">
      <c r="A24" s="3" t="s">
        <v>47</v>
      </c>
      <c r="B24" s="3" t="s">
        <v>16</v>
      </c>
      <c r="C24" s="3" t="s">
        <v>17</v>
      </c>
      <c r="D24" s="7">
        <v>56611673.340000004</v>
      </c>
      <c r="E24" s="7">
        <v>57411673.340000004</v>
      </c>
      <c r="F24" s="4">
        <f t="shared" si="0"/>
        <v>800000</v>
      </c>
      <c r="G24" s="5">
        <f t="shared" si="1"/>
        <v>1.3934448404983556E-2</v>
      </c>
      <c r="H24" s="3" t="s">
        <v>24</v>
      </c>
      <c r="I24" s="8"/>
    </row>
    <row r="25" spans="1:9" x14ac:dyDescent="0.3">
      <c r="A25" s="3" t="s">
        <v>48</v>
      </c>
      <c r="B25" s="3" t="s">
        <v>16</v>
      </c>
      <c r="C25" s="3" t="s">
        <v>17</v>
      </c>
      <c r="D25" s="7">
        <v>23222734.32</v>
      </c>
      <c r="E25" s="7">
        <v>24522734.32</v>
      </c>
      <c r="F25" s="4">
        <f t="shared" si="0"/>
        <v>1300000</v>
      </c>
      <c r="G25" s="5">
        <f t="shared" si="1"/>
        <v>5.301203295832143E-2</v>
      </c>
      <c r="H25" s="3" t="s">
        <v>24</v>
      </c>
      <c r="I25" s="8"/>
    </row>
    <row r="26" spans="1:9" x14ac:dyDescent="0.3">
      <c r="A26" s="3" t="s">
        <v>50</v>
      </c>
      <c r="B26" s="3" t="s">
        <v>51</v>
      </c>
      <c r="C26" s="3" t="s">
        <v>17</v>
      </c>
      <c r="D26" s="7">
        <v>4773569.34</v>
      </c>
      <c r="E26" s="7">
        <v>4936854.21</v>
      </c>
      <c r="F26" s="4">
        <f t="shared" si="0"/>
        <v>163284.87000000011</v>
      </c>
      <c r="G26" s="5">
        <f t="shared" si="1"/>
        <v>3.3074679351327275E-2</v>
      </c>
      <c r="H26" s="3" t="s">
        <v>24</v>
      </c>
      <c r="I26" s="8"/>
    </row>
    <row r="27" spans="1:9" x14ac:dyDescent="0.3">
      <c r="A27" s="3" t="s">
        <v>52</v>
      </c>
      <c r="B27" s="3" t="s">
        <v>51</v>
      </c>
      <c r="C27" s="3" t="s">
        <v>17</v>
      </c>
      <c r="D27" s="7">
        <v>16338416.029999999</v>
      </c>
      <c r="E27" s="7">
        <v>16424968.869999999</v>
      </c>
      <c r="F27" s="4">
        <f t="shared" si="0"/>
        <v>86552.839999999851</v>
      </c>
      <c r="G27" s="5">
        <f t="shared" si="1"/>
        <v>5.2695892872033096E-3</v>
      </c>
      <c r="H27" s="3" t="s">
        <v>24</v>
      </c>
      <c r="I27" s="8"/>
    </row>
    <row r="28" spans="1:9" x14ac:dyDescent="0.3">
      <c r="A28" s="3" t="s">
        <v>53</v>
      </c>
      <c r="B28" s="3" t="s">
        <v>51</v>
      </c>
      <c r="C28" s="3" t="s">
        <v>17</v>
      </c>
      <c r="D28" s="7">
        <v>12494501.699999999</v>
      </c>
      <c r="E28" s="7">
        <v>12747922.42</v>
      </c>
      <c r="F28" s="4">
        <f t="shared" si="0"/>
        <v>253420.72000000067</v>
      </c>
      <c r="G28" s="5">
        <f t="shared" si="1"/>
        <v>1.9879374195313049E-2</v>
      </c>
      <c r="H28" s="3" t="s">
        <v>24</v>
      </c>
      <c r="I28" s="8"/>
    </row>
    <row r="29" spans="1:9" x14ac:dyDescent="0.3">
      <c r="A29" s="3" t="s">
        <v>54</v>
      </c>
      <c r="B29" s="3" t="s">
        <v>51</v>
      </c>
      <c r="C29" s="3" t="s">
        <v>17</v>
      </c>
      <c r="D29" s="7">
        <v>16033862.130000001</v>
      </c>
      <c r="E29" s="7">
        <v>16162530.220000001</v>
      </c>
      <c r="F29" s="4">
        <f t="shared" si="0"/>
        <v>128668.08999999985</v>
      </c>
      <c r="G29" s="5">
        <f t="shared" si="1"/>
        <v>7.9608878219316233E-3</v>
      </c>
      <c r="H29" s="3" t="s">
        <v>24</v>
      </c>
      <c r="I29" s="8"/>
    </row>
    <row r="30" spans="1:9" x14ac:dyDescent="0.3">
      <c r="A30" s="3" t="s">
        <v>58</v>
      </c>
      <c r="B30" s="3" t="s">
        <v>22</v>
      </c>
      <c r="C30" s="3" t="s">
        <v>17</v>
      </c>
      <c r="D30" s="7">
        <v>81522.77</v>
      </c>
      <c r="E30" s="7">
        <v>81522.77</v>
      </c>
      <c r="F30" s="4">
        <f t="shared" si="0"/>
        <v>0</v>
      </c>
      <c r="G30" s="5">
        <f t="shared" si="1"/>
        <v>0</v>
      </c>
      <c r="H30" s="3" t="s">
        <v>24</v>
      </c>
      <c r="I30" s="8"/>
    </row>
    <row r="31" spans="1:9" x14ac:dyDescent="0.3">
      <c r="A31" s="3" t="s">
        <v>59</v>
      </c>
      <c r="B31" s="3" t="s">
        <v>28</v>
      </c>
      <c r="C31" s="3" t="s">
        <v>17</v>
      </c>
      <c r="D31" s="7">
        <v>32422626.370000001</v>
      </c>
      <c r="E31" s="7">
        <v>33222626.370000001</v>
      </c>
      <c r="F31" s="4">
        <f t="shared" si="0"/>
        <v>800000</v>
      </c>
      <c r="G31" s="5">
        <f t="shared" si="1"/>
        <v>2.4079974626039776E-2</v>
      </c>
      <c r="H31" s="3" t="s">
        <v>24</v>
      </c>
      <c r="I31" s="8"/>
    </row>
    <row r="32" spans="1:9" x14ac:dyDescent="0.3">
      <c r="A32" s="3" t="s">
        <v>60</v>
      </c>
      <c r="B32" s="3" t="s">
        <v>22</v>
      </c>
      <c r="C32" s="3" t="s">
        <v>17</v>
      </c>
      <c r="D32" s="7">
        <v>172207.6</v>
      </c>
      <c r="E32" s="7">
        <v>172207.6</v>
      </c>
      <c r="F32" s="4">
        <f t="shared" si="0"/>
        <v>0</v>
      </c>
      <c r="G32" s="5">
        <f t="shared" si="1"/>
        <v>0</v>
      </c>
      <c r="H32" s="3" t="s">
        <v>24</v>
      </c>
      <c r="I32" s="8"/>
    </row>
    <row r="33" spans="1:9" x14ac:dyDescent="0.3">
      <c r="A33" s="3" t="s">
        <v>85</v>
      </c>
      <c r="B33" s="3" t="s">
        <v>28</v>
      </c>
      <c r="C33" s="3" t="s">
        <v>17</v>
      </c>
      <c r="D33" s="7">
        <v>8642922.3699999992</v>
      </c>
      <c r="E33" s="7">
        <v>8642922.3699999992</v>
      </c>
      <c r="F33" s="4">
        <f t="shared" si="0"/>
        <v>0</v>
      </c>
      <c r="G33" s="5">
        <f t="shared" si="1"/>
        <v>0</v>
      </c>
      <c r="H33" s="3" t="s">
        <v>24</v>
      </c>
      <c r="I33" s="8"/>
    </row>
    <row r="34" spans="1:9" ht="22.8" x14ac:dyDescent="0.3">
      <c r="A34" s="3" t="s">
        <v>61</v>
      </c>
      <c r="B34" s="3" t="s">
        <v>16</v>
      </c>
      <c r="C34" s="3" t="s">
        <v>62</v>
      </c>
      <c r="D34" s="7">
        <v>23350268.370000001</v>
      </c>
      <c r="E34" s="7"/>
      <c r="F34" s="4" t="str">
        <f t="shared" si="0"/>
        <v/>
      </c>
      <c r="G34" s="5" t="str">
        <f t="shared" si="1"/>
        <v/>
      </c>
      <c r="H34" s="3" t="s">
        <v>73</v>
      </c>
      <c r="I34" s="8" t="s">
        <v>74</v>
      </c>
    </row>
    <row r="35" spans="1:9" x14ac:dyDescent="0.3">
      <c r="A35" s="3" t="s">
        <v>63</v>
      </c>
      <c r="B35" s="3" t="s">
        <v>34</v>
      </c>
      <c r="C35" s="3" t="s">
        <v>17</v>
      </c>
      <c r="D35" s="7">
        <v>11123724.710000001</v>
      </c>
      <c r="E35" s="7">
        <v>11623724.710000001</v>
      </c>
      <c r="F35" s="4">
        <f t="shared" si="0"/>
        <v>500000</v>
      </c>
      <c r="G35" s="5">
        <f t="shared" si="1"/>
        <v>4.301547158716218E-2</v>
      </c>
      <c r="H35" s="3" t="s">
        <v>24</v>
      </c>
      <c r="I35" s="8"/>
    </row>
    <row r="36" spans="1:9" x14ac:dyDescent="0.3">
      <c r="A36" s="3" t="s">
        <v>86</v>
      </c>
      <c r="B36" s="3" t="s">
        <v>28</v>
      </c>
      <c r="C36" s="3" t="s">
        <v>17</v>
      </c>
      <c r="D36" s="7">
        <v>21807371.469999999</v>
      </c>
      <c r="E36" s="7">
        <v>21807371.469999999</v>
      </c>
      <c r="F36" s="4">
        <f t="shared" si="0"/>
        <v>0</v>
      </c>
      <c r="G36" s="5">
        <f t="shared" si="1"/>
        <v>0</v>
      </c>
      <c r="H36" s="3" t="s">
        <v>24</v>
      </c>
      <c r="I36" s="8"/>
    </row>
    <row r="37" spans="1:9" x14ac:dyDescent="0.3">
      <c r="A37" s="3" t="s">
        <v>64</v>
      </c>
      <c r="B37" s="3" t="s">
        <v>22</v>
      </c>
      <c r="C37" s="3" t="s">
        <v>42</v>
      </c>
      <c r="D37" s="7">
        <v>153364.94</v>
      </c>
      <c r="E37" s="7">
        <v>554929.91</v>
      </c>
      <c r="F37" s="4">
        <f t="shared" si="0"/>
        <v>401564.97000000003</v>
      </c>
      <c r="G37" s="5">
        <f t="shared" si="1"/>
        <v>0.72363187271704277</v>
      </c>
      <c r="H37" s="3" t="s">
        <v>24</v>
      </c>
      <c r="I37" s="8"/>
    </row>
    <row r="38" spans="1:9" x14ac:dyDescent="0.3">
      <c r="A38" s="3" t="s">
        <v>87</v>
      </c>
      <c r="B38" s="3" t="s">
        <v>28</v>
      </c>
      <c r="C38" s="3" t="s">
        <v>17</v>
      </c>
      <c r="D38" s="7">
        <v>13026376.41</v>
      </c>
      <c r="E38" s="7">
        <v>13026376.41</v>
      </c>
      <c r="F38" s="4">
        <f t="shared" si="0"/>
        <v>0</v>
      </c>
      <c r="G38" s="5">
        <f t="shared" si="1"/>
        <v>0</v>
      </c>
      <c r="H38" s="3" t="s">
        <v>24</v>
      </c>
      <c r="I38" s="8"/>
    </row>
    <row r="39" spans="1:9" x14ac:dyDescent="0.3">
      <c r="A39" s="3" t="s">
        <v>65</v>
      </c>
      <c r="B39" s="3" t="s">
        <v>22</v>
      </c>
      <c r="C39" s="3" t="s">
        <v>17</v>
      </c>
      <c r="D39" s="7">
        <v>39138589.810000002</v>
      </c>
      <c r="E39" s="7">
        <v>39165737.710000001</v>
      </c>
      <c r="F39" s="4">
        <f t="shared" si="0"/>
        <v>27147.89999999851</v>
      </c>
      <c r="G39" s="5">
        <f t="shared" si="1"/>
        <v>6.9315431260386974E-4</v>
      </c>
      <c r="H39" s="3" t="s">
        <v>24</v>
      </c>
      <c r="I39" s="8"/>
    </row>
    <row r="40" spans="1:9" x14ac:dyDescent="0.3">
      <c r="A40" s="3" t="s">
        <v>66</v>
      </c>
      <c r="B40" s="3" t="s">
        <v>28</v>
      </c>
      <c r="C40" s="3" t="s">
        <v>17</v>
      </c>
      <c r="D40" s="7">
        <v>9243976</v>
      </c>
      <c r="E40" s="7">
        <v>10043976</v>
      </c>
      <c r="F40" s="4">
        <f t="shared" si="0"/>
        <v>800000</v>
      </c>
      <c r="G40" s="5">
        <f t="shared" si="1"/>
        <v>7.964973233707448E-2</v>
      </c>
      <c r="H40" s="3" t="s">
        <v>24</v>
      </c>
      <c r="I40" s="8"/>
    </row>
    <row r="41" spans="1:9" x14ac:dyDescent="0.3">
      <c r="A41" s="3" t="s">
        <v>67</v>
      </c>
      <c r="B41" s="3" t="s">
        <v>28</v>
      </c>
      <c r="C41" s="3" t="s">
        <v>17</v>
      </c>
      <c r="D41" s="7">
        <v>31441685.149999999</v>
      </c>
      <c r="E41" s="7">
        <v>35751685.149999999</v>
      </c>
      <c r="F41" s="4">
        <f t="shared" si="0"/>
        <v>4310000</v>
      </c>
      <c r="G41" s="5">
        <f t="shared" si="1"/>
        <v>0.12055375800936198</v>
      </c>
      <c r="H41" s="3" t="s">
        <v>24</v>
      </c>
      <c r="I41" s="8"/>
    </row>
    <row r="42" spans="1:9" ht="22.8" x14ac:dyDescent="0.3">
      <c r="A42" s="3" t="s">
        <v>68</v>
      </c>
      <c r="B42" s="3" t="s">
        <v>34</v>
      </c>
      <c r="C42" s="3" t="s">
        <v>62</v>
      </c>
      <c r="D42" s="7">
        <v>7285203.1100000003</v>
      </c>
      <c r="E42" s="7"/>
      <c r="F42" s="4" t="str">
        <f t="shared" si="0"/>
        <v/>
      </c>
      <c r="G42" s="5" t="str">
        <f t="shared" si="1"/>
        <v/>
      </c>
      <c r="H42" s="3" t="s">
        <v>73</v>
      </c>
      <c r="I42" s="8" t="s">
        <v>74</v>
      </c>
    </row>
    <row r="43" spans="1:9" ht="22.8" x14ac:dyDescent="0.3">
      <c r="A43" s="3" t="s">
        <v>70</v>
      </c>
      <c r="B43" s="3" t="s">
        <v>28</v>
      </c>
      <c r="C43" s="3" t="s">
        <v>62</v>
      </c>
      <c r="D43" s="7">
        <v>722042.87</v>
      </c>
      <c r="E43" s="7"/>
      <c r="F43" s="4" t="str">
        <f t="shared" si="0"/>
        <v/>
      </c>
      <c r="G43" s="5" t="str">
        <f t="shared" si="1"/>
        <v/>
      </c>
      <c r="H43" s="3" t="s">
        <v>73</v>
      </c>
      <c r="I43" s="8" t="s">
        <v>74</v>
      </c>
    </row>
    <row r="44" spans="1:9" ht="22.8" x14ac:dyDescent="0.3">
      <c r="A44" s="3" t="s">
        <v>72</v>
      </c>
      <c r="B44" s="3" t="s">
        <v>16</v>
      </c>
      <c r="C44" s="3" t="s">
        <v>62</v>
      </c>
      <c r="D44" s="7">
        <v>9182819.1600000001</v>
      </c>
      <c r="E44" s="7"/>
      <c r="F44" s="4" t="str">
        <f t="shared" si="0"/>
        <v/>
      </c>
      <c r="G44" s="5" t="str">
        <f t="shared" si="1"/>
        <v/>
      </c>
      <c r="H44" s="3" t="s">
        <v>73</v>
      </c>
      <c r="I44" s="8" t="s">
        <v>74</v>
      </c>
    </row>
    <row r="45" spans="1:9" x14ac:dyDescent="0.3">
      <c r="A45" s="3" t="s">
        <v>88</v>
      </c>
      <c r="B45" s="3" t="s">
        <v>22</v>
      </c>
      <c r="C45" s="3" t="s">
        <v>89</v>
      </c>
      <c r="D45" s="7">
        <v>3173852.84</v>
      </c>
      <c r="E45" s="7">
        <v>3173852.84</v>
      </c>
      <c r="F45" s="4">
        <f t="shared" si="0"/>
        <v>0</v>
      </c>
      <c r="G45" s="5">
        <f t="shared" si="1"/>
        <v>0</v>
      </c>
      <c r="H45" s="3" t="s">
        <v>24</v>
      </c>
      <c r="I45" s="8"/>
    </row>
    <row r="46" spans="1:9" x14ac:dyDescent="0.3">
      <c r="A46" s="3" t="s">
        <v>75</v>
      </c>
      <c r="B46" s="3" t="s">
        <v>22</v>
      </c>
      <c r="C46" s="3" t="s">
        <v>42</v>
      </c>
      <c r="D46" s="7">
        <v>2532160.16</v>
      </c>
      <c r="E46" s="7">
        <v>2557601.7000000002</v>
      </c>
      <c r="F46" s="4">
        <f t="shared" si="0"/>
        <v>25441.540000000037</v>
      </c>
      <c r="G46" s="5">
        <f t="shared" si="1"/>
        <v>9.9474206636631628E-3</v>
      </c>
      <c r="H46" s="3" t="s">
        <v>24</v>
      </c>
      <c r="I46" s="8"/>
    </row>
    <row r="47" spans="1:9" x14ac:dyDescent="0.3">
      <c r="A47" s="3" t="s">
        <v>90</v>
      </c>
      <c r="B47" s="3" t="s">
        <v>22</v>
      </c>
      <c r="C47" s="3" t="s">
        <v>89</v>
      </c>
      <c r="D47" s="7">
        <v>923632.36</v>
      </c>
      <c r="E47" s="7">
        <v>923632.36</v>
      </c>
      <c r="F47" s="4">
        <f t="shared" si="0"/>
        <v>0</v>
      </c>
      <c r="G47" s="5">
        <f t="shared" si="1"/>
        <v>0</v>
      </c>
      <c r="H47" s="3" t="s">
        <v>24</v>
      </c>
      <c r="I47" s="8"/>
    </row>
    <row r="48" spans="1:9" x14ac:dyDescent="0.3">
      <c r="A48" s="3" t="s">
        <v>77</v>
      </c>
      <c r="B48" s="3" t="s">
        <v>34</v>
      </c>
      <c r="C48" s="3" t="s">
        <v>17</v>
      </c>
      <c r="D48" s="7">
        <v>27448798</v>
      </c>
      <c r="E48" s="7">
        <v>28748798</v>
      </c>
      <c r="F48" s="4">
        <f t="shared" si="0"/>
        <v>1300000</v>
      </c>
      <c r="G48" s="5">
        <f t="shared" si="1"/>
        <v>4.5219281863540871E-2</v>
      </c>
      <c r="H48" s="3" t="s">
        <v>24</v>
      </c>
      <c r="I48" s="8"/>
    </row>
    <row r="49" spans="1:9" x14ac:dyDescent="0.3">
      <c r="A49" s="3" t="s">
        <v>91</v>
      </c>
      <c r="B49" s="3" t="s">
        <v>34</v>
      </c>
      <c r="C49" s="3" t="s">
        <v>17</v>
      </c>
      <c r="D49" s="7">
        <v>8088945.2699999996</v>
      </c>
      <c r="E49" s="7">
        <v>8088945.2699999996</v>
      </c>
      <c r="F49" s="4">
        <f t="shared" si="0"/>
        <v>0</v>
      </c>
      <c r="G49" s="5">
        <f t="shared" si="1"/>
        <v>0</v>
      </c>
      <c r="H49" s="3" t="s">
        <v>24</v>
      </c>
      <c r="I49" s="8"/>
    </row>
    <row r="50" spans="1:9" x14ac:dyDescent="0.3">
      <c r="A50" s="3" t="s">
        <v>92</v>
      </c>
      <c r="B50" s="3" t="s">
        <v>34</v>
      </c>
      <c r="C50" s="3" t="s">
        <v>17</v>
      </c>
      <c r="D50" s="7">
        <v>4181021.12</v>
      </c>
      <c r="E50" s="7">
        <v>4181021.12</v>
      </c>
      <c r="F50" s="4">
        <f t="shared" si="0"/>
        <v>0</v>
      </c>
      <c r="G50" s="5">
        <f t="shared" si="1"/>
        <v>0</v>
      </c>
      <c r="H50" s="3" t="s">
        <v>24</v>
      </c>
      <c r="I50" s="8"/>
    </row>
    <row r="52" spans="1:9" x14ac:dyDescent="0.3">
      <c r="A52" s="17" t="s">
        <v>80</v>
      </c>
      <c r="B52" s="17"/>
      <c r="C52" s="17"/>
      <c r="D52" s="9">
        <f>SUMIFS(D5:D50,$H$5:$H$50,"Casado")</f>
        <v>828997343.46000016</v>
      </c>
      <c r="E52" s="9">
        <f>SUMIFS(E5:E50,$H$5:$H$50,"Casado")</f>
        <v>855364233.50000012</v>
      </c>
      <c r="F52" s="9">
        <f>SUMIFS(F5:F50,$H$5:$H$50,"Casado")</f>
        <v>26366890.039999995</v>
      </c>
      <c r="G52" s="10">
        <f>F52/E52</f>
        <v>3.0825336163649623E-2</v>
      </c>
      <c r="H52" s="11"/>
      <c r="I52" s="11"/>
    </row>
    <row r="53" spans="1:9" x14ac:dyDescent="0.3">
      <c r="A53" s="18" t="s">
        <v>81</v>
      </c>
      <c r="B53" s="18"/>
      <c r="C53" s="18"/>
      <c r="D53" s="12">
        <f>SUMIFS(D5:D50,$H$5:$H$50,"Só na base (sem RP)")</f>
        <v>40540333.510000005</v>
      </c>
    </row>
    <row r="54" spans="1:9" x14ac:dyDescent="0.3">
      <c r="A54" s="18" t="s">
        <v>82</v>
      </c>
      <c r="B54" s="18"/>
      <c r="C54" s="18"/>
      <c r="E54" s="12">
        <f>SUMIFS(E5:E50,$H$5:$H$50,"Só na planilha c/ RP")</f>
        <v>0</v>
      </c>
    </row>
  </sheetData>
  <mergeCells count="5">
    <mergeCell ref="A1:I1"/>
    <mergeCell ref="A2:I2"/>
    <mergeCell ref="A52:C52"/>
    <mergeCell ref="A53:C53"/>
    <mergeCell ref="A54:C5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zoomScaleNormal="100" workbookViewId="0">
      <selection sqref="A1:I1"/>
    </sheetView>
  </sheetViews>
  <sheetFormatPr defaultColWidth="8.6640625" defaultRowHeight="14.4" x14ac:dyDescent="0.3"/>
  <cols>
    <col min="1" max="1" width="16" customWidth="1"/>
    <col min="2" max="3" width="20" customWidth="1"/>
    <col min="4" max="4" width="16" customWidth="1"/>
    <col min="5" max="5" width="11" customWidth="1"/>
    <col min="6" max="7" width="20" customWidth="1"/>
    <col min="8" max="8" width="16" customWidth="1"/>
    <col min="9" max="9" width="11" customWidth="1"/>
  </cols>
  <sheetData>
    <row r="1" spans="1:9" ht="17.399999999999999" x14ac:dyDescent="0.3">
      <c r="A1" s="16" t="s">
        <v>93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5" t="s">
        <v>94</v>
      </c>
      <c r="B2" s="15"/>
      <c r="C2" s="15"/>
      <c r="D2" s="15"/>
      <c r="E2" s="15"/>
      <c r="F2" s="15"/>
      <c r="G2" s="15"/>
      <c r="H2" s="15"/>
      <c r="I2" s="15"/>
    </row>
    <row r="4" spans="1:9" ht="26.4" x14ac:dyDescent="0.3">
      <c r="A4" s="2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</row>
    <row r="5" spans="1:9" x14ac:dyDescent="0.3">
      <c r="A5" s="3" t="s">
        <v>34</v>
      </c>
      <c r="B5" s="4">
        <f>SUMIFS('Detalhe 2024'!D5:D57,'Detalhe 2024'!B5:B57,A5,'Detalhe 2024'!H5:H57,"Casado")</f>
        <v>157328935.38</v>
      </c>
      <c r="C5" s="4">
        <f>SUMIFS('Detalhe 2024'!E5:E57,'Detalhe 2024'!B5:B57,A5,'Detalhe 2024'!H5:H57,"Casado")</f>
        <v>157496106.56999999</v>
      </c>
      <c r="D5" s="4">
        <f>C5-B5</f>
        <v>167171.18999999762</v>
      </c>
      <c r="E5" s="5">
        <f>IF(C5=0,"",D5/C5)</f>
        <v>1.0614306197194625E-3</v>
      </c>
      <c r="F5" s="4">
        <f>SUMIFS('Detalhe 2025'!D5:D50,'Detalhe 2025'!B5:B50,A5,'Detalhe 2025'!H5:H50,"Casado")</f>
        <v>154756090.92000002</v>
      </c>
      <c r="G5" s="4">
        <f>SUMIFS('Detalhe 2025'!E5:E50,'Detalhe 2025'!B5:B50,A5,'Detalhe 2025'!H5:H50,"Casado")</f>
        <v>158656090.92000002</v>
      </c>
      <c r="H5" s="4">
        <f>G5-F5</f>
        <v>3900000</v>
      </c>
      <c r="I5" s="5">
        <f>IF(G5=0,"",H5/G5)</f>
        <v>2.4581470382794929E-2</v>
      </c>
    </row>
    <row r="6" spans="1:9" x14ac:dyDescent="0.3">
      <c r="A6" s="3" t="s">
        <v>51</v>
      </c>
      <c r="B6" s="4">
        <f>SUMIFS('Detalhe 2024'!D5:D57,'Detalhe 2024'!B5:B57,A6,'Detalhe 2024'!H5:H57,"Casado")</f>
        <v>28609506.939999998</v>
      </c>
      <c r="C6" s="4">
        <f>SUMIFS('Detalhe 2024'!E5:E57,'Detalhe 2024'!B5:B57,A6,'Detalhe 2024'!H5:H57,"Casado")</f>
        <v>31193778.549999997</v>
      </c>
      <c r="D6" s="4">
        <f>C6-B6</f>
        <v>2584271.6099999994</v>
      </c>
      <c r="E6" s="5">
        <f>IF(C6=0,"",D6/C6)</f>
        <v>8.2845738160823093E-2</v>
      </c>
      <c r="F6" s="4">
        <f>SUMIFS('Detalhe 2025'!D5:D50,'Detalhe 2025'!B5:B50,A6,'Detalhe 2025'!H5:H50,"Casado")</f>
        <v>49640349.199999996</v>
      </c>
      <c r="G6" s="4">
        <f>SUMIFS('Detalhe 2025'!E5:E50,'Detalhe 2025'!B5:B50,A6,'Detalhe 2025'!H5:H50,"Casado")</f>
        <v>50272275.719999999</v>
      </c>
      <c r="H6" s="4">
        <f>G6-F6</f>
        <v>631926.52000000328</v>
      </c>
      <c r="I6" s="5">
        <f>IF(G6=0,"",H6/G6)</f>
        <v>1.2570079849172248E-2</v>
      </c>
    </row>
    <row r="7" spans="1:9" x14ac:dyDescent="0.3">
      <c r="A7" s="3" t="s">
        <v>22</v>
      </c>
      <c r="B7" s="4">
        <f>SUMIFS('Detalhe 2024'!D5:D57,'Detalhe 2024'!B5:B57,A7,'Detalhe 2024'!H5:H57,"Casado")</f>
        <v>134783351.17999998</v>
      </c>
      <c r="C7" s="4">
        <f>SUMIFS('Detalhe 2024'!E5:E57,'Detalhe 2024'!B5:B57,A7,'Detalhe 2024'!H5:H57,"Casado")</f>
        <v>137463606.13999999</v>
      </c>
      <c r="D7" s="4">
        <f>C7-B7</f>
        <v>2680254.9600000083</v>
      </c>
      <c r="E7" s="5">
        <f>IF(C7=0,"",D7/C7)</f>
        <v>1.9497924107056374E-2</v>
      </c>
      <c r="F7" s="4">
        <f>SUMIFS('Detalhe 2025'!D5:D50,'Detalhe 2025'!B5:B50,A7,'Detalhe 2025'!H5:H50,"Casado")</f>
        <v>199321703.67000005</v>
      </c>
      <c r="G7" s="4">
        <f>SUMIFS('Detalhe 2025'!E5:E50,'Detalhe 2025'!B5:B50,A7,'Detalhe 2025'!H5:H50,"Casado")</f>
        <v>204102346.15000004</v>
      </c>
      <c r="H7" s="4">
        <f>G7-F7</f>
        <v>4780642.4799999893</v>
      </c>
      <c r="I7" s="5">
        <f>IF(G7=0,"",H7/G7)</f>
        <v>2.3422770831289578E-2</v>
      </c>
    </row>
    <row r="8" spans="1:9" x14ac:dyDescent="0.3">
      <c r="A8" s="3" t="s">
        <v>16</v>
      </c>
      <c r="B8" s="4">
        <f>SUMIFS('Detalhe 2024'!D5:D57,'Detalhe 2024'!B5:B57,A8,'Detalhe 2024'!H5:H57,"Casado")</f>
        <v>151800929.89000002</v>
      </c>
      <c r="C8" s="4">
        <f>SUMIFS('Detalhe 2024'!E5:E57,'Detalhe 2024'!B5:B57,A8,'Detalhe 2024'!H5:H57,"Casado")</f>
        <v>151800929.89000002</v>
      </c>
      <c r="D8" s="4">
        <f>C8-B8</f>
        <v>0</v>
      </c>
      <c r="E8" s="5">
        <f>IF(C8=0,"",D8/C8)</f>
        <v>0</v>
      </c>
      <c r="F8" s="4">
        <f>SUMIFS('Detalhe 2025'!D5:D50,'Detalhe 2025'!B5:B50,A8,'Detalhe 2025'!H5:H50,"Casado")</f>
        <v>186651212.13</v>
      </c>
      <c r="G8" s="4">
        <f>SUMIFS('Detalhe 2025'!E5:E50,'Detalhe 2025'!B5:B50,A8,'Detalhe 2025'!H5:H50,"Casado")</f>
        <v>191379588.03</v>
      </c>
      <c r="H8" s="4">
        <f>G8-F8</f>
        <v>4728375.900000006</v>
      </c>
      <c r="I8" s="5">
        <f>IF(G8=0,"",H8/G8)</f>
        <v>2.4706793178271458E-2</v>
      </c>
    </row>
    <row r="9" spans="1:9" x14ac:dyDescent="0.3">
      <c r="A9" s="3" t="s">
        <v>28</v>
      </c>
      <c r="B9" s="4">
        <f>SUMIFS('Detalhe 2024'!D5:D57,'Detalhe 2024'!B5:B57,A9,'Detalhe 2024'!H5:H57,"Casado")</f>
        <v>204535969.42000005</v>
      </c>
      <c r="C9" s="4">
        <f>SUMIFS('Detalhe 2024'!E5:E57,'Detalhe 2024'!B5:B57,A9,'Detalhe 2024'!H5:H57,"Casado")</f>
        <v>211409028.97999999</v>
      </c>
      <c r="D9" s="4">
        <f>C9-B9</f>
        <v>6873059.5599999428</v>
      </c>
      <c r="E9" s="5">
        <f>IF(C9=0,"",D9/C9)</f>
        <v>3.2510719117158228E-2</v>
      </c>
      <c r="F9" s="4">
        <f>SUMIFS('Detalhe 2025'!D5:D50,'Detalhe 2025'!B5:B50,A9,'Detalhe 2025'!H5:H50,"Casado")</f>
        <v>238627987.53999999</v>
      </c>
      <c r="G9" s="4">
        <f>SUMIFS('Detalhe 2025'!E5:E50,'Detalhe 2025'!B5:B50,A9,'Detalhe 2025'!H5:H50,"Casado")</f>
        <v>250953932.68000001</v>
      </c>
      <c r="H9" s="4">
        <f>G9-F9</f>
        <v>12325945.140000015</v>
      </c>
      <c r="I9" s="5">
        <f>IF(G9=0,"",H9/G9)</f>
        <v>4.9116365734412505E-2</v>
      </c>
    </row>
    <row r="10" spans="1:9" x14ac:dyDescent="0.3">
      <c r="A10" s="1" t="s">
        <v>104</v>
      </c>
      <c r="B10" s="9">
        <f>SUM(B5:B9)</f>
        <v>677058692.81000006</v>
      </c>
      <c r="C10" s="9">
        <f>SUM(C5:C9)</f>
        <v>689363450.13</v>
      </c>
      <c r="D10" s="9">
        <f>SUM(D5:D9)</f>
        <v>12304757.319999948</v>
      </c>
      <c r="E10" s="10">
        <f>D10/C10</f>
        <v>1.7849448382677557E-2</v>
      </c>
      <c r="F10" s="9">
        <f>SUM(F5:F9)</f>
        <v>828997343.46000004</v>
      </c>
      <c r="G10" s="9">
        <f>SUM(G5:G9)</f>
        <v>855364233.5</v>
      </c>
      <c r="H10" s="9">
        <f>SUM(H5:H9)</f>
        <v>26366890.040000014</v>
      </c>
      <c r="I10" s="10">
        <f>H10/G10</f>
        <v>3.0825336163649651E-2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Geral</vt:lpstr>
      <vt:lpstr>Detalhe 2024</vt:lpstr>
      <vt:lpstr>Detalhe 2025</vt:lpstr>
      <vt:lpstr>Resumo por 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Luíza Dias Ferraz</cp:lastModifiedBy>
  <cp:revision>0</cp:revision>
  <dcterms:created xsi:type="dcterms:W3CDTF">2026-08-19T17:59:44Z</dcterms:created>
  <dcterms:modified xsi:type="dcterms:W3CDTF">2026-08-19T18:08:14Z</dcterms:modified>
  <dc:language>en-US</dc:language>
</cp:coreProperties>
</file>