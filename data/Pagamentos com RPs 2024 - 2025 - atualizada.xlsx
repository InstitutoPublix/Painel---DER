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g-daf-cgo\08 CONTROLE ORCAMENTARIO\2026\OPR\"/>
    </mc:Choice>
  </mc:AlternateContent>
  <xr:revisionPtr revIDLastSave="0" documentId="13_ncr:1_{3CB09692-441F-4424-94A2-555DE6253F9C}" xr6:coauthVersionLast="47" xr6:coauthVersionMax="47" xr10:uidLastSave="{00000000-0000-0000-0000-000000000000}"/>
  <bookViews>
    <workbookView xWindow="28680" yWindow="-120" windowWidth="29040" windowHeight="15720" xr2:uid="{58B76BAB-B0AB-42F2-B8C5-3977404D19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5" i="1" l="1"/>
  <c r="I65" i="1"/>
  <c r="H65" i="1"/>
  <c r="J47" i="1"/>
  <c r="I47" i="1"/>
  <c r="H47" i="1"/>
  <c r="J35" i="1"/>
  <c r="I35" i="1"/>
  <c r="H35" i="1"/>
  <c r="J11" i="1"/>
  <c r="I11" i="1"/>
  <c r="H11" i="1"/>
  <c r="J18" i="1"/>
  <c r="I18" i="1"/>
  <c r="H18" i="1"/>
  <c r="H66" i="1"/>
  <c r="J66" i="1" l="1"/>
  <c r="I66" i="1"/>
</calcChain>
</file>

<file path=xl/sharedStrings.xml><?xml version="1.0" encoding="utf-8"?>
<sst xmlns="http://schemas.openxmlformats.org/spreadsheetml/2006/main" count="94" uniqueCount="80">
  <si>
    <t>Regional</t>
  </si>
  <si>
    <t>Contrato</t>
  </si>
  <si>
    <t xml:space="preserve">Valor Empenhado/RP Inscrito </t>
  </si>
  <si>
    <t xml:space="preserve">Total Liquidado </t>
  </si>
  <si>
    <t xml:space="preserve">Total Pago </t>
  </si>
  <si>
    <t xml:space="preserve"> Campos Gerais</t>
  </si>
  <si>
    <t>CO016/2022DOP</t>
  </si>
  <si>
    <t>CO016/2023DOP</t>
  </si>
  <si>
    <t>CO024/2023DOP</t>
  </si>
  <si>
    <t>CO091/2024DOP</t>
  </si>
  <si>
    <t>CO128/2021DOP</t>
  </si>
  <si>
    <t>CO169/2022DOP</t>
  </si>
  <si>
    <t>CO173/2025DOP</t>
  </si>
  <si>
    <t>CO175/2025DOP</t>
  </si>
  <si>
    <t xml:space="preserve"> Campos Gerais Total</t>
  </si>
  <si>
    <t xml:space="preserve"> Leste</t>
  </si>
  <si>
    <t>CO056/2022DOP</t>
  </si>
  <si>
    <t>CO057/2022DOP</t>
  </si>
  <si>
    <t>CO058/2022DOP</t>
  </si>
  <si>
    <t>CO059/2022DOP</t>
  </si>
  <si>
    <t>CO068/2018DOP</t>
  </si>
  <si>
    <t>CO132/2021DOP</t>
  </si>
  <si>
    <t xml:space="preserve"> Leste Total</t>
  </si>
  <si>
    <t xml:space="preserve"> Noroeste</t>
  </si>
  <si>
    <t>CO004/2020DOP</t>
  </si>
  <si>
    <t>CO005/2020DOP</t>
  </si>
  <si>
    <t>CO009/2020DOP</t>
  </si>
  <si>
    <t>CO015/2023DOP</t>
  </si>
  <si>
    <t>CO025/2019DT-DOP</t>
  </si>
  <si>
    <t>CO026/2020DOP</t>
  </si>
  <si>
    <t>CO069/2022DOP</t>
  </si>
  <si>
    <t>CO072/2022DOP</t>
  </si>
  <si>
    <t>CO093/2018DT-DOP</t>
  </si>
  <si>
    <t>CO123/2021DOP</t>
  </si>
  <si>
    <t>CO133/2021DOP</t>
  </si>
  <si>
    <t>CO137/2025DOP</t>
  </si>
  <si>
    <t>CO142/2018DT-DOP</t>
  </si>
  <si>
    <t>CO152/2025DOP</t>
  </si>
  <si>
    <t>CO215/2012DOP</t>
  </si>
  <si>
    <t>CO257/2012DOP</t>
  </si>
  <si>
    <t xml:space="preserve"> Noroeste Total</t>
  </si>
  <si>
    <t xml:space="preserve"> Norte</t>
  </si>
  <si>
    <t>CO001/2023DOP</t>
  </si>
  <si>
    <t>CO002/2023DOP</t>
  </si>
  <si>
    <t>CO006/2020DOP</t>
  </si>
  <si>
    <t>CO007/2020DOP</t>
  </si>
  <si>
    <t>CO023/2023DOP</t>
  </si>
  <si>
    <t>CO035/2024DOP</t>
  </si>
  <si>
    <t>CO036/2024DOP</t>
  </si>
  <si>
    <t>CO045/2023DOP</t>
  </si>
  <si>
    <t>CO051/2023DOP</t>
  </si>
  <si>
    <t>CO089/2024DOP</t>
  </si>
  <si>
    <t>CO129/2021DOP</t>
  </si>
  <si>
    <t xml:space="preserve"> Norte Total</t>
  </si>
  <si>
    <t xml:space="preserve"> Oeste</t>
  </si>
  <si>
    <t>CO006/2023DOP</t>
  </si>
  <si>
    <t>CO007/2023DOP</t>
  </si>
  <si>
    <t>CO017/2023DOP</t>
  </si>
  <si>
    <t>CO018/2023DOP</t>
  </si>
  <si>
    <t>CO019/2023DOP</t>
  </si>
  <si>
    <t>CO026/2023DOP</t>
  </si>
  <si>
    <t>CO028/2023DOP</t>
  </si>
  <si>
    <t>CO066/2018DOP</t>
  </si>
  <si>
    <t>CO069/2018DOP</t>
  </si>
  <si>
    <t>CO071/2023DOP</t>
  </si>
  <si>
    <t>CO072/2025DOP</t>
  </si>
  <si>
    <t>CO092/2025DOP</t>
  </si>
  <si>
    <t>CO121/2025DOP</t>
  </si>
  <si>
    <t>CO124/2021DOP</t>
  </si>
  <si>
    <t>CO124/2024DOP</t>
  </si>
  <si>
    <t>CO131/2021DOP</t>
  </si>
  <si>
    <t>CO167/2012DOP</t>
  </si>
  <si>
    <t xml:space="preserve"> Oeste Total</t>
  </si>
  <si>
    <t>Total Geral</t>
  </si>
  <si>
    <t xml:space="preserve">Tipo </t>
  </si>
  <si>
    <t>INTEGRA</t>
  </si>
  <si>
    <t>PROCONSERVA</t>
  </si>
  <si>
    <t>COP</t>
  </si>
  <si>
    <t>CREMEP</t>
  </si>
  <si>
    <t>EMERGENCIAL - CONSERVA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</si>
</sst>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-0.249977111117893"/>
      </patternFill>
    </fill>
    <fill>
      <patternFill patternType="solid">
        <fgColor theme="0"/>
        <bgColor theme="4" tint="0.39997558519241921"/>
      </patternFill>
    </fill>
  </fills>
  <borders count="12">
    <border>
      <left/>
      <right/>
      <top/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/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4" fontId="1" fillId="4" borderId="6" xfId="0" applyNumberFormat="1" applyFont="1" applyFill="1" applyBorder="1" applyAlignment="1">
      <alignment horizontal="center" vertical="center"/>
    </xf>
    <xf numFmtId="4" fontId="1" fillId="4" borderId="5" xfId="0" applyNumberFormat="1" applyFont="1" applyFill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11" xfId="0" applyFont="1" applyFill="1" applyBorder="1"/>
    <xf numFmtId="0" fontId="2" fillId="4" borderId="4" xfId="0" applyFont="1" applyFill="1" applyBorder="1" applyAlignment="1">
      <alignment vertical="center" wrapText="1"/>
    </xf>
    <xf numFmtId="0" fontId="2" fillId="4" borderId="7" xfId="0" applyFont="1" applyFill="1" applyBorder="1"/>
    <xf numFmtId="0" fontId="2" fillId="4" borderId="8" xfId="0" applyFont="1" applyFill="1" applyBorder="1"/>
    <xf numFmtId="0" fontId="4" fillId="0" borderId="9" xfId="0" applyFont="1" applyBorder="1" applyAlignment="1">
      <alignment vertical="center" wrapText="1"/>
    </xf>
    <xf numFmtId="0" fontId="4" fillId="0" borderId="9" xfId="0" applyFont="1" applyBorder="1"/>
    <xf numFmtId="0" fontId="3" fillId="5" borderId="5" xfId="0" applyFont="1" applyFill="1" applyBorder="1"/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4" fontId="3" fillId="3" borderId="5" xfId="0" applyNumberFormat="1" applyFont="1" applyFill="1" applyBorder="1" applyAlignment="1">
      <alignment horizontal="center" vertical="center"/>
    </xf>
    <xf numFmtId="4" fontId="1" fillId="7" borderId="5" xfId="0" applyNumberFormat="1" applyFont="1" applyFill="1" applyBorder="1" applyAlignment="1">
      <alignment horizontal="center" vertical="center"/>
    </xf>
    <xf numFmtId="4" fontId="4" fillId="3" borderId="9" xfId="0" applyNumberFormat="1" applyFont="1" applyFill="1" applyBorder="1" applyAlignment="1">
      <alignment horizontal="center" vertical="center"/>
    </xf>
    <xf numFmtId="0" fontId="0" fillId="3" borderId="0" xfId="0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82D3-E1B6-419C-9BC9-ED6219464684}">
  <dimension ref="A1:J66"/>
  <sheetViews>
    <sheetView showGridLines="0" tabSelected="1" workbookViewId="0">
      <selection activeCell="J13" sqref="J13"/>
    </sheetView>
  </sheetViews>
  <sheetFormatPr defaultRowHeight="15" x14ac:dyDescent="0.25"/>
  <cols>
    <col min="1" max="1" width="28" customWidth="1"/>
    <col min="2" max="2" width="23.85546875" customWidth="1"/>
    <col min="3" max="3" width="21.7109375" customWidth="1"/>
    <col min="4" max="4" width="21.42578125" customWidth="1"/>
    <col min="5" max="5" width="19" customWidth="1"/>
    <col min="6" max="6" width="13.85546875" bestFit="1" customWidth="1"/>
    <col min="7" max="7" width="2.85546875" style="28" customWidth="1"/>
    <col min="8" max="8" width="24.7109375" customWidth="1"/>
    <col min="9" max="9" width="13.85546875" bestFit="1" customWidth="1"/>
    <col min="10" max="10" width="16.85546875" customWidth="1"/>
  </cols>
  <sheetData>
    <row r="1" spans="1:10" x14ac:dyDescent="0.25">
      <c r="A1" s="1"/>
      <c r="B1" s="1"/>
      <c r="C1" s="11"/>
      <c r="D1" s="29">
        <v>2024</v>
      </c>
      <c r="E1" s="30"/>
      <c r="F1" s="30"/>
      <c r="G1" s="23"/>
      <c r="H1" s="29">
        <v>2025</v>
      </c>
      <c r="I1" s="30"/>
      <c r="J1" s="30"/>
    </row>
    <row r="2" spans="1:10" ht="25.5" x14ac:dyDescent="0.25">
      <c r="A2" s="2" t="s">
        <v>0</v>
      </c>
      <c r="B2" s="2" t="s">
        <v>74</v>
      </c>
      <c r="C2" s="2" t="s">
        <v>1</v>
      </c>
      <c r="D2" s="3" t="s">
        <v>2</v>
      </c>
      <c r="E2" s="3" t="s">
        <v>3</v>
      </c>
      <c r="F2" s="3" t="s">
        <v>4</v>
      </c>
      <c r="G2" s="24"/>
      <c r="H2" s="3" t="s">
        <v>2</v>
      </c>
      <c r="I2" s="3" t="s">
        <v>3</v>
      </c>
      <c r="J2" s="3" t="s">
        <v>4</v>
      </c>
    </row>
    <row r="3" spans="1:10" x14ac:dyDescent="0.25">
      <c r="A3" s="15" t="s">
        <v>5</v>
      </c>
      <c r="B3" s="12" t="s">
        <v>75</v>
      </c>
      <c r="C3" s="4" t="s">
        <v>10</v>
      </c>
      <c r="D3" s="5">
        <v>13360173.060000001</v>
      </c>
      <c r="E3" s="6">
        <v>12997590.640000001</v>
      </c>
      <c r="F3" s="5">
        <v>12997590.640000001</v>
      </c>
      <c r="G3" s="25"/>
      <c r="H3" s="6">
        <v>8186838.2600000016</v>
      </c>
      <c r="I3" s="5">
        <v>7636838.4900000002</v>
      </c>
      <c r="J3" s="6">
        <v>7636838.4900000002</v>
      </c>
    </row>
    <row r="4" spans="1:10" x14ac:dyDescent="0.25">
      <c r="A4" s="16"/>
      <c r="B4" s="13" t="s">
        <v>76</v>
      </c>
      <c r="C4" s="4" t="s">
        <v>6</v>
      </c>
      <c r="D4" s="5">
        <v>38172431.68999999</v>
      </c>
      <c r="E4" s="6">
        <v>36872431.689999998</v>
      </c>
      <c r="F4" s="5">
        <v>36872431.689999998</v>
      </c>
      <c r="G4" s="25"/>
      <c r="H4" s="6">
        <v>38114568.789999999</v>
      </c>
      <c r="I4" s="5">
        <v>35814568.790000007</v>
      </c>
      <c r="J4" s="6">
        <v>35814568.790000007</v>
      </c>
    </row>
    <row r="5" spans="1:10" x14ac:dyDescent="0.25">
      <c r="A5" s="16"/>
      <c r="B5" s="20"/>
      <c r="C5" s="4" t="s">
        <v>7</v>
      </c>
      <c r="D5" s="5">
        <v>32489339.02</v>
      </c>
      <c r="E5" s="6">
        <v>31689339.02</v>
      </c>
      <c r="F5" s="5">
        <v>31689339.02</v>
      </c>
      <c r="G5" s="25"/>
      <c r="H5" s="6">
        <v>33900500.86999999</v>
      </c>
      <c r="I5" s="5">
        <v>31264839.949999999</v>
      </c>
      <c r="J5" s="6">
        <v>31264839.949999999</v>
      </c>
    </row>
    <row r="6" spans="1:10" x14ac:dyDescent="0.25">
      <c r="A6" s="16"/>
      <c r="B6" s="20"/>
      <c r="C6" s="4" t="s">
        <v>8</v>
      </c>
      <c r="D6" s="5">
        <v>31954292.619999997</v>
      </c>
      <c r="E6" s="6">
        <v>31154292.619999997</v>
      </c>
      <c r="F6" s="5">
        <v>31154292.619999997</v>
      </c>
      <c r="G6" s="25"/>
      <c r="H6" s="6">
        <v>41356195.380000003</v>
      </c>
      <c r="I6" s="5">
        <v>38934193.079999998</v>
      </c>
      <c r="J6" s="6">
        <v>38934193.079999998</v>
      </c>
    </row>
    <row r="7" spans="1:10" x14ac:dyDescent="0.25">
      <c r="A7" s="16"/>
      <c r="B7" s="20"/>
      <c r="C7" s="4" t="s">
        <v>9</v>
      </c>
      <c r="D7" s="5">
        <v>16328848.08</v>
      </c>
      <c r="E7" s="6">
        <v>15828848.08</v>
      </c>
      <c r="F7" s="5">
        <v>15828848.08</v>
      </c>
      <c r="G7" s="25"/>
      <c r="H7" s="6">
        <v>11623724.710000001</v>
      </c>
      <c r="I7" s="5">
        <v>11623724.710000001</v>
      </c>
      <c r="J7" s="6">
        <v>11623724.710000001</v>
      </c>
    </row>
    <row r="8" spans="1:10" x14ac:dyDescent="0.25">
      <c r="A8" s="16"/>
      <c r="B8" s="20"/>
      <c r="C8" s="4" t="s">
        <v>11</v>
      </c>
      <c r="D8" s="5">
        <v>30253604.520000003</v>
      </c>
      <c r="E8" s="6">
        <v>28953604.520000003</v>
      </c>
      <c r="F8" s="5">
        <v>28953604.520000003</v>
      </c>
      <c r="G8" s="25"/>
      <c r="H8" s="6">
        <v>28748798</v>
      </c>
      <c r="I8" s="5">
        <v>28748798</v>
      </c>
      <c r="J8" s="6">
        <v>28748798</v>
      </c>
    </row>
    <row r="9" spans="1:10" x14ac:dyDescent="0.25">
      <c r="A9" s="16"/>
      <c r="B9" s="20"/>
      <c r="C9" s="4" t="s">
        <v>12</v>
      </c>
      <c r="D9" s="5"/>
      <c r="E9" s="6"/>
      <c r="F9" s="5"/>
      <c r="G9" s="25"/>
      <c r="H9" s="6">
        <v>14088945.270000001</v>
      </c>
      <c r="I9" s="5">
        <v>8088945.2700000014</v>
      </c>
      <c r="J9" s="6">
        <v>8088945.2700000014</v>
      </c>
    </row>
    <row r="10" spans="1:10" x14ac:dyDescent="0.25">
      <c r="A10" s="17"/>
      <c r="B10" s="14"/>
      <c r="C10" s="4" t="s">
        <v>13</v>
      </c>
      <c r="D10" s="5"/>
      <c r="E10" s="6"/>
      <c r="F10" s="5"/>
      <c r="G10" s="25"/>
      <c r="H10" s="6">
        <v>6875286.9199999999</v>
      </c>
      <c r="I10" s="5">
        <v>4181021.12</v>
      </c>
      <c r="J10" s="6">
        <v>4181021.12</v>
      </c>
    </row>
    <row r="11" spans="1:10" ht="15" customHeight="1" x14ac:dyDescent="0.25">
      <c r="A11" s="21" t="s">
        <v>14</v>
      </c>
      <c r="B11" s="22"/>
      <c r="C11" s="22"/>
      <c r="D11" s="7">
        <v>162558688.98999998</v>
      </c>
      <c r="E11" s="8">
        <v>157496106.56999999</v>
      </c>
      <c r="F11" s="7">
        <v>157496106.56999999</v>
      </c>
      <c r="G11" s="26"/>
      <c r="H11" s="8">
        <f t="shared" ref="H11:J11" si="0">SUM(H3:H10)</f>
        <v>182894858.19999999</v>
      </c>
      <c r="I11" s="8">
        <f t="shared" si="0"/>
        <v>166292929.41000003</v>
      </c>
      <c r="J11" s="8">
        <f t="shared" si="0"/>
        <v>166292929.41000003</v>
      </c>
    </row>
    <row r="12" spans="1:10" x14ac:dyDescent="0.25">
      <c r="A12" s="15" t="s">
        <v>15</v>
      </c>
      <c r="B12" s="12" t="s">
        <v>77</v>
      </c>
      <c r="C12" s="4" t="s">
        <v>20</v>
      </c>
      <c r="D12" s="5">
        <v>385615.19</v>
      </c>
      <c r="E12" s="6">
        <v>385615.19</v>
      </c>
      <c r="F12" s="5">
        <v>0</v>
      </c>
      <c r="G12" s="25"/>
      <c r="H12" s="6"/>
      <c r="I12" s="5"/>
      <c r="J12" s="6"/>
    </row>
    <row r="13" spans="1:10" x14ac:dyDescent="0.25">
      <c r="A13" s="16"/>
      <c r="B13" s="12" t="s">
        <v>75</v>
      </c>
      <c r="C13" s="4" t="s">
        <v>21</v>
      </c>
      <c r="D13" s="5">
        <v>2378377.61</v>
      </c>
      <c r="E13" s="6">
        <v>2378377.61</v>
      </c>
      <c r="F13" s="5">
        <v>2378377.61</v>
      </c>
      <c r="G13" s="25"/>
      <c r="H13" s="6"/>
      <c r="I13" s="5"/>
      <c r="J13" s="6"/>
    </row>
    <row r="14" spans="1:10" x14ac:dyDescent="0.25">
      <c r="A14" s="16"/>
      <c r="B14" s="13" t="s">
        <v>76</v>
      </c>
      <c r="C14" s="4" t="s">
        <v>16</v>
      </c>
      <c r="D14" s="5">
        <v>5706167.79</v>
      </c>
      <c r="E14" s="6">
        <v>3733976.5600000005</v>
      </c>
      <c r="F14" s="5">
        <v>3733976.5600000005</v>
      </c>
      <c r="G14" s="25"/>
      <c r="H14" s="6">
        <v>5550854.209999999</v>
      </c>
      <c r="I14" s="5">
        <v>4936854.21</v>
      </c>
      <c r="J14" s="6">
        <v>4936854.21</v>
      </c>
    </row>
    <row r="15" spans="1:10" x14ac:dyDescent="0.25">
      <c r="A15" s="16"/>
      <c r="B15" s="20"/>
      <c r="C15" s="4" t="s">
        <v>17</v>
      </c>
      <c r="D15" s="5">
        <v>9448231.2599999998</v>
      </c>
      <c r="E15" s="6">
        <v>8648231.2599999998</v>
      </c>
      <c r="F15" s="5">
        <v>8648231.2599999998</v>
      </c>
      <c r="G15" s="25"/>
      <c r="H15" s="6">
        <v>16524968.869999999</v>
      </c>
      <c r="I15" s="5">
        <v>16424968.869999999</v>
      </c>
      <c r="J15" s="6">
        <v>16424968.869999999</v>
      </c>
    </row>
    <row r="16" spans="1:10" x14ac:dyDescent="0.25">
      <c r="A16" s="16"/>
      <c r="B16" s="20"/>
      <c r="C16" s="4" t="s">
        <v>18</v>
      </c>
      <c r="D16" s="5">
        <v>12000367.27</v>
      </c>
      <c r="E16" s="6">
        <v>11340367.27</v>
      </c>
      <c r="F16" s="5">
        <v>11340367.27</v>
      </c>
      <c r="G16" s="25"/>
      <c r="H16" s="6">
        <v>13047922.420000004</v>
      </c>
      <c r="I16" s="5">
        <v>12747922.420000004</v>
      </c>
      <c r="J16" s="6">
        <v>12747922.420000004</v>
      </c>
    </row>
    <row r="17" spans="1:10" x14ac:dyDescent="0.25">
      <c r="A17" s="17"/>
      <c r="B17" s="14"/>
      <c r="C17" s="4" t="s">
        <v>19</v>
      </c>
      <c r="D17" s="5">
        <v>5892825.8499999996</v>
      </c>
      <c r="E17" s="6">
        <v>5092825.8499999996</v>
      </c>
      <c r="F17" s="5">
        <v>5092825.8499999996</v>
      </c>
      <c r="G17" s="25"/>
      <c r="H17" s="6">
        <v>16324407.690000001</v>
      </c>
      <c r="I17" s="5">
        <v>16162530.219999999</v>
      </c>
      <c r="J17" s="6">
        <v>16162530.219999999</v>
      </c>
    </row>
    <row r="18" spans="1:10" x14ac:dyDescent="0.25">
      <c r="A18" s="21" t="s">
        <v>22</v>
      </c>
      <c r="B18" s="22"/>
      <c r="C18" s="22"/>
      <c r="D18" s="7">
        <v>35811584.969999999</v>
      </c>
      <c r="E18" s="8">
        <v>31579393.740000002</v>
      </c>
      <c r="F18" s="7">
        <v>31193778.549999997</v>
      </c>
      <c r="G18" s="26"/>
      <c r="H18" s="8">
        <f t="shared" ref="H18:J18" si="1">SUM(H12:H17)</f>
        <v>51448153.189999998</v>
      </c>
      <c r="I18" s="8">
        <f t="shared" si="1"/>
        <v>50272275.719999999</v>
      </c>
      <c r="J18" s="8">
        <f t="shared" si="1"/>
        <v>50272275.719999999</v>
      </c>
    </row>
    <row r="19" spans="1:10" x14ac:dyDescent="0.25">
      <c r="A19" s="15" t="s">
        <v>23</v>
      </c>
      <c r="B19" s="13" t="s">
        <v>77</v>
      </c>
      <c r="C19" s="4" t="s">
        <v>24</v>
      </c>
      <c r="D19" s="5">
        <v>14785872.429999998</v>
      </c>
      <c r="E19" s="6">
        <v>14285872.429999998</v>
      </c>
      <c r="F19" s="5">
        <v>14285872.429999998</v>
      </c>
      <c r="G19" s="25"/>
      <c r="H19" s="6">
        <v>39931335.779999994</v>
      </c>
      <c r="I19" s="5">
        <v>39631335.779999994</v>
      </c>
      <c r="J19" s="6">
        <v>39631335.779999994</v>
      </c>
    </row>
    <row r="20" spans="1:10" x14ac:dyDescent="0.25">
      <c r="A20" s="16"/>
      <c r="B20" s="20"/>
      <c r="C20" s="4" t="s">
        <v>25</v>
      </c>
      <c r="D20" s="5">
        <v>10714286.199999999</v>
      </c>
      <c r="E20" s="6">
        <v>10214286.199999999</v>
      </c>
      <c r="F20" s="5">
        <v>10214286.199999999</v>
      </c>
      <c r="G20" s="25"/>
      <c r="H20" s="6">
        <v>4767004.2299999995</v>
      </c>
      <c r="I20" s="5">
        <v>4767004.2299999995</v>
      </c>
      <c r="J20" s="6">
        <v>4767004.2299999995</v>
      </c>
    </row>
    <row r="21" spans="1:10" x14ac:dyDescent="0.25">
      <c r="A21" s="16"/>
      <c r="B21" s="20"/>
      <c r="C21" s="4" t="s">
        <v>26</v>
      </c>
      <c r="D21" s="5">
        <v>13313728.249999998</v>
      </c>
      <c r="E21" s="6">
        <v>12713728.249999998</v>
      </c>
      <c r="F21" s="5">
        <v>12713728.249999998</v>
      </c>
      <c r="G21" s="25"/>
      <c r="H21" s="6">
        <v>35528349.989999995</v>
      </c>
      <c r="I21" s="5">
        <v>35004476.340000004</v>
      </c>
      <c r="J21" s="6">
        <v>35004476.340000004</v>
      </c>
    </row>
    <row r="22" spans="1:10" x14ac:dyDescent="0.25">
      <c r="A22" s="16"/>
      <c r="B22" s="20"/>
      <c r="C22" s="4" t="s">
        <v>29</v>
      </c>
      <c r="D22" s="5">
        <v>177123.24</v>
      </c>
      <c r="E22" s="6">
        <v>177123.24</v>
      </c>
      <c r="F22" s="5">
        <v>177123.24</v>
      </c>
      <c r="G22" s="25"/>
      <c r="H22" s="6"/>
      <c r="I22" s="5"/>
      <c r="J22" s="6"/>
    </row>
    <row r="23" spans="1:10" x14ac:dyDescent="0.25">
      <c r="A23" s="16"/>
      <c r="B23" s="14"/>
      <c r="C23" s="4" t="s">
        <v>39</v>
      </c>
      <c r="D23" s="5">
        <v>1374893.17</v>
      </c>
      <c r="E23" s="6">
        <v>1374893.17</v>
      </c>
      <c r="F23" s="5">
        <v>1374893.17</v>
      </c>
      <c r="G23" s="25"/>
      <c r="H23" s="6"/>
      <c r="I23" s="5"/>
      <c r="J23" s="6"/>
    </row>
    <row r="24" spans="1:10" x14ac:dyDescent="0.25">
      <c r="A24" s="16"/>
      <c r="B24" s="13" t="s">
        <v>78</v>
      </c>
      <c r="C24" s="4" t="s">
        <v>28</v>
      </c>
      <c r="D24" s="5">
        <v>23598445.129999999</v>
      </c>
      <c r="E24" s="6">
        <v>23098445.129999999</v>
      </c>
      <c r="F24" s="5">
        <v>23098445.129999999</v>
      </c>
      <c r="G24" s="25"/>
      <c r="H24" s="6">
        <v>5067926.0900000008</v>
      </c>
      <c r="I24" s="5">
        <v>5067926.0900000008</v>
      </c>
      <c r="J24" s="6">
        <v>5067926.0900000008</v>
      </c>
    </row>
    <row r="25" spans="1:10" x14ac:dyDescent="0.25">
      <c r="A25" s="16"/>
      <c r="B25" s="20"/>
      <c r="C25" s="4" t="s">
        <v>32</v>
      </c>
      <c r="D25" s="5">
        <v>6158717.5299999993</v>
      </c>
      <c r="E25" s="6">
        <v>5757152.5600000005</v>
      </c>
      <c r="F25" s="5">
        <v>5757152.5600000005</v>
      </c>
      <c r="G25" s="25"/>
      <c r="H25" s="6">
        <v>554929.90999999992</v>
      </c>
      <c r="I25" s="5">
        <v>554929.90999999992</v>
      </c>
      <c r="J25" s="6">
        <v>554929.90999999992</v>
      </c>
    </row>
    <row r="26" spans="1:10" x14ac:dyDescent="0.25">
      <c r="A26" s="16"/>
      <c r="B26" s="20"/>
      <c r="C26" s="4" t="s">
        <v>36</v>
      </c>
      <c r="D26" s="5">
        <v>11877496.82</v>
      </c>
      <c r="E26" s="6">
        <v>10984856.800000001</v>
      </c>
      <c r="F26" s="5">
        <v>10984856.800000001</v>
      </c>
      <c r="G26" s="25"/>
      <c r="H26" s="6">
        <v>2557601.6999999997</v>
      </c>
      <c r="I26" s="5">
        <v>2557601.6999999997</v>
      </c>
      <c r="J26" s="6">
        <v>2557601.6999999997</v>
      </c>
    </row>
    <row r="27" spans="1:10" x14ac:dyDescent="0.25">
      <c r="A27" s="16"/>
      <c r="B27" s="14"/>
      <c r="C27" s="4" t="s">
        <v>38</v>
      </c>
      <c r="D27" s="5">
        <v>1600063.62</v>
      </c>
      <c r="E27" s="6">
        <v>1600063.62</v>
      </c>
      <c r="F27" s="5">
        <v>1600063.62</v>
      </c>
      <c r="G27" s="25"/>
      <c r="H27" s="6"/>
      <c r="I27" s="5"/>
      <c r="J27" s="6"/>
    </row>
    <row r="28" spans="1:10" x14ac:dyDescent="0.25">
      <c r="A28" s="16"/>
      <c r="B28" s="12" t="s">
        <v>75</v>
      </c>
      <c r="C28" s="4" t="s">
        <v>34</v>
      </c>
      <c r="D28" s="5">
        <v>13128614.770000001</v>
      </c>
      <c r="E28" s="6">
        <v>12228614.770000001</v>
      </c>
      <c r="F28" s="5">
        <v>12228614.770000001</v>
      </c>
      <c r="G28" s="25"/>
      <c r="H28" s="6">
        <v>11247287.33</v>
      </c>
      <c r="I28" s="5">
        <v>9890706.2400000002</v>
      </c>
      <c r="J28" s="6">
        <v>9890706.2400000002</v>
      </c>
    </row>
    <row r="29" spans="1:10" x14ac:dyDescent="0.25">
      <c r="A29" s="16"/>
      <c r="B29" s="13" t="s">
        <v>76</v>
      </c>
      <c r="C29" s="4" t="s">
        <v>27</v>
      </c>
      <c r="D29" s="5">
        <v>23967454.07</v>
      </c>
      <c r="E29" s="6">
        <v>19751606.100000001</v>
      </c>
      <c r="F29" s="5">
        <v>19751606.100000001</v>
      </c>
      <c r="G29" s="25"/>
      <c r="H29" s="6">
        <v>81582998.820000008</v>
      </c>
      <c r="I29" s="5">
        <v>73002118.820000008</v>
      </c>
      <c r="J29" s="6">
        <v>73002118.820000008</v>
      </c>
    </row>
    <row r="30" spans="1:10" x14ac:dyDescent="0.25">
      <c r="A30" s="16"/>
      <c r="B30" s="20"/>
      <c r="C30" s="4" t="s">
        <v>30</v>
      </c>
      <c r="D30" s="5">
        <v>5132361.63</v>
      </c>
      <c r="E30" s="6">
        <v>5132361.63</v>
      </c>
      <c r="F30" s="5">
        <v>5132361.63</v>
      </c>
      <c r="G30" s="25"/>
      <c r="H30" s="6">
        <v>81522.77</v>
      </c>
      <c r="I30" s="5">
        <v>81522.77</v>
      </c>
      <c r="J30" s="6">
        <v>81522.77</v>
      </c>
    </row>
    <row r="31" spans="1:10" x14ac:dyDescent="0.25">
      <c r="A31" s="16"/>
      <c r="B31" s="20"/>
      <c r="C31" s="4" t="s">
        <v>31</v>
      </c>
      <c r="D31" s="5">
        <v>6439301.8200000003</v>
      </c>
      <c r="E31" s="6">
        <v>6439301.8200000003</v>
      </c>
      <c r="F31" s="5">
        <v>6439301.8200000003</v>
      </c>
      <c r="G31" s="25"/>
      <c r="H31" s="6">
        <v>172207.6</v>
      </c>
      <c r="I31" s="5">
        <v>172207.6</v>
      </c>
      <c r="J31" s="6">
        <v>172207.6</v>
      </c>
    </row>
    <row r="32" spans="1:10" x14ac:dyDescent="0.25">
      <c r="A32" s="16"/>
      <c r="B32" s="14"/>
      <c r="C32" s="4" t="s">
        <v>33</v>
      </c>
      <c r="D32" s="5">
        <v>26733915.189999998</v>
      </c>
      <c r="E32" s="6">
        <v>25933915.189999998</v>
      </c>
      <c r="F32" s="5">
        <v>25933915.189999998</v>
      </c>
      <c r="G32" s="25"/>
      <c r="H32" s="6">
        <v>39785737.709999993</v>
      </c>
      <c r="I32" s="5">
        <v>39165737.709999993</v>
      </c>
      <c r="J32" s="6">
        <v>39165737.709999993</v>
      </c>
    </row>
    <row r="33" spans="1:10" ht="15" customHeight="1" x14ac:dyDescent="0.25">
      <c r="A33" s="16"/>
      <c r="B33" s="13" t="s">
        <v>79</v>
      </c>
      <c r="C33" s="4" t="s">
        <v>35</v>
      </c>
      <c r="D33" s="5"/>
      <c r="E33" s="6"/>
      <c r="F33" s="5"/>
      <c r="G33" s="25"/>
      <c r="H33" s="6">
        <v>3500072.62</v>
      </c>
      <c r="I33" s="5">
        <v>3173852.84</v>
      </c>
      <c r="J33" s="6">
        <v>3173852.84</v>
      </c>
    </row>
    <row r="34" spans="1:10" x14ac:dyDescent="0.25">
      <c r="A34" s="17"/>
      <c r="B34" s="14"/>
      <c r="C34" s="4" t="s">
        <v>37</v>
      </c>
      <c r="D34" s="5"/>
      <c r="E34" s="6"/>
      <c r="F34" s="5"/>
      <c r="G34" s="25"/>
      <c r="H34" s="6">
        <v>1173632.3599999999</v>
      </c>
      <c r="I34" s="5">
        <v>923632.36</v>
      </c>
      <c r="J34" s="6">
        <v>923632.36</v>
      </c>
    </row>
    <row r="35" spans="1:10" x14ac:dyDescent="0.25">
      <c r="A35" s="21" t="s">
        <v>40</v>
      </c>
      <c r="B35" s="22"/>
      <c r="C35" s="22"/>
      <c r="D35" s="7">
        <v>159002273.87</v>
      </c>
      <c r="E35" s="8">
        <v>149692220.91</v>
      </c>
      <c r="F35" s="7">
        <v>149692220.91</v>
      </c>
      <c r="G35" s="26"/>
      <c r="H35" s="8">
        <f t="shared" ref="H35:J35" si="2">SUM(H19:H34)</f>
        <v>225950606.91000003</v>
      </c>
      <c r="I35" s="8">
        <f t="shared" si="2"/>
        <v>213993052.39000002</v>
      </c>
      <c r="J35" s="8">
        <f t="shared" si="2"/>
        <v>213993052.39000002</v>
      </c>
    </row>
    <row r="36" spans="1:10" x14ac:dyDescent="0.25">
      <c r="A36" s="15" t="s">
        <v>41</v>
      </c>
      <c r="B36" s="13" t="s">
        <v>77</v>
      </c>
      <c r="C36" s="4" t="s">
        <v>44</v>
      </c>
      <c r="D36" s="5">
        <v>18980639.129999999</v>
      </c>
      <c r="E36" s="6">
        <v>18480639.129999999</v>
      </c>
      <c r="F36" s="5">
        <v>18480639.129999999</v>
      </c>
      <c r="G36" s="25"/>
      <c r="H36" s="6">
        <v>32268826.769999996</v>
      </c>
      <c r="I36" s="5">
        <v>32168826.769999996</v>
      </c>
      <c r="J36" s="6">
        <v>32168826.769999996</v>
      </c>
    </row>
    <row r="37" spans="1:10" x14ac:dyDescent="0.25">
      <c r="A37" s="16"/>
      <c r="B37" s="14"/>
      <c r="C37" s="4" t="s">
        <v>45</v>
      </c>
      <c r="D37" s="5">
        <v>12633453.049999999</v>
      </c>
      <c r="E37" s="6">
        <v>12133453.049999999</v>
      </c>
      <c r="F37" s="5">
        <v>12133453.049999999</v>
      </c>
      <c r="G37" s="25"/>
      <c r="H37" s="6">
        <v>20451500.199999999</v>
      </c>
      <c r="I37" s="5">
        <v>20351500.199999999</v>
      </c>
      <c r="J37" s="6">
        <v>20351500.199999999</v>
      </c>
    </row>
    <row r="38" spans="1:10" x14ac:dyDescent="0.25">
      <c r="A38" s="16"/>
      <c r="B38" s="13" t="s">
        <v>75</v>
      </c>
      <c r="C38" s="4" t="s">
        <v>51</v>
      </c>
      <c r="D38" s="5">
        <v>29994505.949999999</v>
      </c>
      <c r="E38" s="6">
        <v>28994505.949999999</v>
      </c>
      <c r="F38" s="5">
        <v>28994505.949999999</v>
      </c>
      <c r="G38" s="25"/>
      <c r="H38" s="6">
        <v>24350268.370000001</v>
      </c>
      <c r="I38" s="5">
        <v>24350268.370000001</v>
      </c>
      <c r="J38" s="6">
        <v>24350268.370000001</v>
      </c>
    </row>
    <row r="39" spans="1:10" x14ac:dyDescent="0.25">
      <c r="A39" s="16"/>
      <c r="B39" s="14"/>
      <c r="C39" s="4" t="s">
        <v>52</v>
      </c>
      <c r="D39" s="5">
        <v>1271695.46</v>
      </c>
      <c r="E39" s="6">
        <v>1271695.46</v>
      </c>
      <c r="F39" s="5">
        <v>1271695.46</v>
      </c>
      <c r="G39" s="25"/>
      <c r="H39" s="6"/>
      <c r="I39" s="5"/>
      <c r="J39" s="6"/>
    </row>
    <row r="40" spans="1:10" x14ac:dyDescent="0.25">
      <c r="A40" s="16"/>
      <c r="B40" s="13" t="s">
        <v>76</v>
      </c>
      <c r="C40" s="4" t="s">
        <v>42</v>
      </c>
      <c r="D40" s="5">
        <v>0</v>
      </c>
      <c r="E40" s="6">
        <v>0</v>
      </c>
      <c r="F40" s="5">
        <v>0</v>
      </c>
      <c r="G40" s="25"/>
      <c r="H40" s="6"/>
      <c r="I40" s="5"/>
      <c r="J40" s="6"/>
    </row>
    <row r="41" spans="1:10" x14ac:dyDescent="0.25">
      <c r="A41" s="16"/>
      <c r="B41" s="20"/>
      <c r="C41" s="4" t="s">
        <v>43</v>
      </c>
      <c r="D41" s="5">
        <v>248441.37</v>
      </c>
      <c r="E41" s="6">
        <v>248441.37</v>
      </c>
      <c r="F41" s="5">
        <v>248441.37</v>
      </c>
      <c r="G41" s="25"/>
      <c r="H41" s="6"/>
      <c r="I41" s="5"/>
      <c r="J41" s="6"/>
    </row>
    <row r="42" spans="1:10" x14ac:dyDescent="0.25">
      <c r="A42" s="16"/>
      <c r="B42" s="20"/>
      <c r="C42" s="4" t="s">
        <v>46</v>
      </c>
      <c r="D42" s="5">
        <v>44732135.530000001</v>
      </c>
      <c r="E42" s="6">
        <v>42007423.660000004</v>
      </c>
      <c r="F42" s="5">
        <v>42007423.660000004</v>
      </c>
      <c r="G42" s="25"/>
      <c r="H42" s="6">
        <v>46904250.189999998</v>
      </c>
      <c r="I42" s="5">
        <v>46834250.189999998</v>
      </c>
      <c r="J42" s="6">
        <v>46834250.189999998</v>
      </c>
    </row>
    <row r="43" spans="1:10" x14ac:dyDescent="0.25">
      <c r="A43" s="16"/>
      <c r="B43" s="20"/>
      <c r="C43" s="4" t="s">
        <v>47</v>
      </c>
      <c r="D43" s="5">
        <v>1174159.17</v>
      </c>
      <c r="E43" s="6">
        <v>374159.17</v>
      </c>
      <c r="F43" s="5">
        <v>374159.17</v>
      </c>
      <c r="G43" s="25"/>
      <c r="H43" s="6">
        <v>10090603.210000001</v>
      </c>
      <c r="I43" s="5">
        <v>10090603.210000001</v>
      </c>
      <c r="J43" s="6">
        <v>10090603.210000001</v>
      </c>
    </row>
    <row r="44" spans="1:10" x14ac:dyDescent="0.25">
      <c r="A44" s="16"/>
      <c r="B44" s="20"/>
      <c r="C44" s="4" t="s">
        <v>48</v>
      </c>
      <c r="D44" s="5">
        <v>28242511.170000002</v>
      </c>
      <c r="E44" s="6">
        <v>27442511.170000002</v>
      </c>
      <c r="F44" s="5">
        <v>27442511.170000002</v>
      </c>
      <c r="G44" s="25"/>
      <c r="H44" s="6">
        <v>60911673.340000011</v>
      </c>
      <c r="I44" s="5">
        <v>57411673.340000004</v>
      </c>
      <c r="J44" s="6">
        <v>57411673.340000004</v>
      </c>
    </row>
    <row r="45" spans="1:10" x14ac:dyDescent="0.25">
      <c r="A45" s="16"/>
      <c r="B45" s="20"/>
      <c r="C45" s="4" t="s">
        <v>49</v>
      </c>
      <c r="D45" s="5">
        <v>22389234.079999998</v>
      </c>
      <c r="E45" s="6">
        <v>21089234.079999998</v>
      </c>
      <c r="F45" s="5">
        <v>21089234.079999998</v>
      </c>
      <c r="G45" s="25"/>
      <c r="H45" s="6">
        <v>24583734.32</v>
      </c>
      <c r="I45" s="5">
        <v>24522734.32</v>
      </c>
      <c r="J45" s="6">
        <v>24522734.32</v>
      </c>
    </row>
    <row r="46" spans="1:10" x14ac:dyDescent="0.25">
      <c r="A46" s="17"/>
      <c r="B46" s="14"/>
      <c r="C46" s="4" t="s">
        <v>50</v>
      </c>
      <c r="D46" s="5">
        <v>7308.22</v>
      </c>
      <c r="E46" s="6">
        <v>7308.22</v>
      </c>
      <c r="F46" s="5">
        <v>7308.22</v>
      </c>
      <c r="G46" s="25"/>
      <c r="H46" s="6"/>
      <c r="I46" s="5"/>
      <c r="J46" s="6"/>
    </row>
    <row r="47" spans="1:10" x14ac:dyDescent="0.25">
      <c r="A47" s="21" t="s">
        <v>53</v>
      </c>
      <c r="B47" s="22"/>
      <c r="C47" s="22"/>
      <c r="D47" s="7">
        <v>159674083.12999997</v>
      </c>
      <c r="E47" s="8">
        <v>152049371.26000002</v>
      </c>
      <c r="F47" s="7">
        <v>152049371.26000002</v>
      </c>
      <c r="G47" s="26"/>
      <c r="H47" s="8">
        <f t="shared" ref="H47:J47" si="3">SUM(H36:H46)</f>
        <v>219560856.40000001</v>
      </c>
      <c r="I47" s="8">
        <f t="shared" si="3"/>
        <v>215729856.40000001</v>
      </c>
      <c r="J47" s="8">
        <f t="shared" si="3"/>
        <v>215729856.40000001</v>
      </c>
    </row>
    <row r="48" spans="1:10" x14ac:dyDescent="0.25">
      <c r="A48" s="15" t="s">
        <v>54</v>
      </c>
      <c r="B48" s="13" t="s">
        <v>77</v>
      </c>
      <c r="C48" s="4" t="s">
        <v>62</v>
      </c>
      <c r="D48" s="5">
        <v>445521.88</v>
      </c>
      <c r="E48" s="6">
        <v>445521.88</v>
      </c>
      <c r="F48" s="5">
        <v>0</v>
      </c>
      <c r="G48" s="25"/>
      <c r="H48" s="6"/>
      <c r="I48" s="5"/>
      <c r="J48" s="6"/>
    </row>
    <row r="49" spans="1:10" x14ac:dyDescent="0.25">
      <c r="A49" s="16"/>
      <c r="B49" s="20"/>
      <c r="C49" s="4" t="s">
        <v>63</v>
      </c>
      <c r="D49" s="5">
        <v>22984.799999999999</v>
      </c>
      <c r="E49" s="6">
        <v>22984.799999999999</v>
      </c>
      <c r="F49" s="5">
        <v>0</v>
      </c>
      <c r="G49" s="25"/>
      <c r="H49" s="6"/>
      <c r="I49" s="5"/>
      <c r="J49" s="6"/>
    </row>
    <row r="50" spans="1:10" x14ac:dyDescent="0.25">
      <c r="A50" s="16"/>
      <c r="B50" s="14"/>
      <c r="C50" s="4" t="s">
        <v>71</v>
      </c>
      <c r="D50" s="5">
        <v>558148.81999999995</v>
      </c>
      <c r="E50" s="6">
        <v>558148.81999999995</v>
      </c>
      <c r="F50" s="5">
        <v>558148.81999999995</v>
      </c>
      <c r="G50" s="25"/>
      <c r="H50" s="6"/>
      <c r="I50" s="5"/>
      <c r="J50" s="6"/>
    </row>
    <row r="51" spans="1:10" x14ac:dyDescent="0.25">
      <c r="A51" s="16"/>
      <c r="B51" s="12" t="s">
        <v>75</v>
      </c>
      <c r="C51" s="4" t="s">
        <v>70</v>
      </c>
      <c r="D51" s="5">
        <v>3177556.0799999996</v>
      </c>
      <c r="E51" s="6">
        <v>2669311.9</v>
      </c>
      <c r="F51" s="5">
        <v>2669311.9</v>
      </c>
      <c r="G51" s="25"/>
      <c r="H51" s="6">
        <v>1230287.0499999998</v>
      </c>
      <c r="I51" s="5">
        <v>1230287.0499999998</v>
      </c>
      <c r="J51" s="6">
        <v>1230287.0499999998</v>
      </c>
    </row>
    <row r="52" spans="1:10" x14ac:dyDescent="0.25">
      <c r="A52" s="16"/>
      <c r="B52" s="13" t="s">
        <v>76</v>
      </c>
      <c r="C52" s="4" t="s">
        <v>55</v>
      </c>
      <c r="D52" s="5">
        <v>19773722.789999999</v>
      </c>
      <c r="E52" s="6">
        <v>18973722.789999999</v>
      </c>
      <c r="F52" s="5">
        <v>18973722.789999999</v>
      </c>
      <c r="G52" s="25"/>
      <c r="H52" s="6">
        <v>30166861.929999996</v>
      </c>
      <c r="I52" s="5">
        <v>27666861.929999996</v>
      </c>
      <c r="J52" s="6">
        <v>27666861.929999996</v>
      </c>
    </row>
    <row r="53" spans="1:10" x14ac:dyDescent="0.25">
      <c r="A53" s="16"/>
      <c r="B53" s="20"/>
      <c r="C53" s="4" t="s">
        <v>56</v>
      </c>
      <c r="D53" s="5">
        <v>11140244.639999999</v>
      </c>
      <c r="E53" s="6">
        <v>10340244.639999999</v>
      </c>
      <c r="F53" s="5">
        <v>10340244.639999999</v>
      </c>
      <c r="G53" s="25"/>
      <c r="H53" s="6">
        <v>9210678.3100000005</v>
      </c>
      <c r="I53" s="5">
        <v>9210678.3100000005</v>
      </c>
      <c r="J53" s="6">
        <v>9210678.3100000005</v>
      </c>
    </row>
    <row r="54" spans="1:10" x14ac:dyDescent="0.25">
      <c r="A54" s="16"/>
      <c r="B54" s="20"/>
      <c r="C54" s="4" t="s">
        <v>57</v>
      </c>
      <c r="D54" s="5">
        <v>20854107.93</v>
      </c>
      <c r="E54" s="6">
        <v>20054107.93</v>
      </c>
      <c r="F54" s="5">
        <v>20054107.93</v>
      </c>
      <c r="G54" s="25"/>
      <c r="H54" s="6">
        <v>17732355.760000002</v>
      </c>
      <c r="I54" s="5">
        <v>16548303.049999999</v>
      </c>
      <c r="J54" s="6">
        <v>16548303.049999999</v>
      </c>
    </row>
    <row r="55" spans="1:10" x14ac:dyDescent="0.25">
      <c r="A55" s="16"/>
      <c r="B55" s="20"/>
      <c r="C55" s="4" t="s">
        <v>58</v>
      </c>
      <c r="D55" s="5">
        <v>14085342.790000001</v>
      </c>
      <c r="E55" s="6">
        <v>13351979.810000001</v>
      </c>
      <c r="F55" s="5">
        <v>13351979.810000001</v>
      </c>
      <c r="G55" s="25"/>
      <c r="H55" s="6">
        <v>193539.39</v>
      </c>
      <c r="I55" s="5">
        <v>193539.39</v>
      </c>
      <c r="J55" s="6">
        <v>193539.39</v>
      </c>
    </row>
    <row r="56" spans="1:10" x14ac:dyDescent="0.25">
      <c r="A56" s="16"/>
      <c r="B56" s="20"/>
      <c r="C56" s="4" t="s">
        <v>59</v>
      </c>
      <c r="D56" s="5">
        <v>28185227.91</v>
      </c>
      <c r="E56" s="6">
        <v>26786342.939999998</v>
      </c>
      <c r="F56" s="5">
        <v>26786342.939999998</v>
      </c>
      <c r="G56" s="25"/>
      <c r="H56" s="6">
        <v>38482291.289999999</v>
      </c>
      <c r="I56" s="5">
        <v>37355360.200000003</v>
      </c>
      <c r="J56" s="6">
        <v>37355360.200000003</v>
      </c>
    </row>
    <row r="57" spans="1:10" x14ac:dyDescent="0.25">
      <c r="A57" s="16"/>
      <c r="B57" s="20"/>
      <c r="C57" s="4" t="s">
        <v>60</v>
      </c>
      <c r="D57" s="5">
        <v>43613777.939999998</v>
      </c>
      <c r="E57" s="6">
        <v>42313777.939999998</v>
      </c>
      <c r="F57" s="5">
        <v>42313777.939999998</v>
      </c>
      <c r="G57" s="25"/>
      <c r="H57" s="6">
        <v>39519756.390000001</v>
      </c>
      <c r="I57" s="5">
        <v>35719756.390000001</v>
      </c>
      <c r="J57" s="6">
        <v>35719756.390000001</v>
      </c>
    </row>
    <row r="58" spans="1:10" x14ac:dyDescent="0.25">
      <c r="A58" s="16"/>
      <c r="B58" s="20"/>
      <c r="C58" s="4" t="s">
        <v>61</v>
      </c>
      <c r="D58" s="5">
        <v>16638916.969999999</v>
      </c>
      <c r="E58" s="6">
        <v>15321856.800000001</v>
      </c>
      <c r="F58" s="5">
        <v>15321856.800000001</v>
      </c>
      <c r="G58" s="25"/>
      <c r="H58" s="6">
        <v>1764475.64</v>
      </c>
      <c r="I58" s="5">
        <v>1764475.64</v>
      </c>
      <c r="J58" s="6">
        <v>1764475.64</v>
      </c>
    </row>
    <row r="59" spans="1:10" x14ac:dyDescent="0.25">
      <c r="A59" s="16"/>
      <c r="B59" s="20"/>
      <c r="C59" s="4" t="s">
        <v>64</v>
      </c>
      <c r="D59" s="5">
        <v>38465528.369999997</v>
      </c>
      <c r="E59" s="6">
        <v>37104577.109999999</v>
      </c>
      <c r="F59" s="5">
        <v>37104577.109999999</v>
      </c>
      <c r="G59" s="25"/>
      <c r="H59" s="6">
        <v>34982626.369999997</v>
      </c>
      <c r="I59" s="5">
        <v>33222626.369999997</v>
      </c>
      <c r="J59" s="6">
        <v>33222626.369999997</v>
      </c>
    </row>
    <row r="60" spans="1:10" x14ac:dyDescent="0.25">
      <c r="A60" s="16"/>
      <c r="B60" s="20"/>
      <c r="C60" s="4" t="s">
        <v>65</v>
      </c>
      <c r="D60" s="5"/>
      <c r="E60" s="6"/>
      <c r="F60" s="5"/>
      <c r="G60" s="25"/>
      <c r="H60" s="6">
        <v>9463922.3699999992</v>
      </c>
      <c r="I60" s="5">
        <v>8642922.3699999992</v>
      </c>
      <c r="J60" s="6">
        <v>8642922.3699999992</v>
      </c>
    </row>
    <row r="61" spans="1:10" x14ac:dyDescent="0.25">
      <c r="A61" s="16"/>
      <c r="B61" s="20"/>
      <c r="C61" s="4" t="s">
        <v>66</v>
      </c>
      <c r="D61" s="5"/>
      <c r="E61" s="6"/>
      <c r="F61" s="5"/>
      <c r="G61" s="25"/>
      <c r="H61" s="6">
        <v>23567371.469999999</v>
      </c>
      <c r="I61" s="5">
        <v>21807371.469999999</v>
      </c>
      <c r="J61" s="6">
        <v>21807371.469999999</v>
      </c>
    </row>
    <row r="62" spans="1:10" x14ac:dyDescent="0.25">
      <c r="A62" s="16"/>
      <c r="B62" s="20"/>
      <c r="C62" s="4" t="s">
        <v>67</v>
      </c>
      <c r="D62" s="5"/>
      <c r="E62" s="6"/>
      <c r="F62" s="5"/>
      <c r="G62" s="25"/>
      <c r="H62" s="6">
        <v>18027376.41</v>
      </c>
      <c r="I62" s="5">
        <v>13026376.41</v>
      </c>
      <c r="J62" s="6">
        <v>13026376.41</v>
      </c>
    </row>
    <row r="63" spans="1:10" x14ac:dyDescent="0.25">
      <c r="A63" s="16"/>
      <c r="B63" s="20"/>
      <c r="C63" s="4" t="s">
        <v>68</v>
      </c>
      <c r="D63" s="5">
        <v>25293107.120000001</v>
      </c>
      <c r="E63" s="6">
        <v>24493107.120000001</v>
      </c>
      <c r="F63" s="5">
        <v>24493107.120000001</v>
      </c>
      <c r="G63" s="25"/>
      <c r="H63" s="6">
        <v>10043976</v>
      </c>
      <c r="I63" s="5">
        <v>10043976</v>
      </c>
      <c r="J63" s="6">
        <v>10043976</v>
      </c>
    </row>
    <row r="64" spans="1:10" x14ac:dyDescent="0.25">
      <c r="A64" s="17"/>
      <c r="B64" s="14"/>
      <c r="C64" s="4" t="s">
        <v>69</v>
      </c>
      <c r="D64" s="5">
        <v>4310000</v>
      </c>
      <c r="E64" s="6">
        <v>0</v>
      </c>
      <c r="F64" s="5">
        <v>0</v>
      </c>
      <c r="G64" s="25"/>
      <c r="H64" s="6">
        <v>35751685.170000002</v>
      </c>
      <c r="I64" s="5">
        <v>35751685.150000006</v>
      </c>
      <c r="J64" s="6">
        <v>35751685.150000006</v>
      </c>
    </row>
    <row r="65" spans="1:10" ht="15.75" thickBot="1" x14ac:dyDescent="0.3">
      <c r="A65" s="21" t="s">
        <v>72</v>
      </c>
      <c r="B65" s="22"/>
      <c r="C65" s="22"/>
      <c r="D65" s="7">
        <v>226564188.03999999</v>
      </c>
      <c r="E65" s="8">
        <v>212435684.48000002</v>
      </c>
      <c r="F65" s="7">
        <v>211967177.80000001</v>
      </c>
      <c r="G65" s="26"/>
      <c r="H65" s="8">
        <f t="shared" ref="H65:J65" si="4">SUM(H48:H64)</f>
        <v>270137203.55000001</v>
      </c>
      <c r="I65" s="8">
        <f t="shared" si="4"/>
        <v>252184219.73000002</v>
      </c>
      <c r="J65" s="8">
        <f t="shared" si="4"/>
        <v>252184219.73000002</v>
      </c>
    </row>
    <row r="66" spans="1:10" ht="15.75" thickTop="1" x14ac:dyDescent="0.25">
      <c r="A66" s="18" t="s">
        <v>73</v>
      </c>
      <c r="B66" s="19"/>
      <c r="C66" s="19"/>
      <c r="D66" s="9">
        <v>743610818.99999976</v>
      </c>
      <c r="E66" s="10">
        <v>703252776.96000004</v>
      </c>
      <c r="F66" s="9">
        <v>702398655.08999991</v>
      </c>
      <c r="G66" s="27"/>
      <c r="H66" s="10">
        <f>H65+H47+H18+H11+H35</f>
        <v>949991678.25000024</v>
      </c>
      <c r="I66" s="10">
        <f>I65+I47+I18+I11+I35</f>
        <v>898472333.64999998</v>
      </c>
      <c r="J66" s="10">
        <f>J65+J47+J18+J11+J35</f>
        <v>898472333.64999998</v>
      </c>
    </row>
  </sheetData>
  <mergeCells count="2">
    <mergeCell ref="D1:F1"/>
    <mergeCell ref="H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DERPR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Emanuelly de Witte Cezarotto</dc:creator>
  <cp:lastModifiedBy>Bruna Emanuelly de Witte Cezarotto</cp:lastModifiedBy>
  <dcterms:created xsi:type="dcterms:W3CDTF">2026-08-18T17:23:32Z</dcterms:created>
  <dcterms:modified xsi:type="dcterms:W3CDTF">2026-09-17T12:26:49Z</dcterms:modified>
</cp:coreProperties>
</file>